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onathan\Desktop\USA Valet Projects\"/>
    </mc:Choice>
  </mc:AlternateContent>
  <bookViews>
    <workbookView xWindow="0" yWindow="0" windowWidth="24000" windowHeight="9510"/>
  </bookViews>
  <sheets>
    <sheet name="Jun 16" sheetId="17" r:id="rId1"/>
    <sheet name="May 16" sheetId="16" r:id="rId2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1" i="17" l="1"/>
  <c r="J31" i="17"/>
  <c r="I31" i="17"/>
  <c r="H31" i="17"/>
  <c r="L31" i="17" s="1"/>
  <c r="K30" i="17"/>
  <c r="J30" i="17"/>
  <c r="I30" i="17"/>
  <c r="H30" i="17"/>
  <c r="L30" i="17" s="1"/>
  <c r="K29" i="17"/>
  <c r="J29" i="17"/>
  <c r="I29" i="17"/>
  <c r="H29" i="17"/>
  <c r="L29" i="17" s="1"/>
  <c r="K28" i="17"/>
  <c r="J28" i="17"/>
  <c r="I28" i="17"/>
  <c r="H28" i="17"/>
  <c r="L28" i="17" s="1"/>
  <c r="K27" i="17"/>
  <c r="J27" i="17"/>
  <c r="I27" i="17"/>
  <c r="H27" i="17"/>
  <c r="L27" i="17" s="1"/>
  <c r="K26" i="17"/>
  <c r="J26" i="17"/>
  <c r="I26" i="17"/>
  <c r="H26" i="17"/>
  <c r="L26" i="17" s="1"/>
  <c r="K25" i="17"/>
  <c r="J25" i="17"/>
  <c r="I25" i="17"/>
  <c r="H25" i="17"/>
  <c r="L25" i="17" s="1"/>
  <c r="K24" i="17"/>
  <c r="J24" i="17"/>
  <c r="I24" i="17"/>
  <c r="H24" i="17"/>
  <c r="L24" i="17" s="1"/>
  <c r="K23" i="17"/>
  <c r="J23" i="17"/>
  <c r="I23" i="17"/>
  <c r="H23" i="17"/>
  <c r="L23" i="17" s="1"/>
  <c r="K22" i="17"/>
  <c r="J22" i="17"/>
  <c r="I22" i="17"/>
  <c r="H22" i="17"/>
  <c r="L22" i="17" s="1"/>
  <c r="K21" i="17"/>
  <c r="J21" i="17"/>
  <c r="I21" i="17"/>
  <c r="H21" i="17"/>
  <c r="L21" i="17" s="1"/>
  <c r="K20" i="17"/>
  <c r="J20" i="17"/>
  <c r="I20" i="17"/>
  <c r="H20" i="17"/>
  <c r="L20" i="17" s="1"/>
  <c r="K19" i="17"/>
  <c r="J19" i="17"/>
  <c r="I19" i="17"/>
  <c r="H19" i="17"/>
  <c r="L19" i="17" s="1"/>
  <c r="K18" i="17"/>
  <c r="J18" i="17"/>
  <c r="I18" i="17"/>
  <c r="H18" i="17"/>
  <c r="L18" i="17" s="1"/>
  <c r="K17" i="17"/>
  <c r="J17" i="17"/>
  <c r="I17" i="17"/>
  <c r="H17" i="17"/>
  <c r="L17" i="17" s="1"/>
  <c r="K16" i="17"/>
  <c r="J16" i="17"/>
  <c r="I16" i="17"/>
  <c r="H16" i="17"/>
  <c r="L16" i="17" s="1"/>
  <c r="K15" i="17"/>
  <c r="J15" i="17"/>
  <c r="I15" i="17"/>
  <c r="H15" i="17"/>
  <c r="L15" i="17" s="1"/>
  <c r="K14" i="17"/>
  <c r="J14" i="17"/>
  <c r="I14" i="17"/>
  <c r="H14" i="17"/>
  <c r="L14" i="17" s="1"/>
  <c r="K13" i="17"/>
  <c r="J13" i="17"/>
  <c r="I13" i="17"/>
  <c r="H13" i="17"/>
  <c r="L13" i="17" s="1"/>
  <c r="K12" i="17"/>
  <c r="J12" i="17"/>
  <c r="I12" i="17"/>
  <c r="H12" i="17"/>
  <c r="L12" i="17" s="1"/>
  <c r="K11" i="17"/>
  <c r="J11" i="17"/>
  <c r="I11" i="17"/>
  <c r="H11" i="17"/>
  <c r="L11" i="17" s="1"/>
  <c r="K10" i="17"/>
  <c r="J10" i="17"/>
  <c r="I10" i="17"/>
  <c r="H10" i="17"/>
  <c r="L10" i="17" s="1"/>
  <c r="K9" i="17"/>
  <c r="J9" i="17"/>
  <c r="I9" i="17"/>
  <c r="H9" i="17"/>
  <c r="L9" i="17" s="1"/>
  <c r="K8" i="17"/>
  <c r="J8" i="17"/>
  <c r="I8" i="17"/>
  <c r="H8" i="17"/>
  <c r="L8" i="17" s="1"/>
  <c r="K7" i="17"/>
  <c r="J7" i="17"/>
  <c r="I7" i="17"/>
  <c r="H7" i="17"/>
  <c r="L7" i="17" s="1"/>
  <c r="K6" i="17"/>
  <c r="J6" i="17"/>
  <c r="I6" i="17"/>
  <c r="H6" i="17"/>
  <c r="L6" i="17" s="1"/>
  <c r="K5" i="17"/>
  <c r="J5" i="17"/>
  <c r="I5" i="17"/>
  <c r="H5" i="17"/>
  <c r="L5" i="17" s="1"/>
  <c r="K4" i="17"/>
  <c r="J4" i="17"/>
  <c r="I4" i="17"/>
  <c r="H4" i="17"/>
  <c r="L4" i="17" s="1"/>
  <c r="K3" i="17"/>
  <c r="J3" i="17"/>
  <c r="I3" i="17"/>
  <c r="H3" i="17"/>
  <c r="L3" i="17" s="1"/>
  <c r="K2" i="17"/>
  <c r="K32" i="17" s="1"/>
  <c r="J2" i="17"/>
  <c r="J32" i="17" s="1"/>
  <c r="I2" i="17"/>
  <c r="I32" i="17" s="1"/>
  <c r="H2" i="17"/>
  <c r="H32" i="17" s="1"/>
  <c r="K32" i="16"/>
  <c r="J32" i="16"/>
  <c r="I32" i="16"/>
  <c r="H32" i="16"/>
  <c r="L32" i="16" s="1"/>
  <c r="K31" i="16"/>
  <c r="J31" i="16"/>
  <c r="I31" i="16"/>
  <c r="H31" i="16"/>
  <c r="L31" i="16" s="1"/>
  <c r="K30" i="16"/>
  <c r="J30" i="16"/>
  <c r="I30" i="16"/>
  <c r="H30" i="16"/>
  <c r="L30" i="16" s="1"/>
  <c r="K29" i="16"/>
  <c r="J29" i="16"/>
  <c r="I29" i="16"/>
  <c r="H29" i="16"/>
  <c r="L29" i="16" s="1"/>
  <c r="K28" i="16"/>
  <c r="J28" i="16"/>
  <c r="I28" i="16"/>
  <c r="H28" i="16"/>
  <c r="L28" i="16" s="1"/>
  <c r="K27" i="16"/>
  <c r="J27" i="16"/>
  <c r="I27" i="16"/>
  <c r="H27" i="16"/>
  <c r="L27" i="16" s="1"/>
  <c r="K26" i="16"/>
  <c r="J26" i="16"/>
  <c r="I26" i="16"/>
  <c r="H26" i="16"/>
  <c r="L26" i="16" s="1"/>
  <c r="K25" i="16"/>
  <c r="J25" i="16"/>
  <c r="I25" i="16"/>
  <c r="H25" i="16"/>
  <c r="L25" i="16" s="1"/>
  <c r="K24" i="16"/>
  <c r="J24" i="16"/>
  <c r="I24" i="16"/>
  <c r="H24" i="16"/>
  <c r="L24" i="16" s="1"/>
  <c r="K23" i="16"/>
  <c r="J23" i="16"/>
  <c r="I23" i="16"/>
  <c r="H23" i="16"/>
  <c r="L23" i="16" s="1"/>
  <c r="K22" i="16"/>
  <c r="J22" i="16"/>
  <c r="I22" i="16"/>
  <c r="H22" i="16"/>
  <c r="L22" i="16" s="1"/>
  <c r="K21" i="16"/>
  <c r="J21" i="16"/>
  <c r="I21" i="16"/>
  <c r="H21" i="16"/>
  <c r="L21" i="16" s="1"/>
  <c r="K20" i="16"/>
  <c r="J20" i="16"/>
  <c r="I20" i="16"/>
  <c r="H20" i="16"/>
  <c r="L20" i="16" s="1"/>
  <c r="K19" i="16"/>
  <c r="J19" i="16"/>
  <c r="I19" i="16"/>
  <c r="H19" i="16"/>
  <c r="L19" i="16" s="1"/>
  <c r="K18" i="16"/>
  <c r="J18" i="16"/>
  <c r="I18" i="16"/>
  <c r="H18" i="16"/>
  <c r="L18" i="16" s="1"/>
  <c r="K17" i="16"/>
  <c r="J17" i="16"/>
  <c r="I17" i="16"/>
  <c r="H17" i="16"/>
  <c r="L17" i="16" s="1"/>
  <c r="K16" i="16"/>
  <c r="J16" i="16"/>
  <c r="I16" i="16"/>
  <c r="H16" i="16"/>
  <c r="L16" i="16" s="1"/>
  <c r="K15" i="16"/>
  <c r="J15" i="16"/>
  <c r="I15" i="16"/>
  <c r="H15" i="16"/>
  <c r="L15" i="16" s="1"/>
  <c r="K14" i="16"/>
  <c r="J14" i="16"/>
  <c r="I14" i="16"/>
  <c r="H14" i="16"/>
  <c r="L14" i="16" s="1"/>
  <c r="K13" i="16"/>
  <c r="J13" i="16"/>
  <c r="I13" i="16"/>
  <c r="H13" i="16"/>
  <c r="L13" i="16" s="1"/>
  <c r="K12" i="16"/>
  <c r="J12" i="16"/>
  <c r="I12" i="16"/>
  <c r="H12" i="16"/>
  <c r="L12" i="16" s="1"/>
  <c r="K11" i="16"/>
  <c r="J11" i="16"/>
  <c r="I11" i="16"/>
  <c r="H11" i="16"/>
  <c r="L11" i="16" s="1"/>
  <c r="K10" i="16"/>
  <c r="J10" i="16"/>
  <c r="I10" i="16"/>
  <c r="H10" i="16"/>
  <c r="L10" i="16" s="1"/>
  <c r="K9" i="16"/>
  <c r="J9" i="16"/>
  <c r="I9" i="16"/>
  <c r="H9" i="16"/>
  <c r="L9" i="16" s="1"/>
  <c r="K8" i="16"/>
  <c r="J8" i="16"/>
  <c r="I8" i="16"/>
  <c r="H8" i="16"/>
  <c r="L8" i="16" s="1"/>
  <c r="K7" i="16"/>
  <c r="J7" i="16"/>
  <c r="I7" i="16"/>
  <c r="H7" i="16"/>
  <c r="L7" i="16" s="1"/>
  <c r="K6" i="16"/>
  <c r="J6" i="16"/>
  <c r="I6" i="16"/>
  <c r="H6" i="16"/>
  <c r="L6" i="16" s="1"/>
  <c r="K5" i="16"/>
  <c r="J5" i="16"/>
  <c r="I5" i="16"/>
  <c r="H5" i="16"/>
  <c r="L5" i="16" s="1"/>
  <c r="K4" i="16"/>
  <c r="J4" i="16"/>
  <c r="I4" i="16"/>
  <c r="H4" i="16"/>
  <c r="L4" i="16" s="1"/>
  <c r="K3" i="16"/>
  <c r="J3" i="16"/>
  <c r="I3" i="16"/>
  <c r="H3" i="16"/>
  <c r="L3" i="16" s="1"/>
  <c r="K2" i="16"/>
  <c r="K33" i="16" s="1"/>
  <c r="J2" i="16"/>
  <c r="J33" i="16" s="1"/>
  <c r="I2" i="16"/>
  <c r="I33" i="16" s="1"/>
  <c r="H2" i="16"/>
  <c r="H33" i="16" s="1"/>
  <c r="L2" i="17" l="1"/>
  <c r="L32" i="17" s="1"/>
  <c r="L2" i="16"/>
  <c r="L33" i="16" s="1"/>
</calcChain>
</file>

<file path=xl/sharedStrings.xml><?xml version="1.0" encoding="utf-8"?>
<sst xmlns="http://schemas.openxmlformats.org/spreadsheetml/2006/main" count="1195" uniqueCount="50">
  <si>
    <t>Lot</t>
  </si>
  <si>
    <t>Date</t>
  </si>
  <si>
    <t>Ticket#</t>
  </si>
  <si>
    <t>Spot#</t>
  </si>
  <si>
    <t>By Date</t>
  </si>
  <si>
    <t>P</t>
  </si>
  <si>
    <t>VIP</t>
  </si>
  <si>
    <t>CAP</t>
  </si>
  <si>
    <t>RR Garage</t>
  </si>
  <si>
    <t>Month Total:</t>
  </si>
  <si>
    <t>TOTAL</t>
  </si>
  <si>
    <t>Rio City</t>
  </si>
  <si>
    <t>3 SOUTH</t>
  </si>
  <si>
    <t>3 WEST</t>
  </si>
  <si>
    <t>3 NORTH</t>
  </si>
  <si>
    <t>4M SOUTH</t>
  </si>
  <si>
    <t>JOES</t>
  </si>
  <si>
    <t>3M NORTH</t>
  </si>
  <si>
    <t>1 WEST</t>
  </si>
  <si>
    <t>3M SOUTH</t>
  </si>
  <si>
    <t>2 SOUTH</t>
  </si>
  <si>
    <t>1M NORTH</t>
  </si>
  <si>
    <t>2 NORTH</t>
  </si>
  <si>
    <t xml:space="preserve">2 SOUTH </t>
  </si>
  <si>
    <t>1 SOUTH</t>
  </si>
  <si>
    <t>2 EAST</t>
  </si>
  <si>
    <t>2M NORTH</t>
  </si>
  <si>
    <t>3 M NORTH</t>
  </si>
  <si>
    <t>4 SOUTH</t>
  </si>
  <si>
    <t>3 MNORTH</t>
  </si>
  <si>
    <t>4 EAST</t>
  </si>
  <si>
    <t>4 NORTH</t>
  </si>
  <si>
    <t xml:space="preserve">3 WEST </t>
  </si>
  <si>
    <t>2 MID SOUTH</t>
  </si>
  <si>
    <t>5 SOUTH</t>
  </si>
  <si>
    <t>5 WEST</t>
  </si>
  <si>
    <t>3 MIDDLE NORTH</t>
  </si>
  <si>
    <t>1 NORTH</t>
  </si>
  <si>
    <t>3 EAST</t>
  </si>
  <si>
    <t>LEVEL 3 SOUTH</t>
  </si>
  <si>
    <t xml:space="preserve">LEVEL 1 NORTH </t>
  </si>
  <si>
    <t>Tower Garage</t>
  </si>
  <si>
    <t>2NORTHEAST</t>
  </si>
  <si>
    <t>3SOUTHEAST</t>
  </si>
  <si>
    <t>RF Lot</t>
  </si>
  <si>
    <t>BIKE</t>
  </si>
  <si>
    <t>5SOUTH</t>
  </si>
  <si>
    <t>1SOUTHEAST</t>
  </si>
  <si>
    <t>2SOUTHEAST</t>
  </si>
  <si>
    <t>2SOUTHWEST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</si>
</sst>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32FA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0" xfId="0" applyNumberFormat="1"/>
    <xf numFmtId="0" fontId="1" fillId="0" borderId="2" xfId="0" applyFont="1" applyBorder="1"/>
    <xf numFmtId="164" fontId="1" fillId="0" borderId="2" xfId="0" applyNumberFormat="1" applyFont="1" applyBorder="1" applyAlignment="1">
      <alignment horizontal="center"/>
    </xf>
    <xf numFmtId="0" fontId="0" fillId="2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50021"/>
      <color rgb="FFFF6600"/>
      <color rgb="FFFF9933"/>
      <color rgb="FF8A3CC4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L263"/>
  <sheetViews>
    <sheetView tabSelected="1" topLeftCell="A6" workbookViewId="0"/>
  </sheetViews>
  <sheetFormatPr defaultRowHeight="15" x14ac:dyDescent="0.25"/>
  <cols>
    <col min="1" max="1" width="7.7109375" bestFit="1" customWidth="1"/>
    <col min="2" max="2" width="7.28515625" bestFit="1" customWidth="1"/>
    <col min="3" max="3" width="24.42578125" style="3" bestFit="1" customWidth="1"/>
    <col min="4" max="4" width="12.85546875" bestFit="1" customWidth="1"/>
    <col min="5" max="5" width="13.28515625" bestFit="1" customWidth="1"/>
    <col min="7" max="7" width="24.42578125" style="3" bestFit="1" customWidth="1"/>
    <col min="8" max="8" width="13.28515625" bestFit="1" customWidth="1"/>
    <col min="9" max="9" width="4" bestFit="1" customWidth="1"/>
    <col min="10" max="10" width="3" bestFit="1" customWidth="1"/>
    <col min="11" max="11" width="6.28515625" bestFit="1" customWidth="1"/>
    <col min="12" max="12" width="6.5703125" bestFit="1" customWidth="1"/>
  </cols>
  <sheetData>
    <row r="1" spans="1:12" x14ac:dyDescent="0.25">
      <c r="A1" s="6" t="s">
        <v>11</v>
      </c>
      <c r="B1" s="1" t="s">
        <v>2</v>
      </c>
      <c r="C1" s="2" t="s">
        <v>1</v>
      </c>
      <c r="D1" s="1" t="s">
        <v>3</v>
      </c>
      <c r="E1" s="1" t="s">
        <v>0</v>
      </c>
      <c r="F1" s="1"/>
      <c r="G1" s="2" t="s">
        <v>4</v>
      </c>
      <c r="H1" s="1" t="s">
        <v>41</v>
      </c>
      <c r="I1" s="1" t="s">
        <v>6</v>
      </c>
      <c r="J1" s="1" t="s">
        <v>5</v>
      </c>
      <c r="K1" s="1" t="s">
        <v>44</v>
      </c>
      <c r="L1" s="1" t="s">
        <v>10</v>
      </c>
    </row>
    <row r="2" spans="1:12" x14ac:dyDescent="0.25">
      <c r="A2" t="s">
        <v>11</v>
      </c>
      <c r="B2">
        <v>1207</v>
      </c>
      <c r="C2" s="3">
        <v>42551</v>
      </c>
      <c r="D2" t="s">
        <v>17</v>
      </c>
      <c r="E2" t="s">
        <v>41</v>
      </c>
      <c r="G2" s="3">
        <v>42522</v>
      </c>
      <c r="H2">
        <f>COUNTIFS($E:$E,"Tower Garage",$C:$C,$G2)</f>
        <v>3</v>
      </c>
      <c r="I2">
        <f>COUNTIFS($E:$E,"VIP",$C:$C,$G2)</f>
        <v>0</v>
      </c>
      <c r="J2">
        <f>COUNTIFS($E:$E,"P",$C:$C,$G2)</f>
        <v>0</v>
      </c>
      <c r="K2">
        <f>COUNTIFS($E:$E,"RF Lot",$C:$C,$G2)</f>
        <v>0</v>
      </c>
      <c r="L2">
        <f>SUM(H2:K2)</f>
        <v>3</v>
      </c>
    </row>
    <row r="3" spans="1:12" x14ac:dyDescent="0.25">
      <c r="A3" t="s">
        <v>11</v>
      </c>
      <c r="B3">
        <v>1205</v>
      </c>
      <c r="C3" s="3">
        <v>42551</v>
      </c>
      <c r="E3" t="s">
        <v>6</v>
      </c>
      <c r="G3" s="3">
        <v>42523</v>
      </c>
      <c r="H3">
        <f>COUNTIFS($E:$E,"Tower Garage",$C:$C,$G3)</f>
        <v>3</v>
      </c>
      <c r="I3">
        <f>COUNTIFS($E:$E,"VIP",$C:$C,$G3)</f>
        <v>3</v>
      </c>
      <c r="J3">
        <f>COUNTIFS($E:$E,"P",$C:$C,$G3)</f>
        <v>0</v>
      </c>
      <c r="K3">
        <f>COUNTIFS($E:$E,"RF Lot",$C:$C,$G3)</f>
        <v>0</v>
      </c>
      <c r="L3">
        <f>SUM(H3:K3)</f>
        <v>6</v>
      </c>
    </row>
    <row r="4" spans="1:12" x14ac:dyDescent="0.25">
      <c r="A4" t="s">
        <v>11</v>
      </c>
      <c r="B4">
        <v>1204</v>
      </c>
      <c r="C4" s="3">
        <v>42551</v>
      </c>
      <c r="E4" t="s">
        <v>6</v>
      </c>
      <c r="G4" s="3">
        <v>42524</v>
      </c>
      <c r="H4">
        <f>COUNTIFS($E:$E,"Tower Garage",$C:$C,$G4)</f>
        <v>1</v>
      </c>
      <c r="I4">
        <f>COUNTIFS($E:$E,"VIP",$C:$C,$G4)</f>
        <v>8</v>
      </c>
      <c r="J4">
        <f>COUNTIFS($E:$E,"P",$C:$C,$G4)</f>
        <v>0</v>
      </c>
      <c r="K4">
        <f>COUNTIFS($E:$E,"RF Lot",$C:$C,$G4)</f>
        <v>0</v>
      </c>
      <c r="L4">
        <f>SUM(H4:K4)</f>
        <v>9</v>
      </c>
    </row>
    <row r="5" spans="1:12" x14ac:dyDescent="0.25">
      <c r="A5" t="s">
        <v>11</v>
      </c>
      <c r="B5">
        <v>1201</v>
      </c>
      <c r="C5" s="3">
        <v>42551</v>
      </c>
      <c r="E5" t="s">
        <v>6</v>
      </c>
      <c r="G5" s="3">
        <v>42525</v>
      </c>
      <c r="H5">
        <f>COUNTIFS($E:$E,"Tower Garage",$C:$C,$G5)</f>
        <v>0</v>
      </c>
      <c r="I5">
        <f>COUNTIFS($E:$E,"VIP",$C:$C,$G5)</f>
        <v>1</v>
      </c>
      <c r="J5">
        <f>COUNTIFS($E:$E,"P",$C:$C,$G5)</f>
        <v>12</v>
      </c>
      <c r="K5">
        <f>COUNTIFS($E:$E,"RF Lot",$C:$C,$G5)</f>
        <v>0</v>
      </c>
      <c r="L5">
        <f>SUM(H5:K5)</f>
        <v>13</v>
      </c>
    </row>
    <row r="6" spans="1:12" x14ac:dyDescent="0.25">
      <c r="A6" t="s">
        <v>11</v>
      </c>
      <c r="B6">
        <v>1200</v>
      </c>
      <c r="C6" s="3">
        <v>42551</v>
      </c>
      <c r="D6" t="s">
        <v>31</v>
      </c>
      <c r="E6" t="s">
        <v>41</v>
      </c>
      <c r="G6" s="3">
        <v>42526</v>
      </c>
      <c r="H6">
        <f>COUNTIFS($E:$E,"Tower Garage",$C:$C,$G6)</f>
        <v>4</v>
      </c>
      <c r="I6">
        <f>COUNTIFS($E:$E,"VIP",$C:$C,$G6)</f>
        <v>12</v>
      </c>
      <c r="J6">
        <f>COUNTIFS($E:$E,"P",$C:$C,$G6)</f>
        <v>0</v>
      </c>
      <c r="K6">
        <f>COUNTIFS($E:$E,"RF Lot",$C:$C,$G6)</f>
        <v>0</v>
      </c>
      <c r="L6">
        <f>SUM(H6:K6)</f>
        <v>16</v>
      </c>
    </row>
    <row r="7" spans="1:12" x14ac:dyDescent="0.25">
      <c r="A7" t="s">
        <v>11</v>
      </c>
      <c r="B7">
        <v>1201</v>
      </c>
      <c r="C7" s="3">
        <v>42550</v>
      </c>
      <c r="E7" t="s">
        <v>6</v>
      </c>
      <c r="G7" s="3">
        <v>42527</v>
      </c>
      <c r="H7">
        <f>COUNTIFS($E:$E,"Tower Garage",$C:$C,$G7)</f>
        <v>0</v>
      </c>
      <c r="I7">
        <f>COUNTIFS($E:$E,"VIP",$C:$C,$G7)</f>
        <v>0</v>
      </c>
      <c r="J7">
        <f>COUNTIFS($E:$E,"P",$C:$C,$G7)</f>
        <v>0</v>
      </c>
      <c r="K7">
        <f>COUNTIFS($E:$E,"RF Lot",$C:$C,$G7)</f>
        <v>0</v>
      </c>
      <c r="L7">
        <f>SUM(H7:K7)</f>
        <v>0</v>
      </c>
    </row>
    <row r="8" spans="1:12" x14ac:dyDescent="0.25">
      <c r="A8" t="s">
        <v>11</v>
      </c>
      <c r="B8">
        <v>1204</v>
      </c>
      <c r="C8" s="3">
        <v>42550</v>
      </c>
      <c r="E8" t="s">
        <v>6</v>
      </c>
      <c r="G8" s="3">
        <v>42528</v>
      </c>
      <c r="H8">
        <f>COUNTIFS($E:$E,"Tower Garage",$C:$C,$G8)</f>
        <v>0</v>
      </c>
      <c r="I8">
        <f>COUNTIFS($E:$E,"VIP",$C:$C,$G8)</f>
        <v>0</v>
      </c>
      <c r="J8">
        <f>COUNTIFS($E:$E,"P",$C:$C,$G8)</f>
        <v>0</v>
      </c>
      <c r="K8">
        <f>COUNTIFS($E:$E,"RF Lot",$C:$C,$G8)</f>
        <v>0</v>
      </c>
      <c r="L8">
        <f>SUM(H8:K8)</f>
        <v>0</v>
      </c>
    </row>
    <row r="9" spans="1:12" x14ac:dyDescent="0.25">
      <c r="A9" t="s">
        <v>11</v>
      </c>
      <c r="B9">
        <v>1207</v>
      </c>
      <c r="C9" s="3">
        <v>42550</v>
      </c>
      <c r="E9" t="s">
        <v>6</v>
      </c>
      <c r="G9" s="3">
        <v>42529</v>
      </c>
      <c r="H9">
        <f>COUNTIFS($E:$E,"Tower Garage",$C:$C,$G9)</f>
        <v>3</v>
      </c>
      <c r="I9">
        <f>COUNTIFS($E:$E,"VIP",$C:$C,$G9)</f>
        <v>4</v>
      </c>
      <c r="J9">
        <f>COUNTIFS($E:$E,"P",$C:$C,$G9)</f>
        <v>0</v>
      </c>
      <c r="K9">
        <f>COUNTIFS($E:$E,"RF Lot",$C:$C,$G9)</f>
        <v>0</v>
      </c>
      <c r="L9">
        <f>SUM(H9:K9)</f>
        <v>7</v>
      </c>
    </row>
    <row r="10" spans="1:12" x14ac:dyDescent="0.25">
      <c r="A10" t="s">
        <v>11</v>
      </c>
      <c r="B10">
        <v>1205</v>
      </c>
      <c r="C10" s="3">
        <v>42550</v>
      </c>
      <c r="D10" t="s">
        <v>42</v>
      </c>
      <c r="E10" t="s">
        <v>41</v>
      </c>
      <c r="G10" s="3">
        <v>42530</v>
      </c>
      <c r="H10">
        <f>COUNTIFS($E:$E,"Tower Garage",$C:$C,$G10)</f>
        <v>3</v>
      </c>
      <c r="I10">
        <f>COUNTIFS($E:$E,"VIP",$C:$C,$G10)</f>
        <v>9</v>
      </c>
      <c r="J10">
        <f>COUNTIFS($E:$E,"P",$C:$C,$G10)</f>
        <v>0</v>
      </c>
      <c r="K10">
        <f>COUNTIFS($E:$E,"RF Lot",$C:$C,$G10)</f>
        <v>0</v>
      </c>
      <c r="L10">
        <f>SUM(H10:K10)</f>
        <v>12</v>
      </c>
    </row>
    <row r="11" spans="1:12" x14ac:dyDescent="0.25">
      <c r="A11" t="s">
        <v>11</v>
      </c>
      <c r="B11">
        <v>1204</v>
      </c>
      <c r="C11" s="3">
        <v>42550</v>
      </c>
      <c r="E11" t="s">
        <v>6</v>
      </c>
      <c r="G11" s="3">
        <v>42531</v>
      </c>
      <c r="H11">
        <f>COUNTIFS($E:$E,"Tower Garage",$C:$C,$G11)</f>
        <v>3</v>
      </c>
      <c r="I11">
        <f>COUNTIFS($E:$E,"VIP",$C:$C,$G11)</f>
        <v>8</v>
      </c>
      <c r="J11">
        <f>COUNTIFS($E:$E,"P",$C:$C,$G11)</f>
        <v>1</v>
      </c>
      <c r="K11">
        <f>COUNTIFS($E:$E,"RF Lot",$C:$C,$G11)</f>
        <v>0</v>
      </c>
      <c r="L11">
        <f>SUM(H11:K11)</f>
        <v>12</v>
      </c>
    </row>
    <row r="12" spans="1:12" x14ac:dyDescent="0.25">
      <c r="A12" t="s">
        <v>11</v>
      </c>
      <c r="B12">
        <v>1201</v>
      </c>
      <c r="C12" s="3">
        <v>42550</v>
      </c>
      <c r="D12" t="s">
        <v>43</v>
      </c>
      <c r="E12" t="s">
        <v>41</v>
      </c>
      <c r="G12" s="3">
        <v>42532</v>
      </c>
      <c r="H12">
        <f>COUNTIFS($E:$E,"Tower Garage",$C:$C,$G12)</f>
        <v>4</v>
      </c>
      <c r="I12">
        <f>COUNTIFS($E:$E,"VIP",$C:$C,$G12)</f>
        <v>18</v>
      </c>
      <c r="J12">
        <f>COUNTIFS($E:$E,"P",$C:$C,$G12)</f>
        <v>3</v>
      </c>
      <c r="K12">
        <f>COUNTIFS($E:$E,"RF Lot",$C:$C,$G12)</f>
        <v>7</v>
      </c>
      <c r="L12">
        <f>SUM(H12:K12)</f>
        <v>32</v>
      </c>
    </row>
    <row r="13" spans="1:12" x14ac:dyDescent="0.25">
      <c r="A13" t="s">
        <v>11</v>
      </c>
      <c r="B13">
        <v>1205</v>
      </c>
      <c r="C13" s="3">
        <v>42550</v>
      </c>
      <c r="E13" t="s">
        <v>6</v>
      </c>
      <c r="G13" s="3">
        <v>42533</v>
      </c>
      <c r="H13">
        <f>COUNTIFS($E:$E,"Tower Garage",$C:$C,$G13)</f>
        <v>9</v>
      </c>
      <c r="I13">
        <f>COUNTIFS($E:$E,"VIP",$C:$C,$G13)</f>
        <v>14</v>
      </c>
      <c r="J13">
        <f>COUNTIFS($E:$E,"P",$C:$C,$G13)</f>
        <v>0</v>
      </c>
      <c r="K13">
        <f>COUNTIFS($E:$E,"RF Lot",$C:$C,$G13)</f>
        <v>0</v>
      </c>
      <c r="L13">
        <f>SUM(H13:K13)</f>
        <v>23</v>
      </c>
    </row>
    <row r="14" spans="1:12" x14ac:dyDescent="0.25">
      <c r="A14" t="s">
        <v>11</v>
      </c>
      <c r="B14">
        <v>1204</v>
      </c>
      <c r="C14" s="3">
        <v>42550</v>
      </c>
      <c r="E14" t="s">
        <v>6</v>
      </c>
      <c r="G14" s="3">
        <v>42534</v>
      </c>
      <c r="H14">
        <f>COUNTIFS($E:$E,"Tower Garage",$C:$C,$G14)</f>
        <v>0</v>
      </c>
      <c r="I14">
        <f>COUNTIFS($E:$E,"VIP",$C:$C,$G14)</f>
        <v>0</v>
      </c>
      <c r="J14">
        <f>COUNTIFS($E:$E,"P",$C:$C,$G14)</f>
        <v>0</v>
      </c>
      <c r="K14">
        <f>COUNTIFS($E:$E,"RF Lot",$C:$C,$G14)</f>
        <v>0</v>
      </c>
      <c r="L14">
        <f>SUM(H14:K14)</f>
        <v>0</v>
      </c>
    </row>
    <row r="15" spans="1:12" x14ac:dyDescent="0.25">
      <c r="A15" t="s">
        <v>11</v>
      </c>
      <c r="B15">
        <v>1201</v>
      </c>
      <c r="C15" s="3">
        <v>42550</v>
      </c>
      <c r="E15" t="s">
        <v>6</v>
      </c>
      <c r="G15" s="3">
        <v>42535</v>
      </c>
      <c r="H15">
        <f>COUNTIFS($E:$E,"Tower Garage",$C:$C,$G15)</f>
        <v>0</v>
      </c>
      <c r="I15">
        <f>COUNTIFS($E:$E,"VIP",$C:$C,$G15)</f>
        <v>0</v>
      </c>
      <c r="J15">
        <f>COUNTIFS($E:$E,"P",$C:$C,$G15)</f>
        <v>0</v>
      </c>
      <c r="K15">
        <f>COUNTIFS($E:$E,"RF Lot",$C:$C,$G15)</f>
        <v>0</v>
      </c>
      <c r="L15">
        <f>SUM(H15:K15)</f>
        <v>0</v>
      </c>
    </row>
    <row r="16" spans="1:12" x14ac:dyDescent="0.25">
      <c r="A16" t="s">
        <v>11</v>
      </c>
      <c r="B16">
        <v>1207</v>
      </c>
      <c r="C16" s="3">
        <v>42547</v>
      </c>
      <c r="E16" t="s">
        <v>41</v>
      </c>
      <c r="G16" s="3">
        <v>42536</v>
      </c>
      <c r="H16">
        <f>COUNTIFS($E:$E,"Tower Garage",$C:$C,$G16)</f>
        <v>1</v>
      </c>
      <c r="I16">
        <f>COUNTIFS($E:$E,"VIP",$C:$C,$G16)</f>
        <v>1</v>
      </c>
      <c r="J16">
        <f>COUNTIFS($E:$E,"P",$C:$C,$G16)</f>
        <v>0</v>
      </c>
      <c r="K16">
        <f>COUNTIFS($E:$E,"RF Lot",$C:$C,$G16)</f>
        <v>0</v>
      </c>
      <c r="L16">
        <f>SUM(H16:K16)</f>
        <v>2</v>
      </c>
    </row>
    <row r="17" spans="1:12" x14ac:dyDescent="0.25">
      <c r="A17" t="s">
        <v>11</v>
      </c>
      <c r="B17">
        <v>1204</v>
      </c>
      <c r="C17" s="3">
        <v>42547</v>
      </c>
      <c r="E17" t="s">
        <v>5</v>
      </c>
      <c r="G17" s="3">
        <v>42537</v>
      </c>
      <c r="H17">
        <f>COUNTIFS($E:$E,"Tower Garage",$C:$C,$G17)</f>
        <v>6</v>
      </c>
      <c r="I17">
        <f>COUNTIFS($E:$E,"VIP",$C:$C,$G17)</f>
        <v>4</v>
      </c>
      <c r="J17">
        <f>COUNTIFS($E:$E,"P",$C:$C,$G17)</f>
        <v>0</v>
      </c>
      <c r="K17">
        <f>COUNTIFS($E:$E,"RF Lot",$C:$C,$G17)</f>
        <v>0</v>
      </c>
      <c r="L17">
        <f>SUM(H17:K17)</f>
        <v>10</v>
      </c>
    </row>
    <row r="18" spans="1:12" x14ac:dyDescent="0.25">
      <c r="A18" t="s">
        <v>11</v>
      </c>
      <c r="B18">
        <v>1201</v>
      </c>
      <c r="C18" s="3">
        <v>42547</v>
      </c>
      <c r="E18" t="s">
        <v>5</v>
      </c>
      <c r="G18" s="3">
        <v>42538</v>
      </c>
      <c r="H18">
        <f>COUNTIFS($E:$E,"Tower Garage",$C:$C,$G18)</f>
        <v>1</v>
      </c>
      <c r="I18">
        <f>COUNTIFS($E:$E,"VIP",$C:$C,$G18)</f>
        <v>6</v>
      </c>
      <c r="J18">
        <f>COUNTIFS($E:$E,"P",$C:$C,$G18)</f>
        <v>0</v>
      </c>
      <c r="K18">
        <f>COUNTIFS($E:$E,"RF Lot",$C:$C,$G18)</f>
        <v>0</v>
      </c>
      <c r="L18">
        <f>SUM(H18:K18)</f>
        <v>7</v>
      </c>
    </row>
    <row r="19" spans="1:12" x14ac:dyDescent="0.25">
      <c r="A19" t="s">
        <v>11</v>
      </c>
      <c r="B19">
        <v>1205</v>
      </c>
      <c r="C19" s="3">
        <v>42547</v>
      </c>
      <c r="E19" t="s">
        <v>5</v>
      </c>
      <c r="G19" s="3">
        <v>42539</v>
      </c>
      <c r="H19">
        <f>COUNTIFS($E:$E,"Tower Garage",$C:$C,$G19)</f>
        <v>5</v>
      </c>
      <c r="I19">
        <f>COUNTIFS($E:$E,"VIP",$C:$C,$G19)</f>
        <v>8</v>
      </c>
      <c r="J19">
        <f>COUNTIFS($E:$E,"P",$C:$C,$G19)</f>
        <v>6</v>
      </c>
      <c r="K19">
        <f>COUNTIFS($E:$E,"RF Lot",$C:$C,$G19)</f>
        <v>0</v>
      </c>
      <c r="L19">
        <f>SUM(H19:K19)</f>
        <v>19</v>
      </c>
    </row>
    <row r="20" spans="1:12" x14ac:dyDescent="0.25">
      <c r="A20" t="s">
        <v>11</v>
      </c>
      <c r="B20">
        <v>1221</v>
      </c>
      <c r="C20" s="3">
        <v>42547</v>
      </c>
      <c r="E20" t="s">
        <v>6</v>
      </c>
      <c r="G20" s="3">
        <v>42540</v>
      </c>
      <c r="H20">
        <f>COUNTIFS($E:$E,"Tower Garage",$C:$C,$G20)</f>
        <v>3</v>
      </c>
      <c r="I20">
        <f>COUNTIFS($E:$E,"VIP",$C:$C,$G20)</f>
        <v>10</v>
      </c>
      <c r="J20">
        <f>COUNTIFS($E:$E,"P",$C:$C,$G20)</f>
        <v>3</v>
      </c>
      <c r="K20">
        <f>COUNTIFS($E:$E,"RF Lot",$C:$C,$G20)</f>
        <v>0</v>
      </c>
      <c r="L20">
        <f>SUM(H20:K20)</f>
        <v>16</v>
      </c>
    </row>
    <row r="21" spans="1:12" x14ac:dyDescent="0.25">
      <c r="A21" t="s">
        <v>11</v>
      </c>
      <c r="B21">
        <v>1220</v>
      </c>
      <c r="C21" s="3">
        <v>42547</v>
      </c>
      <c r="E21" t="s">
        <v>6</v>
      </c>
      <c r="G21" s="3">
        <v>42541</v>
      </c>
      <c r="H21">
        <f>COUNTIFS($E:$E,"Tower Garage",$C:$C,$G21)</f>
        <v>0</v>
      </c>
      <c r="I21">
        <f>COUNTIFS($E:$E,"VIP",$C:$C,$G21)</f>
        <v>0</v>
      </c>
      <c r="J21">
        <f>COUNTIFS($E:$E,"P",$C:$C,$G21)</f>
        <v>0</v>
      </c>
      <c r="K21">
        <f>COUNTIFS($E:$E,"RF Lot",$C:$C,$G21)</f>
        <v>0</v>
      </c>
      <c r="L21">
        <f>SUM(H21:K21)</f>
        <v>0</v>
      </c>
    </row>
    <row r="22" spans="1:12" x14ac:dyDescent="0.25">
      <c r="A22" t="s">
        <v>11</v>
      </c>
      <c r="B22">
        <v>1219</v>
      </c>
      <c r="C22" s="3">
        <v>42547</v>
      </c>
      <c r="D22" t="s">
        <v>12</v>
      </c>
      <c r="E22" t="s">
        <v>41</v>
      </c>
      <c r="G22" s="3">
        <v>42542</v>
      </c>
      <c r="H22">
        <f>COUNTIFS($E:$E,"Tower Garage",$C:$C,$G22)</f>
        <v>0</v>
      </c>
      <c r="I22">
        <f>COUNTIFS($E:$E,"VIP",$C:$C,$G22)</f>
        <v>0</v>
      </c>
      <c r="J22">
        <f>COUNTIFS($E:$E,"P",$C:$C,$G22)</f>
        <v>0</v>
      </c>
      <c r="K22">
        <f>COUNTIFS($E:$E,"RF Lot",$C:$C,$G22)</f>
        <v>0</v>
      </c>
      <c r="L22">
        <f>SUM(H22:K22)</f>
        <v>0</v>
      </c>
    </row>
    <row r="23" spans="1:12" x14ac:dyDescent="0.25">
      <c r="A23" t="s">
        <v>11</v>
      </c>
      <c r="B23">
        <v>1218</v>
      </c>
      <c r="C23" s="3">
        <v>42547</v>
      </c>
      <c r="D23" t="s">
        <v>12</v>
      </c>
      <c r="E23" t="s">
        <v>41</v>
      </c>
      <c r="G23" s="3">
        <v>42543</v>
      </c>
      <c r="H23">
        <f>COUNTIFS($E:$E,"Tower Garage",$C:$C,$G23)</f>
        <v>5</v>
      </c>
      <c r="I23">
        <f>COUNTIFS($E:$E,"VIP",$C:$C,$G23)</f>
        <v>5</v>
      </c>
      <c r="J23">
        <f>COUNTIFS($E:$E,"P",$C:$C,$G23)</f>
        <v>0</v>
      </c>
      <c r="K23">
        <f>COUNTIFS($E:$E,"RF Lot",$C:$C,$G23)</f>
        <v>0</v>
      </c>
      <c r="L23">
        <f>SUM(H23:K23)</f>
        <v>10</v>
      </c>
    </row>
    <row r="24" spans="1:12" x14ac:dyDescent="0.25">
      <c r="A24" t="s">
        <v>11</v>
      </c>
      <c r="B24">
        <v>1217</v>
      </c>
      <c r="C24" s="3">
        <v>42547</v>
      </c>
      <c r="E24" t="s">
        <v>6</v>
      </c>
      <c r="G24" s="3">
        <v>42544</v>
      </c>
      <c r="H24">
        <f>COUNTIFS($E:$E,"Tower Garage",$C:$C,$G24)</f>
        <v>0</v>
      </c>
      <c r="I24">
        <f>COUNTIFS($E:$E,"VIP",$C:$C,$G24)</f>
        <v>0</v>
      </c>
      <c r="J24">
        <f>COUNTIFS($E:$E,"P",$C:$C,$G24)</f>
        <v>6</v>
      </c>
      <c r="K24">
        <f>COUNTIFS($E:$E,"RF Lot",$C:$C,$G24)</f>
        <v>0</v>
      </c>
      <c r="L24">
        <f>SUM(H24:K24)</f>
        <v>6</v>
      </c>
    </row>
    <row r="25" spans="1:12" x14ac:dyDescent="0.25">
      <c r="A25" t="s">
        <v>11</v>
      </c>
      <c r="B25">
        <v>1216</v>
      </c>
      <c r="C25" s="3">
        <v>42547</v>
      </c>
      <c r="E25" t="s">
        <v>6</v>
      </c>
      <c r="G25" s="3">
        <v>42545</v>
      </c>
      <c r="H25">
        <f>COUNTIFS($E:$E,"Tower Garage",$C:$C,$G25)</f>
        <v>1</v>
      </c>
      <c r="I25">
        <f>COUNTIFS($E:$E,"VIP",$C:$C,$G25)</f>
        <v>3</v>
      </c>
      <c r="J25">
        <f>COUNTIFS($E:$E,"P",$C:$C,$G25)</f>
        <v>0</v>
      </c>
      <c r="K25">
        <f>COUNTIFS($E:$E,"RF Lot",$C:$C,$G25)</f>
        <v>0</v>
      </c>
      <c r="L25">
        <f>SUM(H25:K25)</f>
        <v>4</v>
      </c>
    </row>
    <row r="26" spans="1:12" x14ac:dyDescent="0.25">
      <c r="A26" t="s">
        <v>11</v>
      </c>
      <c r="B26">
        <v>1215</v>
      </c>
      <c r="C26" s="3">
        <v>42547</v>
      </c>
      <c r="D26" t="s">
        <v>12</v>
      </c>
      <c r="E26" t="s">
        <v>41</v>
      </c>
      <c r="G26" s="3">
        <v>42546</v>
      </c>
      <c r="H26">
        <f>COUNTIFS($E:$E,"Tower Garage",$C:$C,$G26)</f>
        <v>8</v>
      </c>
      <c r="I26">
        <f>COUNTIFS($E:$E,"VIP",$C:$C,$G26)</f>
        <v>11</v>
      </c>
      <c r="J26">
        <f>COUNTIFS($E:$E,"P",$C:$C,$G26)</f>
        <v>0</v>
      </c>
      <c r="K26">
        <f>COUNTIFS($E:$E,"RF Lot",$C:$C,$G26)</f>
        <v>0</v>
      </c>
      <c r="L26">
        <f>SUM(H26:K26)</f>
        <v>19</v>
      </c>
    </row>
    <row r="27" spans="1:12" x14ac:dyDescent="0.25">
      <c r="A27" t="s">
        <v>11</v>
      </c>
      <c r="B27">
        <v>1214</v>
      </c>
      <c r="C27" s="3">
        <v>42547</v>
      </c>
      <c r="D27" t="s">
        <v>17</v>
      </c>
      <c r="E27" t="s">
        <v>41</v>
      </c>
      <c r="G27" s="3">
        <v>42547</v>
      </c>
      <c r="H27">
        <f>COUNTIFS($E:$E,"Tower Garage",$C:$C,$G27)</f>
        <v>10</v>
      </c>
      <c r="I27">
        <f>COUNTIFS($E:$E,"VIP",$C:$C,$G27)</f>
        <v>9</v>
      </c>
      <c r="J27">
        <f>COUNTIFS($E:$E,"P",$C:$C,$G27)</f>
        <v>3</v>
      </c>
      <c r="K27">
        <f>COUNTIFS($E:$E,"RF Lot",$C:$C,$G27)</f>
        <v>0</v>
      </c>
      <c r="L27">
        <f>SUM(H27:K27)</f>
        <v>22</v>
      </c>
    </row>
    <row r="28" spans="1:12" x14ac:dyDescent="0.25">
      <c r="A28" t="s">
        <v>11</v>
      </c>
      <c r="B28">
        <v>1213</v>
      </c>
      <c r="C28" s="3">
        <v>42547</v>
      </c>
      <c r="E28" t="s">
        <v>6</v>
      </c>
      <c r="G28" s="3">
        <v>42548</v>
      </c>
      <c r="H28">
        <f>COUNTIFS($E:$E,"Tower Garage",$C:$C,$G28)</f>
        <v>0</v>
      </c>
      <c r="I28">
        <f>COUNTIFS($E:$E,"VIP",$C:$C,$G28)</f>
        <v>0</v>
      </c>
      <c r="J28">
        <f>COUNTIFS($E:$E,"P",$C:$C,$G28)</f>
        <v>0</v>
      </c>
      <c r="K28">
        <f>COUNTIFS($E:$E,"RF Lot",$C:$C,$G28)</f>
        <v>0</v>
      </c>
      <c r="L28">
        <f>SUM(H28:K28)</f>
        <v>0</v>
      </c>
    </row>
    <row r="29" spans="1:12" x14ac:dyDescent="0.25">
      <c r="A29" t="s">
        <v>11</v>
      </c>
      <c r="B29">
        <v>1212</v>
      </c>
      <c r="C29" s="3">
        <v>42547</v>
      </c>
      <c r="E29" t="s">
        <v>6</v>
      </c>
      <c r="G29" s="3">
        <v>42549</v>
      </c>
      <c r="H29">
        <f>COUNTIFS($E:$E,"Tower Garage",$C:$C,$G29)</f>
        <v>0</v>
      </c>
      <c r="I29">
        <f>COUNTIFS($E:$E,"VIP",$C:$C,$G29)</f>
        <v>0</v>
      </c>
      <c r="J29">
        <f>COUNTIFS($E:$E,"P",$C:$C,$G29)</f>
        <v>0</v>
      </c>
      <c r="K29">
        <f>COUNTIFS($E:$E,"RF Lot",$C:$C,$G29)</f>
        <v>0</v>
      </c>
      <c r="L29">
        <f>SUM(H29:K29)</f>
        <v>0</v>
      </c>
    </row>
    <row r="30" spans="1:12" x14ac:dyDescent="0.25">
      <c r="A30" t="s">
        <v>11</v>
      </c>
      <c r="B30">
        <v>1211</v>
      </c>
      <c r="C30" s="3">
        <v>42547</v>
      </c>
      <c r="E30" t="s">
        <v>6</v>
      </c>
      <c r="G30" s="3">
        <v>42550</v>
      </c>
      <c r="H30">
        <f>COUNTIFS($E:$E,"Tower Garage",$C:$C,$G30)</f>
        <v>2</v>
      </c>
      <c r="I30">
        <f>COUNTIFS($E:$E,"VIP",$C:$C,$G30)</f>
        <v>7</v>
      </c>
      <c r="J30">
        <f>COUNTIFS($E:$E,"P",$C:$C,$G30)</f>
        <v>0</v>
      </c>
      <c r="K30">
        <f>COUNTIFS($E:$E,"RF Lot",$C:$C,$G30)</f>
        <v>0</v>
      </c>
      <c r="L30">
        <f>SUM(H30:K30)</f>
        <v>9</v>
      </c>
    </row>
    <row r="31" spans="1:12" x14ac:dyDescent="0.25">
      <c r="A31" t="s">
        <v>11</v>
      </c>
      <c r="B31">
        <v>1210</v>
      </c>
      <c r="C31" s="3">
        <v>42547</v>
      </c>
      <c r="D31" t="s">
        <v>13</v>
      </c>
      <c r="E31" t="s">
        <v>41</v>
      </c>
      <c r="G31" s="3">
        <v>42551</v>
      </c>
      <c r="H31">
        <f>COUNTIFS($E:$E,"Tower Garage",$C:$C,$G31)</f>
        <v>2</v>
      </c>
      <c r="I31">
        <f>COUNTIFS($E:$E,"VIP",$C:$C,$G31)</f>
        <v>3</v>
      </c>
      <c r="J31">
        <f>COUNTIFS($E:$E,"P",$C:$C,$G31)</f>
        <v>0</v>
      </c>
      <c r="K31">
        <f>COUNTIFS($E:$E,"RF Lot",$C:$C,$G31)</f>
        <v>0</v>
      </c>
      <c r="L31">
        <f>SUM(H31:K31)</f>
        <v>5</v>
      </c>
    </row>
    <row r="32" spans="1:12" x14ac:dyDescent="0.25">
      <c r="A32" t="s">
        <v>11</v>
      </c>
      <c r="B32">
        <v>1209</v>
      </c>
      <c r="C32" s="3">
        <v>42547</v>
      </c>
      <c r="E32" t="s">
        <v>6</v>
      </c>
      <c r="G32" s="5" t="s">
        <v>9</v>
      </c>
      <c r="H32" s="4">
        <f>SUM(H2:H31)</f>
        <v>77</v>
      </c>
      <c r="I32" s="4">
        <f>SUM(I2:I31)</f>
        <v>144</v>
      </c>
      <c r="J32" s="4">
        <f>SUM(J2:J31)</f>
        <v>34</v>
      </c>
      <c r="K32" s="4">
        <f>SUM(K2:K31)</f>
        <v>7</v>
      </c>
      <c r="L32" s="4">
        <f>SUM(L2:L31)</f>
        <v>262</v>
      </c>
    </row>
    <row r="33" spans="1:5" x14ac:dyDescent="0.25">
      <c r="A33" t="s">
        <v>11</v>
      </c>
      <c r="B33">
        <v>1208</v>
      </c>
      <c r="C33" s="3">
        <v>42547</v>
      </c>
      <c r="D33" t="s">
        <v>14</v>
      </c>
      <c r="E33" t="s">
        <v>41</v>
      </c>
    </row>
    <row r="34" spans="1:5" x14ac:dyDescent="0.25">
      <c r="A34" t="s">
        <v>11</v>
      </c>
      <c r="B34">
        <v>1207</v>
      </c>
      <c r="C34" s="3">
        <v>42547</v>
      </c>
      <c r="D34" t="s">
        <v>31</v>
      </c>
      <c r="E34" t="s">
        <v>41</v>
      </c>
    </row>
    <row r="35" spans="1:5" x14ac:dyDescent="0.25">
      <c r="A35" t="s">
        <v>11</v>
      </c>
      <c r="B35">
        <v>1205</v>
      </c>
      <c r="C35" s="3">
        <v>42547</v>
      </c>
      <c r="D35" t="s">
        <v>17</v>
      </c>
      <c r="E35" t="s">
        <v>41</v>
      </c>
    </row>
    <row r="36" spans="1:5" x14ac:dyDescent="0.25">
      <c r="A36" t="s">
        <v>11</v>
      </c>
      <c r="B36">
        <v>1204</v>
      </c>
      <c r="C36" s="3">
        <v>42547</v>
      </c>
      <c r="D36" t="s">
        <v>12</v>
      </c>
      <c r="E36" t="s">
        <v>41</v>
      </c>
    </row>
    <row r="37" spans="1:5" x14ac:dyDescent="0.25">
      <c r="A37" t="s">
        <v>11</v>
      </c>
      <c r="B37">
        <v>1201</v>
      </c>
      <c r="C37" s="3">
        <v>42547</v>
      </c>
      <c r="E37" t="s">
        <v>6</v>
      </c>
    </row>
    <row r="38" spans="1:5" x14ac:dyDescent="0.25">
      <c r="A38" t="s">
        <v>11</v>
      </c>
      <c r="B38">
        <v>1204</v>
      </c>
      <c r="C38" s="3">
        <v>42546</v>
      </c>
      <c r="E38" t="s">
        <v>41</v>
      </c>
    </row>
    <row r="39" spans="1:5" x14ac:dyDescent="0.25">
      <c r="A39" t="s">
        <v>11</v>
      </c>
      <c r="B39">
        <v>1207</v>
      </c>
      <c r="C39" s="3">
        <v>42546</v>
      </c>
      <c r="E39" t="s">
        <v>6</v>
      </c>
    </row>
    <row r="40" spans="1:5" x14ac:dyDescent="0.25">
      <c r="A40" t="s">
        <v>11</v>
      </c>
      <c r="B40">
        <v>1211</v>
      </c>
      <c r="C40" s="3">
        <v>42546</v>
      </c>
      <c r="E40" t="s">
        <v>6</v>
      </c>
    </row>
    <row r="41" spans="1:5" x14ac:dyDescent="0.25">
      <c r="A41" t="s">
        <v>11</v>
      </c>
      <c r="B41">
        <v>1210</v>
      </c>
      <c r="C41" s="3">
        <v>42546</v>
      </c>
      <c r="E41" t="s">
        <v>6</v>
      </c>
    </row>
    <row r="42" spans="1:5" x14ac:dyDescent="0.25">
      <c r="A42" t="s">
        <v>11</v>
      </c>
      <c r="B42">
        <v>1209</v>
      </c>
      <c r="C42" s="3">
        <v>42546</v>
      </c>
      <c r="E42" t="s">
        <v>6</v>
      </c>
    </row>
    <row r="43" spans="1:5" x14ac:dyDescent="0.25">
      <c r="A43" t="s">
        <v>11</v>
      </c>
      <c r="B43">
        <v>1208</v>
      </c>
      <c r="C43" s="3">
        <v>42546</v>
      </c>
      <c r="E43" t="s">
        <v>6</v>
      </c>
    </row>
    <row r="44" spans="1:5" x14ac:dyDescent="0.25">
      <c r="A44" t="s">
        <v>11</v>
      </c>
      <c r="B44">
        <v>1205</v>
      </c>
      <c r="C44" s="3">
        <v>42546</v>
      </c>
      <c r="E44" t="s">
        <v>6</v>
      </c>
    </row>
    <row r="45" spans="1:5" x14ac:dyDescent="0.25">
      <c r="A45" t="s">
        <v>11</v>
      </c>
      <c r="B45">
        <v>1204</v>
      </c>
      <c r="C45" s="3">
        <v>42546</v>
      </c>
      <c r="E45" t="s">
        <v>6</v>
      </c>
    </row>
    <row r="46" spans="1:5" x14ac:dyDescent="0.25">
      <c r="A46" t="s">
        <v>11</v>
      </c>
      <c r="B46">
        <v>1201</v>
      </c>
      <c r="C46" s="3">
        <v>42546</v>
      </c>
      <c r="E46" t="s">
        <v>6</v>
      </c>
    </row>
    <row r="47" spans="1:5" x14ac:dyDescent="0.25">
      <c r="A47" t="s">
        <v>11</v>
      </c>
      <c r="B47">
        <v>1213</v>
      </c>
      <c r="C47" s="3">
        <v>42546</v>
      </c>
      <c r="E47" t="s">
        <v>6</v>
      </c>
    </row>
    <row r="48" spans="1:5" x14ac:dyDescent="0.25">
      <c r="A48" t="s">
        <v>11</v>
      </c>
      <c r="B48">
        <v>1212</v>
      </c>
      <c r="C48" s="3">
        <v>42546</v>
      </c>
      <c r="D48" t="s">
        <v>31</v>
      </c>
      <c r="E48" t="s">
        <v>41</v>
      </c>
    </row>
    <row r="49" spans="1:5" x14ac:dyDescent="0.25">
      <c r="A49" t="s">
        <v>11</v>
      </c>
      <c r="B49">
        <v>1211</v>
      </c>
      <c r="C49" s="3">
        <v>42546</v>
      </c>
      <c r="E49" t="s">
        <v>6</v>
      </c>
    </row>
    <row r="50" spans="1:5" x14ac:dyDescent="0.25">
      <c r="A50" t="s">
        <v>11</v>
      </c>
      <c r="B50">
        <v>1210</v>
      </c>
      <c r="C50" s="3">
        <v>42546</v>
      </c>
      <c r="D50" t="s">
        <v>15</v>
      </c>
      <c r="E50" t="s">
        <v>41</v>
      </c>
    </row>
    <row r="51" spans="1:5" x14ac:dyDescent="0.25">
      <c r="A51" t="s">
        <v>11</v>
      </c>
      <c r="B51">
        <v>1209</v>
      </c>
      <c r="C51" s="3">
        <v>42546</v>
      </c>
      <c r="E51" t="s">
        <v>41</v>
      </c>
    </row>
    <row r="52" spans="1:5" x14ac:dyDescent="0.25">
      <c r="A52" t="s">
        <v>11</v>
      </c>
      <c r="B52">
        <v>1208</v>
      </c>
      <c r="C52" s="3">
        <v>42546</v>
      </c>
      <c r="D52" t="s">
        <v>15</v>
      </c>
      <c r="E52" t="s">
        <v>41</v>
      </c>
    </row>
    <row r="53" spans="1:5" x14ac:dyDescent="0.25">
      <c r="A53" t="s">
        <v>11</v>
      </c>
      <c r="B53">
        <v>1207</v>
      </c>
      <c r="C53" s="3">
        <v>42546</v>
      </c>
      <c r="D53" t="s">
        <v>12</v>
      </c>
      <c r="E53" t="s">
        <v>41</v>
      </c>
    </row>
    <row r="54" spans="1:5" x14ac:dyDescent="0.25">
      <c r="A54" t="s">
        <v>11</v>
      </c>
      <c r="B54">
        <v>1205</v>
      </c>
      <c r="C54" s="3">
        <v>42546</v>
      </c>
      <c r="E54" t="s">
        <v>6</v>
      </c>
    </row>
    <row r="55" spans="1:5" x14ac:dyDescent="0.25">
      <c r="A55" t="s">
        <v>11</v>
      </c>
      <c r="B55">
        <v>1204</v>
      </c>
      <c r="C55" s="3">
        <v>42546</v>
      </c>
      <c r="D55" t="s">
        <v>17</v>
      </c>
      <c r="E55" t="s">
        <v>41</v>
      </c>
    </row>
    <row r="56" spans="1:5" x14ac:dyDescent="0.25">
      <c r="A56" t="s">
        <v>11</v>
      </c>
      <c r="B56">
        <v>1201</v>
      </c>
      <c r="C56" s="3">
        <v>42546</v>
      </c>
      <c r="D56" t="s">
        <v>12</v>
      </c>
      <c r="E56" t="s">
        <v>41</v>
      </c>
    </row>
    <row r="57" spans="1:5" x14ac:dyDescent="0.25">
      <c r="A57" t="s">
        <v>11</v>
      </c>
      <c r="B57">
        <v>1205</v>
      </c>
      <c r="C57" s="3">
        <v>42545</v>
      </c>
      <c r="E57" t="s">
        <v>6</v>
      </c>
    </row>
    <row r="58" spans="1:5" x14ac:dyDescent="0.25">
      <c r="A58" t="s">
        <v>11</v>
      </c>
      <c r="B58">
        <v>1204</v>
      </c>
      <c r="C58" s="3">
        <v>42545</v>
      </c>
      <c r="E58" t="s">
        <v>6</v>
      </c>
    </row>
    <row r="59" spans="1:5" x14ac:dyDescent="0.25">
      <c r="A59" t="s">
        <v>11</v>
      </c>
      <c r="B59">
        <v>1201</v>
      </c>
      <c r="C59" s="3">
        <v>42545</v>
      </c>
      <c r="E59" t="s">
        <v>6</v>
      </c>
    </row>
    <row r="60" spans="1:5" x14ac:dyDescent="0.25">
      <c r="A60" t="s">
        <v>11</v>
      </c>
      <c r="B60">
        <v>1201</v>
      </c>
      <c r="C60" s="3">
        <v>42545</v>
      </c>
      <c r="D60" t="s">
        <v>19</v>
      </c>
      <c r="E60" t="s">
        <v>41</v>
      </c>
    </row>
    <row r="61" spans="1:5" x14ac:dyDescent="0.25">
      <c r="A61" t="s">
        <v>11</v>
      </c>
      <c r="B61">
        <v>1204</v>
      </c>
      <c r="C61" s="3">
        <v>42544</v>
      </c>
      <c r="E61" t="s">
        <v>5</v>
      </c>
    </row>
    <row r="62" spans="1:5" x14ac:dyDescent="0.25">
      <c r="A62" t="s">
        <v>11</v>
      </c>
      <c r="B62">
        <v>1201</v>
      </c>
      <c r="C62" s="3">
        <v>42544</v>
      </c>
      <c r="E62" t="s">
        <v>5</v>
      </c>
    </row>
    <row r="63" spans="1:5" x14ac:dyDescent="0.25">
      <c r="A63" t="s">
        <v>11</v>
      </c>
      <c r="B63">
        <v>1204</v>
      </c>
      <c r="C63" s="3">
        <v>42544</v>
      </c>
      <c r="E63" t="s">
        <v>5</v>
      </c>
    </row>
    <row r="64" spans="1:5" x14ac:dyDescent="0.25">
      <c r="A64" t="s">
        <v>11</v>
      </c>
      <c r="B64">
        <v>1200</v>
      </c>
      <c r="C64" s="3">
        <v>42544</v>
      </c>
      <c r="E64" t="s">
        <v>5</v>
      </c>
    </row>
    <row r="65" spans="1:5" x14ac:dyDescent="0.25">
      <c r="A65" t="s">
        <v>11</v>
      </c>
      <c r="B65">
        <v>1201</v>
      </c>
      <c r="C65" s="3">
        <v>42544</v>
      </c>
      <c r="E65" t="s">
        <v>5</v>
      </c>
    </row>
    <row r="66" spans="1:5" x14ac:dyDescent="0.25">
      <c r="A66" t="s">
        <v>11</v>
      </c>
      <c r="B66">
        <v>1200</v>
      </c>
      <c r="C66" s="3">
        <v>42544</v>
      </c>
      <c r="E66" t="s">
        <v>5</v>
      </c>
    </row>
    <row r="67" spans="1:5" x14ac:dyDescent="0.25">
      <c r="A67" t="s">
        <v>11</v>
      </c>
      <c r="B67">
        <v>1211</v>
      </c>
      <c r="C67" s="3">
        <v>42543</v>
      </c>
      <c r="E67" t="s">
        <v>6</v>
      </c>
    </row>
    <row r="68" spans="1:5" x14ac:dyDescent="0.25">
      <c r="A68" t="s">
        <v>11</v>
      </c>
      <c r="B68">
        <v>1210</v>
      </c>
      <c r="C68" s="3">
        <v>42543</v>
      </c>
      <c r="D68" t="s">
        <v>14</v>
      </c>
      <c r="E68" t="s">
        <v>41</v>
      </c>
    </row>
    <row r="69" spans="1:5" x14ac:dyDescent="0.25">
      <c r="A69" t="s">
        <v>11</v>
      </c>
      <c r="B69">
        <v>1209</v>
      </c>
      <c r="C69" s="3">
        <v>42543</v>
      </c>
      <c r="D69" t="s">
        <v>17</v>
      </c>
      <c r="E69" t="s">
        <v>41</v>
      </c>
    </row>
    <row r="70" spans="1:5" x14ac:dyDescent="0.25">
      <c r="A70" t="s">
        <v>11</v>
      </c>
      <c r="B70">
        <v>1208</v>
      </c>
      <c r="C70" s="3">
        <v>42543</v>
      </c>
      <c r="E70" t="s">
        <v>6</v>
      </c>
    </row>
    <row r="71" spans="1:5" x14ac:dyDescent="0.25">
      <c r="A71" t="s">
        <v>11</v>
      </c>
      <c r="B71">
        <v>1207</v>
      </c>
      <c r="C71" s="3">
        <v>42543</v>
      </c>
      <c r="E71" t="s">
        <v>6</v>
      </c>
    </row>
    <row r="72" spans="1:5" x14ac:dyDescent="0.25">
      <c r="A72" t="s">
        <v>11</v>
      </c>
      <c r="B72">
        <v>1205</v>
      </c>
      <c r="C72" s="3">
        <v>42543</v>
      </c>
      <c r="D72" t="s">
        <v>14</v>
      </c>
      <c r="E72" t="s">
        <v>41</v>
      </c>
    </row>
    <row r="73" spans="1:5" x14ac:dyDescent="0.25">
      <c r="A73" t="s">
        <v>11</v>
      </c>
      <c r="B73">
        <v>1204</v>
      </c>
      <c r="C73" s="3">
        <v>42543</v>
      </c>
      <c r="D73" t="s">
        <v>17</v>
      </c>
      <c r="E73" t="s">
        <v>41</v>
      </c>
    </row>
    <row r="74" spans="1:5" x14ac:dyDescent="0.25">
      <c r="A74" t="s">
        <v>11</v>
      </c>
      <c r="B74">
        <v>1201</v>
      </c>
      <c r="C74" s="3">
        <v>42543</v>
      </c>
      <c r="E74" t="s">
        <v>6</v>
      </c>
    </row>
    <row r="75" spans="1:5" x14ac:dyDescent="0.25">
      <c r="A75" t="s">
        <v>11</v>
      </c>
      <c r="B75">
        <v>1204</v>
      </c>
      <c r="C75" s="3">
        <v>42543</v>
      </c>
      <c r="E75" t="s">
        <v>6</v>
      </c>
    </row>
    <row r="76" spans="1:5" x14ac:dyDescent="0.25">
      <c r="A76" t="s">
        <v>11</v>
      </c>
      <c r="B76">
        <v>1201</v>
      </c>
      <c r="C76" s="3">
        <v>42543</v>
      </c>
      <c r="D76" t="s">
        <v>31</v>
      </c>
      <c r="E76" t="s">
        <v>41</v>
      </c>
    </row>
    <row r="77" spans="1:5" x14ac:dyDescent="0.25">
      <c r="A77" t="s">
        <v>11</v>
      </c>
      <c r="B77">
        <v>1215</v>
      </c>
      <c r="C77" s="3">
        <v>42540</v>
      </c>
      <c r="E77" t="s">
        <v>5</v>
      </c>
    </row>
    <row r="78" spans="1:5" x14ac:dyDescent="0.25">
      <c r="A78" t="s">
        <v>11</v>
      </c>
      <c r="B78">
        <v>1219</v>
      </c>
      <c r="C78" s="3">
        <v>42540</v>
      </c>
      <c r="E78" t="s">
        <v>5</v>
      </c>
    </row>
    <row r="79" spans="1:5" x14ac:dyDescent="0.25">
      <c r="A79" t="s">
        <v>11</v>
      </c>
      <c r="B79">
        <v>1218</v>
      </c>
      <c r="C79" s="3">
        <v>42540</v>
      </c>
      <c r="E79" t="s">
        <v>5</v>
      </c>
    </row>
    <row r="80" spans="1:5" x14ac:dyDescent="0.25">
      <c r="A80" t="s">
        <v>11</v>
      </c>
      <c r="B80">
        <v>1215</v>
      </c>
      <c r="C80" s="3">
        <v>42540</v>
      </c>
      <c r="E80" t="s">
        <v>6</v>
      </c>
    </row>
    <row r="81" spans="1:5" x14ac:dyDescent="0.25">
      <c r="A81" t="s">
        <v>11</v>
      </c>
      <c r="B81">
        <v>1216</v>
      </c>
      <c r="C81" s="3">
        <v>42540</v>
      </c>
      <c r="D81" t="s">
        <v>31</v>
      </c>
      <c r="E81" t="s">
        <v>41</v>
      </c>
    </row>
    <row r="82" spans="1:5" x14ac:dyDescent="0.25">
      <c r="A82" t="s">
        <v>11</v>
      </c>
      <c r="B82">
        <v>1214</v>
      </c>
      <c r="C82" s="3">
        <v>42540</v>
      </c>
      <c r="E82" t="s">
        <v>6</v>
      </c>
    </row>
    <row r="83" spans="1:5" x14ac:dyDescent="0.25">
      <c r="A83" t="s">
        <v>11</v>
      </c>
      <c r="B83">
        <v>1213</v>
      </c>
      <c r="C83" s="3">
        <v>42540</v>
      </c>
      <c r="E83" t="s">
        <v>6</v>
      </c>
    </row>
    <row r="84" spans="1:5" x14ac:dyDescent="0.25">
      <c r="A84" t="s">
        <v>11</v>
      </c>
      <c r="B84">
        <v>1212</v>
      </c>
      <c r="C84" s="3">
        <v>42540</v>
      </c>
      <c r="E84" t="s">
        <v>6</v>
      </c>
    </row>
    <row r="85" spans="1:5" x14ac:dyDescent="0.25">
      <c r="A85" t="s">
        <v>11</v>
      </c>
      <c r="B85">
        <v>1211</v>
      </c>
      <c r="C85" s="3">
        <v>42540</v>
      </c>
      <c r="E85" t="s">
        <v>6</v>
      </c>
    </row>
    <row r="86" spans="1:5" x14ac:dyDescent="0.25">
      <c r="A86" t="s">
        <v>11</v>
      </c>
      <c r="B86">
        <v>1210</v>
      </c>
      <c r="C86" s="3">
        <v>42540</v>
      </c>
      <c r="D86" t="s">
        <v>15</v>
      </c>
      <c r="E86" t="s">
        <v>41</v>
      </c>
    </row>
    <row r="87" spans="1:5" x14ac:dyDescent="0.25">
      <c r="A87" t="s">
        <v>11</v>
      </c>
      <c r="B87">
        <v>1209</v>
      </c>
      <c r="C87" s="3">
        <v>42540</v>
      </c>
      <c r="D87" t="s">
        <v>14</v>
      </c>
      <c r="E87" t="s">
        <v>41</v>
      </c>
    </row>
    <row r="88" spans="1:5" x14ac:dyDescent="0.25">
      <c r="A88" t="s">
        <v>11</v>
      </c>
      <c r="B88">
        <v>1208</v>
      </c>
      <c r="C88" s="3">
        <v>42540</v>
      </c>
      <c r="E88" t="s">
        <v>6</v>
      </c>
    </row>
    <row r="89" spans="1:5" x14ac:dyDescent="0.25">
      <c r="A89" t="s">
        <v>11</v>
      </c>
      <c r="B89">
        <v>1207</v>
      </c>
      <c r="C89" s="3">
        <v>42540</v>
      </c>
      <c r="E89" t="s">
        <v>6</v>
      </c>
    </row>
    <row r="90" spans="1:5" x14ac:dyDescent="0.25">
      <c r="A90" t="s">
        <v>11</v>
      </c>
      <c r="B90">
        <v>1205</v>
      </c>
      <c r="C90" s="3">
        <v>42540</v>
      </c>
      <c r="E90" t="s">
        <v>6</v>
      </c>
    </row>
    <row r="91" spans="1:5" x14ac:dyDescent="0.25">
      <c r="A91" t="s">
        <v>11</v>
      </c>
      <c r="B91">
        <v>1204</v>
      </c>
      <c r="C91" s="3">
        <v>42540</v>
      </c>
      <c r="E91" t="s">
        <v>6</v>
      </c>
    </row>
    <row r="92" spans="1:5" x14ac:dyDescent="0.25">
      <c r="A92" t="s">
        <v>11</v>
      </c>
      <c r="B92">
        <v>1201</v>
      </c>
      <c r="C92" s="3">
        <v>42540</v>
      </c>
      <c r="E92" t="s">
        <v>6</v>
      </c>
    </row>
    <row r="93" spans="1:5" x14ac:dyDescent="0.25">
      <c r="A93" t="s">
        <v>11</v>
      </c>
      <c r="B93">
        <v>1208</v>
      </c>
      <c r="C93" s="3">
        <v>42539</v>
      </c>
      <c r="E93" t="s">
        <v>5</v>
      </c>
    </row>
    <row r="94" spans="1:5" x14ac:dyDescent="0.25">
      <c r="A94" t="s">
        <v>11</v>
      </c>
      <c r="B94">
        <v>1201</v>
      </c>
      <c r="C94" s="3">
        <v>42539</v>
      </c>
      <c r="E94" t="s">
        <v>5</v>
      </c>
    </row>
    <row r="95" spans="1:5" x14ac:dyDescent="0.25">
      <c r="A95" t="s">
        <v>11</v>
      </c>
      <c r="B95">
        <v>1207</v>
      </c>
      <c r="C95" s="3">
        <v>42539</v>
      </c>
      <c r="E95" t="s">
        <v>5</v>
      </c>
    </row>
    <row r="96" spans="1:5" x14ac:dyDescent="0.25">
      <c r="A96" t="s">
        <v>11</v>
      </c>
      <c r="B96">
        <v>2102</v>
      </c>
      <c r="C96" s="3">
        <v>42539</v>
      </c>
      <c r="E96" t="s">
        <v>5</v>
      </c>
    </row>
    <row r="97" spans="1:5" x14ac:dyDescent="0.25">
      <c r="A97" t="s">
        <v>11</v>
      </c>
      <c r="B97">
        <v>1208</v>
      </c>
      <c r="C97" s="3">
        <v>42539</v>
      </c>
      <c r="E97" t="s">
        <v>6</v>
      </c>
    </row>
    <row r="98" spans="1:5" x14ac:dyDescent="0.25">
      <c r="A98" t="s">
        <v>11</v>
      </c>
      <c r="B98">
        <v>1203</v>
      </c>
      <c r="C98" s="3">
        <v>42539</v>
      </c>
      <c r="E98" t="s">
        <v>5</v>
      </c>
    </row>
    <row r="99" spans="1:5" x14ac:dyDescent="0.25">
      <c r="A99" t="s">
        <v>11</v>
      </c>
      <c r="B99">
        <v>1201</v>
      </c>
      <c r="C99" s="3">
        <v>42539</v>
      </c>
      <c r="E99" t="s">
        <v>6</v>
      </c>
    </row>
    <row r="100" spans="1:5" x14ac:dyDescent="0.25">
      <c r="A100" t="s">
        <v>11</v>
      </c>
      <c r="B100">
        <v>1207</v>
      </c>
      <c r="C100" s="3">
        <v>42539</v>
      </c>
      <c r="E100" t="s">
        <v>6</v>
      </c>
    </row>
    <row r="101" spans="1:5" x14ac:dyDescent="0.25">
      <c r="A101" t="s">
        <v>11</v>
      </c>
      <c r="B101">
        <v>1202</v>
      </c>
      <c r="C101" s="3">
        <v>42539</v>
      </c>
      <c r="E101" t="s">
        <v>6</v>
      </c>
    </row>
    <row r="102" spans="1:5" x14ac:dyDescent="0.25">
      <c r="A102" t="s">
        <v>11</v>
      </c>
      <c r="B102">
        <v>1208</v>
      </c>
      <c r="C102" s="3">
        <v>42539</v>
      </c>
      <c r="E102" t="s">
        <v>5</v>
      </c>
    </row>
    <row r="103" spans="1:5" x14ac:dyDescent="0.25">
      <c r="A103" t="s">
        <v>11</v>
      </c>
      <c r="B103">
        <v>1201</v>
      </c>
      <c r="C103" s="3">
        <v>42539</v>
      </c>
      <c r="E103" t="s">
        <v>6</v>
      </c>
    </row>
    <row r="104" spans="1:5" x14ac:dyDescent="0.25">
      <c r="A104" t="s">
        <v>11</v>
      </c>
      <c r="B104">
        <v>1209</v>
      </c>
      <c r="C104" s="3">
        <v>42539</v>
      </c>
      <c r="E104" t="s">
        <v>6</v>
      </c>
    </row>
    <row r="105" spans="1:5" x14ac:dyDescent="0.25">
      <c r="A105" t="s">
        <v>11</v>
      </c>
      <c r="B105">
        <v>1208</v>
      </c>
      <c r="C105" s="3">
        <v>42539</v>
      </c>
      <c r="E105" t="s">
        <v>6</v>
      </c>
    </row>
    <row r="106" spans="1:5" x14ac:dyDescent="0.25">
      <c r="A106" t="s">
        <v>11</v>
      </c>
      <c r="B106">
        <v>1207</v>
      </c>
      <c r="C106" s="3">
        <v>42539</v>
      </c>
      <c r="E106" t="s">
        <v>6</v>
      </c>
    </row>
    <row r="107" spans="1:5" x14ac:dyDescent="0.25">
      <c r="A107" t="s">
        <v>11</v>
      </c>
      <c r="B107">
        <v>1205</v>
      </c>
      <c r="C107" s="3">
        <v>42539</v>
      </c>
      <c r="D107" t="s">
        <v>14</v>
      </c>
      <c r="E107" t="s">
        <v>41</v>
      </c>
    </row>
    <row r="108" spans="1:5" x14ac:dyDescent="0.25">
      <c r="A108" t="s">
        <v>11</v>
      </c>
      <c r="B108">
        <v>1204</v>
      </c>
      <c r="C108" s="3">
        <v>42539</v>
      </c>
      <c r="D108" t="s">
        <v>15</v>
      </c>
      <c r="E108" t="s">
        <v>41</v>
      </c>
    </row>
    <row r="109" spans="1:5" x14ac:dyDescent="0.25">
      <c r="A109" t="s">
        <v>11</v>
      </c>
      <c r="B109">
        <v>1203</v>
      </c>
      <c r="C109" s="3">
        <v>42539</v>
      </c>
      <c r="D109" t="s">
        <v>15</v>
      </c>
      <c r="E109" t="s">
        <v>41</v>
      </c>
    </row>
    <row r="110" spans="1:5" x14ac:dyDescent="0.25">
      <c r="A110" t="s">
        <v>11</v>
      </c>
      <c r="B110">
        <v>1202</v>
      </c>
      <c r="C110" s="3">
        <v>42539</v>
      </c>
      <c r="D110" t="s">
        <v>31</v>
      </c>
      <c r="E110" t="s">
        <v>41</v>
      </c>
    </row>
    <row r="111" spans="1:5" x14ac:dyDescent="0.25">
      <c r="A111" t="s">
        <v>11</v>
      </c>
      <c r="B111">
        <v>1201</v>
      </c>
      <c r="C111" s="3">
        <v>42539</v>
      </c>
      <c r="D111" t="s">
        <v>17</v>
      </c>
      <c r="E111" t="s">
        <v>41</v>
      </c>
    </row>
    <row r="112" spans="1:5" x14ac:dyDescent="0.25">
      <c r="A112" t="s">
        <v>11</v>
      </c>
      <c r="B112">
        <v>1205</v>
      </c>
      <c r="C112" s="3">
        <v>42538</v>
      </c>
      <c r="E112" t="s">
        <v>6</v>
      </c>
    </row>
    <row r="113" spans="1:5" x14ac:dyDescent="0.25">
      <c r="A113" t="s">
        <v>11</v>
      </c>
      <c r="B113">
        <v>1204</v>
      </c>
      <c r="C113" s="3">
        <v>42538</v>
      </c>
      <c r="E113" t="s">
        <v>6</v>
      </c>
    </row>
    <row r="114" spans="1:5" x14ac:dyDescent="0.25">
      <c r="A114" t="s">
        <v>11</v>
      </c>
      <c r="B114">
        <v>1203</v>
      </c>
      <c r="C114" s="3">
        <v>42538</v>
      </c>
      <c r="E114" t="s">
        <v>6</v>
      </c>
    </row>
    <row r="115" spans="1:5" x14ac:dyDescent="0.25">
      <c r="A115" t="s">
        <v>11</v>
      </c>
      <c r="B115">
        <v>1202</v>
      </c>
      <c r="C115" s="3">
        <v>42538</v>
      </c>
      <c r="E115" t="s">
        <v>6</v>
      </c>
    </row>
    <row r="116" spans="1:5" x14ac:dyDescent="0.25">
      <c r="A116" t="s">
        <v>11</v>
      </c>
      <c r="B116">
        <v>1201</v>
      </c>
      <c r="C116" s="3">
        <v>42538</v>
      </c>
      <c r="E116" t="s">
        <v>6</v>
      </c>
    </row>
    <row r="117" spans="1:5" x14ac:dyDescent="0.25">
      <c r="A117" t="s">
        <v>11</v>
      </c>
      <c r="B117">
        <v>1203</v>
      </c>
      <c r="C117" s="3">
        <v>42538</v>
      </c>
      <c r="E117" t="s">
        <v>6</v>
      </c>
    </row>
    <row r="118" spans="1:5" x14ac:dyDescent="0.25">
      <c r="A118" t="s">
        <v>11</v>
      </c>
      <c r="B118">
        <v>1202</v>
      </c>
      <c r="C118" s="3">
        <v>42538</v>
      </c>
      <c r="D118" t="s">
        <v>15</v>
      </c>
      <c r="E118" t="s">
        <v>41</v>
      </c>
    </row>
    <row r="119" spans="1:5" x14ac:dyDescent="0.25">
      <c r="A119" t="s">
        <v>11</v>
      </c>
      <c r="B119">
        <v>1205</v>
      </c>
      <c r="C119" s="3">
        <v>42537</v>
      </c>
      <c r="D119" t="s">
        <v>17</v>
      </c>
      <c r="E119" t="s">
        <v>41</v>
      </c>
    </row>
    <row r="120" spans="1:5" x14ac:dyDescent="0.25">
      <c r="A120" t="s">
        <v>11</v>
      </c>
      <c r="B120">
        <v>1204</v>
      </c>
      <c r="C120" s="3">
        <v>42537</v>
      </c>
      <c r="D120" t="s">
        <v>14</v>
      </c>
      <c r="E120" t="s">
        <v>41</v>
      </c>
    </row>
    <row r="121" spans="1:5" x14ac:dyDescent="0.25">
      <c r="A121" t="s">
        <v>11</v>
      </c>
      <c r="B121">
        <v>1203</v>
      </c>
      <c r="C121" s="3">
        <v>42537</v>
      </c>
      <c r="E121" t="s">
        <v>6</v>
      </c>
    </row>
    <row r="122" spans="1:5" x14ac:dyDescent="0.25">
      <c r="A122" t="s">
        <v>11</v>
      </c>
      <c r="B122">
        <v>1202</v>
      </c>
      <c r="C122" s="3">
        <v>42537</v>
      </c>
      <c r="E122" t="s">
        <v>6</v>
      </c>
    </row>
    <row r="123" spans="1:5" x14ac:dyDescent="0.25">
      <c r="A123" t="s">
        <v>11</v>
      </c>
      <c r="B123">
        <v>1201</v>
      </c>
      <c r="C123" s="3">
        <v>42537</v>
      </c>
      <c r="E123" t="s">
        <v>6</v>
      </c>
    </row>
    <row r="124" spans="1:5" x14ac:dyDescent="0.25">
      <c r="A124" t="s">
        <v>11</v>
      </c>
      <c r="B124">
        <v>1200</v>
      </c>
      <c r="C124" s="3">
        <v>42537</v>
      </c>
      <c r="D124" t="s">
        <v>13</v>
      </c>
      <c r="E124" t="s">
        <v>41</v>
      </c>
    </row>
    <row r="125" spans="1:5" x14ac:dyDescent="0.25">
      <c r="A125" t="s">
        <v>11</v>
      </c>
      <c r="B125">
        <v>1204</v>
      </c>
      <c r="C125" s="3">
        <v>42537</v>
      </c>
      <c r="D125" t="s">
        <v>13</v>
      </c>
      <c r="E125" t="s">
        <v>41</v>
      </c>
    </row>
    <row r="126" spans="1:5" x14ac:dyDescent="0.25">
      <c r="A126" t="s">
        <v>11</v>
      </c>
      <c r="B126">
        <v>1203</v>
      </c>
      <c r="C126" s="3">
        <v>42537</v>
      </c>
      <c r="D126" t="s">
        <v>12</v>
      </c>
      <c r="E126" t="s">
        <v>41</v>
      </c>
    </row>
    <row r="127" spans="1:5" x14ac:dyDescent="0.25">
      <c r="A127" t="s">
        <v>11</v>
      </c>
      <c r="B127">
        <v>1202</v>
      </c>
      <c r="C127" s="3">
        <v>42537</v>
      </c>
      <c r="D127" t="s">
        <v>14</v>
      </c>
      <c r="E127" t="s">
        <v>41</v>
      </c>
    </row>
    <row r="128" spans="1:5" x14ac:dyDescent="0.25">
      <c r="A128" t="s">
        <v>11</v>
      </c>
      <c r="B128">
        <v>1201</v>
      </c>
      <c r="C128" s="3">
        <v>42537</v>
      </c>
      <c r="E128" t="s">
        <v>6</v>
      </c>
    </row>
    <row r="129" spans="1:5" x14ac:dyDescent="0.25">
      <c r="A129" t="s">
        <v>11</v>
      </c>
      <c r="B129">
        <v>1201</v>
      </c>
      <c r="C129" s="3">
        <v>42536</v>
      </c>
      <c r="E129" t="s">
        <v>6</v>
      </c>
    </row>
    <row r="130" spans="1:5" x14ac:dyDescent="0.25">
      <c r="A130" t="s">
        <v>11</v>
      </c>
      <c r="B130">
        <v>1201</v>
      </c>
      <c r="C130" s="3">
        <v>42536</v>
      </c>
      <c r="D130" t="s">
        <v>31</v>
      </c>
      <c r="E130" t="s">
        <v>41</v>
      </c>
    </row>
    <row r="131" spans="1:5" x14ac:dyDescent="0.25">
      <c r="A131" t="s">
        <v>11</v>
      </c>
      <c r="B131">
        <v>1203</v>
      </c>
      <c r="C131" s="3">
        <v>42533</v>
      </c>
      <c r="E131" t="s">
        <v>41</v>
      </c>
    </row>
    <row r="132" spans="1:5" x14ac:dyDescent="0.25">
      <c r="A132" t="s">
        <v>11</v>
      </c>
      <c r="B132">
        <v>1204</v>
      </c>
      <c r="C132" s="3">
        <v>42533</v>
      </c>
      <c r="E132" t="s">
        <v>41</v>
      </c>
    </row>
    <row r="133" spans="1:5" x14ac:dyDescent="0.25">
      <c r="A133" t="s">
        <v>11</v>
      </c>
      <c r="B133">
        <v>1205</v>
      </c>
      <c r="C133" s="3">
        <v>42533</v>
      </c>
      <c r="E133" t="s">
        <v>41</v>
      </c>
    </row>
    <row r="134" spans="1:5" x14ac:dyDescent="0.25">
      <c r="A134" t="s">
        <v>11</v>
      </c>
      <c r="B134">
        <v>1208</v>
      </c>
      <c r="C134" s="3">
        <v>42533</v>
      </c>
      <c r="E134" t="s">
        <v>6</v>
      </c>
    </row>
    <row r="135" spans="1:5" x14ac:dyDescent="0.25">
      <c r="A135" t="s">
        <v>11</v>
      </c>
      <c r="B135">
        <v>1209</v>
      </c>
      <c r="C135" s="3">
        <v>42533</v>
      </c>
      <c r="E135" t="s">
        <v>6</v>
      </c>
    </row>
    <row r="136" spans="1:5" x14ac:dyDescent="0.25">
      <c r="A136" t="s">
        <v>11</v>
      </c>
      <c r="B136">
        <v>1210</v>
      </c>
      <c r="C136" s="3">
        <v>42533</v>
      </c>
      <c r="E136" t="s">
        <v>6</v>
      </c>
    </row>
    <row r="137" spans="1:5" x14ac:dyDescent="0.25">
      <c r="A137" t="s">
        <v>11</v>
      </c>
      <c r="B137">
        <v>1211</v>
      </c>
      <c r="C137" s="3">
        <v>42533</v>
      </c>
      <c r="E137" t="s">
        <v>6</v>
      </c>
    </row>
    <row r="138" spans="1:5" x14ac:dyDescent="0.25">
      <c r="A138" t="s">
        <v>11</v>
      </c>
      <c r="B138">
        <v>1211</v>
      </c>
      <c r="C138" s="3">
        <v>42533</v>
      </c>
      <c r="E138" t="s">
        <v>6</v>
      </c>
    </row>
    <row r="139" spans="1:5" x14ac:dyDescent="0.25">
      <c r="A139" t="s">
        <v>11</v>
      </c>
      <c r="B139">
        <v>1212</v>
      </c>
      <c r="C139" s="3">
        <v>42533</v>
      </c>
      <c r="E139" t="s">
        <v>6</v>
      </c>
    </row>
    <row r="140" spans="1:5" x14ac:dyDescent="0.25">
      <c r="A140" t="s">
        <v>11</v>
      </c>
      <c r="B140">
        <v>1207</v>
      </c>
      <c r="C140" s="3">
        <v>42533</v>
      </c>
      <c r="E140" t="s">
        <v>6</v>
      </c>
    </row>
    <row r="141" spans="1:5" x14ac:dyDescent="0.25">
      <c r="A141" t="s">
        <v>11</v>
      </c>
      <c r="B141">
        <v>1208</v>
      </c>
      <c r="C141" s="3">
        <v>42533</v>
      </c>
      <c r="E141" t="s">
        <v>6</v>
      </c>
    </row>
    <row r="142" spans="1:5" x14ac:dyDescent="0.25">
      <c r="A142" t="s">
        <v>11</v>
      </c>
      <c r="B142">
        <v>1213</v>
      </c>
      <c r="C142" s="3">
        <v>42533</v>
      </c>
      <c r="E142" t="s">
        <v>6</v>
      </c>
    </row>
    <row r="143" spans="1:5" x14ac:dyDescent="0.25">
      <c r="A143" t="s">
        <v>11</v>
      </c>
      <c r="B143">
        <v>1212</v>
      </c>
      <c r="C143" s="3">
        <v>42533</v>
      </c>
      <c r="D143" t="s">
        <v>12</v>
      </c>
      <c r="E143" t="s">
        <v>41</v>
      </c>
    </row>
    <row r="144" spans="1:5" x14ac:dyDescent="0.25">
      <c r="A144" t="s">
        <v>11</v>
      </c>
      <c r="B144">
        <v>1211</v>
      </c>
      <c r="C144" s="3">
        <v>42533</v>
      </c>
      <c r="E144" t="s">
        <v>6</v>
      </c>
    </row>
    <row r="145" spans="1:5" x14ac:dyDescent="0.25">
      <c r="A145" t="s">
        <v>11</v>
      </c>
      <c r="B145">
        <v>1210</v>
      </c>
      <c r="C145" s="3">
        <v>42533</v>
      </c>
      <c r="E145" t="s">
        <v>6</v>
      </c>
    </row>
    <row r="146" spans="1:5" x14ac:dyDescent="0.25">
      <c r="A146" t="s">
        <v>11</v>
      </c>
      <c r="B146">
        <v>1209</v>
      </c>
      <c r="C146" s="3">
        <v>42533</v>
      </c>
      <c r="E146" t="s">
        <v>6</v>
      </c>
    </row>
    <row r="147" spans="1:5" x14ac:dyDescent="0.25">
      <c r="A147" t="s">
        <v>11</v>
      </c>
      <c r="B147">
        <v>1208</v>
      </c>
      <c r="C147" s="3">
        <v>42533</v>
      </c>
      <c r="D147" t="s">
        <v>15</v>
      </c>
      <c r="E147" t="s">
        <v>41</v>
      </c>
    </row>
    <row r="148" spans="1:5" x14ac:dyDescent="0.25">
      <c r="A148" t="s">
        <v>11</v>
      </c>
      <c r="B148">
        <v>1207</v>
      </c>
      <c r="C148" s="3">
        <v>42533</v>
      </c>
      <c r="E148" t="s">
        <v>6</v>
      </c>
    </row>
    <row r="149" spans="1:5" x14ac:dyDescent="0.25">
      <c r="A149" t="s">
        <v>11</v>
      </c>
      <c r="B149">
        <v>1205</v>
      </c>
      <c r="C149" s="3">
        <v>42533</v>
      </c>
      <c r="D149" t="s">
        <v>26</v>
      </c>
      <c r="E149" t="s">
        <v>41</v>
      </c>
    </row>
    <row r="150" spans="1:5" x14ac:dyDescent="0.25">
      <c r="A150" t="s">
        <v>11</v>
      </c>
      <c r="B150">
        <v>1204</v>
      </c>
      <c r="C150" s="3">
        <v>42533</v>
      </c>
      <c r="D150" t="s">
        <v>31</v>
      </c>
      <c r="E150" t="s">
        <v>41</v>
      </c>
    </row>
    <row r="151" spans="1:5" x14ac:dyDescent="0.25">
      <c r="A151" t="s">
        <v>11</v>
      </c>
      <c r="B151">
        <v>1203</v>
      </c>
      <c r="C151" s="3">
        <v>42533</v>
      </c>
      <c r="D151" t="s">
        <v>12</v>
      </c>
      <c r="E151" t="s">
        <v>41</v>
      </c>
    </row>
    <row r="152" spans="1:5" x14ac:dyDescent="0.25">
      <c r="A152" t="s">
        <v>11</v>
      </c>
      <c r="B152">
        <v>1202</v>
      </c>
      <c r="C152" s="3">
        <v>42533</v>
      </c>
      <c r="D152" t="s">
        <v>13</v>
      </c>
      <c r="E152" t="s">
        <v>41</v>
      </c>
    </row>
    <row r="153" spans="1:5" x14ac:dyDescent="0.25">
      <c r="A153" t="s">
        <v>11</v>
      </c>
      <c r="B153">
        <v>1201</v>
      </c>
      <c r="C153" s="3">
        <v>42533</v>
      </c>
      <c r="E153" t="s">
        <v>6</v>
      </c>
    </row>
    <row r="154" spans="1:5" x14ac:dyDescent="0.25">
      <c r="A154" t="s">
        <v>11</v>
      </c>
      <c r="B154">
        <v>1225</v>
      </c>
      <c r="C154" s="3">
        <v>42532</v>
      </c>
      <c r="E154" t="s">
        <v>6</v>
      </c>
    </row>
    <row r="155" spans="1:5" x14ac:dyDescent="0.25">
      <c r="A155" t="s">
        <v>11</v>
      </c>
      <c r="B155">
        <v>1205</v>
      </c>
      <c r="C155" s="3">
        <v>42532</v>
      </c>
      <c r="E155" t="s">
        <v>5</v>
      </c>
    </row>
    <row r="156" spans="1:5" x14ac:dyDescent="0.25">
      <c r="A156" t="s">
        <v>11</v>
      </c>
      <c r="B156">
        <v>1204</v>
      </c>
      <c r="C156" s="3">
        <v>42532</v>
      </c>
      <c r="E156" t="s">
        <v>44</v>
      </c>
    </row>
    <row r="157" spans="1:5" x14ac:dyDescent="0.25">
      <c r="A157" t="s">
        <v>11</v>
      </c>
      <c r="B157">
        <v>1203</v>
      </c>
      <c r="C157" s="3">
        <v>42532</v>
      </c>
      <c r="E157" t="s">
        <v>44</v>
      </c>
    </row>
    <row r="158" spans="1:5" x14ac:dyDescent="0.25">
      <c r="A158" t="s">
        <v>11</v>
      </c>
      <c r="B158">
        <v>1218</v>
      </c>
      <c r="C158" s="3">
        <v>42532</v>
      </c>
      <c r="E158" t="s">
        <v>6</v>
      </c>
    </row>
    <row r="159" spans="1:5" x14ac:dyDescent="0.25">
      <c r="A159" t="s">
        <v>11</v>
      </c>
      <c r="B159">
        <v>1202</v>
      </c>
      <c r="C159" s="3">
        <v>42532</v>
      </c>
      <c r="E159" t="s">
        <v>44</v>
      </c>
    </row>
    <row r="160" spans="1:5" x14ac:dyDescent="0.25">
      <c r="A160" t="s">
        <v>11</v>
      </c>
      <c r="B160">
        <v>1201</v>
      </c>
      <c r="C160" s="3">
        <v>42532</v>
      </c>
      <c r="E160" t="s">
        <v>6</v>
      </c>
    </row>
    <row r="161" spans="1:5" x14ac:dyDescent="0.25">
      <c r="A161" t="s">
        <v>11</v>
      </c>
      <c r="B161">
        <v>1225</v>
      </c>
      <c r="C161" s="3">
        <v>42532</v>
      </c>
      <c r="E161" t="s">
        <v>6</v>
      </c>
    </row>
    <row r="162" spans="1:5" x14ac:dyDescent="0.25">
      <c r="A162" t="s">
        <v>11</v>
      </c>
      <c r="B162">
        <v>1224</v>
      </c>
      <c r="C162" s="3">
        <v>42532</v>
      </c>
      <c r="E162" t="s">
        <v>44</v>
      </c>
    </row>
    <row r="163" spans="1:5" x14ac:dyDescent="0.25">
      <c r="A163" t="s">
        <v>11</v>
      </c>
      <c r="B163">
        <v>1223</v>
      </c>
      <c r="C163" s="3">
        <v>42532</v>
      </c>
      <c r="E163" t="s">
        <v>44</v>
      </c>
    </row>
    <row r="164" spans="1:5" x14ac:dyDescent="0.25">
      <c r="A164" t="s">
        <v>11</v>
      </c>
      <c r="B164">
        <v>1222</v>
      </c>
      <c r="C164" s="3">
        <v>42532</v>
      </c>
      <c r="E164" t="s">
        <v>44</v>
      </c>
    </row>
    <row r="165" spans="1:5" x14ac:dyDescent="0.25">
      <c r="A165" t="s">
        <v>11</v>
      </c>
      <c r="B165">
        <v>1221</v>
      </c>
      <c r="C165" s="3">
        <v>42532</v>
      </c>
      <c r="E165" t="s">
        <v>44</v>
      </c>
    </row>
    <row r="166" spans="1:5" x14ac:dyDescent="0.25">
      <c r="A166" t="s">
        <v>11</v>
      </c>
      <c r="B166">
        <v>1220</v>
      </c>
      <c r="C166" s="3">
        <v>42532</v>
      </c>
      <c r="E166" t="s">
        <v>5</v>
      </c>
    </row>
    <row r="167" spans="1:5" x14ac:dyDescent="0.25">
      <c r="A167" t="s">
        <v>11</v>
      </c>
      <c r="B167">
        <v>1219</v>
      </c>
      <c r="C167" s="3">
        <v>42532</v>
      </c>
      <c r="E167" t="s">
        <v>6</v>
      </c>
    </row>
    <row r="168" spans="1:5" x14ac:dyDescent="0.25">
      <c r="A168" t="s">
        <v>11</v>
      </c>
      <c r="B168">
        <v>1218</v>
      </c>
      <c r="C168" s="3">
        <v>42532</v>
      </c>
      <c r="E168" t="s">
        <v>6</v>
      </c>
    </row>
    <row r="169" spans="1:5" x14ac:dyDescent="0.25">
      <c r="A169" t="s">
        <v>11</v>
      </c>
      <c r="B169">
        <v>1217</v>
      </c>
      <c r="C169" s="3">
        <v>42532</v>
      </c>
      <c r="E169" t="s">
        <v>6</v>
      </c>
    </row>
    <row r="170" spans="1:5" x14ac:dyDescent="0.25">
      <c r="A170" t="s">
        <v>11</v>
      </c>
      <c r="B170">
        <v>1216</v>
      </c>
      <c r="C170" s="3">
        <v>42532</v>
      </c>
      <c r="E170" t="s">
        <v>6</v>
      </c>
    </row>
    <row r="171" spans="1:5" x14ac:dyDescent="0.25">
      <c r="A171" t="s">
        <v>11</v>
      </c>
      <c r="B171">
        <v>1215</v>
      </c>
      <c r="C171" s="3">
        <v>42532</v>
      </c>
      <c r="E171" t="s">
        <v>6</v>
      </c>
    </row>
    <row r="172" spans="1:5" x14ac:dyDescent="0.25">
      <c r="A172" t="s">
        <v>11</v>
      </c>
      <c r="B172">
        <v>1214</v>
      </c>
      <c r="C172" s="3">
        <v>42532</v>
      </c>
      <c r="E172" t="s">
        <v>6</v>
      </c>
    </row>
    <row r="173" spans="1:5" x14ac:dyDescent="0.25">
      <c r="A173" t="s">
        <v>11</v>
      </c>
      <c r="B173">
        <v>1213</v>
      </c>
      <c r="C173" s="3">
        <v>42532</v>
      </c>
      <c r="E173" t="s">
        <v>6</v>
      </c>
    </row>
    <row r="174" spans="1:5" x14ac:dyDescent="0.25">
      <c r="A174" t="s">
        <v>11</v>
      </c>
      <c r="B174">
        <v>1212</v>
      </c>
      <c r="C174" s="3">
        <v>42532</v>
      </c>
      <c r="E174" t="s">
        <v>6</v>
      </c>
    </row>
    <row r="175" spans="1:5" x14ac:dyDescent="0.25">
      <c r="A175" t="s">
        <v>11</v>
      </c>
      <c r="B175">
        <v>1211</v>
      </c>
      <c r="C175" s="3">
        <v>42532</v>
      </c>
      <c r="D175" t="s">
        <v>14</v>
      </c>
      <c r="E175" t="s">
        <v>41</v>
      </c>
    </row>
    <row r="176" spans="1:5" x14ac:dyDescent="0.25">
      <c r="A176" t="s">
        <v>11</v>
      </c>
      <c r="B176">
        <v>1210</v>
      </c>
      <c r="C176" s="3">
        <v>42532</v>
      </c>
      <c r="E176" t="s">
        <v>6</v>
      </c>
    </row>
    <row r="177" spans="1:5" x14ac:dyDescent="0.25">
      <c r="A177" t="s">
        <v>11</v>
      </c>
      <c r="B177">
        <v>1209</v>
      </c>
      <c r="C177" s="3">
        <v>42532</v>
      </c>
      <c r="D177" t="s">
        <v>12</v>
      </c>
      <c r="E177" t="s">
        <v>41</v>
      </c>
    </row>
    <row r="178" spans="1:5" x14ac:dyDescent="0.25">
      <c r="A178" t="s">
        <v>11</v>
      </c>
      <c r="B178">
        <v>1208</v>
      </c>
      <c r="C178" s="3">
        <v>42532</v>
      </c>
      <c r="E178" t="s">
        <v>6</v>
      </c>
    </row>
    <row r="179" spans="1:5" x14ac:dyDescent="0.25">
      <c r="A179" t="s">
        <v>11</v>
      </c>
      <c r="B179">
        <v>1207</v>
      </c>
      <c r="C179" s="3">
        <v>42532</v>
      </c>
      <c r="E179" t="s">
        <v>6</v>
      </c>
    </row>
    <row r="180" spans="1:5" x14ac:dyDescent="0.25">
      <c r="A180" t="s">
        <v>11</v>
      </c>
      <c r="B180">
        <v>1205</v>
      </c>
      <c r="C180" s="3">
        <v>42532</v>
      </c>
      <c r="E180" t="s">
        <v>6</v>
      </c>
    </row>
    <row r="181" spans="1:5" x14ac:dyDescent="0.25">
      <c r="A181" t="s">
        <v>11</v>
      </c>
      <c r="B181">
        <v>1204</v>
      </c>
      <c r="C181" s="3">
        <v>42532</v>
      </c>
      <c r="D181" t="s">
        <v>19</v>
      </c>
      <c r="E181" t="s">
        <v>5</v>
      </c>
    </row>
    <row r="182" spans="1:5" x14ac:dyDescent="0.25">
      <c r="A182" t="s">
        <v>11</v>
      </c>
      <c r="B182">
        <v>1203</v>
      </c>
      <c r="C182" s="3">
        <v>42532</v>
      </c>
      <c r="D182" t="s">
        <v>15</v>
      </c>
      <c r="E182" t="s">
        <v>41</v>
      </c>
    </row>
    <row r="183" spans="1:5" x14ac:dyDescent="0.25">
      <c r="A183" t="s">
        <v>11</v>
      </c>
      <c r="B183">
        <v>1200</v>
      </c>
      <c r="C183" s="3">
        <v>42532</v>
      </c>
      <c r="D183" t="s">
        <v>45</v>
      </c>
      <c r="E183" t="s">
        <v>6</v>
      </c>
    </row>
    <row r="184" spans="1:5" x14ac:dyDescent="0.25">
      <c r="A184" t="s">
        <v>11</v>
      </c>
      <c r="B184">
        <v>1202</v>
      </c>
      <c r="C184" s="3">
        <v>42532</v>
      </c>
      <c r="D184" t="s">
        <v>14</v>
      </c>
      <c r="E184" t="s">
        <v>41</v>
      </c>
    </row>
    <row r="185" spans="1:5" x14ac:dyDescent="0.25">
      <c r="A185" t="s">
        <v>11</v>
      </c>
      <c r="B185">
        <v>1201</v>
      </c>
      <c r="C185" s="3">
        <v>42532</v>
      </c>
      <c r="E185" t="s">
        <v>6</v>
      </c>
    </row>
    <row r="186" spans="1:5" x14ac:dyDescent="0.25">
      <c r="A186" t="s">
        <v>11</v>
      </c>
      <c r="B186">
        <v>1207</v>
      </c>
      <c r="C186" s="3">
        <v>42531</v>
      </c>
      <c r="E186" t="s">
        <v>6</v>
      </c>
    </row>
    <row r="187" spans="1:5" x14ac:dyDescent="0.25">
      <c r="A187" t="s">
        <v>11</v>
      </c>
      <c r="B187">
        <v>1203</v>
      </c>
      <c r="C187" s="3">
        <v>42531</v>
      </c>
      <c r="E187" t="s">
        <v>6</v>
      </c>
    </row>
    <row r="188" spans="1:5" x14ac:dyDescent="0.25">
      <c r="A188" t="s">
        <v>11</v>
      </c>
      <c r="B188">
        <v>1205</v>
      </c>
      <c r="C188" s="3">
        <v>42531</v>
      </c>
      <c r="E188" t="s">
        <v>6</v>
      </c>
    </row>
    <row r="189" spans="1:5" x14ac:dyDescent="0.25">
      <c r="A189" t="s">
        <v>11</v>
      </c>
      <c r="B189">
        <v>1202</v>
      </c>
      <c r="C189" s="3">
        <v>42531</v>
      </c>
      <c r="E189" t="s">
        <v>6</v>
      </c>
    </row>
    <row r="190" spans="1:5" x14ac:dyDescent="0.25">
      <c r="A190" t="s">
        <v>11</v>
      </c>
      <c r="B190">
        <v>1204</v>
      </c>
      <c r="C190" s="3">
        <v>42531</v>
      </c>
      <c r="E190" t="s">
        <v>6</v>
      </c>
    </row>
    <row r="191" spans="1:5" x14ac:dyDescent="0.25">
      <c r="A191" t="s">
        <v>11</v>
      </c>
      <c r="B191">
        <v>1203</v>
      </c>
      <c r="C191" s="3">
        <v>42531</v>
      </c>
      <c r="E191" t="s">
        <v>6</v>
      </c>
    </row>
    <row r="192" spans="1:5" x14ac:dyDescent="0.25">
      <c r="A192" t="s">
        <v>11</v>
      </c>
      <c r="B192">
        <v>1202</v>
      </c>
      <c r="C192" s="3">
        <v>42531</v>
      </c>
      <c r="E192" t="s">
        <v>6</v>
      </c>
    </row>
    <row r="193" spans="1:5" x14ac:dyDescent="0.25">
      <c r="A193" t="s">
        <v>11</v>
      </c>
      <c r="B193">
        <v>1201</v>
      </c>
      <c r="C193" s="3">
        <v>42531</v>
      </c>
      <c r="E193" t="s">
        <v>6</v>
      </c>
    </row>
    <row r="194" spans="1:5" x14ac:dyDescent="0.25">
      <c r="A194" t="s">
        <v>11</v>
      </c>
      <c r="B194">
        <v>1201</v>
      </c>
      <c r="C194" s="3">
        <v>42531</v>
      </c>
      <c r="D194" t="s">
        <v>19</v>
      </c>
      <c r="E194" t="s">
        <v>41</v>
      </c>
    </row>
    <row r="195" spans="1:5" x14ac:dyDescent="0.25">
      <c r="A195" t="s">
        <v>11</v>
      </c>
      <c r="B195">
        <v>1203</v>
      </c>
      <c r="C195" s="3">
        <v>42531</v>
      </c>
      <c r="D195" t="s">
        <v>17</v>
      </c>
      <c r="E195" t="s">
        <v>41</v>
      </c>
    </row>
    <row r="196" spans="1:5" x14ac:dyDescent="0.25">
      <c r="A196" t="s">
        <v>11</v>
      </c>
      <c r="B196">
        <v>1202</v>
      </c>
      <c r="C196" s="3">
        <v>42531</v>
      </c>
      <c r="E196" t="s">
        <v>5</v>
      </c>
    </row>
    <row r="197" spans="1:5" x14ac:dyDescent="0.25">
      <c r="A197" t="s">
        <v>11</v>
      </c>
      <c r="B197">
        <v>1201</v>
      </c>
      <c r="C197" s="3">
        <v>42531</v>
      </c>
      <c r="D197" t="s">
        <v>12</v>
      </c>
      <c r="E197" t="s">
        <v>41</v>
      </c>
    </row>
    <row r="198" spans="1:5" x14ac:dyDescent="0.25">
      <c r="A198" t="s">
        <v>11</v>
      </c>
      <c r="B198">
        <v>1204</v>
      </c>
      <c r="C198" s="3">
        <v>42530</v>
      </c>
      <c r="E198" t="s">
        <v>6</v>
      </c>
    </row>
    <row r="199" spans="1:5" x14ac:dyDescent="0.25">
      <c r="A199" t="s">
        <v>11</v>
      </c>
      <c r="B199">
        <v>1207</v>
      </c>
      <c r="C199" s="3">
        <v>42530</v>
      </c>
      <c r="E199" t="s">
        <v>41</v>
      </c>
    </row>
    <row r="200" spans="1:5" x14ac:dyDescent="0.25">
      <c r="A200" t="s">
        <v>11</v>
      </c>
      <c r="B200">
        <v>1205</v>
      </c>
      <c r="C200" s="3">
        <v>42530</v>
      </c>
      <c r="E200" t="s">
        <v>6</v>
      </c>
    </row>
    <row r="201" spans="1:5" x14ac:dyDescent="0.25">
      <c r="A201" t="s">
        <v>11</v>
      </c>
      <c r="B201">
        <v>1204</v>
      </c>
      <c r="C201" s="3">
        <v>42530</v>
      </c>
      <c r="E201" t="s">
        <v>6</v>
      </c>
    </row>
    <row r="202" spans="1:5" x14ac:dyDescent="0.25">
      <c r="A202" t="s">
        <v>11</v>
      </c>
      <c r="B202">
        <v>1203</v>
      </c>
      <c r="C202" s="3">
        <v>42530</v>
      </c>
      <c r="E202" t="s">
        <v>6</v>
      </c>
    </row>
    <row r="203" spans="1:5" x14ac:dyDescent="0.25">
      <c r="A203" t="s">
        <v>11</v>
      </c>
      <c r="B203">
        <v>1201</v>
      </c>
      <c r="C203" s="3">
        <v>42530</v>
      </c>
      <c r="E203" t="s">
        <v>6</v>
      </c>
    </row>
    <row r="204" spans="1:5" x14ac:dyDescent="0.25">
      <c r="A204" t="s">
        <v>11</v>
      </c>
      <c r="B204">
        <v>1202</v>
      </c>
      <c r="C204" s="3">
        <v>42530</v>
      </c>
      <c r="E204" t="s">
        <v>6</v>
      </c>
    </row>
    <row r="205" spans="1:5" x14ac:dyDescent="0.25">
      <c r="A205" t="s">
        <v>11</v>
      </c>
      <c r="B205">
        <v>1201</v>
      </c>
      <c r="C205" s="3">
        <v>42530</v>
      </c>
      <c r="E205" t="s">
        <v>6</v>
      </c>
    </row>
    <row r="206" spans="1:5" x14ac:dyDescent="0.25">
      <c r="A206" t="s">
        <v>11</v>
      </c>
      <c r="B206">
        <v>1204</v>
      </c>
      <c r="C206" s="3">
        <v>42530</v>
      </c>
      <c r="D206" t="s">
        <v>20</v>
      </c>
      <c r="E206" t="s">
        <v>41</v>
      </c>
    </row>
    <row r="207" spans="1:5" x14ac:dyDescent="0.25">
      <c r="A207" t="s">
        <v>11</v>
      </c>
      <c r="B207">
        <v>1203</v>
      </c>
      <c r="C207" s="3">
        <v>42530</v>
      </c>
      <c r="E207" t="s">
        <v>6</v>
      </c>
    </row>
    <row r="208" spans="1:5" x14ac:dyDescent="0.25">
      <c r="A208" t="s">
        <v>11</v>
      </c>
      <c r="B208">
        <v>1202</v>
      </c>
      <c r="C208" s="3">
        <v>42530</v>
      </c>
      <c r="D208" t="s">
        <v>15</v>
      </c>
      <c r="E208" t="s">
        <v>41</v>
      </c>
    </row>
    <row r="209" spans="1:5" x14ac:dyDescent="0.25">
      <c r="A209" t="s">
        <v>11</v>
      </c>
      <c r="B209">
        <v>1201</v>
      </c>
      <c r="C209" s="3">
        <v>42530</v>
      </c>
      <c r="E209" t="s">
        <v>6</v>
      </c>
    </row>
    <row r="210" spans="1:5" x14ac:dyDescent="0.25">
      <c r="A210" t="s">
        <v>11</v>
      </c>
      <c r="B210">
        <v>1205</v>
      </c>
      <c r="C210" s="3">
        <v>42529</v>
      </c>
      <c r="E210" t="s">
        <v>6</v>
      </c>
    </row>
    <row r="211" spans="1:5" x14ac:dyDescent="0.25">
      <c r="A211" t="s">
        <v>11</v>
      </c>
      <c r="B211">
        <v>1204</v>
      </c>
      <c r="C211" s="3">
        <v>42529</v>
      </c>
      <c r="E211" t="s">
        <v>41</v>
      </c>
    </row>
    <row r="212" spans="1:5" x14ac:dyDescent="0.25">
      <c r="A212" t="s">
        <v>11</v>
      </c>
      <c r="B212">
        <v>1203</v>
      </c>
      <c r="C212" s="3">
        <v>42529</v>
      </c>
      <c r="E212" t="s">
        <v>6</v>
      </c>
    </row>
    <row r="213" spans="1:5" x14ac:dyDescent="0.25">
      <c r="A213" t="s">
        <v>11</v>
      </c>
      <c r="B213">
        <v>1202</v>
      </c>
      <c r="C213" s="3">
        <v>42529</v>
      </c>
      <c r="E213" t="s">
        <v>6</v>
      </c>
    </row>
    <row r="214" spans="1:5" x14ac:dyDescent="0.25">
      <c r="A214" t="s">
        <v>11</v>
      </c>
      <c r="B214">
        <v>1201</v>
      </c>
      <c r="C214" s="3">
        <v>42529</v>
      </c>
      <c r="E214" t="s">
        <v>6</v>
      </c>
    </row>
    <row r="215" spans="1:5" x14ac:dyDescent="0.25">
      <c r="A215" t="s">
        <v>11</v>
      </c>
      <c r="B215">
        <v>1202</v>
      </c>
      <c r="C215" s="3">
        <v>42529</v>
      </c>
      <c r="D215" t="s">
        <v>15</v>
      </c>
      <c r="E215" t="s">
        <v>41</v>
      </c>
    </row>
    <row r="216" spans="1:5" x14ac:dyDescent="0.25">
      <c r="A216" t="s">
        <v>11</v>
      </c>
      <c r="B216">
        <v>1201</v>
      </c>
      <c r="C216" s="3">
        <v>42529</v>
      </c>
      <c r="D216" t="s">
        <v>31</v>
      </c>
      <c r="E216" t="s">
        <v>41</v>
      </c>
    </row>
    <row r="217" spans="1:5" x14ac:dyDescent="0.25">
      <c r="A217" t="s">
        <v>11</v>
      </c>
      <c r="B217">
        <v>1201</v>
      </c>
      <c r="C217" s="3">
        <v>42526</v>
      </c>
      <c r="E217" t="s">
        <v>6</v>
      </c>
    </row>
    <row r="218" spans="1:5" x14ac:dyDescent="0.25">
      <c r="A218" t="s">
        <v>11</v>
      </c>
      <c r="B218">
        <v>1204</v>
      </c>
      <c r="C218" s="3">
        <v>42526</v>
      </c>
      <c r="E218" t="s">
        <v>6</v>
      </c>
    </row>
    <row r="219" spans="1:5" x14ac:dyDescent="0.25">
      <c r="A219" t="s">
        <v>11</v>
      </c>
      <c r="B219">
        <v>1208</v>
      </c>
      <c r="C219" s="3">
        <v>42526</v>
      </c>
      <c r="E219" t="s">
        <v>6</v>
      </c>
    </row>
    <row r="220" spans="1:5" x14ac:dyDescent="0.25">
      <c r="A220" t="s">
        <v>11</v>
      </c>
      <c r="B220">
        <v>1209</v>
      </c>
      <c r="C220" s="3">
        <v>42526</v>
      </c>
      <c r="E220" t="s">
        <v>6</v>
      </c>
    </row>
    <row r="221" spans="1:5" x14ac:dyDescent="0.25">
      <c r="A221" t="s">
        <v>11</v>
      </c>
      <c r="B221">
        <v>1203</v>
      </c>
      <c r="C221" s="3">
        <v>42526</v>
      </c>
      <c r="E221" t="s">
        <v>6</v>
      </c>
    </row>
    <row r="222" spans="1:5" x14ac:dyDescent="0.25">
      <c r="A222" t="s">
        <v>11</v>
      </c>
      <c r="B222">
        <v>1201</v>
      </c>
      <c r="C222" s="3">
        <v>42526</v>
      </c>
      <c r="E222" t="s">
        <v>6</v>
      </c>
    </row>
    <row r="223" spans="1:5" x14ac:dyDescent="0.25">
      <c r="A223" t="s">
        <v>11</v>
      </c>
      <c r="B223">
        <v>1202</v>
      </c>
      <c r="C223" s="3">
        <v>42526</v>
      </c>
      <c r="E223" t="s">
        <v>6</v>
      </c>
    </row>
    <row r="224" spans="1:5" x14ac:dyDescent="0.25">
      <c r="A224" t="s">
        <v>11</v>
      </c>
      <c r="B224">
        <v>1201</v>
      </c>
      <c r="C224" s="3">
        <v>42526</v>
      </c>
      <c r="E224" t="s">
        <v>6</v>
      </c>
    </row>
    <row r="225" spans="1:5" x14ac:dyDescent="0.25">
      <c r="A225" t="s">
        <v>11</v>
      </c>
      <c r="B225">
        <v>1209</v>
      </c>
      <c r="C225" s="3">
        <v>42526</v>
      </c>
      <c r="E225" t="s">
        <v>6</v>
      </c>
    </row>
    <row r="226" spans="1:5" x14ac:dyDescent="0.25">
      <c r="A226" t="s">
        <v>11</v>
      </c>
      <c r="B226">
        <v>1208</v>
      </c>
      <c r="C226" s="3">
        <v>42526</v>
      </c>
      <c r="D226" t="s">
        <v>46</v>
      </c>
      <c r="E226" t="s">
        <v>41</v>
      </c>
    </row>
    <row r="227" spans="1:5" x14ac:dyDescent="0.25">
      <c r="A227" t="s">
        <v>11</v>
      </c>
      <c r="B227">
        <v>1207</v>
      </c>
      <c r="C227" s="3">
        <v>42526</v>
      </c>
      <c r="E227" t="s">
        <v>6</v>
      </c>
    </row>
    <row r="228" spans="1:5" x14ac:dyDescent="0.25">
      <c r="A228" t="s">
        <v>11</v>
      </c>
      <c r="B228">
        <v>1205</v>
      </c>
      <c r="C228" s="3">
        <v>42526</v>
      </c>
      <c r="E228" t="s">
        <v>6</v>
      </c>
    </row>
    <row r="229" spans="1:5" x14ac:dyDescent="0.25">
      <c r="A229" t="s">
        <v>11</v>
      </c>
      <c r="B229">
        <v>1204</v>
      </c>
      <c r="C229" s="3">
        <v>42526</v>
      </c>
      <c r="D229" t="s">
        <v>47</v>
      </c>
      <c r="E229" t="s">
        <v>41</v>
      </c>
    </row>
    <row r="230" spans="1:5" x14ac:dyDescent="0.25">
      <c r="A230" t="s">
        <v>11</v>
      </c>
      <c r="B230">
        <v>1203</v>
      </c>
      <c r="C230" s="3">
        <v>42526</v>
      </c>
      <c r="D230" t="s">
        <v>48</v>
      </c>
      <c r="E230" t="s">
        <v>41</v>
      </c>
    </row>
    <row r="231" spans="1:5" x14ac:dyDescent="0.25">
      <c r="A231" t="s">
        <v>11</v>
      </c>
      <c r="B231">
        <v>1202</v>
      </c>
      <c r="C231" s="3">
        <v>42526</v>
      </c>
      <c r="D231" t="s">
        <v>49</v>
      </c>
      <c r="E231" t="s">
        <v>41</v>
      </c>
    </row>
    <row r="232" spans="1:5" x14ac:dyDescent="0.25">
      <c r="A232" t="s">
        <v>11</v>
      </c>
      <c r="B232">
        <v>1201</v>
      </c>
      <c r="C232" s="3">
        <v>42526</v>
      </c>
      <c r="E232" t="s">
        <v>6</v>
      </c>
    </row>
    <row r="233" spans="1:5" x14ac:dyDescent="0.25">
      <c r="A233" t="s">
        <v>11</v>
      </c>
      <c r="B233">
        <v>1205</v>
      </c>
      <c r="C233" s="3">
        <v>42525</v>
      </c>
      <c r="E233" t="s">
        <v>5</v>
      </c>
    </row>
    <row r="234" spans="1:5" x14ac:dyDescent="0.25">
      <c r="A234" t="s">
        <v>11</v>
      </c>
      <c r="B234">
        <v>1204</v>
      </c>
      <c r="C234" s="3">
        <v>42525</v>
      </c>
      <c r="E234" t="s">
        <v>5</v>
      </c>
    </row>
    <row r="235" spans="1:5" x14ac:dyDescent="0.25">
      <c r="A235" t="s">
        <v>11</v>
      </c>
      <c r="B235">
        <v>1202</v>
      </c>
      <c r="C235" s="3">
        <v>42525</v>
      </c>
      <c r="E235" t="s">
        <v>5</v>
      </c>
    </row>
    <row r="236" spans="1:5" x14ac:dyDescent="0.25">
      <c r="A236" t="s">
        <v>11</v>
      </c>
      <c r="B236">
        <v>1201</v>
      </c>
      <c r="C236" s="3">
        <v>42525</v>
      </c>
      <c r="E236" t="s">
        <v>6</v>
      </c>
    </row>
    <row r="237" spans="1:5" x14ac:dyDescent="0.25">
      <c r="A237" t="s">
        <v>11</v>
      </c>
      <c r="B237">
        <v>1210</v>
      </c>
      <c r="C237" s="3">
        <v>42525</v>
      </c>
      <c r="E237" t="s">
        <v>5</v>
      </c>
    </row>
    <row r="238" spans="1:5" x14ac:dyDescent="0.25">
      <c r="A238" t="s">
        <v>11</v>
      </c>
      <c r="B238">
        <v>1209</v>
      </c>
      <c r="C238" s="3">
        <v>42525</v>
      </c>
      <c r="E238" t="s">
        <v>5</v>
      </c>
    </row>
    <row r="239" spans="1:5" x14ac:dyDescent="0.25">
      <c r="A239" t="s">
        <v>11</v>
      </c>
      <c r="B239">
        <v>1208</v>
      </c>
      <c r="C239" s="3">
        <v>42525</v>
      </c>
      <c r="E239" t="s">
        <v>5</v>
      </c>
    </row>
    <row r="240" spans="1:5" x14ac:dyDescent="0.25">
      <c r="A240" t="s">
        <v>11</v>
      </c>
      <c r="B240">
        <v>1207</v>
      </c>
      <c r="C240" s="3">
        <v>42525</v>
      </c>
      <c r="E240" t="s">
        <v>5</v>
      </c>
    </row>
    <row r="241" spans="1:5" x14ac:dyDescent="0.25">
      <c r="A241" t="s">
        <v>11</v>
      </c>
      <c r="B241">
        <v>1205</v>
      </c>
      <c r="C241" s="3">
        <v>42525</v>
      </c>
      <c r="E241" t="s">
        <v>5</v>
      </c>
    </row>
    <row r="242" spans="1:5" x14ac:dyDescent="0.25">
      <c r="A242" t="s">
        <v>11</v>
      </c>
      <c r="B242">
        <v>1204</v>
      </c>
      <c r="C242" s="3">
        <v>42525</v>
      </c>
      <c r="E242" t="s">
        <v>5</v>
      </c>
    </row>
    <row r="243" spans="1:5" x14ac:dyDescent="0.25">
      <c r="A243" t="s">
        <v>11</v>
      </c>
      <c r="B243">
        <v>1203</v>
      </c>
      <c r="C243" s="3">
        <v>42525</v>
      </c>
      <c r="E243" t="s">
        <v>5</v>
      </c>
    </row>
    <row r="244" spans="1:5" x14ac:dyDescent="0.25">
      <c r="A244" t="s">
        <v>11</v>
      </c>
      <c r="B244">
        <v>1202</v>
      </c>
      <c r="C244" s="3">
        <v>42525</v>
      </c>
      <c r="E244" t="s">
        <v>5</v>
      </c>
    </row>
    <row r="245" spans="1:5" x14ac:dyDescent="0.25">
      <c r="A245" t="s">
        <v>11</v>
      </c>
      <c r="B245">
        <v>1201</v>
      </c>
      <c r="C245" s="3">
        <v>42525</v>
      </c>
      <c r="E245" t="s">
        <v>5</v>
      </c>
    </row>
    <row r="246" spans="1:5" x14ac:dyDescent="0.25">
      <c r="A246" t="s">
        <v>11</v>
      </c>
      <c r="B246">
        <v>1208</v>
      </c>
      <c r="C246" s="3">
        <v>42524</v>
      </c>
      <c r="E246" t="s">
        <v>6</v>
      </c>
    </row>
    <row r="247" spans="1:5" x14ac:dyDescent="0.25">
      <c r="A247" t="s">
        <v>11</v>
      </c>
      <c r="B247">
        <v>1207</v>
      </c>
      <c r="C247" s="3">
        <v>42524</v>
      </c>
      <c r="E247" t="s">
        <v>6</v>
      </c>
    </row>
    <row r="248" spans="1:5" x14ac:dyDescent="0.25">
      <c r="A248" t="s">
        <v>11</v>
      </c>
      <c r="B248">
        <v>1201</v>
      </c>
      <c r="C248" s="3">
        <v>42524</v>
      </c>
      <c r="E248" t="s">
        <v>6</v>
      </c>
    </row>
    <row r="249" spans="1:5" x14ac:dyDescent="0.25">
      <c r="A249" t="s">
        <v>11</v>
      </c>
      <c r="B249">
        <v>1205</v>
      </c>
      <c r="C249" s="3">
        <v>42524</v>
      </c>
      <c r="E249" t="s">
        <v>6</v>
      </c>
    </row>
    <row r="250" spans="1:5" x14ac:dyDescent="0.25">
      <c r="A250" t="s">
        <v>11</v>
      </c>
      <c r="B250">
        <v>1204</v>
      </c>
      <c r="C250" s="3">
        <v>42524</v>
      </c>
      <c r="E250" t="s">
        <v>6</v>
      </c>
    </row>
    <row r="251" spans="1:5" x14ac:dyDescent="0.25">
      <c r="A251" t="s">
        <v>11</v>
      </c>
      <c r="B251">
        <v>1203</v>
      </c>
      <c r="C251" s="3">
        <v>42524</v>
      </c>
      <c r="E251" t="s">
        <v>6</v>
      </c>
    </row>
    <row r="252" spans="1:5" x14ac:dyDescent="0.25">
      <c r="A252" t="s">
        <v>11</v>
      </c>
      <c r="B252">
        <v>1202</v>
      </c>
      <c r="C252" s="3">
        <v>42524</v>
      </c>
      <c r="E252" t="s">
        <v>6</v>
      </c>
    </row>
    <row r="253" spans="1:5" x14ac:dyDescent="0.25">
      <c r="A253" t="s">
        <v>11</v>
      </c>
      <c r="B253">
        <v>1201</v>
      </c>
      <c r="C253" s="3">
        <v>42524</v>
      </c>
      <c r="E253" t="s">
        <v>6</v>
      </c>
    </row>
    <row r="254" spans="1:5" x14ac:dyDescent="0.25">
      <c r="A254" t="s">
        <v>11</v>
      </c>
      <c r="B254">
        <v>1201</v>
      </c>
      <c r="C254" s="3">
        <v>42524</v>
      </c>
      <c r="D254" t="s">
        <v>13</v>
      </c>
      <c r="E254" t="s">
        <v>41</v>
      </c>
    </row>
    <row r="255" spans="1:5" x14ac:dyDescent="0.25">
      <c r="A255" t="s">
        <v>11</v>
      </c>
      <c r="B255">
        <v>1204</v>
      </c>
      <c r="C255" s="3">
        <v>42523</v>
      </c>
      <c r="D255" t="s">
        <v>12</v>
      </c>
      <c r="E255" t="s">
        <v>41</v>
      </c>
    </row>
    <row r="256" spans="1:5" x14ac:dyDescent="0.25">
      <c r="A256" t="s">
        <v>11</v>
      </c>
      <c r="B256">
        <v>1201</v>
      </c>
      <c r="C256" s="3">
        <v>42523</v>
      </c>
      <c r="E256" t="s">
        <v>6</v>
      </c>
    </row>
    <row r="257" spans="1:5" x14ac:dyDescent="0.25">
      <c r="A257" t="s">
        <v>11</v>
      </c>
      <c r="B257">
        <v>1203</v>
      </c>
      <c r="C257" s="3">
        <v>42523</v>
      </c>
      <c r="E257" t="s">
        <v>6</v>
      </c>
    </row>
    <row r="258" spans="1:5" x14ac:dyDescent="0.25">
      <c r="A258" t="s">
        <v>11</v>
      </c>
      <c r="B258">
        <v>1202</v>
      </c>
      <c r="C258" s="3">
        <v>42523</v>
      </c>
      <c r="D258" t="s">
        <v>17</v>
      </c>
      <c r="E258" t="s">
        <v>41</v>
      </c>
    </row>
    <row r="259" spans="1:5" x14ac:dyDescent="0.25">
      <c r="A259" t="s">
        <v>11</v>
      </c>
      <c r="B259">
        <v>1201</v>
      </c>
      <c r="C259" s="3">
        <v>42523</v>
      </c>
      <c r="D259" t="s">
        <v>20</v>
      </c>
      <c r="E259" t="s">
        <v>41</v>
      </c>
    </row>
    <row r="260" spans="1:5" x14ac:dyDescent="0.25">
      <c r="A260" t="s">
        <v>11</v>
      </c>
      <c r="B260">
        <v>1201</v>
      </c>
      <c r="C260" s="3">
        <v>42523</v>
      </c>
      <c r="E260" t="s">
        <v>6</v>
      </c>
    </row>
    <row r="261" spans="1:5" x14ac:dyDescent="0.25">
      <c r="A261" t="s">
        <v>11</v>
      </c>
      <c r="B261">
        <v>1203</v>
      </c>
      <c r="C261" s="3">
        <v>42522</v>
      </c>
      <c r="D261" t="s">
        <v>31</v>
      </c>
      <c r="E261" t="s">
        <v>41</v>
      </c>
    </row>
    <row r="262" spans="1:5" x14ac:dyDescent="0.25">
      <c r="A262" t="s">
        <v>11</v>
      </c>
      <c r="B262">
        <v>1202</v>
      </c>
      <c r="C262" s="3">
        <v>42522</v>
      </c>
      <c r="D262" t="s">
        <v>13</v>
      </c>
      <c r="E262" t="s">
        <v>41</v>
      </c>
    </row>
    <row r="263" spans="1:5" x14ac:dyDescent="0.25">
      <c r="A263" t="s">
        <v>11</v>
      </c>
      <c r="B263">
        <v>1201</v>
      </c>
      <c r="C263" s="3">
        <v>42522</v>
      </c>
      <c r="D263" t="s">
        <v>17</v>
      </c>
      <c r="E263" t="s">
        <v>41</v>
      </c>
    </row>
  </sheetData>
  <sheetProtection algorithmName="SHA-512" hashValue="tMTigb9+BruC+bEyKVhRK6ExHabC7+gYMebO3DeANXqWyOql4zdVMFW8MifRCJVZctdBqotBGVg5ClngybjSyA==" saltValue="FnJDKq71dqnWFmn6NUxvcA==" spinCount="100000" sheet="1" objects="1" scenarios="1"/>
  <sortState ref="A2:E263">
    <sortCondition descending="1" ref="C1:C104857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70C0"/>
  </sheetPr>
  <dimension ref="A1:L242"/>
  <sheetViews>
    <sheetView workbookViewId="0">
      <selection activeCell="L1" sqref="L1"/>
    </sheetView>
  </sheetViews>
  <sheetFormatPr defaultRowHeight="15" x14ac:dyDescent="0.25"/>
  <cols>
    <col min="1" max="1" width="7.7109375" bestFit="1" customWidth="1"/>
    <col min="2" max="2" width="7.28515625" bestFit="1" customWidth="1"/>
    <col min="3" max="3" width="24" style="3" bestFit="1" customWidth="1"/>
    <col min="4" max="4" width="16" bestFit="1" customWidth="1"/>
    <col min="5" max="5" width="9.85546875" bestFit="1" customWidth="1"/>
    <col min="7" max="7" width="24" style="3" bestFit="1" customWidth="1"/>
    <col min="8" max="8" width="3" bestFit="1" customWidth="1"/>
    <col min="9" max="9" width="4" bestFit="1" customWidth="1"/>
    <col min="10" max="10" width="9.85546875" bestFit="1" customWidth="1"/>
    <col min="11" max="11" width="4.5703125" bestFit="1" customWidth="1"/>
    <col min="12" max="12" width="6.5703125" bestFit="1" customWidth="1"/>
  </cols>
  <sheetData>
    <row r="1" spans="1:12" x14ac:dyDescent="0.25">
      <c r="A1" s="6" t="s">
        <v>11</v>
      </c>
      <c r="B1" s="1" t="s">
        <v>2</v>
      </c>
      <c r="C1" s="2" t="s">
        <v>1</v>
      </c>
      <c r="D1" s="1" t="s">
        <v>3</v>
      </c>
      <c r="E1" s="1" t="s">
        <v>0</v>
      </c>
      <c r="F1" s="1"/>
      <c r="G1" s="2" t="s">
        <v>4</v>
      </c>
      <c r="H1" s="1" t="s">
        <v>5</v>
      </c>
      <c r="I1" s="1" t="s">
        <v>6</v>
      </c>
      <c r="J1" s="1" t="s">
        <v>8</v>
      </c>
      <c r="K1" s="1" t="s">
        <v>7</v>
      </c>
      <c r="L1" s="1" t="s">
        <v>10</v>
      </c>
    </row>
    <row r="2" spans="1:12" x14ac:dyDescent="0.25">
      <c r="A2" t="s">
        <v>11</v>
      </c>
      <c r="B2">
        <v>1203</v>
      </c>
      <c r="C2" s="3">
        <v>42516</v>
      </c>
      <c r="E2" t="s">
        <v>5</v>
      </c>
      <c r="G2" s="3">
        <v>42491</v>
      </c>
      <c r="H2">
        <f>COUNTIFS($E:$E,"P",$C:$C,$G2)</f>
        <v>0</v>
      </c>
      <c r="I2">
        <f>COUNTIFS($E:$E,"VIP",$C:$C,$G2)</f>
        <v>0</v>
      </c>
      <c r="J2">
        <f>COUNTIFS($E:$E,"RR Garage",$C:$C,$G2)</f>
        <v>0</v>
      </c>
      <c r="K2">
        <f>COUNTIFS($E:$E,"CAP",$C:$C,$G2)</f>
        <v>0</v>
      </c>
      <c r="L2">
        <f>SUM(H2:K2)</f>
        <v>0</v>
      </c>
    </row>
    <row r="3" spans="1:12" x14ac:dyDescent="0.25">
      <c r="A3" t="s">
        <v>11</v>
      </c>
      <c r="B3">
        <v>1201</v>
      </c>
      <c r="C3" s="3">
        <v>42516</v>
      </c>
      <c r="E3" t="s">
        <v>5</v>
      </c>
      <c r="G3" s="3">
        <v>42492</v>
      </c>
      <c r="H3">
        <f>COUNTIFS($E:$E,"P",$C:$C,$G3)</f>
        <v>0</v>
      </c>
      <c r="I3">
        <f>COUNTIFS($E:$E,"VIP",$C:$C,$G3)</f>
        <v>0</v>
      </c>
      <c r="J3">
        <f>COUNTIFS($E:$E,"RR Garage",$C:$C,$G3)</f>
        <v>0</v>
      </c>
      <c r="K3">
        <f>COUNTIFS($E:$E,"CAP",$C:$C,$G3)</f>
        <v>0</v>
      </c>
      <c r="L3">
        <f>SUM(H3:K3)</f>
        <v>0</v>
      </c>
    </row>
    <row r="4" spans="1:12" x14ac:dyDescent="0.25">
      <c r="A4" t="s">
        <v>11</v>
      </c>
      <c r="B4">
        <v>1202</v>
      </c>
      <c r="C4" s="3">
        <v>42516</v>
      </c>
      <c r="E4" t="s">
        <v>5</v>
      </c>
      <c r="G4" s="3">
        <v>42493</v>
      </c>
      <c r="H4">
        <f>COUNTIFS($E:$E,"P",$C:$C,$G4)</f>
        <v>0</v>
      </c>
      <c r="I4">
        <f>COUNTIFS($E:$E,"VIP",$C:$C,$G4)</f>
        <v>0</v>
      </c>
      <c r="J4">
        <f>COUNTIFS($E:$E,"RR Garage",$C:$C,$G4)</f>
        <v>0</v>
      </c>
      <c r="K4">
        <f>COUNTIFS($E:$E,"CAP",$C:$C,$G4)</f>
        <v>0</v>
      </c>
      <c r="L4">
        <f>SUM(H4:K4)</f>
        <v>0</v>
      </c>
    </row>
    <row r="5" spans="1:12" x14ac:dyDescent="0.25">
      <c r="A5" t="s">
        <v>11</v>
      </c>
      <c r="B5">
        <v>1201</v>
      </c>
      <c r="C5" s="3">
        <v>42516</v>
      </c>
      <c r="E5" t="s">
        <v>6</v>
      </c>
      <c r="G5" s="3">
        <v>42494</v>
      </c>
      <c r="H5">
        <f>COUNTIFS($E:$E,"P",$C:$C,$G5)</f>
        <v>1</v>
      </c>
      <c r="I5">
        <f>COUNTIFS($E:$E,"VIP",$C:$C,$G5)</f>
        <v>1</v>
      </c>
      <c r="J5">
        <f>COUNTIFS($E:$E,"RR Garage",$C:$C,$G5)</f>
        <v>10</v>
      </c>
      <c r="K5">
        <f>COUNTIFS($E:$E,"CAP",$C:$C,$G5)</f>
        <v>0</v>
      </c>
      <c r="L5">
        <f>SUM(H5:K5)</f>
        <v>12</v>
      </c>
    </row>
    <row r="6" spans="1:12" x14ac:dyDescent="0.25">
      <c r="A6" t="s">
        <v>11</v>
      </c>
      <c r="B6">
        <v>1202</v>
      </c>
      <c r="C6" s="3">
        <v>42516</v>
      </c>
      <c r="E6" t="s">
        <v>6</v>
      </c>
      <c r="G6" s="3">
        <v>42495</v>
      </c>
      <c r="H6">
        <f>COUNTIFS($E:$E,"P",$C:$C,$G6)</f>
        <v>0</v>
      </c>
      <c r="I6">
        <f>COUNTIFS($E:$E,"VIP",$C:$C,$G6)</f>
        <v>1</v>
      </c>
      <c r="J6">
        <f>COUNTIFS($E:$E,"RR Garage",$C:$C,$G6)</f>
        <v>5</v>
      </c>
      <c r="K6">
        <f>COUNTIFS($E:$E,"CAP",$C:$C,$G6)</f>
        <v>0</v>
      </c>
      <c r="L6">
        <f>SUM(H6:K6)</f>
        <v>6</v>
      </c>
    </row>
    <row r="7" spans="1:12" x14ac:dyDescent="0.25">
      <c r="A7" t="s">
        <v>11</v>
      </c>
      <c r="B7">
        <v>1201</v>
      </c>
      <c r="C7" s="3">
        <v>42516</v>
      </c>
      <c r="E7" t="s">
        <v>6</v>
      </c>
      <c r="G7" s="3">
        <v>42496</v>
      </c>
      <c r="H7">
        <f>COUNTIFS($E:$E,"P",$C:$C,$G7)</f>
        <v>2</v>
      </c>
      <c r="I7">
        <f>COUNTIFS($E:$E,"VIP",$C:$C,$G7)</f>
        <v>5</v>
      </c>
      <c r="J7">
        <f>COUNTIFS($E:$E,"RR Garage",$C:$C,$G7)</f>
        <v>3</v>
      </c>
      <c r="K7">
        <f>COUNTIFS($E:$E,"CAP",$C:$C,$G7)</f>
        <v>0</v>
      </c>
      <c r="L7">
        <f>SUM(H7:K7)</f>
        <v>10</v>
      </c>
    </row>
    <row r="8" spans="1:12" x14ac:dyDescent="0.25">
      <c r="A8" t="s">
        <v>11</v>
      </c>
      <c r="B8">
        <v>1207</v>
      </c>
      <c r="C8" s="3">
        <v>42515</v>
      </c>
      <c r="E8" t="s">
        <v>6</v>
      </c>
      <c r="G8" s="3">
        <v>42497</v>
      </c>
      <c r="H8">
        <f>COUNTIFS($E:$E,"P",$C:$C,$G8)</f>
        <v>21</v>
      </c>
      <c r="I8">
        <f>COUNTIFS($E:$E,"VIP",$C:$C,$G8)</f>
        <v>0</v>
      </c>
      <c r="J8">
        <f>COUNTIFS($E:$E,"RR Garage",$C:$C,$G8)</f>
        <v>15</v>
      </c>
      <c r="K8">
        <f>COUNTIFS($E:$E,"CAP",$C:$C,$G8)</f>
        <v>0</v>
      </c>
      <c r="L8">
        <f>SUM(H8:K8)</f>
        <v>36</v>
      </c>
    </row>
    <row r="9" spans="1:12" x14ac:dyDescent="0.25">
      <c r="A9" t="s">
        <v>11</v>
      </c>
      <c r="B9">
        <v>1202</v>
      </c>
      <c r="C9" s="3">
        <v>42515</v>
      </c>
      <c r="D9" t="s">
        <v>12</v>
      </c>
      <c r="E9" t="s">
        <v>8</v>
      </c>
      <c r="G9" s="3">
        <v>42498</v>
      </c>
      <c r="H9">
        <f>COUNTIFS($E:$E,"P",$C:$C,$G9)</f>
        <v>15</v>
      </c>
      <c r="I9">
        <f>COUNTIFS($E:$E,"VIP",$C:$C,$G9)</f>
        <v>6</v>
      </c>
      <c r="J9">
        <f>COUNTIFS($E:$E,"RR Garage",$C:$C,$G9)</f>
        <v>10</v>
      </c>
      <c r="K9">
        <f>COUNTIFS($E:$E,"CAP",$C:$C,$G9)</f>
        <v>0</v>
      </c>
      <c r="L9">
        <f>SUM(H9:K9)</f>
        <v>31</v>
      </c>
    </row>
    <row r="10" spans="1:12" x14ac:dyDescent="0.25">
      <c r="A10" t="s">
        <v>11</v>
      </c>
      <c r="B10">
        <v>1205</v>
      </c>
      <c r="C10" s="3">
        <v>42515</v>
      </c>
      <c r="D10" t="s">
        <v>13</v>
      </c>
      <c r="E10" t="s">
        <v>8</v>
      </c>
      <c r="G10" s="3">
        <v>42499</v>
      </c>
      <c r="H10">
        <f>COUNTIFS($E:$E,"P",$C:$C,$G10)</f>
        <v>0</v>
      </c>
      <c r="I10">
        <f>COUNTIFS($E:$E,"VIP",$C:$C,$G10)</f>
        <v>0</v>
      </c>
      <c r="J10">
        <f>COUNTIFS($E:$E,"RR Garage",$C:$C,$G10)</f>
        <v>0</v>
      </c>
      <c r="K10">
        <f>COUNTIFS($E:$E,"CAP",$C:$C,$G10)</f>
        <v>0</v>
      </c>
      <c r="L10">
        <f>SUM(H10:K10)</f>
        <v>0</v>
      </c>
    </row>
    <row r="11" spans="1:12" x14ac:dyDescent="0.25">
      <c r="A11" t="s">
        <v>11</v>
      </c>
      <c r="B11">
        <v>1204</v>
      </c>
      <c r="C11" s="3">
        <v>42515</v>
      </c>
      <c r="D11" t="s">
        <v>12</v>
      </c>
      <c r="E11" t="s">
        <v>8</v>
      </c>
      <c r="G11" s="3">
        <v>42500</v>
      </c>
      <c r="H11">
        <f>COUNTIFS($E:$E,"P",$C:$C,$G11)</f>
        <v>0</v>
      </c>
      <c r="I11">
        <f>COUNTIFS($E:$E,"VIP",$C:$C,$G11)</f>
        <v>0</v>
      </c>
      <c r="J11">
        <f>COUNTIFS($E:$E,"RR Garage",$C:$C,$G11)</f>
        <v>0</v>
      </c>
      <c r="K11">
        <f>COUNTIFS($E:$E,"CAP",$C:$C,$G11)</f>
        <v>0</v>
      </c>
      <c r="L11">
        <f>SUM(H11:K11)</f>
        <v>0</v>
      </c>
    </row>
    <row r="12" spans="1:12" x14ac:dyDescent="0.25">
      <c r="A12" t="s">
        <v>11</v>
      </c>
      <c r="B12">
        <v>1203</v>
      </c>
      <c r="C12" s="3">
        <v>42515</v>
      </c>
      <c r="E12" t="s">
        <v>6</v>
      </c>
      <c r="G12" s="3">
        <v>42501</v>
      </c>
      <c r="H12">
        <f>COUNTIFS($E:$E,"P",$C:$C,$G12)</f>
        <v>0</v>
      </c>
      <c r="I12">
        <f>COUNTIFS($E:$E,"VIP",$C:$C,$G12)</f>
        <v>0</v>
      </c>
      <c r="J12">
        <f>COUNTIFS($E:$E,"RR Garage",$C:$C,$G12)</f>
        <v>0</v>
      </c>
      <c r="K12">
        <f>COUNTIFS($E:$E,"CAP",$C:$C,$G12)</f>
        <v>0</v>
      </c>
      <c r="L12">
        <f>SUM(H12:K12)</f>
        <v>0</v>
      </c>
    </row>
    <row r="13" spans="1:12" x14ac:dyDescent="0.25">
      <c r="A13" t="s">
        <v>11</v>
      </c>
      <c r="B13">
        <v>1202</v>
      </c>
      <c r="C13" s="3">
        <v>42515</v>
      </c>
      <c r="D13" t="s">
        <v>12</v>
      </c>
      <c r="E13" t="s">
        <v>8</v>
      </c>
      <c r="G13" s="3">
        <v>42502</v>
      </c>
      <c r="H13">
        <f>COUNTIFS($E:$E,"P",$C:$C,$G13)</f>
        <v>0</v>
      </c>
      <c r="I13">
        <f>COUNTIFS($E:$E,"VIP",$C:$C,$G13)</f>
        <v>1</v>
      </c>
      <c r="J13">
        <f>COUNTIFS($E:$E,"RR Garage",$C:$C,$G13)</f>
        <v>5</v>
      </c>
      <c r="K13">
        <f>COUNTIFS($E:$E,"CAP",$C:$C,$G13)</f>
        <v>0</v>
      </c>
      <c r="L13">
        <f>SUM(H13:K13)</f>
        <v>6</v>
      </c>
    </row>
    <row r="14" spans="1:12" x14ac:dyDescent="0.25">
      <c r="A14" t="s">
        <v>11</v>
      </c>
      <c r="B14">
        <v>1201</v>
      </c>
      <c r="C14" s="3">
        <v>42515</v>
      </c>
      <c r="D14" t="s">
        <v>14</v>
      </c>
      <c r="E14" t="s">
        <v>8</v>
      </c>
      <c r="G14" s="3">
        <v>42503</v>
      </c>
      <c r="H14">
        <f>COUNTIFS($E:$E,"P",$C:$C,$G14)</f>
        <v>0</v>
      </c>
      <c r="I14">
        <f>COUNTIFS($E:$E,"VIP",$C:$C,$G14)</f>
        <v>6</v>
      </c>
      <c r="J14">
        <f>COUNTIFS($E:$E,"RR Garage",$C:$C,$G14)</f>
        <v>2</v>
      </c>
      <c r="K14">
        <f>COUNTIFS($E:$E,"CAP",$C:$C,$G14)</f>
        <v>0</v>
      </c>
      <c r="L14">
        <f>SUM(H14:K14)</f>
        <v>8</v>
      </c>
    </row>
    <row r="15" spans="1:12" x14ac:dyDescent="0.25">
      <c r="A15" t="s">
        <v>11</v>
      </c>
      <c r="B15">
        <v>1203</v>
      </c>
      <c r="C15" s="3">
        <v>42515</v>
      </c>
      <c r="E15" t="s">
        <v>6</v>
      </c>
      <c r="G15" s="3">
        <v>42504</v>
      </c>
      <c r="H15">
        <f>COUNTIFS($E:$E,"P",$C:$C,$G15)</f>
        <v>6</v>
      </c>
      <c r="I15">
        <f>COUNTIFS($E:$E,"VIP",$C:$C,$G15)</f>
        <v>9</v>
      </c>
      <c r="J15">
        <f>COUNTIFS($E:$E,"RR Garage",$C:$C,$G15)</f>
        <v>9</v>
      </c>
      <c r="K15">
        <f>COUNTIFS($E:$E,"CAP",$C:$C,$G15)</f>
        <v>2</v>
      </c>
      <c r="L15">
        <f>SUM(H15:K15)</f>
        <v>26</v>
      </c>
    </row>
    <row r="16" spans="1:12" x14ac:dyDescent="0.25">
      <c r="A16" t="s">
        <v>11</v>
      </c>
      <c r="B16">
        <v>1202</v>
      </c>
      <c r="C16" s="3">
        <v>42515</v>
      </c>
      <c r="D16" t="s">
        <v>13</v>
      </c>
      <c r="E16" t="s">
        <v>8</v>
      </c>
      <c r="G16" s="3">
        <v>42505</v>
      </c>
      <c r="H16">
        <f>COUNTIFS($E:$E,"P",$C:$C,$G16)</f>
        <v>2</v>
      </c>
      <c r="I16">
        <f>COUNTIFS($E:$E,"VIP",$C:$C,$G16)</f>
        <v>8</v>
      </c>
      <c r="J16">
        <f>COUNTIFS($E:$E,"RR Garage",$C:$C,$G16)</f>
        <v>9</v>
      </c>
      <c r="K16">
        <f>COUNTIFS($E:$E,"CAP",$C:$C,$G16)</f>
        <v>0</v>
      </c>
      <c r="L16">
        <f>SUM(H16:K16)</f>
        <v>19</v>
      </c>
    </row>
    <row r="17" spans="1:12" x14ac:dyDescent="0.25">
      <c r="A17" t="s">
        <v>11</v>
      </c>
      <c r="B17">
        <v>1201</v>
      </c>
      <c r="C17" s="3">
        <v>42515</v>
      </c>
      <c r="D17" t="s">
        <v>15</v>
      </c>
      <c r="E17" t="s">
        <v>8</v>
      </c>
      <c r="G17" s="3">
        <v>42506</v>
      </c>
      <c r="H17">
        <f>COUNTIFS($E:$E,"P",$C:$C,$G17)</f>
        <v>0</v>
      </c>
      <c r="I17">
        <f>COUNTIFS($E:$E,"VIP",$C:$C,$G17)</f>
        <v>0</v>
      </c>
      <c r="J17">
        <f>COUNTIFS($E:$E,"RR Garage",$C:$C,$G17)</f>
        <v>0</v>
      </c>
      <c r="K17">
        <f>COUNTIFS($E:$E,"CAP",$C:$C,$G17)</f>
        <v>0</v>
      </c>
      <c r="L17">
        <f>SUM(H17:K17)</f>
        <v>0</v>
      </c>
    </row>
    <row r="18" spans="1:12" x14ac:dyDescent="0.25">
      <c r="A18" t="s">
        <v>11</v>
      </c>
      <c r="B18">
        <v>1208</v>
      </c>
      <c r="C18" s="3">
        <v>42512</v>
      </c>
      <c r="E18" t="s">
        <v>5</v>
      </c>
      <c r="G18" s="3">
        <v>42507</v>
      </c>
      <c r="H18">
        <f>COUNTIFS($E:$E,"P",$C:$C,$G18)</f>
        <v>0</v>
      </c>
      <c r="I18">
        <f>COUNTIFS($E:$E,"VIP",$C:$C,$G18)</f>
        <v>0</v>
      </c>
      <c r="J18">
        <f>COUNTIFS($E:$E,"RR Garage",$C:$C,$G18)</f>
        <v>0</v>
      </c>
      <c r="K18">
        <f>COUNTIFS($E:$E,"CAP",$C:$C,$G18)</f>
        <v>0</v>
      </c>
      <c r="L18">
        <f>SUM(H18:K18)</f>
        <v>0</v>
      </c>
    </row>
    <row r="19" spans="1:12" x14ac:dyDescent="0.25">
      <c r="A19" t="s">
        <v>11</v>
      </c>
      <c r="B19">
        <v>1205</v>
      </c>
      <c r="C19" s="3">
        <v>42512</v>
      </c>
      <c r="E19" t="s">
        <v>5</v>
      </c>
      <c r="G19" s="3">
        <v>42508</v>
      </c>
      <c r="H19">
        <f>COUNTIFS($E:$E,"P",$C:$C,$G19)</f>
        <v>3</v>
      </c>
      <c r="I19">
        <f>COUNTIFS($E:$E,"VIP",$C:$C,$G19)</f>
        <v>0</v>
      </c>
      <c r="J19">
        <f>COUNTIFS($E:$E,"RR Garage",$C:$C,$G19)</f>
        <v>0</v>
      </c>
      <c r="K19">
        <f>COUNTIFS($E:$E,"CAP",$C:$C,$G19)</f>
        <v>0</v>
      </c>
      <c r="L19">
        <f>SUM(H19:K19)</f>
        <v>3</v>
      </c>
    </row>
    <row r="20" spans="1:12" x14ac:dyDescent="0.25">
      <c r="A20" t="s">
        <v>11</v>
      </c>
      <c r="B20">
        <v>1204</v>
      </c>
      <c r="C20" s="3">
        <v>42512</v>
      </c>
      <c r="E20" t="s">
        <v>5</v>
      </c>
      <c r="G20" s="3">
        <v>42509</v>
      </c>
      <c r="H20">
        <f>COUNTIFS($E:$E,"P",$C:$C,$G20)</f>
        <v>4</v>
      </c>
      <c r="I20">
        <f>COUNTIFS($E:$E,"VIP",$C:$C,$G20)</f>
        <v>1</v>
      </c>
      <c r="J20">
        <f>COUNTIFS($E:$E,"RR Garage",$C:$C,$G20)</f>
        <v>8</v>
      </c>
      <c r="K20">
        <f>COUNTIFS($E:$E,"CAP",$C:$C,$G20)</f>
        <v>0</v>
      </c>
      <c r="L20">
        <f>SUM(H20:K20)</f>
        <v>13</v>
      </c>
    </row>
    <row r="21" spans="1:12" x14ac:dyDescent="0.25">
      <c r="A21" t="s">
        <v>11</v>
      </c>
      <c r="B21">
        <v>1203</v>
      </c>
      <c r="C21" s="3">
        <v>42512</v>
      </c>
      <c r="E21" t="s">
        <v>5</v>
      </c>
      <c r="G21" s="3">
        <v>42510</v>
      </c>
      <c r="H21">
        <f>COUNTIFS($E:$E,"P",$C:$C,$G21)</f>
        <v>0</v>
      </c>
      <c r="I21">
        <f>COUNTIFS($E:$E,"VIP",$C:$C,$G21)</f>
        <v>6</v>
      </c>
      <c r="J21">
        <f>COUNTIFS($E:$E,"RR Garage",$C:$C,$G21)</f>
        <v>0</v>
      </c>
      <c r="K21">
        <f>COUNTIFS($E:$E,"CAP",$C:$C,$G21)</f>
        <v>0</v>
      </c>
      <c r="L21">
        <f>SUM(H21:K21)</f>
        <v>6</v>
      </c>
    </row>
    <row r="22" spans="1:12" x14ac:dyDescent="0.25">
      <c r="A22" t="s">
        <v>11</v>
      </c>
      <c r="B22">
        <v>1202</v>
      </c>
      <c r="C22" s="3">
        <v>42512</v>
      </c>
      <c r="D22" t="s">
        <v>16</v>
      </c>
      <c r="E22" t="s">
        <v>5</v>
      </c>
      <c r="G22" s="3">
        <v>42511</v>
      </c>
      <c r="H22">
        <f>COUNTIFS($E:$E,"P",$C:$C,$G22)</f>
        <v>9</v>
      </c>
      <c r="I22">
        <f>COUNTIFS($E:$E,"VIP",$C:$C,$G22)</f>
        <v>17</v>
      </c>
      <c r="J22">
        <f>COUNTIFS($E:$E,"RR Garage",$C:$C,$G22)</f>
        <v>6</v>
      </c>
      <c r="K22">
        <f>COUNTIFS($E:$E,"CAP",$C:$C,$G22)</f>
        <v>0</v>
      </c>
      <c r="L22">
        <f>SUM(H22:K22)</f>
        <v>32</v>
      </c>
    </row>
    <row r="23" spans="1:12" x14ac:dyDescent="0.25">
      <c r="A23" t="s">
        <v>11</v>
      </c>
      <c r="B23">
        <v>1201</v>
      </c>
      <c r="C23" s="3">
        <v>42512</v>
      </c>
      <c r="D23" t="s">
        <v>16</v>
      </c>
      <c r="E23" t="s">
        <v>5</v>
      </c>
      <c r="G23" s="3">
        <v>42512</v>
      </c>
      <c r="H23">
        <f>COUNTIFS($E:$E,"P",$C:$C,$G23)</f>
        <v>7</v>
      </c>
      <c r="I23">
        <f>COUNTIFS($E:$E,"VIP",$C:$C,$G23)</f>
        <v>2</v>
      </c>
      <c r="J23">
        <f>COUNTIFS($E:$E,"RR Garage",$C:$C,$G23)</f>
        <v>8</v>
      </c>
      <c r="K23">
        <f>COUNTIFS($E:$E,"CAP",$C:$C,$G23)</f>
        <v>0</v>
      </c>
      <c r="L23">
        <f>SUM(H23:K23)</f>
        <v>17</v>
      </c>
    </row>
    <row r="24" spans="1:12" x14ac:dyDescent="0.25">
      <c r="A24" t="s">
        <v>11</v>
      </c>
      <c r="B24">
        <v>1212</v>
      </c>
      <c r="C24" s="3">
        <v>42512</v>
      </c>
      <c r="D24" t="s">
        <v>12</v>
      </c>
      <c r="E24" t="s">
        <v>8</v>
      </c>
      <c r="G24" s="3">
        <v>42513</v>
      </c>
      <c r="H24">
        <f>COUNTIFS($E:$E,"P",$C:$C,$G24)</f>
        <v>0</v>
      </c>
      <c r="I24">
        <f>COUNTIFS($E:$E,"VIP",$C:$C,$G24)</f>
        <v>0</v>
      </c>
      <c r="J24">
        <f>COUNTIFS($E:$E,"RR Garage",$C:$C,$G24)</f>
        <v>0</v>
      </c>
      <c r="K24">
        <f>COUNTIFS($E:$E,"CAP",$C:$C,$G24)</f>
        <v>0</v>
      </c>
      <c r="L24">
        <f>SUM(H24:K24)</f>
        <v>0</v>
      </c>
    </row>
    <row r="25" spans="1:12" x14ac:dyDescent="0.25">
      <c r="A25" t="s">
        <v>11</v>
      </c>
      <c r="B25">
        <v>1211</v>
      </c>
      <c r="C25" s="3">
        <v>42512</v>
      </c>
      <c r="D25" t="s">
        <v>12</v>
      </c>
      <c r="E25" t="s">
        <v>8</v>
      </c>
      <c r="G25" s="3">
        <v>42514</v>
      </c>
      <c r="H25">
        <f>COUNTIFS($E:$E,"P",$C:$C,$G25)</f>
        <v>0</v>
      </c>
      <c r="I25">
        <f>COUNTIFS($E:$E,"VIP",$C:$C,$G25)</f>
        <v>0</v>
      </c>
      <c r="J25">
        <f>COUNTIFS($E:$E,"RR Garage",$C:$C,$G25)</f>
        <v>0</v>
      </c>
      <c r="K25">
        <f>COUNTIFS($E:$E,"CAP",$C:$C,$G25)</f>
        <v>0</v>
      </c>
      <c r="L25">
        <f>SUM(H25:K25)</f>
        <v>0</v>
      </c>
    </row>
    <row r="26" spans="1:12" x14ac:dyDescent="0.25">
      <c r="A26" t="s">
        <v>11</v>
      </c>
      <c r="B26">
        <v>1210</v>
      </c>
      <c r="C26" s="3">
        <v>42512</v>
      </c>
      <c r="D26" t="s">
        <v>14</v>
      </c>
      <c r="E26" t="s">
        <v>8</v>
      </c>
      <c r="G26" s="3">
        <v>42515</v>
      </c>
      <c r="H26">
        <f>COUNTIFS($E:$E,"P",$C:$C,$G26)</f>
        <v>0</v>
      </c>
      <c r="I26">
        <f>COUNTIFS($E:$E,"VIP",$C:$C,$G26)</f>
        <v>3</v>
      </c>
      <c r="J26">
        <f>COUNTIFS($E:$E,"RR Garage",$C:$C,$G26)</f>
        <v>7</v>
      </c>
      <c r="K26">
        <f>COUNTIFS($E:$E,"CAP",$C:$C,$G26)</f>
        <v>0</v>
      </c>
      <c r="L26">
        <f>SUM(H26:K26)</f>
        <v>10</v>
      </c>
    </row>
    <row r="27" spans="1:12" x14ac:dyDescent="0.25">
      <c r="A27" t="s">
        <v>11</v>
      </c>
      <c r="B27">
        <v>1209</v>
      </c>
      <c r="C27" s="3">
        <v>42512</v>
      </c>
      <c r="D27" t="s">
        <v>14</v>
      </c>
      <c r="E27" t="s">
        <v>8</v>
      </c>
      <c r="G27" s="3">
        <v>42516</v>
      </c>
      <c r="H27">
        <f>COUNTIFS($E:$E,"P",$C:$C,$G27)</f>
        <v>3</v>
      </c>
      <c r="I27">
        <f>COUNTIFS($E:$E,"VIP",$C:$C,$G27)</f>
        <v>3</v>
      </c>
      <c r="J27">
        <f>COUNTIFS($E:$E,"RR Garage",$C:$C,$G27)</f>
        <v>0</v>
      </c>
      <c r="K27">
        <f>COUNTIFS($E:$E,"CAP",$C:$C,$G27)</f>
        <v>0</v>
      </c>
      <c r="L27">
        <f>SUM(H27:K27)</f>
        <v>6</v>
      </c>
    </row>
    <row r="28" spans="1:12" x14ac:dyDescent="0.25">
      <c r="A28" t="s">
        <v>11</v>
      </c>
      <c r="B28">
        <v>1208</v>
      </c>
      <c r="C28" s="3">
        <v>42512</v>
      </c>
      <c r="D28" t="s">
        <v>13</v>
      </c>
      <c r="E28" t="s">
        <v>8</v>
      </c>
      <c r="G28" s="3">
        <v>42517</v>
      </c>
      <c r="H28">
        <f>COUNTIFS($E:$E,"P",$C:$C,$G28)</f>
        <v>0</v>
      </c>
      <c r="I28">
        <f>COUNTIFS($E:$E,"VIP",$C:$C,$G28)</f>
        <v>0</v>
      </c>
      <c r="J28">
        <f>COUNTIFS($E:$E,"RR Garage",$C:$C,$G28)</f>
        <v>0</v>
      </c>
      <c r="K28">
        <f>COUNTIFS($E:$E,"CAP",$C:$C,$G28)</f>
        <v>0</v>
      </c>
      <c r="L28">
        <f>SUM(H28:K28)</f>
        <v>0</v>
      </c>
    </row>
    <row r="29" spans="1:12" x14ac:dyDescent="0.25">
      <c r="A29" t="s">
        <v>11</v>
      </c>
      <c r="B29">
        <v>1207</v>
      </c>
      <c r="C29" s="3">
        <v>42512</v>
      </c>
      <c r="D29" t="s">
        <v>12</v>
      </c>
      <c r="E29" t="s">
        <v>8</v>
      </c>
      <c r="G29" s="3">
        <v>42518</v>
      </c>
      <c r="H29">
        <f>COUNTIFS($E:$E,"P",$C:$C,$G29)</f>
        <v>0</v>
      </c>
      <c r="I29">
        <f>COUNTIFS($E:$E,"VIP",$C:$C,$G29)</f>
        <v>0</v>
      </c>
      <c r="J29">
        <f>COUNTIFS($E:$E,"RR Garage",$C:$C,$G29)</f>
        <v>0</v>
      </c>
      <c r="K29">
        <f>COUNTIFS($E:$E,"CAP",$C:$C,$G29)</f>
        <v>0</v>
      </c>
      <c r="L29">
        <f>SUM(H29:K29)</f>
        <v>0</v>
      </c>
    </row>
    <row r="30" spans="1:12" x14ac:dyDescent="0.25">
      <c r="A30" t="s">
        <v>11</v>
      </c>
      <c r="B30">
        <v>1205</v>
      </c>
      <c r="C30" s="3">
        <v>42512</v>
      </c>
      <c r="D30" t="s">
        <v>17</v>
      </c>
      <c r="E30" t="s">
        <v>8</v>
      </c>
      <c r="G30" s="3">
        <v>42519</v>
      </c>
      <c r="H30">
        <f>COUNTIFS($E:$E,"P",$C:$C,$G30)</f>
        <v>0</v>
      </c>
      <c r="I30">
        <f>COUNTIFS($E:$E,"VIP",$C:$C,$G30)</f>
        <v>0</v>
      </c>
      <c r="J30">
        <f>COUNTIFS($E:$E,"RR Garage",$C:$C,$G30)</f>
        <v>0</v>
      </c>
      <c r="K30">
        <f>COUNTIFS($E:$E,"CAP",$C:$C,$G30)</f>
        <v>0</v>
      </c>
      <c r="L30">
        <f>SUM(H30:K30)</f>
        <v>0</v>
      </c>
    </row>
    <row r="31" spans="1:12" x14ac:dyDescent="0.25">
      <c r="A31" t="s">
        <v>11</v>
      </c>
      <c r="B31">
        <v>1204</v>
      </c>
      <c r="C31" s="3">
        <v>42512</v>
      </c>
      <c r="D31" t="s">
        <v>12</v>
      </c>
      <c r="E31" t="s">
        <v>8</v>
      </c>
      <c r="G31" s="3">
        <v>42520</v>
      </c>
      <c r="H31">
        <f>COUNTIFS($E:$E,"P",$C:$C,$G31)</f>
        <v>0</v>
      </c>
      <c r="I31">
        <f>COUNTIFS($E:$E,"VIP",$C:$C,$G31)</f>
        <v>0</v>
      </c>
      <c r="J31">
        <f>COUNTIFS($E:$E,"RR Garage",$C:$C,$G31)</f>
        <v>0</v>
      </c>
      <c r="K31">
        <f>COUNTIFS($E:$E,"CAP",$C:$C,$G31)</f>
        <v>0</v>
      </c>
      <c r="L31">
        <f>SUM(H31:K31)</f>
        <v>0</v>
      </c>
    </row>
    <row r="32" spans="1:12" x14ac:dyDescent="0.25">
      <c r="A32" t="s">
        <v>11</v>
      </c>
      <c r="B32">
        <v>1203</v>
      </c>
      <c r="C32" s="3">
        <v>42512</v>
      </c>
      <c r="E32" t="s">
        <v>6</v>
      </c>
      <c r="G32" s="3">
        <v>42521</v>
      </c>
      <c r="H32">
        <f>COUNTIFS($E:$E,"P",$C:$C,$G32)</f>
        <v>0</v>
      </c>
      <c r="I32">
        <f>COUNTIFS($E:$E,"VIP",$C:$C,$G32)</f>
        <v>0</v>
      </c>
      <c r="J32">
        <f>COUNTIFS($E:$E,"RR Garage",$C:$C,$G32)</f>
        <v>0</v>
      </c>
      <c r="K32">
        <f>COUNTIFS($E:$E,"CAP",$C:$C,$G32)</f>
        <v>0</v>
      </c>
      <c r="L32">
        <f>SUM(H32:K32)</f>
        <v>0</v>
      </c>
    </row>
    <row r="33" spans="1:12" x14ac:dyDescent="0.25">
      <c r="A33" t="s">
        <v>11</v>
      </c>
      <c r="B33">
        <v>1202</v>
      </c>
      <c r="C33" s="3">
        <v>42512</v>
      </c>
      <c r="E33" t="s">
        <v>6</v>
      </c>
      <c r="G33" s="5" t="s">
        <v>9</v>
      </c>
      <c r="H33" s="4">
        <f>SUM(H2:H32)</f>
        <v>73</v>
      </c>
      <c r="I33" s="4">
        <f>SUM(I2:I32)</f>
        <v>69</v>
      </c>
      <c r="J33" s="4">
        <f>SUM(J2:J32)</f>
        <v>97</v>
      </c>
      <c r="K33" s="4">
        <f>SUM(K2:K32)</f>
        <v>2</v>
      </c>
      <c r="L33" s="4">
        <f>SUM(L2:L32)</f>
        <v>241</v>
      </c>
    </row>
    <row r="34" spans="1:12" x14ac:dyDescent="0.25">
      <c r="A34" t="s">
        <v>11</v>
      </c>
      <c r="B34">
        <v>1201</v>
      </c>
      <c r="C34" s="3">
        <v>42512</v>
      </c>
      <c r="D34" t="s">
        <v>18</v>
      </c>
      <c r="E34" t="s">
        <v>5</v>
      </c>
    </row>
    <row r="35" spans="1:12" x14ac:dyDescent="0.25">
      <c r="A35" t="s">
        <v>11</v>
      </c>
      <c r="B35">
        <v>1214</v>
      </c>
      <c r="C35" s="3">
        <v>42511</v>
      </c>
      <c r="E35" t="s">
        <v>6</v>
      </c>
    </row>
    <row r="36" spans="1:12" x14ac:dyDescent="0.25">
      <c r="A36" t="s">
        <v>11</v>
      </c>
      <c r="B36">
        <v>1217</v>
      </c>
      <c r="C36" s="3">
        <v>42511</v>
      </c>
      <c r="E36" t="s">
        <v>5</v>
      </c>
    </row>
    <row r="37" spans="1:12" x14ac:dyDescent="0.25">
      <c r="A37" t="s">
        <v>11</v>
      </c>
      <c r="B37">
        <v>1216</v>
      </c>
      <c r="C37" s="3">
        <v>42511</v>
      </c>
      <c r="E37" t="s">
        <v>6</v>
      </c>
    </row>
    <row r="38" spans="1:12" x14ac:dyDescent="0.25">
      <c r="A38" t="s">
        <v>11</v>
      </c>
      <c r="B38">
        <v>1203</v>
      </c>
      <c r="C38" s="3">
        <v>42511</v>
      </c>
      <c r="E38" t="s">
        <v>5</v>
      </c>
    </row>
    <row r="39" spans="1:12" x14ac:dyDescent="0.25">
      <c r="A39" t="s">
        <v>11</v>
      </c>
      <c r="B39">
        <v>1214</v>
      </c>
      <c r="C39" s="3">
        <v>42511</v>
      </c>
      <c r="E39" t="s">
        <v>6</v>
      </c>
    </row>
    <row r="40" spans="1:12" x14ac:dyDescent="0.25">
      <c r="A40" t="s">
        <v>11</v>
      </c>
      <c r="B40">
        <v>1213</v>
      </c>
      <c r="C40" s="3">
        <v>42511</v>
      </c>
      <c r="E40" t="s">
        <v>6</v>
      </c>
    </row>
    <row r="41" spans="1:12" x14ac:dyDescent="0.25">
      <c r="A41" t="s">
        <v>11</v>
      </c>
      <c r="B41">
        <v>1212</v>
      </c>
      <c r="C41" s="3">
        <v>42511</v>
      </c>
      <c r="E41" t="s">
        <v>5</v>
      </c>
    </row>
    <row r="42" spans="1:12" x14ac:dyDescent="0.25">
      <c r="A42" t="s">
        <v>11</v>
      </c>
      <c r="B42">
        <v>1204</v>
      </c>
      <c r="C42" s="3">
        <v>42511</v>
      </c>
      <c r="E42" t="s">
        <v>5</v>
      </c>
    </row>
    <row r="43" spans="1:12" x14ac:dyDescent="0.25">
      <c r="A43" t="s">
        <v>11</v>
      </c>
      <c r="B43">
        <v>1211</v>
      </c>
      <c r="C43" s="3">
        <v>42511</v>
      </c>
      <c r="E43" t="s">
        <v>6</v>
      </c>
    </row>
    <row r="44" spans="1:12" x14ac:dyDescent="0.25">
      <c r="A44" t="s">
        <v>11</v>
      </c>
      <c r="B44">
        <v>1210</v>
      </c>
      <c r="C44" s="3">
        <v>42511</v>
      </c>
      <c r="E44" t="s">
        <v>6</v>
      </c>
    </row>
    <row r="45" spans="1:12" x14ac:dyDescent="0.25">
      <c r="A45" t="s">
        <v>11</v>
      </c>
      <c r="B45">
        <v>1209</v>
      </c>
      <c r="C45" s="3">
        <v>42511</v>
      </c>
      <c r="E45" t="s">
        <v>5</v>
      </c>
    </row>
    <row r="46" spans="1:12" x14ac:dyDescent="0.25">
      <c r="A46" t="s">
        <v>11</v>
      </c>
      <c r="B46">
        <v>1208</v>
      </c>
      <c r="C46" s="3">
        <v>42511</v>
      </c>
      <c r="E46" t="s">
        <v>5</v>
      </c>
    </row>
    <row r="47" spans="1:12" x14ac:dyDescent="0.25">
      <c r="A47" t="s">
        <v>11</v>
      </c>
      <c r="B47">
        <v>1207</v>
      </c>
      <c r="C47" s="3">
        <v>42511</v>
      </c>
      <c r="E47" t="s">
        <v>5</v>
      </c>
    </row>
    <row r="48" spans="1:12" x14ac:dyDescent="0.25">
      <c r="A48" t="s">
        <v>11</v>
      </c>
      <c r="B48">
        <v>1205</v>
      </c>
      <c r="C48" s="3">
        <v>42511</v>
      </c>
      <c r="E48" t="s">
        <v>5</v>
      </c>
    </row>
    <row r="49" spans="1:5" x14ac:dyDescent="0.25">
      <c r="A49" t="s">
        <v>11</v>
      </c>
      <c r="B49">
        <v>1204</v>
      </c>
      <c r="C49" s="3">
        <v>42511</v>
      </c>
      <c r="E49" t="s">
        <v>5</v>
      </c>
    </row>
    <row r="50" spans="1:5" x14ac:dyDescent="0.25">
      <c r="A50" t="s">
        <v>11</v>
      </c>
      <c r="B50">
        <v>1203</v>
      </c>
      <c r="C50" s="3">
        <v>42511</v>
      </c>
      <c r="E50" t="s">
        <v>6</v>
      </c>
    </row>
    <row r="51" spans="1:5" x14ac:dyDescent="0.25">
      <c r="A51" t="s">
        <v>11</v>
      </c>
      <c r="B51">
        <v>1202</v>
      </c>
      <c r="C51" s="3">
        <v>42511</v>
      </c>
      <c r="E51" t="s">
        <v>6</v>
      </c>
    </row>
    <row r="52" spans="1:5" x14ac:dyDescent="0.25">
      <c r="A52" t="s">
        <v>11</v>
      </c>
      <c r="B52">
        <v>1201</v>
      </c>
      <c r="C52" s="3">
        <v>42511</v>
      </c>
      <c r="E52" t="s">
        <v>6</v>
      </c>
    </row>
    <row r="53" spans="1:5" x14ac:dyDescent="0.25">
      <c r="A53" t="s">
        <v>11</v>
      </c>
      <c r="B53">
        <v>1213</v>
      </c>
      <c r="C53" s="3">
        <v>42511</v>
      </c>
      <c r="E53" t="s">
        <v>6</v>
      </c>
    </row>
    <row r="54" spans="1:5" x14ac:dyDescent="0.25">
      <c r="A54" t="s">
        <v>11</v>
      </c>
      <c r="B54">
        <v>1202</v>
      </c>
      <c r="C54" s="3">
        <v>42511</v>
      </c>
      <c r="E54" t="s">
        <v>6</v>
      </c>
    </row>
    <row r="55" spans="1:5" x14ac:dyDescent="0.25">
      <c r="A55" t="s">
        <v>11</v>
      </c>
      <c r="B55">
        <v>1212</v>
      </c>
      <c r="C55" s="3">
        <v>42511</v>
      </c>
      <c r="E55" t="s">
        <v>6</v>
      </c>
    </row>
    <row r="56" spans="1:5" x14ac:dyDescent="0.25">
      <c r="A56" t="s">
        <v>11</v>
      </c>
      <c r="B56">
        <v>1204</v>
      </c>
      <c r="C56" s="3">
        <v>42511</v>
      </c>
      <c r="E56" t="s">
        <v>6</v>
      </c>
    </row>
    <row r="57" spans="1:5" x14ac:dyDescent="0.25">
      <c r="A57" t="s">
        <v>11</v>
      </c>
      <c r="B57">
        <v>1211</v>
      </c>
      <c r="C57" s="3">
        <v>42511</v>
      </c>
      <c r="D57" t="s">
        <v>19</v>
      </c>
      <c r="E57" t="s">
        <v>8</v>
      </c>
    </row>
    <row r="58" spans="1:5" x14ac:dyDescent="0.25">
      <c r="A58" t="s">
        <v>11</v>
      </c>
      <c r="B58">
        <v>1210</v>
      </c>
      <c r="C58" s="3">
        <v>42511</v>
      </c>
      <c r="D58" t="s">
        <v>12</v>
      </c>
      <c r="E58" t="s">
        <v>8</v>
      </c>
    </row>
    <row r="59" spans="1:5" x14ac:dyDescent="0.25">
      <c r="A59" t="s">
        <v>11</v>
      </c>
      <c r="B59">
        <v>1209</v>
      </c>
      <c r="C59" s="3">
        <v>42511</v>
      </c>
      <c r="E59" t="s">
        <v>6</v>
      </c>
    </row>
    <row r="60" spans="1:5" x14ac:dyDescent="0.25">
      <c r="A60" t="s">
        <v>11</v>
      </c>
      <c r="B60">
        <v>1208</v>
      </c>
      <c r="C60" s="3">
        <v>42511</v>
      </c>
      <c r="E60" t="s">
        <v>6</v>
      </c>
    </row>
    <row r="61" spans="1:5" x14ac:dyDescent="0.25">
      <c r="A61" t="s">
        <v>11</v>
      </c>
      <c r="B61">
        <v>1207</v>
      </c>
      <c r="C61" s="3">
        <v>42511</v>
      </c>
      <c r="D61" t="s">
        <v>20</v>
      </c>
      <c r="E61" t="s">
        <v>8</v>
      </c>
    </row>
    <row r="62" spans="1:5" x14ac:dyDescent="0.25">
      <c r="A62" t="s">
        <v>11</v>
      </c>
      <c r="B62">
        <v>1205</v>
      </c>
      <c r="C62" s="3">
        <v>42511</v>
      </c>
      <c r="D62" t="s">
        <v>12</v>
      </c>
      <c r="E62" t="s">
        <v>8</v>
      </c>
    </row>
    <row r="63" spans="1:5" x14ac:dyDescent="0.25">
      <c r="A63" t="s">
        <v>11</v>
      </c>
      <c r="B63">
        <v>1204</v>
      </c>
      <c r="C63" s="3">
        <v>42511</v>
      </c>
      <c r="E63" t="s">
        <v>6</v>
      </c>
    </row>
    <row r="64" spans="1:5" x14ac:dyDescent="0.25">
      <c r="A64" t="s">
        <v>11</v>
      </c>
      <c r="B64">
        <v>1203</v>
      </c>
      <c r="C64" s="3">
        <v>42511</v>
      </c>
      <c r="D64" t="s">
        <v>14</v>
      </c>
      <c r="E64" t="s">
        <v>8</v>
      </c>
    </row>
    <row r="65" spans="1:5" x14ac:dyDescent="0.25">
      <c r="A65" t="s">
        <v>11</v>
      </c>
      <c r="B65">
        <v>1202</v>
      </c>
      <c r="C65" s="3">
        <v>42511</v>
      </c>
      <c r="E65" t="s">
        <v>6</v>
      </c>
    </row>
    <row r="66" spans="1:5" x14ac:dyDescent="0.25">
      <c r="A66" t="s">
        <v>11</v>
      </c>
      <c r="B66">
        <v>1201</v>
      </c>
      <c r="C66" s="3">
        <v>42511</v>
      </c>
      <c r="D66" t="s">
        <v>12</v>
      </c>
      <c r="E66" t="s">
        <v>8</v>
      </c>
    </row>
    <row r="67" spans="1:5" x14ac:dyDescent="0.25">
      <c r="A67" t="s">
        <v>11</v>
      </c>
      <c r="B67">
        <v>1207</v>
      </c>
      <c r="C67" s="3">
        <v>42510</v>
      </c>
      <c r="E67" t="s">
        <v>6</v>
      </c>
    </row>
    <row r="68" spans="1:5" x14ac:dyDescent="0.25">
      <c r="A68" t="s">
        <v>11</v>
      </c>
      <c r="B68">
        <v>1205</v>
      </c>
      <c r="C68" s="3">
        <v>42510</v>
      </c>
      <c r="E68" t="s">
        <v>6</v>
      </c>
    </row>
    <row r="69" spans="1:5" x14ac:dyDescent="0.25">
      <c r="A69" t="s">
        <v>11</v>
      </c>
      <c r="B69">
        <v>1204</v>
      </c>
      <c r="C69" s="3">
        <v>42510</v>
      </c>
      <c r="E69" t="s">
        <v>6</v>
      </c>
    </row>
    <row r="70" spans="1:5" x14ac:dyDescent="0.25">
      <c r="A70" t="s">
        <v>11</v>
      </c>
      <c r="B70">
        <v>1203</v>
      </c>
      <c r="C70" s="3">
        <v>42510</v>
      </c>
      <c r="E70" t="s">
        <v>6</v>
      </c>
    </row>
    <row r="71" spans="1:5" x14ac:dyDescent="0.25">
      <c r="A71" t="s">
        <v>11</v>
      </c>
      <c r="B71">
        <v>1202</v>
      </c>
      <c r="C71" s="3">
        <v>42510</v>
      </c>
      <c r="E71" t="s">
        <v>6</v>
      </c>
    </row>
    <row r="72" spans="1:5" x14ac:dyDescent="0.25">
      <c r="A72" t="s">
        <v>11</v>
      </c>
      <c r="B72">
        <v>1201</v>
      </c>
      <c r="C72" s="3">
        <v>42510</v>
      </c>
      <c r="E72" t="s">
        <v>6</v>
      </c>
    </row>
    <row r="73" spans="1:5" x14ac:dyDescent="0.25">
      <c r="A73" t="s">
        <v>11</v>
      </c>
      <c r="B73">
        <v>1211</v>
      </c>
      <c r="C73" s="3">
        <v>42509</v>
      </c>
      <c r="E73" t="s">
        <v>6</v>
      </c>
    </row>
    <row r="74" spans="1:5" x14ac:dyDescent="0.25">
      <c r="A74" t="s">
        <v>11</v>
      </c>
      <c r="B74">
        <v>1210</v>
      </c>
      <c r="C74" s="3">
        <v>42509</v>
      </c>
      <c r="E74" t="s">
        <v>5</v>
      </c>
    </row>
    <row r="75" spans="1:5" x14ac:dyDescent="0.25">
      <c r="A75" t="s">
        <v>11</v>
      </c>
      <c r="B75">
        <v>1209</v>
      </c>
      <c r="C75" s="3">
        <v>42509</v>
      </c>
      <c r="D75" t="s">
        <v>14</v>
      </c>
      <c r="E75" t="s">
        <v>8</v>
      </c>
    </row>
    <row r="76" spans="1:5" x14ac:dyDescent="0.25">
      <c r="A76" t="s">
        <v>11</v>
      </c>
      <c r="B76">
        <v>1208</v>
      </c>
      <c r="C76" s="3">
        <v>42509</v>
      </c>
      <c r="D76" t="s">
        <v>14</v>
      </c>
      <c r="E76" t="s">
        <v>8</v>
      </c>
    </row>
    <row r="77" spans="1:5" x14ac:dyDescent="0.25">
      <c r="A77" t="s">
        <v>11</v>
      </c>
      <c r="B77">
        <v>1207</v>
      </c>
      <c r="C77" s="3">
        <v>42509</v>
      </c>
      <c r="D77" t="s">
        <v>14</v>
      </c>
      <c r="E77" t="s">
        <v>8</v>
      </c>
    </row>
    <row r="78" spans="1:5" x14ac:dyDescent="0.25">
      <c r="A78" t="s">
        <v>11</v>
      </c>
      <c r="B78">
        <v>1205</v>
      </c>
      <c r="C78" s="3">
        <v>42509</v>
      </c>
      <c r="D78" t="s">
        <v>19</v>
      </c>
      <c r="E78" t="s">
        <v>8</v>
      </c>
    </row>
    <row r="79" spans="1:5" x14ac:dyDescent="0.25">
      <c r="A79" t="s">
        <v>11</v>
      </c>
      <c r="B79">
        <v>1204</v>
      </c>
      <c r="C79" s="3">
        <v>42509</v>
      </c>
      <c r="D79" t="s">
        <v>12</v>
      </c>
      <c r="E79" t="s">
        <v>8</v>
      </c>
    </row>
    <row r="80" spans="1:5" x14ac:dyDescent="0.25">
      <c r="A80" t="s">
        <v>11</v>
      </c>
      <c r="B80">
        <v>1203</v>
      </c>
      <c r="C80" s="3">
        <v>42509</v>
      </c>
      <c r="D80" t="s">
        <v>21</v>
      </c>
      <c r="E80" t="s">
        <v>8</v>
      </c>
    </row>
    <row r="81" spans="1:5" x14ac:dyDescent="0.25">
      <c r="A81" t="s">
        <v>11</v>
      </c>
      <c r="B81">
        <v>1202</v>
      </c>
      <c r="C81" s="3">
        <v>42509</v>
      </c>
      <c r="D81" t="s">
        <v>12</v>
      </c>
      <c r="E81" t="s">
        <v>8</v>
      </c>
    </row>
    <row r="82" spans="1:5" x14ac:dyDescent="0.25">
      <c r="A82" t="s">
        <v>11</v>
      </c>
      <c r="B82">
        <v>1201</v>
      </c>
      <c r="C82" s="3">
        <v>42509</v>
      </c>
      <c r="D82" t="s">
        <v>12</v>
      </c>
      <c r="E82" t="s">
        <v>8</v>
      </c>
    </row>
    <row r="83" spans="1:5" x14ac:dyDescent="0.25">
      <c r="A83" t="s">
        <v>11</v>
      </c>
      <c r="B83">
        <v>1203</v>
      </c>
      <c r="C83" s="3">
        <v>42509</v>
      </c>
      <c r="E83" t="s">
        <v>5</v>
      </c>
    </row>
    <row r="84" spans="1:5" x14ac:dyDescent="0.25">
      <c r="A84" t="s">
        <v>11</v>
      </c>
      <c r="B84">
        <v>1202</v>
      </c>
      <c r="C84" s="3">
        <v>42509</v>
      </c>
      <c r="E84" t="s">
        <v>5</v>
      </c>
    </row>
    <row r="85" spans="1:5" x14ac:dyDescent="0.25">
      <c r="A85" t="s">
        <v>11</v>
      </c>
      <c r="B85">
        <v>1201</v>
      </c>
      <c r="C85" s="3">
        <v>42509</v>
      </c>
      <c r="E85" t="s">
        <v>5</v>
      </c>
    </row>
    <row r="86" spans="1:5" x14ac:dyDescent="0.25">
      <c r="A86" t="s">
        <v>11</v>
      </c>
      <c r="B86">
        <v>1203</v>
      </c>
      <c r="C86" s="3">
        <v>42508</v>
      </c>
      <c r="E86" t="s">
        <v>5</v>
      </c>
    </row>
    <row r="87" spans="1:5" x14ac:dyDescent="0.25">
      <c r="A87" t="s">
        <v>11</v>
      </c>
      <c r="B87">
        <v>1202</v>
      </c>
      <c r="C87" s="3">
        <v>42508</v>
      </c>
      <c r="E87" t="s">
        <v>5</v>
      </c>
    </row>
    <row r="88" spans="1:5" x14ac:dyDescent="0.25">
      <c r="A88" t="s">
        <v>11</v>
      </c>
      <c r="B88">
        <v>1201</v>
      </c>
      <c r="C88" s="3">
        <v>42508</v>
      </c>
      <c r="E88" t="s">
        <v>5</v>
      </c>
    </row>
    <row r="89" spans="1:5" x14ac:dyDescent="0.25">
      <c r="A89" t="s">
        <v>11</v>
      </c>
      <c r="B89">
        <v>1203</v>
      </c>
      <c r="C89" s="3">
        <v>42505</v>
      </c>
      <c r="E89" t="s">
        <v>5</v>
      </c>
    </row>
    <row r="90" spans="1:5" x14ac:dyDescent="0.25">
      <c r="A90" t="s">
        <v>11</v>
      </c>
      <c r="B90">
        <v>1202</v>
      </c>
      <c r="C90" s="3">
        <v>42505</v>
      </c>
      <c r="E90" t="s">
        <v>6</v>
      </c>
    </row>
    <row r="91" spans="1:5" x14ac:dyDescent="0.25">
      <c r="A91" t="s">
        <v>11</v>
      </c>
      <c r="B91">
        <v>1208</v>
      </c>
      <c r="C91" s="3">
        <v>42505</v>
      </c>
      <c r="E91" t="s">
        <v>6</v>
      </c>
    </row>
    <row r="92" spans="1:5" x14ac:dyDescent="0.25">
      <c r="A92" t="s">
        <v>11</v>
      </c>
      <c r="B92">
        <v>1203</v>
      </c>
      <c r="C92" s="3">
        <v>42505</v>
      </c>
      <c r="E92" t="s">
        <v>5</v>
      </c>
    </row>
    <row r="93" spans="1:5" x14ac:dyDescent="0.25">
      <c r="A93" t="s">
        <v>11</v>
      </c>
      <c r="B93">
        <v>1210</v>
      </c>
      <c r="C93" s="3">
        <v>42505</v>
      </c>
      <c r="D93" t="s">
        <v>22</v>
      </c>
      <c r="E93" t="s">
        <v>8</v>
      </c>
    </row>
    <row r="94" spans="1:5" x14ac:dyDescent="0.25">
      <c r="A94" t="s">
        <v>11</v>
      </c>
      <c r="B94">
        <v>1205</v>
      </c>
      <c r="C94" s="3">
        <v>42505</v>
      </c>
      <c r="E94" t="s">
        <v>6</v>
      </c>
    </row>
    <row r="95" spans="1:5" x14ac:dyDescent="0.25">
      <c r="A95" t="s">
        <v>11</v>
      </c>
      <c r="B95">
        <v>1202</v>
      </c>
      <c r="C95" s="3">
        <v>42505</v>
      </c>
      <c r="E95" t="s">
        <v>6</v>
      </c>
    </row>
    <row r="96" spans="1:5" x14ac:dyDescent="0.25">
      <c r="A96" t="s">
        <v>11</v>
      </c>
      <c r="B96">
        <v>1201</v>
      </c>
      <c r="C96" s="3">
        <v>42505</v>
      </c>
      <c r="E96" t="s">
        <v>6</v>
      </c>
    </row>
    <row r="97" spans="1:5" x14ac:dyDescent="0.25">
      <c r="A97" t="s">
        <v>11</v>
      </c>
      <c r="B97">
        <v>1212</v>
      </c>
      <c r="C97" s="3">
        <v>42505</v>
      </c>
      <c r="D97" t="s">
        <v>23</v>
      </c>
      <c r="E97" t="s">
        <v>8</v>
      </c>
    </row>
    <row r="98" spans="1:5" x14ac:dyDescent="0.25">
      <c r="A98" t="s">
        <v>11</v>
      </c>
      <c r="B98">
        <v>1211</v>
      </c>
      <c r="C98" s="3">
        <v>42505</v>
      </c>
      <c r="D98" t="s">
        <v>24</v>
      </c>
      <c r="E98" t="s">
        <v>8</v>
      </c>
    </row>
    <row r="99" spans="1:5" x14ac:dyDescent="0.25">
      <c r="A99" t="s">
        <v>11</v>
      </c>
      <c r="B99">
        <v>1210</v>
      </c>
      <c r="C99" s="3">
        <v>42505</v>
      </c>
      <c r="D99" t="s">
        <v>25</v>
      </c>
      <c r="E99" t="s">
        <v>8</v>
      </c>
    </row>
    <row r="100" spans="1:5" x14ac:dyDescent="0.25">
      <c r="A100" t="s">
        <v>11</v>
      </c>
      <c r="B100">
        <v>1209</v>
      </c>
      <c r="C100" s="3">
        <v>42505</v>
      </c>
      <c r="D100" t="s">
        <v>17</v>
      </c>
      <c r="E100" t="s">
        <v>8</v>
      </c>
    </row>
    <row r="101" spans="1:5" x14ac:dyDescent="0.25">
      <c r="A101" t="s">
        <v>11</v>
      </c>
      <c r="B101">
        <v>1208</v>
      </c>
      <c r="C101" s="3">
        <v>42505</v>
      </c>
      <c r="D101" t="s">
        <v>26</v>
      </c>
      <c r="E101" t="s">
        <v>8</v>
      </c>
    </row>
    <row r="102" spans="1:5" x14ac:dyDescent="0.25">
      <c r="A102" t="s">
        <v>11</v>
      </c>
      <c r="B102">
        <v>1207</v>
      </c>
      <c r="C102" s="3">
        <v>42505</v>
      </c>
      <c r="D102" t="s">
        <v>27</v>
      </c>
      <c r="E102" t="s">
        <v>8</v>
      </c>
    </row>
    <row r="103" spans="1:5" x14ac:dyDescent="0.25">
      <c r="A103" t="s">
        <v>11</v>
      </c>
      <c r="B103">
        <v>1205</v>
      </c>
      <c r="C103" s="3">
        <v>42505</v>
      </c>
      <c r="E103" t="s">
        <v>6</v>
      </c>
    </row>
    <row r="104" spans="1:5" x14ac:dyDescent="0.25">
      <c r="A104" t="s">
        <v>11</v>
      </c>
      <c r="B104">
        <v>1204</v>
      </c>
      <c r="C104" s="3">
        <v>42505</v>
      </c>
      <c r="D104" t="s">
        <v>20</v>
      </c>
      <c r="E104" t="s">
        <v>8</v>
      </c>
    </row>
    <row r="105" spans="1:5" x14ac:dyDescent="0.25">
      <c r="A105" t="s">
        <v>11</v>
      </c>
      <c r="B105">
        <v>1203</v>
      </c>
      <c r="C105" s="3">
        <v>42505</v>
      </c>
      <c r="D105" t="s">
        <v>13</v>
      </c>
      <c r="E105" t="s">
        <v>8</v>
      </c>
    </row>
    <row r="106" spans="1:5" x14ac:dyDescent="0.25">
      <c r="A106" t="s">
        <v>11</v>
      </c>
      <c r="B106">
        <v>1202</v>
      </c>
      <c r="C106" s="3">
        <v>42505</v>
      </c>
      <c r="E106" t="s">
        <v>6</v>
      </c>
    </row>
    <row r="107" spans="1:5" x14ac:dyDescent="0.25">
      <c r="A107" t="s">
        <v>11</v>
      </c>
      <c r="B107">
        <v>1201</v>
      </c>
      <c r="C107" s="3">
        <v>42505</v>
      </c>
      <c r="E107" t="s">
        <v>6</v>
      </c>
    </row>
    <row r="108" spans="1:5" x14ac:dyDescent="0.25">
      <c r="A108" t="s">
        <v>11</v>
      </c>
      <c r="B108">
        <v>1208</v>
      </c>
      <c r="C108" s="3">
        <v>42504</v>
      </c>
      <c r="E108" t="s">
        <v>5</v>
      </c>
    </row>
    <row r="109" spans="1:5" x14ac:dyDescent="0.25">
      <c r="A109" t="s">
        <v>11</v>
      </c>
      <c r="B109">
        <v>1207</v>
      </c>
      <c r="C109" s="3">
        <v>42504</v>
      </c>
      <c r="E109" t="s">
        <v>8</v>
      </c>
    </row>
    <row r="110" spans="1:5" x14ac:dyDescent="0.25">
      <c r="A110" t="s">
        <v>11</v>
      </c>
      <c r="B110">
        <v>1203</v>
      </c>
      <c r="C110" s="3">
        <v>42504</v>
      </c>
      <c r="E110" t="s">
        <v>6</v>
      </c>
    </row>
    <row r="111" spans="1:5" x14ac:dyDescent="0.25">
      <c r="A111" t="s">
        <v>11</v>
      </c>
      <c r="B111">
        <v>1204</v>
      </c>
      <c r="C111" s="3">
        <v>42504</v>
      </c>
      <c r="E111" t="s">
        <v>7</v>
      </c>
    </row>
    <row r="112" spans="1:5" x14ac:dyDescent="0.25">
      <c r="A112" t="s">
        <v>11</v>
      </c>
      <c r="B112">
        <v>1202</v>
      </c>
      <c r="C112" s="3">
        <v>42504</v>
      </c>
      <c r="E112" t="s">
        <v>6</v>
      </c>
    </row>
    <row r="113" spans="1:5" x14ac:dyDescent="0.25">
      <c r="A113" t="s">
        <v>11</v>
      </c>
      <c r="B113">
        <v>1212</v>
      </c>
      <c r="C113" s="3">
        <v>42504</v>
      </c>
      <c r="E113" t="s">
        <v>6</v>
      </c>
    </row>
    <row r="114" spans="1:5" x14ac:dyDescent="0.25">
      <c r="A114" t="s">
        <v>11</v>
      </c>
      <c r="B114">
        <v>1211</v>
      </c>
      <c r="C114" s="3">
        <v>42504</v>
      </c>
      <c r="E114" t="s">
        <v>7</v>
      </c>
    </row>
    <row r="115" spans="1:5" x14ac:dyDescent="0.25">
      <c r="A115" t="s">
        <v>11</v>
      </c>
      <c r="B115">
        <v>1201</v>
      </c>
      <c r="C115" s="3">
        <v>42504</v>
      </c>
      <c r="E115" t="s">
        <v>6</v>
      </c>
    </row>
    <row r="116" spans="1:5" x14ac:dyDescent="0.25">
      <c r="A116" t="s">
        <v>11</v>
      </c>
      <c r="B116">
        <v>1204</v>
      </c>
      <c r="C116" s="3">
        <v>42504</v>
      </c>
      <c r="E116" t="s">
        <v>5</v>
      </c>
    </row>
    <row r="117" spans="1:5" x14ac:dyDescent="0.25">
      <c r="A117" t="s">
        <v>11</v>
      </c>
      <c r="B117">
        <v>1205</v>
      </c>
      <c r="C117" s="3">
        <v>42504</v>
      </c>
      <c r="E117" t="s">
        <v>6</v>
      </c>
    </row>
    <row r="118" spans="1:5" x14ac:dyDescent="0.25">
      <c r="A118" t="s">
        <v>11</v>
      </c>
      <c r="B118">
        <v>1207</v>
      </c>
      <c r="C118" s="3">
        <v>42504</v>
      </c>
      <c r="E118" t="s">
        <v>5</v>
      </c>
    </row>
    <row r="119" spans="1:5" x14ac:dyDescent="0.25">
      <c r="A119" t="s">
        <v>11</v>
      </c>
      <c r="B119">
        <v>1208</v>
      </c>
      <c r="C119" s="3">
        <v>42504</v>
      </c>
      <c r="E119" t="s">
        <v>5</v>
      </c>
    </row>
    <row r="120" spans="1:5" x14ac:dyDescent="0.25">
      <c r="A120" t="s">
        <v>11</v>
      </c>
      <c r="B120">
        <v>1203</v>
      </c>
      <c r="C120" s="3">
        <v>42504</v>
      </c>
      <c r="E120" t="s">
        <v>5</v>
      </c>
    </row>
    <row r="121" spans="1:5" x14ac:dyDescent="0.25">
      <c r="A121" t="s">
        <v>11</v>
      </c>
      <c r="B121">
        <v>1210</v>
      </c>
      <c r="C121" s="3">
        <v>42504</v>
      </c>
      <c r="E121" t="s">
        <v>6</v>
      </c>
    </row>
    <row r="122" spans="1:5" x14ac:dyDescent="0.25">
      <c r="A122" t="s">
        <v>11</v>
      </c>
      <c r="B122">
        <v>1209</v>
      </c>
      <c r="C122" s="3">
        <v>42504</v>
      </c>
      <c r="E122" t="s">
        <v>5</v>
      </c>
    </row>
    <row r="123" spans="1:5" x14ac:dyDescent="0.25">
      <c r="A123" t="s">
        <v>11</v>
      </c>
      <c r="B123">
        <v>1208</v>
      </c>
      <c r="C123" s="3">
        <v>42504</v>
      </c>
      <c r="D123" t="s">
        <v>28</v>
      </c>
      <c r="E123" t="s">
        <v>8</v>
      </c>
    </row>
    <row r="124" spans="1:5" x14ac:dyDescent="0.25">
      <c r="A124" t="s">
        <v>11</v>
      </c>
      <c r="B124">
        <v>1203</v>
      </c>
      <c r="C124" s="3">
        <v>42504</v>
      </c>
      <c r="E124" t="s">
        <v>6</v>
      </c>
    </row>
    <row r="125" spans="1:5" x14ac:dyDescent="0.25">
      <c r="A125" t="s">
        <v>11</v>
      </c>
      <c r="B125">
        <v>1202</v>
      </c>
      <c r="C125" s="3">
        <v>42504</v>
      </c>
      <c r="E125" t="s">
        <v>6</v>
      </c>
    </row>
    <row r="126" spans="1:5" x14ac:dyDescent="0.25">
      <c r="A126" t="s">
        <v>11</v>
      </c>
      <c r="B126">
        <v>1207</v>
      </c>
      <c r="C126" s="3">
        <v>42504</v>
      </c>
      <c r="D126" t="s">
        <v>19</v>
      </c>
      <c r="E126" t="s">
        <v>8</v>
      </c>
    </row>
    <row r="127" spans="1:5" x14ac:dyDescent="0.25">
      <c r="A127" t="s">
        <v>11</v>
      </c>
      <c r="B127">
        <v>1205</v>
      </c>
      <c r="C127" s="3">
        <v>42504</v>
      </c>
      <c r="E127" t="s">
        <v>6</v>
      </c>
    </row>
    <row r="128" spans="1:5" x14ac:dyDescent="0.25">
      <c r="A128" t="s">
        <v>11</v>
      </c>
      <c r="B128">
        <v>1204</v>
      </c>
      <c r="C128" s="3">
        <v>42504</v>
      </c>
      <c r="D128" t="s">
        <v>14</v>
      </c>
      <c r="E128" t="s">
        <v>8</v>
      </c>
    </row>
    <row r="129" spans="1:5" x14ac:dyDescent="0.25">
      <c r="A129" t="s">
        <v>11</v>
      </c>
      <c r="B129">
        <v>1204</v>
      </c>
      <c r="C129" s="3">
        <v>42504</v>
      </c>
      <c r="D129" t="s">
        <v>12</v>
      </c>
      <c r="E129" t="s">
        <v>8</v>
      </c>
    </row>
    <row r="130" spans="1:5" x14ac:dyDescent="0.25">
      <c r="A130" t="s">
        <v>11</v>
      </c>
      <c r="B130">
        <v>1202</v>
      </c>
      <c r="C130" s="3">
        <v>42504</v>
      </c>
      <c r="D130" t="s">
        <v>29</v>
      </c>
      <c r="E130" t="s">
        <v>8</v>
      </c>
    </row>
    <row r="131" spans="1:5" x14ac:dyDescent="0.25">
      <c r="A131" t="s">
        <v>11</v>
      </c>
      <c r="B131">
        <v>1203</v>
      </c>
      <c r="C131" s="3">
        <v>42504</v>
      </c>
      <c r="D131" t="s">
        <v>20</v>
      </c>
      <c r="E131" t="s">
        <v>8</v>
      </c>
    </row>
    <row r="132" spans="1:5" x14ac:dyDescent="0.25">
      <c r="A132" t="s">
        <v>11</v>
      </c>
      <c r="B132">
        <v>1202</v>
      </c>
      <c r="C132" s="3">
        <v>42504</v>
      </c>
      <c r="D132" t="s">
        <v>13</v>
      </c>
      <c r="E132" t="s">
        <v>8</v>
      </c>
    </row>
    <row r="133" spans="1:5" x14ac:dyDescent="0.25">
      <c r="A133" t="s">
        <v>11</v>
      </c>
      <c r="B133">
        <v>1201</v>
      </c>
      <c r="C133" s="3">
        <v>42504</v>
      </c>
      <c r="D133" t="s">
        <v>24</v>
      </c>
      <c r="E133" t="s">
        <v>8</v>
      </c>
    </row>
    <row r="134" spans="1:5" x14ac:dyDescent="0.25">
      <c r="A134" t="s">
        <v>11</v>
      </c>
      <c r="B134">
        <v>1201</v>
      </c>
      <c r="C134" s="3">
        <v>42503</v>
      </c>
      <c r="D134">
        <v>3</v>
      </c>
      <c r="E134" t="s">
        <v>6</v>
      </c>
    </row>
    <row r="135" spans="1:5" x14ac:dyDescent="0.25">
      <c r="A135" t="s">
        <v>11</v>
      </c>
      <c r="B135">
        <v>1203</v>
      </c>
      <c r="C135" s="3">
        <v>42503</v>
      </c>
      <c r="D135">
        <v>2</v>
      </c>
      <c r="E135" t="s">
        <v>6</v>
      </c>
    </row>
    <row r="136" spans="1:5" x14ac:dyDescent="0.25">
      <c r="A136" t="s">
        <v>11</v>
      </c>
      <c r="B136">
        <v>1202</v>
      </c>
      <c r="C136" s="3">
        <v>42503</v>
      </c>
      <c r="D136">
        <v>1</v>
      </c>
      <c r="E136" t="s">
        <v>6</v>
      </c>
    </row>
    <row r="137" spans="1:5" x14ac:dyDescent="0.25">
      <c r="A137" t="s">
        <v>11</v>
      </c>
      <c r="B137">
        <v>1201</v>
      </c>
      <c r="C137" s="3">
        <v>42503</v>
      </c>
      <c r="D137">
        <v>1</v>
      </c>
      <c r="E137" t="s">
        <v>6</v>
      </c>
    </row>
    <row r="138" spans="1:5" x14ac:dyDescent="0.25">
      <c r="A138" t="s">
        <v>11</v>
      </c>
      <c r="B138">
        <v>1282</v>
      </c>
      <c r="C138" s="3">
        <v>42503</v>
      </c>
      <c r="E138" t="s">
        <v>6</v>
      </c>
    </row>
    <row r="139" spans="1:5" x14ac:dyDescent="0.25">
      <c r="A139" t="s">
        <v>11</v>
      </c>
      <c r="B139">
        <v>1203</v>
      </c>
      <c r="C139" s="3">
        <v>42503</v>
      </c>
      <c r="E139" t="s">
        <v>6</v>
      </c>
    </row>
    <row r="140" spans="1:5" x14ac:dyDescent="0.25">
      <c r="A140" t="s">
        <v>11</v>
      </c>
      <c r="B140">
        <v>1202</v>
      </c>
      <c r="C140" s="3">
        <v>42503</v>
      </c>
      <c r="D140" t="s">
        <v>30</v>
      </c>
      <c r="E140" t="s">
        <v>8</v>
      </c>
    </row>
    <row r="141" spans="1:5" x14ac:dyDescent="0.25">
      <c r="A141" t="s">
        <v>11</v>
      </c>
      <c r="B141">
        <v>1201</v>
      </c>
      <c r="C141" s="3">
        <v>42503</v>
      </c>
      <c r="D141" t="s">
        <v>31</v>
      </c>
      <c r="E141" t="s">
        <v>8</v>
      </c>
    </row>
    <row r="142" spans="1:5" x14ac:dyDescent="0.25">
      <c r="A142" t="s">
        <v>11</v>
      </c>
      <c r="B142">
        <v>1201</v>
      </c>
      <c r="C142" s="3">
        <v>42502</v>
      </c>
      <c r="D142" t="s">
        <v>32</v>
      </c>
      <c r="E142" t="s">
        <v>8</v>
      </c>
    </row>
    <row r="143" spans="1:5" x14ac:dyDescent="0.25">
      <c r="A143" t="s">
        <v>11</v>
      </c>
      <c r="B143">
        <v>1204</v>
      </c>
      <c r="C143" s="3">
        <v>42502</v>
      </c>
      <c r="E143" t="s">
        <v>8</v>
      </c>
    </row>
    <row r="144" spans="1:5" x14ac:dyDescent="0.25">
      <c r="A144" t="s">
        <v>11</v>
      </c>
      <c r="B144">
        <v>1203</v>
      </c>
      <c r="C144" s="3">
        <v>42502</v>
      </c>
      <c r="D144" t="s">
        <v>12</v>
      </c>
      <c r="E144" t="s">
        <v>8</v>
      </c>
    </row>
    <row r="145" spans="1:5" x14ac:dyDescent="0.25">
      <c r="A145" t="s">
        <v>11</v>
      </c>
      <c r="B145">
        <v>1202</v>
      </c>
      <c r="C145" s="3">
        <v>42502</v>
      </c>
      <c r="D145" t="s">
        <v>12</v>
      </c>
      <c r="E145" t="s">
        <v>8</v>
      </c>
    </row>
    <row r="146" spans="1:5" x14ac:dyDescent="0.25">
      <c r="A146" t="s">
        <v>11</v>
      </c>
      <c r="B146">
        <v>1201</v>
      </c>
      <c r="C146" s="3">
        <v>42502</v>
      </c>
      <c r="D146" t="s">
        <v>13</v>
      </c>
      <c r="E146" t="s">
        <v>8</v>
      </c>
    </row>
    <row r="147" spans="1:5" x14ac:dyDescent="0.25">
      <c r="A147" t="s">
        <v>11</v>
      </c>
      <c r="B147">
        <v>1201</v>
      </c>
      <c r="C147" s="3">
        <v>42502</v>
      </c>
      <c r="E147" t="s">
        <v>6</v>
      </c>
    </row>
    <row r="148" spans="1:5" x14ac:dyDescent="0.25">
      <c r="A148" t="s">
        <v>11</v>
      </c>
      <c r="B148">
        <v>1202</v>
      </c>
      <c r="C148" s="3">
        <v>42498</v>
      </c>
      <c r="E148" t="s">
        <v>5</v>
      </c>
    </row>
    <row r="149" spans="1:5" x14ac:dyDescent="0.25">
      <c r="A149" t="s">
        <v>11</v>
      </c>
      <c r="B149">
        <v>1218</v>
      </c>
      <c r="C149" s="3">
        <v>42498</v>
      </c>
      <c r="E149" t="s">
        <v>6</v>
      </c>
    </row>
    <row r="150" spans="1:5" x14ac:dyDescent="0.25">
      <c r="A150" t="s">
        <v>11</v>
      </c>
      <c r="B150">
        <v>1201</v>
      </c>
      <c r="C150" s="3">
        <v>42498</v>
      </c>
      <c r="E150" t="s">
        <v>5</v>
      </c>
    </row>
    <row r="151" spans="1:5" x14ac:dyDescent="0.25">
      <c r="A151" t="s">
        <v>11</v>
      </c>
      <c r="B151">
        <v>1225</v>
      </c>
      <c r="C151" s="3">
        <v>42498</v>
      </c>
      <c r="E151" t="s">
        <v>5</v>
      </c>
    </row>
    <row r="152" spans="1:5" x14ac:dyDescent="0.25">
      <c r="A152" t="s">
        <v>11</v>
      </c>
      <c r="B152">
        <v>1200</v>
      </c>
      <c r="C152" s="3">
        <v>42498</v>
      </c>
      <c r="D152" t="s">
        <v>12</v>
      </c>
      <c r="E152" t="s">
        <v>8</v>
      </c>
    </row>
    <row r="153" spans="1:5" x14ac:dyDescent="0.25">
      <c r="A153" t="s">
        <v>11</v>
      </c>
      <c r="B153">
        <v>1224</v>
      </c>
      <c r="C153" s="3">
        <v>42498</v>
      </c>
      <c r="E153" t="s">
        <v>5</v>
      </c>
    </row>
    <row r="154" spans="1:5" x14ac:dyDescent="0.25">
      <c r="A154" t="s">
        <v>11</v>
      </c>
      <c r="B154">
        <v>1223</v>
      </c>
      <c r="C154" s="3">
        <v>42498</v>
      </c>
      <c r="E154" t="s">
        <v>5</v>
      </c>
    </row>
    <row r="155" spans="1:5" x14ac:dyDescent="0.25">
      <c r="A155" t="s">
        <v>11</v>
      </c>
      <c r="B155">
        <v>1221</v>
      </c>
      <c r="C155" s="3">
        <v>42498</v>
      </c>
      <c r="E155" t="s">
        <v>5</v>
      </c>
    </row>
    <row r="156" spans="1:5" x14ac:dyDescent="0.25">
      <c r="A156" t="s">
        <v>11</v>
      </c>
      <c r="B156">
        <v>1222</v>
      </c>
      <c r="C156" s="3">
        <v>42498</v>
      </c>
      <c r="E156" t="s">
        <v>5</v>
      </c>
    </row>
    <row r="157" spans="1:5" x14ac:dyDescent="0.25">
      <c r="A157" t="s">
        <v>11</v>
      </c>
      <c r="B157">
        <v>1220</v>
      </c>
      <c r="C157" s="3">
        <v>42498</v>
      </c>
      <c r="E157" t="s">
        <v>6</v>
      </c>
    </row>
    <row r="158" spans="1:5" x14ac:dyDescent="0.25">
      <c r="A158" t="s">
        <v>11</v>
      </c>
      <c r="B158">
        <v>1219</v>
      </c>
      <c r="C158" s="3">
        <v>42498</v>
      </c>
      <c r="E158" t="s">
        <v>5</v>
      </c>
    </row>
    <row r="159" spans="1:5" x14ac:dyDescent="0.25">
      <c r="A159" t="s">
        <v>11</v>
      </c>
      <c r="B159">
        <v>1218</v>
      </c>
      <c r="C159" s="3">
        <v>42498</v>
      </c>
      <c r="E159" t="s">
        <v>5</v>
      </c>
    </row>
    <row r="160" spans="1:5" x14ac:dyDescent="0.25">
      <c r="A160" t="s">
        <v>11</v>
      </c>
      <c r="B160">
        <v>1216</v>
      </c>
      <c r="C160" s="3">
        <v>42498</v>
      </c>
      <c r="D160" t="s">
        <v>33</v>
      </c>
      <c r="E160" t="s">
        <v>8</v>
      </c>
    </row>
    <row r="161" spans="1:5" x14ac:dyDescent="0.25">
      <c r="A161" t="s">
        <v>11</v>
      </c>
      <c r="B161">
        <v>1203</v>
      </c>
      <c r="C161" s="3">
        <v>42498</v>
      </c>
      <c r="E161" t="s">
        <v>5</v>
      </c>
    </row>
    <row r="162" spans="1:5" x14ac:dyDescent="0.25">
      <c r="A162" t="s">
        <v>11</v>
      </c>
      <c r="B162">
        <v>1217</v>
      </c>
      <c r="C162" s="3">
        <v>42498</v>
      </c>
      <c r="E162" t="s">
        <v>6</v>
      </c>
    </row>
    <row r="163" spans="1:5" x14ac:dyDescent="0.25">
      <c r="A163" t="s">
        <v>11</v>
      </c>
      <c r="B163">
        <v>1216</v>
      </c>
      <c r="C163" s="3">
        <v>42498</v>
      </c>
      <c r="E163" t="s">
        <v>6</v>
      </c>
    </row>
    <row r="164" spans="1:5" x14ac:dyDescent="0.25">
      <c r="A164" t="s">
        <v>11</v>
      </c>
      <c r="B164">
        <v>1215</v>
      </c>
      <c r="C164" s="3">
        <v>42498</v>
      </c>
      <c r="E164" t="s">
        <v>6</v>
      </c>
    </row>
    <row r="165" spans="1:5" x14ac:dyDescent="0.25">
      <c r="A165" t="s">
        <v>11</v>
      </c>
      <c r="B165">
        <v>1214</v>
      </c>
      <c r="C165" s="3">
        <v>42498</v>
      </c>
      <c r="D165" t="s">
        <v>12</v>
      </c>
      <c r="E165" t="s">
        <v>8</v>
      </c>
    </row>
    <row r="166" spans="1:5" x14ac:dyDescent="0.25">
      <c r="A166" t="s">
        <v>11</v>
      </c>
      <c r="B166">
        <v>1203</v>
      </c>
      <c r="C166" s="3">
        <v>42498</v>
      </c>
      <c r="E166" t="s">
        <v>6</v>
      </c>
    </row>
    <row r="167" spans="1:5" x14ac:dyDescent="0.25">
      <c r="A167" t="s">
        <v>11</v>
      </c>
      <c r="B167">
        <v>1213</v>
      </c>
      <c r="C167" s="3">
        <v>42498</v>
      </c>
      <c r="E167" t="s">
        <v>5</v>
      </c>
    </row>
    <row r="168" spans="1:5" x14ac:dyDescent="0.25">
      <c r="A168" t="s">
        <v>11</v>
      </c>
      <c r="B168">
        <v>1212</v>
      </c>
      <c r="C168" s="3">
        <v>42498</v>
      </c>
      <c r="E168" t="s">
        <v>5</v>
      </c>
    </row>
    <row r="169" spans="1:5" x14ac:dyDescent="0.25">
      <c r="A169" t="s">
        <v>11</v>
      </c>
      <c r="B169">
        <v>1211</v>
      </c>
      <c r="C169" s="3">
        <v>42498</v>
      </c>
      <c r="E169" t="s">
        <v>5</v>
      </c>
    </row>
    <row r="170" spans="1:5" x14ac:dyDescent="0.25">
      <c r="A170" t="s">
        <v>11</v>
      </c>
      <c r="B170">
        <v>1210</v>
      </c>
      <c r="C170" s="3">
        <v>42498</v>
      </c>
      <c r="E170" t="s">
        <v>5</v>
      </c>
    </row>
    <row r="171" spans="1:5" x14ac:dyDescent="0.25">
      <c r="A171" t="s">
        <v>11</v>
      </c>
      <c r="B171">
        <v>1209</v>
      </c>
      <c r="C171" s="3">
        <v>42498</v>
      </c>
      <c r="E171" t="s">
        <v>8</v>
      </c>
    </row>
    <row r="172" spans="1:5" x14ac:dyDescent="0.25">
      <c r="A172" t="s">
        <v>11</v>
      </c>
      <c r="B172">
        <v>1208</v>
      </c>
      <c r="C172" s="3">
        <v>42498</v>
      </c>
      <c r="E172" t="s">
        <v>5</v>
      </c>
    </row>
    <row r="173" spans="1:5" x14ac:dyDescent="0.25">
      <c r="A173" t="s">
        <v>11</v>
      </c>
      <c r="B173">
        <v>1207</v>
      </c>
      <c r="C173" s="3">
        <v>42498</v>
      </c>
      <c r="E173" t="s">
        <v>8</v>
      </c>
    </row>
    <row r="174" spans="1:5" x14ac:dyDescent="0.25">
      <c r="A174" t="s">
        <v>11</v>
      </c>
      <c r="B174">
        <v>1205</v>
      </c>
      <c r="C174" s="3">
        <v>42498</v>
      </c>
      <c r="D174" t="s">
        <v>25</v>
      </c>
      <c r="E174" t="s">
        <v>8</v>
      </c>
    </row>
    <row r="175" spans="1:5" x14ac:dyDescent="0.25">
      <c r="A175" t="s">
        <v>11</v>
      </c>
      <c r="B175">
        <v>1204</v>
      </c>
      <c r="C175" s="3">
        <v>42498</v>
      </c>
      <c r="D175" t="s">
        <v>34</v>
      </c>
      <c r="E175" t="s">
        <v>8</v>
      </c>
    </row>
    <row r="176" spans="1:5" x14ac:dyDescent="0.25">
      <c r="A176" t="s">
        <v>11</v>
      </c>
      <c r="B176">
        <v>1203</v>
      </c>
      <c r="C176" s="3">
        <v>42498</v>
      </c>
      <c r="D176" t="s">
        <v>22</v>
      </c>
      <c r="E176" t="s">
        <v>8</v>
      </c>
    </row>
    <row r="177" spans="1:5" x14ac:dyDescent="0.25">
      <c r="A177" t="s">
        <v>11</v>
      </c>
      <c r="B177">
        <v>1202</v>
      </c>
      <c r="C177" s="3">
        <v>42498</v>
      </c>
      <c r="D177" t="s">
        <v>22</v>
      </c>
      <c r="E177" t="s">
        <v>8</v>
      </c>
    </row>
    <row r="178" spans="1:5" x14ac:dyDescent="0.25">
      <c r="A178" t="s">
        <v>11</v>
      </c>
      <c r="B178">
        <v>1201</v>
      </c>
      <c r="C178" s="3">
        <v>42498</v>
      </c>
      <c r="D178" t="s">
        <v>20</v>
      </c>
      <c r="E178" t="s">
        <v>8</v>
      </c>
    </row>
    <row r="179" spans="1:5" x14ac:dyDescent="0.25">
      <c r="A179" t="s">
        <v>11</v>
      </c>
      <c r="B179">
        <v>1202</v>
      </c>
      <c r="C179" s="3">
        <v>42497</v>
      </c>
      <c r="E179" t="s">
        <v>5</v>
      </c>
    </row>
    <row r="180" spans="1:5" x14ac:dyDescent="0.25">
      <c r="A180" t="s">
        <v>11</v>
      </c>
      <c r="B180">
        <v>1210</v>
      </c>
      <c r="C180" s="3">
        <v>42497</v>
      </c>
      <c r="E180" t="s">
        <v>5</v>
      </c>
    </row>
    <row r="181" spans="1:5" x14ac:dyDescent="0.25">
      <c r="A181" t="s">
        <v>11</v>
      </c>
      <c r="B181">
        <v>1207</v>
      </c>
      <c r="C181" s="3">
        <v>42497</v>
      </c>
      <c r="E181" t="s">
        <v>5</v>
      </c>
    </row>
    <row r="182" spans="1:5" x14ac:dyDescent="0.25">
      <c r="A182" t="s">
        <v>11</v>
      </c>
      <c r="B182">
        <v>1211</v>
      </c>
      <c r="C182" s="3">
        <v>42497</v>
      </c>
      <c r="E182" t="s">
        <v>5</v>
      </c>
    </row>
    <row r="183" spans="1:5" x14ac:dyDescent="0.25">
      <c r="A183" t="s">
        <v>11</v>
      </c>
      <c r="B183">
        <v>1201</v>
      </c>
      <c r="C183" s="3">
        <v>42497</v>
      </c>
      <c r="E183" t="s">
        <v>5</v>
      </c>
    </row>
    <row r="184" spans="1:5" x14ac:dyDescent="0.25">
      <c r="A184" t="s">
        <v>11</v>
      </c>
      <c r="B184">
        <v>1203</v>
      </c>
      <c r="C184" s="3">
        <v>42497</v>
      </c>
      <c r="E184" t="s">
        <v>5</v>
      </c>
    </row>
    <row r="185" spans="1:5" x14ac:dyDescent="0.25">
      <c r="A185" t="s">
        <v>11</v>
      </c>
      <c r="B185">
        <v>1200</v>
      </c>
      <c r="C185" s="3">
        <v>42497</v>
      </c>
      <c r="D185" t="s">
        <v>35</v>
      </c>
      <c r="E185" t="s">
        <v>8</v>
      </c>
    </row>
    <row r="186" spans="1:5" x14ac:dyDescent="0.25">
      <c r="A186" t="s">
        <v>11</v>
      </c>
      <c r="B186">
        <v>1208</v>
      </c>
      <c r="C186" s="3">
        <v>42497</v>
      </c>
      <c r="E186" t="s">
        <v>5</v>
      </c>
    </row>
    <row r="187" spans="1:5" x14ac:dyDescent="0.25">
      <c r="A187" t="s">
        <v>11</v>
      </c>
      <c r="B187">
        <v>1204</v>
      </c>
      <c r="C187" s="3">
        <v>42497</v>
      </c>
      <c r="E187" t="s">
        <v>5</v>
      </c>
    </row>
    <row r="188" spans="1:5" x14ac:dyDescent="0.25">
      <c r="A188" t="s">
        <v>11</v>
      </c>
      <c r="B188">
        <v>1202</v>
      </c>
      <c r="C188" s="3">
        <v>42497</v>
      </c>
      <c r="E188" t="s">
        <v>5</v>
      </c>
    </row>
    <row r="189" spans="1:5" x14ac:dyDescent="0.25">
      <c r="A189" t="s">
        <v>11</v>
      </c>
      <c r="B189">
        <v>1201</v>
      </c>
      <c r="C189" s="3">
        <v>42497</v>
      </c>
      <c r="E189" t="s">
        <v>5</v>
      </c>
    </row>
    <row r="190" spans="1:5" x14ac:dyDescent="0.25">
      <c r="A190" t="s">
        <v>11</v>
      </c>
      <c r="B190">
        <v>1205</v>
      </c>
      <c r="C190" s="3">
        <v>42497</v>
      </c>
      <c r="E190" t="s">
        <v>8</v>
      </c>
    </row>
    <row r="191" spans="1:5" x14ac:dyDescent="0.25">
      <c r="A191" t="s">
        <v>11</v>
      </c>
      <c r="B191">
        <v>1210</v>
      </c>
      <c r="C191" s="3">
        <v>42497</v>
      </c>
      <c r="E191" t="s">
        <v>5</v>
      </c>
    </row>
    <row r="192" spans="1:5" x14ac:dyDescent="0.25">
      <c r="A192" t="s">
        <v>11</v>
      </c>
      <c r="B192">
        <v>1209</v>
      </c>
      <c r="C192" s="3">
        <v>42497</v>
      </c>
      <c r="E192" t="s">
        <v>5</v>
      </c>
    </row>
    <row r="193" spans="1:5" x14ac:dyDescent="0.25">
      <c r="A193" t="s">
        <v>11</v>
      </c>
      <c r="B193">
        <v>1207</v>
      </c>
      <c r="C193" s="3">
        <v>42497</v>
      </c>
      <c r="E193" t="s">
        <v>5</v>
      </c>
    </row>
    <row r="194" spans="1:5" x14ac:dyDescent="0.25">
      <c r="A194" t="s">
        <v>11</v>
      </c>
      <c r="B194">
        <v>1203</v>
      </c>
      <c r="C194" s="3">
        <v>42497</v>
      </c>
      <c r="E194" t="s">
        <v>5</v>
      </c>
    </row>
    <row r="195" spans="1:5" x14ac:dyDescent="0.25">
      <c r="A195" t="s">
        <v>11</v>
      </c>
      <c r="B195">
        <v>1202</v>
      </c>
      <c r="C195" s="3">
        <v>42497</v>
      </c>
      <c r="E195" t="s">
        <v>5</v>
      </c>
    </row>
    <row r="196" spans="1:5" x14ac:dyDescent="0.25">
      <c r="A196" t="s">
        <v>11</v>
      </c>
      <c r="B196">
        <v>1202</v>
      </c>
      <c r="C196" s="3">
        <v>42497</v>
      </c>
      <c r="E196" t="s">
        <v>5</v>
      </c>
    </row>
    <row r="197" spans="1:5" x14ac:dyDescent="0.25">
      <c r="A197" t="s">
        <v>11</v>
      </c>
      <c r="B197">
        <v>1208</v>
      </c>
      <c r="C197" s="3">
        <v>42497</v>
      </c>
      <c r="E197" t="s">
        <v>5</v>
      </c>
    </row>
    <row r="198" spans="1:5" x14ac:dyDescent="0.25">
      <c r="A198" t="s">
        <v>11</v>
      </c>
      <c r="B198">
        <v>1204</v>
      </c>
      <c r="C198" s="3">
        <v>42497</v>
      </c>
      <c r="E198" t="s">
        <v>5</v>
      </c>
    </row>
    <row r="199" spans="1:5" x14ac:dyDescent="0.25">
      <c r="A199" t="s">
        <v>11</v>
      </c>
      <c r="B199">
        <v>1201</v>
      </c>
      <c r="C199" s="3">
        <v>42497</v>
      </c>
      <c r="D199" t="s">
        <v>12</v>
      </c>
      <c r="E199" t="s">
        <v>8</v>
      </c>
    </row>
    <row r="200" spans="1:5" x14ac:dyDescent="0.25">
      <c r="A200" t="s">
        <v>11</v>
      </c>
      <c r="B200">
        <v>1207</v>
      </c>
      <c r="C200" s="3">
        <v>42497</v>
      </c>
      <c r="E200" t="s">
        <v>5</v>
      </c>
    </row>
    <row r="201" spans="1:5" x14ac:dyDescent="0.25">
      <c r="A201" t="s">
        <v>11</v>
      </c>
      <c r="B201">
        <v>1206</v>
      </c>
      <c r="C201" s="3">
        <v>42497</v>
      </c>
      <c r="E201" t="s">
        <v>5</v>
      </c>
    </row>
    <row r="202" spans="1:5" x14ac:dyDescent="0.25">
      <c r="A202" t="s">
        <v>11</v>
      </c>
      <c r="B202">
        <v>1203</v>
      </c>
      <c r="C202" s="3">
        <v>42497</v>
      </c>
      <c r="E202" t="s">
        <v>5</v>
      </c>
    </row>
    <row r="203" spans="1:5" x14ac:dyDescent="0.25">
      <c r="A203" t="s">
        <v>11</v>
      </c>
      <c r="B203">
        <v>1202</v>
      </c>
      <c r="C203" s="3">
        <v>42497</v>
      </c>
      <c r="D203" t="s">
        <v>12</v>
      </c>
      <c r="E203" t="s">
        <v>8</v>
      </c>
    </row>
    <row r="204" spans="1:5" x14ac:dyDescent="0.25">
      <c r="A204" t="s">
        <v>11</v>
      </c>
      <c r="B204">
        <v>1201</v>
      </c>
      <c r="C204" s="3">
        <v>42497</v>
      </c>
      <c r="D204" t="s">
        <v>13</v>
      </c>
      <c r="E204" t="s">
        <v>8</v>
      </c>
    </row>
    <row r="205" spans="1:5" x14ac:dyDescent="0.25">
      <c r="A205" t="s">
        <v>11</v>
      </c>
      <c r="B205">
        <v>1210</v>
      </c>
      <c r="C205" s="3">
        <v>42497</v>
      </c>
      <c r="D205" t="s">
        <v>20</v>
      </c>
      <c r="E205" t="s">
        <v>8</v>
      </c>
    </row>
    <row r="206" spans="1:5" x14ac:dyDescent="0.25">
      <c r="A206" t="s">
        <v>11</v>
      </c>
      <c r="B206">
        <v>1209</v>
      </c>
      <c r="C206" s="3">
        <v>42497</v>
      </c>
      <c r="D206" t="s">
        <v>36</v>
      </c>
      <c r="E206" t="s">
        <v>8</v>
      </c>
    </row>
    <row r="207" spans="1:5" x14ac:dyDescent="0.25">
      <c r="A207" t="s">
        <v>11</v>
      </c>
      <c r="B207">
        <v>1208</v>
      </c>
      <c r="C207" s="3">
        <v>42497</v>
      </c>
      <c r="D207" t="s">
        <v>13</v>
      </c>
      <c r="E207" t="s">
        <v>8</v>
      </c>
    </row>
    <row r="208" spans="1:5" x14ac:dyDescent="0.25">
      <c r="A208" t="s">
        <v>11</v>
      </c>
      <c r="B208">
        <v>1207</v>
      </c>
      <c r="C208" s="3">
        <v>42497</v>
      </c>
      <c r="D208" t="s">
        <v>12</v>
      </c>
      <c r="E208" t="s">
        <v>8</v>
      </c>
    </row>
    <row r="209" spans="1:5" x14ac:dyDescent="0.25">
      <c r="A209" t="s">
        <v>11</v>
      </c>
      <c r="B209">
        <v>1206</v>
      </c>
      <c r="C209" s="3">
        <v>42497</v>
      </c>
      <c r="D209" t="s">
        <v>14</v>
      </c>
      <c r="E209" t="s">
        <v>8</v>
      </c>
    </row>
    <row r="210" spans="1:5" x14ac:dyDescent="0.25">
      <c r="A210" t="s">
        <v>11</v>
      </c>
      <c r="B210">
        <v>1205</v>
      </c>
      <c r="C210" s="3">
        <v>42497</v>
      </c>
      <c r="D210" t="s">
        <v>13</v>
      </c>
      <c r="E210" t="s">
        <v>8</v>
      </c>
    </row>
    <row r="211" spans="1:5" x14ac:dyDescent="0.25">
      <c r="A211" t="s">
        <v>11</v>
      </c>
      <c r="B211">
        <v>1204</v>
      </c>
      <c r="C211" s="3">
        <v>42497</v>
      </c>
      <c r="D211" t="s">
        <v>14</v>
      </c>
      <c r="E211" t="s">
        <v>8</v>
      </c>
    </row>
    <row r="212" spans="1:5" x14ac:dyDescent="0.25">
      <c r="A212" t="s">
        <v>11</v>
      </c>
      <c r="B212">
        <v>1203</v>
      </c>
      <c r="C212" s="3">
        <v>42497</v>
      </c>
      <c r="D212" t="s">
        <v>14</v>
      </c>
      <c r="E212" t="s">
        <v>8</v>
      </c>
    </row>
    <row r="213" spans="1:5" x14ac:dyDescent="0.25">
      <c r="A213" t="s">
        <v>11</v>
      </c>
      <c r="B213">
        <v>1202</v>
      </c>
      <c r="C213" s="3">
        <v>42497</v>
      </c>
      <c r="D213" t="s">
        <v>12</v>
      </c>
      <c r="E213" t="s">
        <v>8</v>
      </c>
    </row>
    <row r="214" spans="1:5" x14ac:dyDescent="0.25">
      <c r="A214" t="s">
        <v>11</v>
      </c>
      <c r="B214">
        <v>1201</v>
      </c>
      <c r="C214" s="3">
        <v>42497</v>
      </c>
      <c r="D214" t="s">
        <v>14</v>
      </c>
      <c r="E214" t="s">
        <v>8</v>
      </c>
    </row>
    <row r="215" spans="1:5" x14ac:dyDescent="0.25">
      <c r="A215" t="s">
        <v>11</v>
      </c>
      <c r="B215">
        <v>1207</v>
      </c>
      <c r="C215" s="3">
        <v>42496</v>
      </c>
      <c r="D215" t="s">
        <v>12</v>
      </c>
      <c r="E215" t="s">
        <v>8</v>
      </c>
    </row>
    <row r="216" spans="1:5" x14ac:dyDescent="0.25">
      <c r="A216" t="s">
        <v>11</v>
      </c>
      <c r="B216">
        <v>1206</v>
      </c>
      <c r="C216" s="3">
        <v>42496</v>
      </c>
      <c r="E216" t="s">
        <v>6</v>
      </c>
    </row>
    <row r="217" spans="1:5" x14ac:dyDescent="0.25">
      <c r="A217" t="s">
        <v>11</v>
      </c>
      <c r="B217">
        <v>1202</v>
      </c>
      <c r="C217" s="3">
        <v>42496</v>
      </c>
      <c r="E217" t="s">
        <v>6</v>
      </c>
    </row>
    <row r="218" spans="1:5" x14ac:dyDescent="0.25">
      <c r="A218" t="s">
        <v>11</v>
      </c>
      <c r="B218">
        <v>1205</v>
      </c>
      <c r="C218" s="3">
        <v>42496</v>
      </c>
      <c r="E218" t="s">
        <v>5</v>
      </c>
    </row>
    <row r="219" spans="1:5" x14ac:dyDescent="0.25">
      <c r="A219" t="s">
        <v>11</v>
      </c>
      <c r="B219">
        <v>1204</v>
      </c>
      <c r="C219" s="3">
        <v>42496</v>
      </c>
      <c r="E219" t="s">
        <v>5</v>
      </c>
    </row>
    <row r="220" spans="1:5" x14ac:dyDescent="0.25">
      <c r="A220" t="s">
        <v>11</v>
      </c>
      <c r="B220">
        <v>1203</v>
      </c>
      <c r="C220" s="3">
        <v>42496</v>
      </c>
      <c r="E220" t="s">
        <v>6</v>
      </c>
    </row>
    <row r="221" spans="1:5" x14ac:dyDescent="0.25">
      <c r="A221" t="s">
        <v>11</v>
      </c>
      <c r="B221">
        <v>1202</v>
      </c>
      <c r="C221" s="3">
        <v>42496</v>
      </c>
      <c r="E221" t="s">
        <v>6</v>
      </c>
    </row>
    <row r="222" spans="1:5" x14ac:dyDescent="0.25">
      <c r="A222" t="s">
        <v>11</v>
      </c>
      <c r="B222">
        <v>1201</v>
      </c>
      <c r="C222" s="3">
        <v>42496</v>
      </c>
      <c r="E222" t="s">
        <v>6</v>
      </c>
    </row>
    <row r="223" spans="1:5" x14ac:dyDescent="0.25">
      <c r="A223" t="s">
        <v>11</v>
      </c>
      <c r="B223">
        <v>1201</v>
      </c>
      <c r="C223" s="3">
        <v>42496</v>
      </c>
      <c r="D223" t="s">
        <v>12</v>
      </c>
      <c r="E223" t="s">
        <v>8</v>
      </c>
    </row>
    <row r="224" spans="1:5" x14ac:dyDescent="0.25">
      <c r="A224" t="s">
        <v>11</v>
      </c>
      <c r="B224">
        <v>1200</v>
      </c>
      <c r="C224" s="3">
        <v>42496</v>
      </c>
      <c r="D224" t="s">
        <v>12</v>
      </c>
      <c r="E224" t="s">
        <v>8</v>
      </c>
    </row>
    <row r="225" spans="1:5" x14ac:dyDescent="0.25">
      <c r="A225" t="s">
        <v>11</v>
      </c>
      <c r="B225">
        <v>1200</v>
      </c>
      <c r="C225" s="3">
        <v>42495</v>
      </c>
      <c r="D225" t="s">
        <v>12</v>
      </c>
      <c r="E225" t="s">
        <v>8</v>
      </c>
    </row>
    <row r="226" spans="1:5" x14ac:dyDescent="0.25">
      <c r="A226" t="s">
        <v>11</v>
      </c>
      <c r="B226">
        <v>1201</v>
      </c>
      <c r="C226" s="3">
        <v>42495</v>
      </c>
      <c r="D226" t="s">
        <v>37</v>
      </c>
      <c r="E226" t="s">
        <v>8</v>
      </c>
    </row>
    <row r="227" spans="1:5" x14ac:dyDescent="0.25">
      <c r="A227" t="s">
        <v>11</v>
      </c>
      <c r="B227">
        <v>1200</v>
      </c>
      <c r="C227" s="3">
        <v>42495</v>
      </c>
      <c r="D227" t="s">
        <v>37</v>
      </c>
      <c r="E227" t="s">
        <v>8</v>
      </c>
    </row>
    <row r="228" spans="1:5" x14ac:dyDescent="0.25">
      <c r="A228" t="s">
        <v>11</v>
      </c>
      <c r="B228">
        <v>2362</v>
      </c>
      <c r="C228" s="3">
        <v>42495</v>
      </c>
      <c r="D228" t="s">
        <v>37</v>
      </c>
      <c r="E228" t="s">
        <v>8</v>
      </c>
    </row>
    <row r="229" spans="1:5" x14ac:dyDescent="0.25">
      <c r="A229" t="s">
        <v>11</v>
      </c>
      <c r="B229">
        <v>2366</v>
      </c>
      <c r="C229" s="3">
        <v>42495</v>
      </c>
      <c r="E229" t="s">
        <v>6</v>
      </c>
    </row>
    <row r="230" spans="1:5" x14ac:dyDescent="0.25">
      <c r="A230" t="s">
        <v>11</v>
      </c>
      <c r="B230">
        <v>2362</v>
      </c>
      <c r="C230" s="3">
        <v>42495</v>
      </c>
      <c r="D230" t="s">
        <v>14</v>
      </c>
      <c r="E230" t="s">
        <v>8</v>
      </c>
    </row>
    <row r="231" spans="1:5" x14ac:dyDescent="0.25">
      <c r="A231" t="s">
        <v>11</v>
      </c>
      <c r="B231">
        <v>2375</v>
      </c>
      <c r="C231" s="3">
        <v>42494</v>
      </c>
      <c r="D231" t="s">
        <v>13</v>
      </c>
      <c r="E231" t="s">
        <v>8</v>
      </c>
    </row>
    <row r="232" spans="1:5" x14ac:dyDescent="0.25">
      <c r="A232" t="s">
        <v>11</v>
      </c>
      <c r="B232">
        <v>2374</v>
      </c>
      <c r="C232" s="3">
        <v>42494</v>
      </c>
      <c r="D232" t="s">
        <v>13</v>
      </c>
      <c r="E232" t="s">
        <v>8</v>
      </c>
    </row>
    <row r="233" spans="1:5" x14ac:dyDescent="0.25">
      <c r="A233" t="s">
        <v>11</v>
      </c>
      <c r="B233">
        <v>2373</v>
      </c>
      <c r="C233" s="3">
        <v>42494</v>
      </c>
      <c r="D233" t="s">
        <v>38</v>
      </c>
      <c r="E233" t="s">
        <v>8</v>
      </c>
    </row>
    <row r="234" spans="1:5" x14ac:dyDescent="0.25">
      <c r="A234" t="s">
        <v>11</v>
      </c>
      <c r="B234">
        <v>2371</v>
      </c>
      <c r="C234" s="3">
        <v>42494</v>
      </c>
      <c r="D234" t="s">
        <v>12</v>
      </c>
      <c r="E234" t="s">
        <v>8</v>
      </c>
    </row>
    <row r="235" spans="1:5" x14ac:dyDescent="0.25">
      <c r="A235" t="s">
        <v>11</v>
      </c>
      <c r="B235">
        <v>2370</v>
      </c>
      <c r="C235" s="3">
        <v>42494</v>
      </c>
      <c r="D235" t="s">
        <v>12</v>
      </c>
      <c r="E235" t="s">
        <v>8</v>
      </c>
    </row>
    <row r="236" spans="1:5" x14ac:dyDescent="0.25">
      <c r="A236" t="s">
        <v>11</v>
      </c>
      <c r="B236">
        <v>2369</v>
      </c>
      <c r="C236" s="3">
        <v>42494</v>
      </c>
      <c r="E236" t="s">
        <v>6</v>
      </c>
    </row>
    <row r="237" spans="1:5" x14ac:dyDescent="0.25">
      <c r="A237" t="s">
        <v>11</v>
      </c>
      <c r="B237">
        <v>2368</v>
      </c>
      <c r="C237" s="3">
        <v>42494</v>
      </c>
      <c r="D237" t="s">
        <v>13</v>
      </c>
      <c r="E237" t="s">
        <v>8</v>
      </c>
    </row>
    <row r="238" spans="1:5" x14ac:dyDescent="0.25">
      <c r="A238" t="s">
        <v>11</v>
      </c>
      <c r="B238">
        <v>2367</v>
      </c>
      <c r="C238" s="3">
        <v>42494</v>
      </c>
      <c r="D238" t="s">
        <v>39</v>
      </c>
      <c r="E238" t="s">
        <v>8</v>
      </c>
    </row>
    <row r="239" spans="1:5" x14ac:dyDescent="0.25">
      <c r="A239" t="s">
        <v>11</v>
      </c>
      <c r="B239">
        <v>3333</v>
      </c>
      <c r="C239" s="3">
        <v>42494</v>
      </c>
      <c r="E239" t="s">
        <v>8</v>
      </c>
    </row>
    <row r="240" spans="1:5" x14ac:dyDescent="0.25">
      <c r="A240" t="s">
        <v>11</v>
      </c>
      <c r="B240">
        <v>2366</v>
      </c>
      <c r="C240" s="3">
        <v>42494</v>
      </c>
      <c r="D240" t="s">
        <v>39</v>
      </c>
      <c r="E240" t="s">
        <v>8</v>
      </c>
    </row>
    <row r="241" spans="1:5" x14ac:dyDescent="0.25">
      <c r="A241" t="s">
        <v>11</v>
      </c>
      <c r="B241">
        <v>2362</v>
      </c>
      <c r="C241" s="3">
        <v>42494</v>
      </c>
      <c r="D241" t="s">
        <v>40</v>
      </c>
      <c r="E241" t="s">
        <v>8</v>
      </c>
    </row>
    <row r="242" spans="1:5" x14ac:dyDescent="0.25">
      <c r="A242" t="s">
        <v>11</v>
      </c>
      <c r="B242">
        <v>3333</v>
      </c>
      <c r="C242" s="3">
        <v>42494</v>
      </c>
      <c r="E242" t="s">
        <v>5</v>
      </c>
    </row>
  </sheetData>
  <sheetProtection algorithmName="SHA-512" hashValue="ohFb6OF97y8QbYg42ZqhXCrS9okGttMSCw/5nesgKNZ00heuppy5RsQZgop+wsRqRegyGo9K1dm33x7FeyQ39g==" saltValue="lDjM62t2saiUdomeAcxcAg==" spinCount="100000" sheet="1" objects="1" scenarios="1"/>
  <sortState ref="A2:E242">
    <sortCondition descending="1" ref="C1:C1048576"/>
  </sortState>
  <pageMargins left="0.7" right="0.7" top="0.75" bottom="0.75" header="0.3" footer="0.3"/>
  <pageSetup orientation="portrait" horizontalDpi="4294967294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Jun 16</vt:lpstr>
      <vt:lpstr>May 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Richter</dc:creator>
  <cp:lastModifiedBy>Jonathan Richter</cp:lastModifiedBy>
  <dcterms:created xsi:type="dcterms:W3CDTF">2015-11-04T23:32:57Z</dcterms:created>
  <dcterms:modified xsi:type="dcterms:W3CDTF">2016-07-12T08:18:55Z</dcterms:modified>
</cp:coreProperties>
</file>
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workbookProtection workbookAlgorithmName="SHA-512" workbookHashValue="jUCcJqraAmVubrgBDBhRUVG5IaSqTxHXjoaxgxTlyHbzBaS+PsGictxXFjyl/kNPwoqFUd2zFUMkHqoyWA7KCQ==" workbookSaltValue="TJKoPhmzErTOdW5D8vL7/w==" workbookSpinCount="100000" lockStructure="1"/>
  <bookViews>
    <workbookView xWindow="0" yWindow="0" windowWidth="19470" windowHeight="8115" tabRatio="586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Total!$A$4:$X$51</definedName>
    <definedName name="DriverData">Driver!$A$1:$V$19</definedName>
    <definedName name="DriverEmp">Driver!$C$1:$V$1</definedName>
    <definedName name="DriverSortField">Driver!$C$1:$V$19</definedName>
    <definedName name="EmployeeList">Total!$Z$2:$Z$51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ManagerRange">Total!$A$2:$A$3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Total!$B$2:$B$51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Total!$A$4:$A$51</definedName>
    <definedName name="TotalMisc">Total!$W$2:$W$51</definedName>
    <definedName name="TotalNonHrly">Total!$Z$2:$Z$3</definedName>
    <definedName name="TotalRegWage">Total!$B$2:$B$51</definedName>
    <definedName name="TotalSecWage">Total!$C$2:$C$51</definedName>
    <definedName name="TotalSortField">Total!$A$4:$Z$51</definedName>
    <definedName name="TotalTotals">Total!$D$58:$G$58</definedName>
    <definedName name="TotalVariance">Total!$X$55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Total!$A$4:$X$51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120" i="16" l="1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104" i="16"/>
  <c r="I104" i="16"/>
  <c r="J103" i="16"/>
  <c r="I103" i="16"/>
  <c r="J102" i="16"/>
  <c r="I102" i="16"/>
  <c r="J101" i="16"/>
  <c r="I101" i="16"/>
  <c r="J100" i="16"/>
  <c r="I100" i="16"/>
  <c r="J99" i="16"/>
  <c r="I99" i="16"/>
  <c r="J98" i="16"/>
  <c r="I98" i="16"/>
  <c r="J97" i="16"/>
  <c r="I97" i="16"/>
  <c r="J96" i="16"/>
  <c r="I96" i="16"/>
  <c r="J95" i="16"/>
  <c r="I95" i="16"/>
  <c r="J94" i="16"/>
  <c r="I94" i="16"/>
  <c r="J93" i="16"/>
  <c r="I93" i="16"/>
  <c r="J92" i="16"/>
  <c r="I92" i="16"/>
  <c r="J91" i="16"/>
  <c r="I91" i="16"/>
  <c r="J90" i="16"/>
  <c r="I90" i="16"/>
  <c r="J89" i="16"/>
  <c r="I89" i="16"/>
  <c r="J88" i="16"/>
  <c r="I88" i="16"/>
  <c r="J87" i="16"/>
  <c r="I87" i="16"/>
  <c r="J86" i="16"/>
  <c r="I86" i="16"/>
  <c r="J85" i="16"/>
  <c r="I85" i="16"/>
  <c r="J84" i="16"/>
  <c r="I84" i="16"/>
  <c r="J83" i="16"/>
  <c r="I83" i="16"/>
  <c r="J82" i="16"/>
  <c r="I82" i="16"/>
  <c r="J81" i="16"/>
  <c r="I81" i="16"/>
  <c r="J80" i="16"/>
  <c r="I80" i="16"/>
  <c r="J79" i="16"/>
  <c r="I79" i="16"/>
  <c r="J78" i="16"/>
  <c r="I78" i="16"/>
  <c r="J77" i="16"/>
  <c r="I77" i="16"/>
  <c r="J76" i="16"/>
  <c r="I76" i="16"/>
  <c r="J75" i="16"/>
  <c r="I75" i="16"/>
  <c r="J74" i="16"/>
  <c r="I74" i="16"/>
  <c r="J73" i="16"/>
  <c r="I73" i="16"/>
  <c r="J72" i="16"/>
  <c r="I72" i="16"/>
  <c r="J71" i="16"/>
  <c r="I71" i="16"/>
  <c r="J70" i="16"/>
  <c r="I70" i="16"/>
  <c r="J69" i="16"/>
  <c r="I69" i="16"/>
  <c r="J68" i="16"/>
  <c r="I68" i="16"/>
  <c r="J67" i="16"/>
  <c r="I67" i="16"/>
  <c r="J66" i="16"/>
  <c r="I66" i="16"/>
  <c r="J65" i="16"/>
  <c r="I65" i="16"/>
  <c r="J64" i="16"/>
  <c r="I64" i="16"/>
  <c r="J63" i="16"/>
  <c r="I63" i="16"/>
  <c r="J62" i="16"/>
  <c r="I62" i="16"/>
  <c r="J61" i="16"/>
  <c r="I61" i="16"/>
  <c r="J60" i="16"/>
  <c r="I60" i="16"/>
  <c r="J59" i="16"/>
  <c r="I59" i="16"/>
  <c r="J58" i="16"/>
  <c r="I58" i="16"/>
  <c r="J57" i="16"/>
  <c r="I57" i="16"/>
  <c r="J56" i="16"/>
  <c r="I56" i="16"/>
  <c r="J55" i="16"/>
  <c r="I55" i="16"/>
  <c r="J54" i="16"/>
  <c r="I54" i="16"/>
  <c r="J53" i="16"/>
  <c r="I53" i="16"/>
  <c r="J52" i="16"/>
  <c r="I52" i="16"/>
  <c r="J51" i="16"/>
  <c r="I51" i="16"/>
  <c r="J50" i="16"/>
  <c r="I50" i="16"/>
  <c r="J49" i="16"/>
  <c r="I49" i="16"/>
  <c r="J48" i="16"/>
  <c r="I48" i="16"/>
  <c r="J47" i="16"/>
  <c r="I47" i="16"/>
  <c r="J46" i="16"/>
  <c r="I46" i="16"/>
  <c r="J45" i="16"/>
  <c r="I45" i="16"/>
  <c r="J44" i="16"/>
  <c r="I44" i="16"/>
  <c r="J43" i="16"/>
  <c r="I43" i="16"/>
  <c r="J42" i="16"/>
  <c r="I42" i="16"/>
  <c r="J41" i="16"/>
  <c r="I41" i="16"/>
  <c r="J40" i="16"/>
  <c r="I40" i="16"/>
  <c r="J39" i="16"/>
  <c r="I39" i="16"/>
  <c r="J38" i="16"/>
  <c r="I38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31" i="16"/>
  <c r="I31" i="16"/>
  <c r="J30" i="16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J2" i="16"/>
  <c r="I2" i="16"/>
  <c r="Z164" i="13"/>
  <c r="Z163" i="13"/>
  <c r="Z50" i="1" l="1"/>
  <c r="AW1" i="11" s="1"/>
  <c r="Z49" i="1"/>
  <c r="H49" i="1" s="1"/>
  <c r="Z161" i="13"/>
  <c r="Z162" i="13"/>
  <c r="Z160" i="13"/>
  <c r="Z158" i="13"/>
  <c r="Z159" i="13"/>
  <c r="M50" i="1" l="1"/>
  <c r="U50" i="1"/>
  <c r="Q50" i="1"/>
  <c r="I50" i="1"/>
  <c r="T50" i="1"/>
  <c r="S50" i="1"/>
  <c r="O50" i="1"/>
  <c r="K50" i="1"/>
  <c r="G50" i="1"/>
  <c r="P50" i="1"/>
  <c r="L50" i="1"/>
  <c r="H50" i="1"/>
  <c r="R50" i="1"/>
  <c r="N50" i="1"/>
  <c r="J50" i="1"/>
  <c r="F50" i="1"/>
  <c r="AV1" i="11"/>
  <c r="U49" i="1"/>
  <c r="M49" i="1"/>
  <c r="I49" i="1"/>
  <c r="S49" i="1"/>
  <c r="O49" i="1"/>
  <c r="K49" i="1"/>
  <c r="G49" i="1"/>
  <c r="R49" i="1"/>
  <c r="N49" i="1"/>
  <c r="J49" i="1"/>
  <c r="F49" i="1"/>
  <c r="Q49" i="1"/>
  <c r="T49" i="1"/>
  <c r="P49" i="1"/>
  <c r="L49" i="1"/>
  <c r="Z157" i="13"/>
  <c r="Z149" i="13"/>
  <c r="Z133" i="13"/>
  <c r="Z154" i="13"/>
  <c r="Z143" i="13"/>
  <c r="Z147" i="13"/>
  <c r="Z139" i="13"/>
  <c r="Z148" i="13"/>
  <c r="Z156" i="13"/>
  <c r="Z140" i="13"/>
  <c r="Z151" i="13"/>
  <c r="Z136" i="13"/>
  <c r="Z137" i="13"/>
  <c r="Z153" i="13"/>
  <c r="Z152" i="13"/>
  <c r="Z134" i="13"/>
  <c r="Z141" i="13"/>
  <c r="Z135" i="13"/>
  <c r="Z142" i="13"/>
  <c r="Z138" i="13"/>
  <c r="Z155" i="13"/>
  <c r="Z146" i="13"/>
  <c r="Z144" i="13"/>
  <c r="Z150" i="13"/>
  <c r="Z145" i="13"/>
  <c r="D50" i="1" l="1"/>
  <c r="D49" i="1"/>
  <c r="U2" i="13"/>
  <c r="T2" i="13"/>
  <c r="S2" i="13"/>
  <c r="R2" i="13"/>
  <c r="Q2" i="13"/>
  <c r="P2" i="13"/>
  <c r="O2" i="13"/>
  <c r="N2" i="13"/>
  <c r="M2" i="13"/>
  <c r="L2" i="13"/>
  <c r="K2" i="13"/>
  <c r="B207" i="11"/>
  <c r="B201" i="11"/>
  <c r="B200" i="11"/>
  <c r="B199" i="11"/>
  <c r="B198" i="11"/>
  <c r="B194" i="11"/>
  <c r="B188" i="11"/>
  <c r="B187" i="11"/>
  <c r="B186" i="11"/>
  <c r="B185" i="11"/>
  <c r="B181" i="11"/>
  <c r="B175" i="11"/>
  <c r="B174" i="11"/>
  <c r="B173" i="11"/>
  <c r="B172" i="11"/>
  <c r="B168" i="11"/>
  <c r="B162" i="11"/>
  <c r="B161" i="11"/>
  <c r="B160" i="11"/>
  <c r="B159" i="11"/>
  <c r="B155" i="11"/>
  <c r="B149" i="11"/>
  <c r="B148" i="11"/>
  <c r="B147" i="11"/>
  <c r="B146" i="11"/>
  <c r="B142" i="11"/>
  <c r="B136" i="11"/>
  <c r="B135" i="11"/>
  <c r="B134" i="11"/>
  <c r="B133" i="11"/>
  <c r="B129" i="11"/>
  <c r="B123" i="11"/>
  <c r="B122" i="11"/>
  <c r="B121" i="11"/>
  <c r="B120" i="11"/>
  <c r="B116" i="11"/>
  <c r="B110" i="11"/>
  <c r="B109" i="11"/>
  <c r="B108" i="11"/>
  <c r="B107" i="11"/>
  <c r="B103" i="11"/>
  <c r="B97" i="11"/>
  <c r="B96" i="11"/>
  <c r="B95" i="11"/>
  <c r="B94" i="11"/>
  <c r="B90" i="11"/>
  <c r="B84" i="11"/>
  <c r="B83" i="11"/>
  <c r="B82" i="11"/>
  <c r="B81" i="11"/>
  <c r="B77" i="11"/>
  <c r="B71" i="11"/>
  <c r="B70" i="11"/>
  <c r="B69" i="11"/>
  <c r="B68" i="11"/>
  <c r="B64" i="11"/>
  <c r="B58" i="11"/>
  <c r="B57" i="11"/>
  <c r="B56" i="11"/>
  <c r="B55" i="11"/>
  <c r="B51" i="11"/>
  <c r="B45" i="11"/>
  <c r="B44" i="11"/>
  <c r="B43" i="11"/>
  <c r="B42" i="11"/>
  <c r="B38" i="11"/>
  <c r="B32" i="11"/>
  <c r="B31" i="11"/>
  <c r="B30" i="11"/>
  <c r="B29" i="11"/>
  <c r="B25" i="11"/>
  <c r="B19" i="11"/>
  <c r="B18" i="11"/>
  <c r="B17" i="11"/>
  <c r="B16" i="11"/>
  <c r="B12" i="11"/>
  <c r="B6" i="11"/>
  <c r="B5" i="11"/>
  <c r="B4" i="11"/>
  <c r="B3" i="11"/>
  <c r="A2" i="11"/>
  <c r="U17" i="10"/>
  <c r="M17" i="10"/>
  <c r="D17" i="10"/>
  <c r="A17" i="10"/>
  <c r="AG17" i="10" s="1"/>
  <c r="AJ16" i="10"/>
  <c r="AH16" i="10"/>
  <c r="AF16" i="10"/>
  <c r="AD16" i="10"/>
  <c r="AB16" i="10"/>
  <c r="Z16" i="10"/>
  <c r="X16" i="10"/>
  <c r="V16" i="10"/>
  <c r="T16" i="10"/>
  <c r="R16" i="10"/>
  <c r="P16" i="10"/>
  <c r="N16" i="10"/>
  <c r="L16" i="10"/>
  <c r="J16" i="10"/>
  <c r="H16" i="10"/>
  <c r="E16" i="10"/>
  <c r="F16" i="10"/>
  <c r="A16" i="10"/>
  <c r="AI16" i="10" s="1"/>
  <c r="AK15" i="10"/>
  <c r="AG15" i="10"/>
  <c r="AE15" i="10"/>
  <c r="AC15" i="10"/>
  <c r="Y15" i="10"/>
  <c r="W15" i="10"/>
  <c r="U15" i="10"/>
  <c r="Q15" i="10"/>
  <c r="O15" i="10"/>
  <c r="M15" i="10"/>
  <c r="I15" i="10"/>
  <c r="G15" i="10"/>
  <c r="D15" i="10"/>
  <c r="A15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H14" i="10"/>
  <c r="E14" i="10"/>
  <c r="F14" i="10"/>
  <c r="A14" i="10"/>
  <c r="AK14" i="10" s="1"/>
  <c r="AK13" i="10"/>
  <c r="AG13" i="10"/>
  <c r="AE13" i="10"/>
  <c r="AC13" i="10"/>
  <c r="Y13" i="10"/>
  <c r="W13" i="10"/>
  <c r="U13" i="10"/>
  <c r="Q13" i="10"/>
  <c r="O13" i="10"/>
  <c r="M13" i="10"/>
  <c r="I13" i="10"/>
  <c r="G13" i="10"/>
  <c r="D13" i="10"/>
  <c r="A13" i="10"/>
  <c r="AJ12" i="10"/>
  <c r="AH12" i="10"/>
  <c r="AF12" i="10"/>
  <c r="AB12" i="10"/>
  <c r="AA12" i="10"/>
  <c r="Y12" i="10"/>
  <c r="W12" i="10"/>
  <c r="U12" i="10"/>
  <c r="T12" i="10"/>
  <c r="Q12" i="10"/>
  <c r="P12" i="10"/>
  <c r="O12" i="10"/>
  <c r="L12" i="10"/>
  <c r="K12" i="10"/>
  <c r="I12" i="10"/>
  <c r="G12" i="10"/>
  <c r="D12" i="10"/>
  <c r="F12" i="10"/>
  <c r="A12" i="10"/>
  <c r="A11" i="10"/>
  <c r="AH11" i="10" s="1"/>
  <c r="AK10" i="10"/>
  <c r="AH10" i="10"/>
  <c r="AG10" i="10"/>
  <c r="AE10" i="10"/>
  <c r="AC10" i="10"/>
  <c r="AA10" i="10"/>
  <c r="Z10" i="10"/>
  <c r="W10" i="10"/>
  <c r="V10" i="10"/>
  <c r="U10" i="10"/>
  <c r="R10" i="10"/>
  <c r="Q10" i="10"/>
  <c r="O10" i="10"/>
  <c r="M10" i="10"/>
  <c r="K10" i="10"/>
  <c r="J10" i="10"/>
  <c r="G10" i="10"/>
  <c r="E10" i="10"/>
  <c r="D10" i="10"/>
  <c r="A10" i="10"/>
  <c r="AK9" i="10"/>
  <c r="AJ9" i="10"/>
  <c r="AH9" i="10"/>
  <c r="AG9" i="10"/>
  <c r="AF9" i="10"/>
  <c r="AD9" i="10"/>
  <c r="AC9" i="10"/>
  <c r="AB9" i="10"/>
  <c r="Z9" i="10"/>
  <c r="Y9" i="10"/>
  <c r="X9" i="10"/>
  <c r="V9" i="10"/>
  <c r="U9" i="10"/>
  <c r="T9" i="10"/>
  <c r="R9" i="10"/>
  <c r="Q9" i="10"/>
  <c r="P9" i="10"/>
  <c r="N9" i="10"/>
  <c r="M9" i="10"/>
  <c r="L9" i="10"/>
  <c r="J9" i="10"/>
  <c r="I9" i="10"/>
  <c r="H9" i="10"/>
  <c r="E9" i="10"/>
  <c r="D9" i="10"/>
  <c r="F9" i="10"/>
  <c r="A9" i="10"/>
  <c r="AI9" i="10" s="1"/>
  <c r="A8" i="10"/>
  <c r="AJ8" i="10" s="1"/>
  <c r="A7" i="10"/>
  <c r="AJ7" i="10" s="1"/>
  <c r="AK6" i="10"/>
  <c r="AJ6" i="10"/>
  <c r="AH6" i="10"/>
  <c r="AG6" i="10"/>
  <c r="AF6" i="10"/>
  <c r="AD6" i="10"/>
  <c r="AC6" i="10"/>
  <c r="AB6" i="10"/>
  <c r="Z6" i="10"/>
  <c r="Y6" i="10"/>
  <c r="X6" i="10"/>
  <c r="V6" i="10"/>
  <c r="U6" i="10"/>
  <c r="T6" i="10"/>
  <c r="R6" i="10"/>
  <c r="Q6" i="10"/>
  <c r="P6" i="10"/>
  <c r="N6" i="10"/>
  <c r="M6" i="10"/>
  <c r="L6" i="10"/>
  <c r="J6" i="10"/>
  <c r="I6" i="10"/>
  <c r="H6" i="10"/>
  <c r="E6" i="10"/>
  <c r="D6" i="10"/>
  <c r="F6" i="10"/>
  <c r="A6" i="10"/>
  <c r="AI6" i="10" s="1"/>
  <c r="A5" i="10"/>
  <c r="AF4" i="10"/>
  <c r="AA4" i="10"/>
  <c r="V4" i="10"/>
  <c r="P4" i="10"/>
  <c r="K4" i="10"/>
  <c r="E4" i="10"/>
  <c r="A4" i="10"/>
  <c r="AH4" i="10" s="1"/>
  <c r="A3" i="10"/>
  <c r="AK2" i="10"/>
  <c r="AJ2" i="10"/>
  <c r="AH2" i="10"/>
  <c r="AG2" i="10"/>
  <c r="AF2" i="10"/>
  <c r="AD2" i="10"/>
  <c r="AC2" i="10"/>
  <c r="AB2" i="10"/>
  <c r="Z2" i="10"/>
  <c r="Y2" i="10"/>
  <c r="X2" i="10"/>
  <c r="V2" i="10"/>
  <c r="U2" i="10"/>
  <c r="T2" i="10"/>
  <c r="R2" i="10"/>
  <c r="Q2" i="10"/>
  <c r="P2" i="10"/>
  <c r="N2" i="10"/>
  <c r="M2" i="10"/>
  <c r="L2" i="10"/>
  <c r="J2" i="10"/>
  <c r="I2" i="10"/>
  <c r="H2" i="10"/>
  <c r="E2" i="10"/>
  <c r="D2" i="10"/>
  <c r="F2" i="10"/>
  <c r="A2" i="10"/>
  <c r="AI2" i="10" s="1"/>
  <c r="X33" i="17"/>
  <c r="U33" i="17"/>
  <c r="R33" i="17"/>
  <c r="P33" i="17"/>
  <c r="M33" i="17"/>
  <c r="J33" i="17"/>
  <c r="H33" i="17"/>
  <c r="F33" i="17"/>
  <c r="A33" i="17"/>
  <c r="V33" i="17" s="1"/>
  <c r="X32" i="17"/>
  <c r="V32" i="17"/>
  <c r="S32" i="17"/>
  <c r="P32" i="17"/>
  <c r="N32" i="17"/>
  <c r="K32" i="17"/>
  <c r="H32" i="17"/>
  <c r="E32" i="17"/>
  <c r="A32" i="17"/>
  <c r="W32" i="17" s="1"/>
  <c r="V31" i="17"/>
  <c r="T31" i="17"/>
  <c r="Q31" i="17"/>
  <c r="L31" i="17"/>
  <c r="I31" i="17"/>
  <c r="E31" i="17"/>
  <c r="A31" i="17"/>
  <c r="W30" i="17"/>
  <c r="T30" i="17"/>
  <c r="R30" i="17"/>
  <c r="L30" i="17"/>
  <c r="J30" i="17"/>
  <c r="G30" i="17"/>
  <c r="A30" i="17"/>
  <c r="X29" i="17"/>
  <c r="V29" i="17"/>
  <c r="U29" i="17"/>
  <c r="R29" i="17"/>
  <c r="Q29" i="17"/>
  <c r="P29" i="17"/>
  <c r="M29" i="17"/>
  <c r="L29" i="17"/>
  <c r="J29" i="17"/>
  <c r="H29" i="17"/>
  <c r="E29" i="17"/>
  <c r="F29" i="17"/>
  <c r="A29" i="17"/>
  <c r="X28" i="17"/>
  <c r="W28" i="17"/>
  <c r="V28" i="17"/>
  <c r="S28" i="17"/>
  <c r="R28" i="17"/>
  <c r="P28" i="17"/>
  <c r="N28" i="17"/>
  <c r="L28" i="17"/>
  <c r="K28" i="17"/>
  <c r="H28" i="17"/>
  <c r="G28" i="17"/>
  <c r="E28" i="17"/>
  <c r="A28" i="17"/>
  <c r="V27" i="17"/>
  <c r="T27" i="17"/>
  <c r="N27" i="17"/>
  <c r="M27" i="17"/>
  <c r="H27" i="17"/>
  <c r="E27" i="17"/>
  <c r="A27" i="17"/>
  <c r="X27" i="17" s="1"/>
  <c r="W26" i="17"/>
  <c r="T26" i="17"/>
  <c r="O26" i="17"/>
  <c r="N26" i="17"/>
  <c r="H26" i="17"/>
  <c r="G26" i="17"/>
  <c r="A26" i="17"/>
  <c r="X26" i="17" s="1"/>
  <c r="X25" i="17"/>
  <c r="U25" i="17"/>
  <c r="T25" i="17"/>
  <c r="P25" i="17"/>
  <c r="N25" i="17"/>
  <c r="M25" i="17"/>
  <c r="I25" i="17"/>
  <c r="H25" i="17"/>
  <c r="F25" i="17"/>
  <c r="A25" i="17"/>
  <c r="X24" i="17"/>
  <c r="V24" i="17"/>
  <c r="T24" i="17"/>
  <c r="P24" i="17"/>
  <c r="O24" i="17"/>
  <c r="N24" i="17"/>
  <c r="J24" i="17"/>
  <c r="H24" i="17"/>
  <c r="E24" i="17"/>
  <c r="A24" i="17"/>
  <c r="Y23" i="17"/>
  <c r="A23" i="17"/>
  <c r="R22" i="17"/>
  <c r="K22" i="17"/>
  <c r="A22" i="17"/>
  <c r="X21" i="17"/>
  <c r="V21" i="17"/>
  <c r="U21" i="17"/>
  <c r="R21" i="17"/>
  <c r="Q21" i="17"/>
  <c r="P21" i="17"/>
  <c r="M21" i="17"/>
  <c r="L21" i="17"/>
  <c r="J21" i="17"/>
  <c r="H21" i="17"/>
  <c r="E21" i="17"/>
  <c r="F21" i="17"/>
  <c r="A21" i="17"/>
  <c r="X20" i="17"/>
  <c r="W20" i="17"/>
  <c r="V20" i="17"/>
  <c r="S20" i="17"/>
  <c r="R20" i="17"/>
  <c r="P20" i="17"/>
  <c r="N20" i="17"/>
  <c r="L20" i="17"/>
  <c r="K20" i="17"/>
  <c r="H20" i="17"/>
  <c r="G20" i="17"/>
  <c r="E20" i="17"/>
  <c r="A20" i="17"/>
  <c r="X19" i="17"/>
  <c r="V19" i="17"/>
  <c r="T19" i="17"/>
  <c r="Q19" i="17"/>
  <c r="N19" i="17"/>
  <c r="M19" i="17"/>
  <c r="I19" i="17"/>
  <c r="H19" i="17"/>
  <c r="E19" i="17"/>
  <c r="A19" i="17"/>
  <c r="X18" i="17"/>
  <c r="W18" i="17"/>
  <c r="T18" i="17"/>
  <c r="R18" i="17"/>
  <c r="O18" i="17"/>
  <c r="N18" i="17"/>
  <c r="J18" i="17"/>
  <c r="H18" i="17"/>
  <c r="G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E17" i="17"/>
  <c r="F17" i="17"/>
  <c r="D17" i="17"/>
  <c r="C17" i="17"/>
  <c r="B17" i="17"/>
  <c r="B38" i="17" s="1"/>
  <c r="AK17" i="15"/>
  <c r="AJ17" i="15"/>
  <c r="AH17" i="15"/>
  <c r="AG17" i="15"/>
  <c r="AF17" i="15"/>
  <c r="AD17" i="15"/>
  <c r="AC17" i="15"/>
  <c r="AB17" i="15"/>
  <c r="Z17" i="15"/>
  <c r="Y17" i="15"/>
  <c r="X17" i="15"/>
  <c r="V17" i="15"/>
  <c r="U17" i="15"/>
  <c r="T17" i="15"/>
  <c r="R17" i="15"/>
  <c r="Q17" i="15"/>
  <c r="P17" i="15"/>
  <c r="N17" i="15"/>
  <c r="M17" i="15"/>
  <c r="L17" i="15"/>
  <c r="J17" i="15"/>
  <c r="I17" i="15"/>
  <c r="H17" i="15"/>
  <c r="F17" i="15"/>
  <c r="E17" i="15"/>
  <c r="D17" i="15"/>
  <c r="A17" i="15"/>
  <c r="AI17" i="15" s="1"/>
  <c r="A16" i="15"/>
  <c r="AK15" i="15"/>
  <c r="AG15" i="15"/>
  <c r="AE15" i="15"/>
  <c r="AA15" i="15"/>
  <c r="Z15" i="15"/>
  <c r="V15" i="15"/>
  <c r="U15" i="15"/>
  <c r="Q15" i="15"/>
  <c r="O15" i="15"/>
  <c r="K15" i="15"/>
  <c r="J15" i="15"/>
  <c r="F15" i="15"/>
  <c r="E15" i="15"/>
  <c r="A15" i="15"/>
  <c r="AH15" i="15" s="1"/>
  <c r="AK14" i="15"/>
  <c r="AJ14" i="15"/>
  <c r="AH14" i="15"/>
  <c r="AG14" i="15"/>
  <c r="AF14" i="15"/>
  <c r="AD14" i="15"/>
  <c r="AC14" i="15"/>
  <c r="AB14" i="15"/>
  <c r="Z14" i="15"/>
  <c r="Y14" i="15"/>
  <c r="X14" i="15"/>
  <c r="V14" i="15"/>
  <c r="U14" i="15"/>
  <c r="T14" i="15"/>
  <c r="R14" i="15"/>
  <c r="Q14" i="15"/>
  <c r="P14" i="15"/>
  <c r="N14" i="15"/>
  <c r="M14" i="15"/>
  <c r="L14" i="15"/>
  <c r="J14" i="15"/>
  <c r="I14" i="15"/>
  <c r="H14" i="15"/>
  <c r="F14" i="15"/>
  <c r="E14" i="15"/>
  <c r="D14" i="15"/>
  <c r="A14" i="15"/>
  <c r="AI14" i="15" s="1"/>
  <c r="AG13" i="15"/>
  <c r="AC13" i="15"/>
  <c r="AB13" i="15"/>
  <c r="W13" i="15"/>
  <c r="S13" i="15"/>
  <c r="Q13" i="15"/>
  <c r="L13" i="15"/>
  <c r="H13" i="15"/>
  <c r="G13" i="15"/>
  <c r="A13" i="15"/>
  <c r="AJ12" i="15"/>
  <c r="AF12" i="15"/>
  <c r="AE12" i="15"/>
  <c r="AA12" i="15"/>
  <c r="Z12" i="15"/>
  <c r="V12" i="15"/>
  <c r="T12" i="15"/>
  <c r="P12" i="15"/>
  <c r="O12" i="15"/>
  <c r="K12" i="15"/>
  <c r="J12" i="15"/>
  <c r="F12" i="15"/>
  <c r="D12" i="15"/>
  <c r="A12" i="15"/>
  <c r="AH12" i="15" s="1"/>
  <c r="AC11" i="15"/>
  <c r="R11" i="15"/>
  <c r="G11" i="15"/>
  <c r="A11" i="15"/>
  <c r="AH11" i="15" s="1"/>
  <c r="AK10" i="15"/>
  <c r="AJ10" i="15"/>
  <c r="AH10" i="15"/>
  <c r="AG10" i="15"/>
  <c r="AF10" i="15"/>
  <c r="AD10" i="15"/>
  <c r="AC10" i="15"/>
  <c r="AB10" i="15"/>
  <c r="Z10" i="15"/>
  <c r="Y10" i="15"/>
  <c r="X10" i="15"/>
  <c r="V10" i="15"/>
  <c r="U10" i="15"/>
  <c r="T10" i="15"/>
  <c r="R10" i="15"/>
  <c r="Q10" i="15"/>
  <c r="P10" i="15"/>
  <c r="N10" i="15"/>
  <c r="M10" i="15"/>
  <c r="L10" i="15"/>
  <c r="J10" i="15"/>
  <c r="I10" i="15"/>
  <c r="H10" i="15"/>
  <c r="F10" i="15"/>
  <c r="E10" i="15"/>
  <c r="D10" i="15"/>
  <c r="A10" i="15"/>
  <c r="AI10" i="15" s="1"/>
  <c r="AF9" i="15"/>
  <c r="Y9" i="15"/>
  <c r="S9" i="15"/>
  <c r="K9" i="15"/>
  <c r="D9" i="15"/>
  <c r="A9" i="15"/>
  <c r="AJ9" i="15" s="1"/>
  <c r="A8" i="15"/>
  <c r="A7" i="15"/>
  <c r="AK6" i="15"/>
  <c r="AJ6" i="15"/>
  <c r="AH6" i="15"/>
  <c r="AG6" i="15"/>
  <c r="AF6" i="15"/>
  <c r="AD6" i="15"/>
  <c r="AC6" i="15"/>
  <c r="AB6" i="15"/>
  <c r="Z6" i="15"/>
  <c r="Y6" i="15"/>
  <c r="X6" i="15"/>
  <c r="V6" i="15"/>
  <c r="U6" i="15"/>
  <c r="T6" i="15"/>
  <c r="R6" i="15"/>
  <c r="Q6" i="15"/>
  <c r="P6" i="15"/>
  <c r="N6" i="15"/>
  <c r="M6" i="15"/>
  <c r="L6" i="15"/>
  <c r="J6" i="15"/>
  <c r="I6" i="15"/>
  <c r="H6" i="15"/>
  <c r="F6" i="15"/>
  <c r="E6" i="15"/>
  <c r="D6" i="15"/>
  <c r="A6" i="15"/>
  <c r="AI6" i="15" s="1"/>
  <c r="A5" i="15"/>
  <c r="AJ4" i="15"/>
  <c r="AH4" i="15"/>
  <c r="AF4" i="15"/>
  <c r="AE4" i="15"/>
  <c r="AB4" i="15"/>
  <c r="AA4" i="15"/>
  <c r="Z4" i="15"/>
  <c r="W4" i="15"/>
  <c r="V4" i="15"/>
  <c r="T4" i="15"/>
  <c r="R4" i="15"/>
  <c r="P4" i="15"/>
  <c r="O4" i="15"/>
  <c r="L4" i="15"/>
  <c r="K4" i="15"/>
  <c r="J4" i="15"/>
  <c r="G4" i="15"/>
  <c r="F4" i="15"/>
  <c r="D4" i="15"/>
  <c r="A4" i="15"/>
  <c r="A3" i="15"/>
  <c r="AK2" i="15"/>
  <c r="AJ2" i="15"/>
  <c r="AH2" i="15"/>
  <c r="AG2" i="15"/>
  <c r="AF2" i="15"/>
  <c r="AD2" i="15"/>
  <c r="AC2" i="15"/>
  <c r="AB2" i="15"/>
  <c r="Z2" i="15"/>
  <c r="Y2" i="15"/>
  <c r="X2" i="15"/>
  <c r="V2" i="15"/>
  <c r="U2" i="15"/>
  <c r="T2" i="15"/>
  <c r="R2" i="15"/>
  <c r="Q2" i="15"/>
  <c r="P2" i="15"/>
  <c r="N2" i="15"/>
  <c r="M2" i="15"/>
  <c r="L2" i="15"/>
  <c r="J2" i="15"/>
  <c r="I2" i="15"/>
  <c r="H2" i="15"/>
  <c r="F2" i="15"/>
  <c r="E2" i="15"/>
  <c r="D2" i="15"/>
  <c r="A2" i="15"/>
  <c r="AI2" i="15" s="1"/>
  <c r="E35" i="14"/>
  <c r="D35" i="14"/>
  <c r="E34" i="14"/>
  <c r="D34" i="14"/>
  <c r="F33" i="14"/>
  <c r="G33" i="14" s="1"/>
  <c r="A33" i="14"/>
  <c r="A32" i="14"/>
  <c r="F32" i="14" s="1"/>
  <c r="G32" i="14" s="1"/>
  <c r="F31" i="14"/>
  <c r="G31" i="14" s="1"/>
  <c r="A31" i="14"/>
  <c r="A30" i="14"/>
  <c r="F30" i="14" s="1"/>
  <c r="G30" i="14" s="1"/>
  <c r="F29" i="14"/>
  <c r="G29" i="14" s="1"/>
  <c r="A29" i="14"/>
  <c r="F28" i="14"/>
  <c r="G28" i="14" s="1"/>
  <c r="A28" i="14"/>
  <c r="A27" i="14"/>
  <c r="F27" i="14" s="1"/>
  <c r="G27" i="14" s="1"/>
  <c r="F26" i="14"/>
  <c r="G26" i="14" s="1"/>
  <c r="A26" i="14"/>
  <c r="A25" i="14"/>
  <c r="F25" i="14" s="1"/>
  <c r="G25" i="14" s="1"/>
  <c r="A24" i="14"/>
  <c r="F24" i="14" s="1"/>
  <c r="G24" i="14" s="1"/>
  <c r="F23" i="14"/>
  <c r="G23" i="14" s="1"/>
  <c r="A23" i="14"/>
  <c r="F22" i="14"/>
  <c r="G22" i="14" s="1"/>
  <c r="A22" i="14"/>
  <c r="F21" i="14"/>
  <c r="G21" i="14" s="1"/>
  <c r="A21" i="14"/>
  <c r="A20" i="14"/>
  <c r="F20" i="14" s="1"/>
  <c r="G20" i="14" s="1"/>
  <c r="F19" i="14"/>
  <c r="G19" i="14" s="1"/>
  <c r="A19" i="14"/>
  <c r="F18" i="14"/>
  <c r="A18" i="14"/>
  <c r="G17" i="14"/>
  <c r="B40" i="8" s="1"/>
  <c r="D40" i="8" s="1"/>
  <c r="F17" i="14"/>
  <c r="E17" i="14"/>
  <c r="D17" i="14"/>
  <c r="E35" i="8"/>
  <c r="C41" i="8" s="1"/>
  <c r="Z34" i="8"/>
  <c r="X34" i="8"/>
  <c r="W34" i="8"/>
  <c r="V34" i="8"/>
  <c r="T34" i="8"/>
  <c r="S34" i="8"/>
  <c r="R34" i="8"/>
  <c r="P34" i="8"/>
  <c r="O34" i="8"/>
  <c r="N34" i="8"/>
  <c r="L34" i="8"/>
  <c r="K34" i="8"/>
  <c r="J34" i="8"/>
  <c r="H34" i="8"/>
  <c r="G34" i="8"/>
  <c r="F34" i="8"/>
  <c r="A34" i="8"/>
  <c r="Y34" i="8" s="1"/>
  <c r="Y33" i="8"/>
  <c r="X33" i="8"/>
  <c r="V33" i="8"/>
  <c r="T33" i="8"/>
  <c r="R33" i="8"/>
  <c r="Q33" i="8"/>
  <c r="N33" i="8"/>
  <c r="M33" i="8"/>
  <c r="L33" i="8"/>
  <c r="I33" i="8"/>
  <c r="H33" i="8"/>
  <c r="F33" i="8"/>
  <c r="A33" i="8"/>
  <c r="Z32" i="8"/>
  <c r="X32" i="8"/>
  <c r="W32" i="8"/>
  <c r="V32" i="8"/>
  <c r="T32" i="8"/>
  <c r="S32" i="8"/>
  <c r="R32" i="8"/>
  <c r="P32" i="8"/>
  <c r="O32" i="8"/>
  <c r="N32" i="8"/>
  <c r="L32" i="8"/>
  <c r="K32" i="8"/>
  <c r="J32" i="8"/>
  <c r="H32" i="8"/>
  <c r="G32" i="8"/>
  <c r="F32" i="8"/>
  <c r="A32" i="8"/>
  <c r="Y32" i="8" s="1"/>
  <c r="U31" i="8"/>
  <c r="A31" i="8"/>
  <c r="Z30" i="8"/>
  <c r="X30" i="8"/>
  <c r="W30" i="8"/>
  <c r="V30" i="8"/>
  <c r="T30" i="8"/>
  <c r="S30" i="8"/>
  <c r="R30" i="8"/>
  <c r="P30" i="8"/>
  <c r="O30" i="8"/>
  <c r="N30" i="8"/>
  <c r="L30" i="8"/>
  <c r="K30" i="8"/>
  <c r="J30" i="8"/>
  <c r="H30" i="8"/>
  <c r="G30" i="8"/>
  <c r="F30" i="8"/>
  <c r="A30" i="8"/>
  <c r="Y30" i="8" s="1"/>
  <c r="Y29" i="8"/>
  <c r="X29" i="8"/>
  <c r="V29" i="8"/>
  <c r="T29" i="8"/>
  <c r="R29" i="8"/>
  <c r="Q29" i="8"/>
  <c r="N29" i="8"/>
  <c r="M29" i="8"/>
  <c r="L29" i="8"/>
  <c r="I29" i="8"/>
  <c r="H29" i="8"/>
  <c r="F29" i="8"/>
  <c r="A29" i="8"/>
  <c r="Z28" i="8"/>
  <c r="X28" i="8"/>
  <c r="W28" i="8"/>
  <c r="V28" i="8"/>
  <c r="T28" i="8"/>
  <c r="S28" i="8"/>
  <c r="R28" i="8"/>
  <c r="P28" i="8"/>
  <c r="O28" i="8"/>
  <c r="N28" i="8"/>
  <c r="L28" i="8"/>
  <c r="K28" i="8"/>
  <c r="J28" i="8"/>
  <c r="H28" i="8"/>
  <c r="G28" i="8"/>
  <c r="F28" i="8"/>
  <c r="A28" i="8"/>
  <c r="Y28" i="8" s="1"/>
  <c r="Y27" i="8"/>
  <c r="Q27" i="8"/>
  <c r="J27" i="8"/>
  <c r="A27" i="8"/>
  <c r="Z26" i="8"/>
  <c r="X26" i="8"/>
  <c r="W26" i="8"/>
  <c r="V26" i="8"/>
  <c r="T26" i="8"/>
  <c r="S26" i="8"/>
  <c r="R26" i="8"/>
  <c r="P26" i="8"/>
  <c r="O26" i="8"/>
  <c r="N26" i="8"/>
  <c r="L26" i="8"/>
  <c r="K26" i="8"/>
  <c r="J26" i="8"/>
  <c r="H26" i="8"/>
  <c r="G26" i="8"/>
  <c r="F26" i="8"/>
  <c r="A26" i="8"/>
  <c r="Y26" i="8" s="1"/>
  <c r="Y25" i="8"/>
  <c r="X25" i="8"/>
  <c r="V25" i="8"/>
  <c r="T25" i="8"/>
  <c r="R25" i="8"/>
  <c r="Q25" i="8"/>
  <c r="N25" i="8"/>
  <c r="M25" i="8"/>
  <c r="L25" i="8"/>
  <c r="I25" i="8"/>
  <c r="H25" i="8"/>
  <c r="F25" i="8"/>
  <c r="A25" i="8"/>
  <c r="Z24" i="8"/>
  <c r="X24" i="8"/>
  <c r="W24" i="8"/>
  <c r="V24" i="8"/>
  <c r="T24" i="8"/>
  <c r="S24" i="8"/>
  <c r="R24" i="8"/>
  <c r="P24" i="8"/>
  <c r="O24" i="8"/>
  <c r="N24" i="8"/>
  <c r="L24" i="8"/>
  <c r="K24" i="8"/>
  <c r="J24" i="8"/>
  <c r="H24" i="8"/>
  <c r="G24" i="8"/>
  <c r="F24" i="8"/>
  <c r="A24" i="8"/>
  <c r="Y24" i="8" s="1"/>
  <c r="Y23" i="8"/>
  <c r="N23" i="8"/>
  <c r="A23" i="8"/>
  <c r="Z22" i="8"/>
  <c r="X22" i="8"/>
  <c r="W22" i="8"/>
  <c r="V22" i="8"/>
  <c r="T22" i="8"/>
  <c r="S22" i="8"/>
  <c r="R22" i="8"/>
  <c r="P22" i="8"/>
  <c r="O22" i="8"/>
  <c r="N22" i="8"/>
  <c r="L22" i="8"/>
  <c r="K22" i="8"/>
  <c r="J22" i="8"/>
  <c r="H22" i="8"/>
  <c r="G22" i="8"/>
  <c r="F22" i="8"/>
  <c r="A22" i="8"/>
  <c r="Y22" i="8" s="1"/>
  <c r="Y21" i="8"/>
  <c r="X21" i="8"/>
  <c r="V21" i="8"/>
  <c r="T21" i="8"/>
  <c r="R21" i="8"/>
  <c r="Q21" i="8"/>
  <c r="N21" i="8"/>
  <c r="M21" i="8"/>
  <c r="L21" i="8"/>
  <c r="I21" i="8"/>
  <c r="H21" i="8"/>
  <c r="F21" i="8"/>
  <c r="A21" i="8"/>
  <c r="Z20" i="8"/>
  <c r="X20" i="8"/>
  <c r="W20" i="8"/>
  <c r="V20" i="8"/>
  <c r="T20" i="8"/>
  <c r="S20" i="8"/>
  <c r="R20" i="8"/>
  <c r="P20" i="8"/>
  <c r="O20" i="8"/>
  <c r="N20" i="8"/>
  <c r="L20" i="8"/>
  <c r="K20" i="8"/>
  <c r="J20" i="8"/>
  <c r="H20" i="8"/>
  <c r="G20" i="8"/>
  <c r="F20" i="8"/>
  <c r="A20" i="8"/>
  <c r="Y20" i="8" s="1"/>
  <c r="Z19" i="8"/>
  <c r="T19" i="8"/>
  <c r="Q19" i="8"/>
  <c r="J19" i="8"/>
  <c r="F19" i="8"/>
  <c r="A19" i="8"/>
  <c r="U19" i="8" s="1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C42" i="8" s="1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I22" i="7"/>
  <c r="G18" i="7"/>
  <c r="AK17" i="7"/>
  <c r="AI17" i="7"/>
  <c r="AA17" i="7"/>
  <c r="Z17" i="7"/>
  <c r="S17" i="7"/>
  <c r="O17" i="7"/>
  <c r="K17" i="7"/>
  <c r="E17" i="7"/>
  <c r="A17" i="7"/>
  <c r="AO17" i="7" s="1"/>
  <c r="AO16" i="7"/>
  <c r="AM16" i="7"/>
  <c r="AK16" i="7"/>
  <c r="AI16" i="7"/>
  <c r="AH16" i="7"/>
  <c r="AE16" i="7"/>
  <c r="AD16" i="7"/>
  <c r="AC16" i="7"/>
  <c r="Z16" i="7"/>
  <c r="Y16" i="7"/>
  <c r="W16" i="7"/>
  <c r="U16" i="7"/>
  <c r="S16" i="7"/>
  <c r="R16" i="7"/>
  <c r="O16" i="7"/>
  <c r="N16" i="7"/>
  <c r="M16" i="7"/>
  <c r="H16" i="7"/>
  <c r="K16" i="7"/>
  <c r="E16" i="7"/>
  <c r="A16" i="7"/>
  <c r="AO15" i="7"/>
  <c r="AD15" i="7"/>
  <c r="R15" i="7"/>
  <c r="E15" i="7"/>
  <c r="A15" i="7"/>
  <c r="AL15" i="7" s="1"/>
  <c r="AG14" i="7"/>
  <c r="AE14" i="7"/>
  <c r="U14" i="7"/>
  <c r="R14" i="7"/>
  <c r="H14" i="7"/>
  <c r="E14" i="7"/>
  <c r="A14" i="7"/>
  <c r="AL14" i="7" s="1"/>
  <c r="AO13" i="7"/>
  <c r="AM13" i="7"/>
  <c r="AK13" i="7"/>
  <c r="AI13" i="7"/>
  <c r="AH13" i="7"/>
  <c r="AE13" i="7"/>
  <c r="AD13" i="7"/>
  <c r="AC13" i="7"/>
  <c r="Z13" i="7"/>
  <c r="Y13" i="7"/>
  <c r="W13" i="7"/>
  <c r="U13" i="7"/>
  <c r="S13" i="7"/>
  <c r="R13" i="7"/>
  <c r="O13" i="7"/>
  <c r="N13" i="7"/>
  <c r="M13" i="7"/>
  <c r="H13" i="7"/>
  <c r="K13" i="7"/>
  <c r="E13" i="7"/>
  <c r="A13" i="7"/>
  <c r="AO12" i="7"/>
  <c r="AL12" i="7"/>
  <c r="AI12" i="7"/>
  <c r="AD12" i="7"/>
  <c r="AC12" i="7"/>
  <c r="AA12" i="7"/>
  <c r="V12" i="7"/>
  <c r="S12" i="7"/>
  <c r="Q12" i="7"/>
  <c r="M12" i="7"/>
  <c r="K12" i="7"/>
  <c r="E12" i="7"/>
  <c r="A12" i="7"/>
  <c r="AL11" i="7"/>
  <c r="AK11" i="7"/>
  <c r="AC11" i="7"/>
  <c r="AA11" i="7"/>
  <c r="U11" i="7"/>
  <c r="Q11" i="7"/>
  <c r="H11" i="7"/>
  <c r="E11" i="7"/>
  <c r="A11" i="7"/>
  <c r="AE11" i="7" s="1"/>
  <c r="AL10" i="7"/>
  <c r="AK10" i="7"/>
  <c r="AI10" i="7"/>
  <c r="AE10" i="7"/>
  <c r="AD10" i="7"/>
  <c r="AA10" i="7"/>
  <c r="Y10" i="7"/>
  <c r="V10" i="7"/>
  <c r="U10" i="7"/>
  <c r="Q10" i="7"/>
  <c r="O10" i="7"/>
  <c r="N10" i="7"/>
  <c r="H10" i="7"/>
  <c r="K10" i="7"/>
  <c r="E10" i="7"/>
  <c r="A10" i="7"/>
  <c r="AO9" i="7"/>
  <c r="AM9" i="7"/>
  <c r="AK9" i="7"/>
  <c r="AI9" i="7"/>
  <c r="AH9" i="7"/>
  <c r="AE9" i="7"/>
  <c r="AD9" i="7"/>
  <c r="AC9" i="7"/>
  <c r="Z9" i="7"/>
  <c r="Y9" i="7"/>
  <c r="W9" i="7"/>
  <c r="U9" i="7"/>
  <c r="S9" i="7"/>
  <c r="R9" i="7"/>
  <c r="O9" i="7"/>
  <c r="N9" i="7"/>
  <c r="M9" i="7"/>
  <c r="H9" i="7"/>
  <c r="K9" i="7"/>
  <c r="E9" i="7"/>
  <c r="A9" i="7"/>
  <c r="AO8" i="7"/>
  <c r="AM8" i="7"/>
  <c r="AG8" i="7"/>
  <c r="AC8" i="7"/>
  <c r="V8" i="7"/>
  <c r="S8" i="7"/>
  <c r="M8" i="7"/>
  <c r="L8" i="7"/>
  <c r="E8" i="7"/>
  <c r="A8" i="7"/>
  <c r="AM7" i="7"/>
  <c r="AK7" i="7"/>
  <c r="AC7" i="7"/>
  <c r="AA7" i="7"/>
  <c r="U7" i="7"/>
  <c r="R7" i="7"/>
  <c r="L7" i="7"/>
  <c r="I7" i="7"/>
  <c r="E7" i="7"/>
  <c r="A7" i="7"/>
  <c r="AM6" i="7"/>
  <c r="AL6" i="7"/>
  <c r="AF6" i="7"/>
  <c r="AE6" i="7"/>
  <c r="Z6" i="7"/>
  <c r="W6" i="7"/>
  <c r="R6" i="7"/>
  <c r="P6" i="7"/>
  <c r="L6" i="7"/>
  <c r="H6" i="7"/>
  <c r="E6" i="7"/>
  <c r="A6" i="7"/>
  <c r="AN5" i="7"/>
  <c r="AL5" i="7"/>
  <c r="AF5" i="7"/>
  <c r="Z5" i="7"/>
  <c r="X5" i="7"/>
  <c r="S5" i="7"/>
  <c r="L5" i="7"/>
  <c r="H5" i="7"/>
  <c r="E5" i="7"/>
  <c r="A5" i="7"/>
  <c r="AN4" i="7"/>
  <c r="AM4" i="7"/>
  <c r="AJ4" i="7"/>
  <c r="AI4" i="7"/>
  <c r="AH4" i="7"/>
  <c r="AE4" i="7"/>
  <c r="AD4" i="7"/>
  <c r="AB4" i="7"/>
  <c r="Z4" i="7"/>
  <c r="X4" i="7"/>
  <c r="W4" i="7"/>
  <c r="T4" i="7"/>
  <c r="S4" i="7"/>
  <c r="R4" i="7"/>
  <c r="O4" i="7"/>
  <c r="N4" i="7"/>
  <c r="J4" i="7"/>
  <c r="H4" i="7"/>
  <c r="I4" i="7"/>
  <c r="E4" i="7"/>
  <c r="A4" i="7"/>
  <c r="AM3" i="7"/>
  <c r="AL3" i="7"/>
  <c r="AI3" i="7"/>
  <c r="AF3" i="7"/>
  <c r="AD3" i="7"/>
  <c r="AB3" i="7"/>
  <c r="X3" i="7"/>
  <c r="W3" i="7"/>
  <c r="V3" i="7"/>
  <c r="R3" i="7"/>
  <c r="P3" i="7"/>
  <c r="N3" i="7"/>
  <c r="L3" i="7"/>
  <c r="I3" i="7"/>
  <c r="E3" i="7"/>
  <c r="A3" i="7"/>
  <c r="AM2" i="7"/>
  <c r="AL2" i="7"/>
  <c r="AJ2" i="7"/>
  <c r="AF2" i="7"/>
  <c r="AE2" i="7"/>
  <c r="AB2" i="7"/>
  <c r="Z2" i="7"/>
  <c r="W2" i="7"/>
  <c r="V2" i="7"/>
  <c r="R2" i="7"/>
  <c r="P2" i="7"/>
  <c r="O2" i="7"/>
  <c r="L2" i="7"/>
  <c r="H2" i="7"/>
  <c r="E2" i="7"/>
  <c r="E18" i="7" s="1"/>
  <c r="A2" i="7"/>
  <c r="A95" i="6"/>
  <c r="A94" i="6"/>
  <c r="A92" i="6"/>
  <c r="A91" i="6"/>
  <c r="A89" i="6"/>
  <c r="A88" i="6"/>
  <c r="A87" i="6" s="1"/>
  <c r="A90" i="6" s="1"/>
  <c r="A86" i="6"/>
  <c r="A83" i="6"/>
  <c r="A82" i="6"/>
  <c r="A80" i="6"/>
  <c r="A79" i="6"/>
  <c r="A77" i="6"/>
  <c r="A76" i="6"/>
  <c r="A75" i="6"/>
  <c r="A78" i="6" s="1"/>
  <c r="A74" i="6"/>
  <c r="A71" i="6"/>
  <c r="A70" i="6"/>
  <c r="A68" i="6"/>
  <c r="A65" i="6"/>
  <c r="A64" i="6"/>
  <c r="A67" i="6" s="1"/>
  <c r="A63" i="6"/>
  <c r="A66" i="6" s="1"/>
  <c r="A62" i="6"/>
  <c r="A59" i="6"/>
  <c r="A58" i="6"/>
  <c r="A56" i="6"/>
  <c r="A55" i="6"/>
  <c r="A53" i="6"/>
  <c r="A52" i="6"/>
  <c r="A51" i="6"/>
  <c r="A54" i="6" s="1"/>
  <c r="A50" i="6"/>
  <c r="A47" i="6"/>
  <c r="A46" i="6"/>
  <c r="A44" i="6"/>
  <c r="A43" i="6"/>
  <c r="A41" i="6"/>
  <c r="A40" i="6"/>
  <c r="A39" i="6" s="1"/>
  <c r="A42" i="6" s="1"/>
  <c r="A38" i="6"/>
  <c r="A35" i="6"/>
  <c r="A34" i="6"/>
  <c r="A32" i="6"/>
  <c r="A31" i="6"/>
  <c r="A30" i="6"/>
  <c r="A29" i="6"/>
  <c r="A28" i="6"/>
  <c r="A27" i="6"/>
  <c r="A26" i="6"/>
  <c r="A23" i="6"/>
  <c r="A22" i="6"/>
  <c r="A20" i="6"/>
  <c r="A19" i="6"/>
  <c r="A17" i="6"/>
  <c r="A16" i="6"/>
  <c r="A15" i="6"/>
  <c r="A18" i="6" s="1"/>
  <c r="A14" i="6"/>
  <c r="A11" i="6"/>
  <c r="A10" i="6"/>
  <c r="A8" i="6"/>
  <c r="A7" i="6"/>
  <c r="A5" i="6"/>
  <c r="A4" i="6"/>
  <c r="A3" i="6"/>
  <c r="A6" i="6" s="1"/>
  <c r="A2" i="6"/>
  <c r="C96" i="5"/>
  <c r="A95" i="5"/>
  <c r="A94" i="5"/>
  <c r="C93" i="5"/>
  <c r="A92" i="5"/>
  <c r="C90" i="5"/>
  <c r="A89" i="5"/>
  <c r="B88" i="5"/>
  <c r="A88" i="5"/>
  <c r="A87" i="5" s="1"/>
  <c r="A90" i="5" s="1"/>
  <c r="C87" i="5"/>
  <c r="A86" i="5"/>
  <c r="A85" i="5"/>
  <c r="C84" i="5"/>
  <c r="A83" i="5"/>
  <c r="A82" i="5"/>
  <c r="A81" i="5" s="1"/>
  <c r="C81" i="5"/>
  <c r="A80" i="5"/>
  <c r="A79" i="5"/>
  <c r="C78" i="5"/>
  <c r="A77" i="5"/>
  <c r="A76" i="5"/>
  <c r="C75" i="5"/>
  <c r="A75" i="5"/>
  <c r="A78" i="5" s="1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B58" i="5"/>
  <c r="A58" i="5"/>
  <c r="A57" i="5" s="1"/>
  <c r="A60" i="5" s="1"/>
  <c r="C57" i="5"/>
  <c r="A56" i="5"/>
  <c r="A55" i="5"/>
  <c r="C54" i="5"/>
  <c r="A53" i="5"/>
  <c r="A52" i="5"/>
  <c r="C51" i="5"/>
  <c r="A51" i="5"/>
  <c r="A54" i="5" s="1"/>
  <c r="A50" i="5"/>
  <c r="C48" i="5"/>
  <c r="A47" i="5"/>
  <c r="A46" i="5"/>
  <c r="C45" i="5"/>
  <c r="A44" i="5"/>
  <c r="C42" i="5"/>
  <c r="A41" i="5"/>
  <c r="B40" i="5"/>
  <c r="A40" i="5"/>
  <c r="A39" i="5" s="1"/>
  <c r="A42" i="5" s="1"/>
  <c r="C39" i="5"/>
  <c r="A38" i="5"/>
  <c r="C36" i="5"/>
  <c r="A35" i="5"/>
  <c r="B34" i="5"/>
  <c r="A34" i="5"/>
  <c r="A33" i="5" s="1"/>
  <c r="A36" i="5" s="1"/>
  <c r="C33" i="5"/>
  <c r="A32" i="5"/>
  <c r="A31" i="5"/>
  <c r="C30" i="5"/>
  <c r="A29" i="5"/>
  <c r="B28" i="5"/>
  <c r="A28" i="5"/>
  <c r="C27" i="5"/>
  <c r="A27" i="5"/>
  <c r="A30" i="5" s="1"/>
  <c r="A26" i="5"/>
  <c r="C24" i="5"/>
  <c r="A23" i="5"/>
  <c r="A22" i="5"/>
  <c r="C21" i="5"/>
  <c r="A20" i="5"/>
  <c r="C18" i="5"/>
  <c r="A17" i="5"/>
  <c r="B16" i="5"/>
  <c r="A16" i="5"/>
  <c r="A15" i="5" s="1"/>
  <c r="A18" i="5" s="1"/>
  <c r="C15" i="5"/>
  <c r="A14" i="5"/>
  <c r="C12" i="5"/>
  <c r="A11" i="5"/>
  <c r="B10" i="5"/>
  <c r="A10" i="5"/>
  <c r="A9" i="5" s="1"/>
  <c r="A12" i="5" s="1"/>
  <c r="C9" i="5"/>
  <c r="A8" i="5"/>
  <c r="A7" i="5"/>
  <c r="C6" i="5"/>
  <c r="A5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AW78" i="4"/>
  <c r="AS78" i="4"/>
  <c r="AM78" i="4"/>
  <c r="AK78" i="4"/>
  <c r="AC78" i="4"/>
  <c r="AB78" i="4"/>
  <c r="U78" i="4"/>
  <c r="Q78" i="4"/>
  <c r="K78" i="4"/>
  <c r="H78" i="4"/>
  <c r="BB77" i="4"/>
  <c r="BA77" i="4"/>
  <c r="AS77" i="4"/>
  <c r="AP77" i="4"/>
  <c r="AH77" i="4"/>
  <c r="AG77" i="4"/>
  <c r="Z77" i="4"/>
  <c r="X77" i="4"/>
  <c r="Q77" i="4"/>
  <c r="M77" i="4"/>
  <c r="F77" i="4"/>
  <c r="E77" i="4"/>
  <c r="A77" i="4"/>
  <c r="AY78" i="4" s="1"/>
  <c r="C75" i="4"/>
  <c r="BD73" i="4"/>
  <c r="BB73" i="4"/>
  <c r="BA73" i="4"/>
  <c r="AX73" i="4"/>
  <c r="AW73" i="4"/>
  <c r="AV73" i="4"/>
  <c r="AS73" i="4"/>
  <c r="AR73" i="4"/>
  <c r="AP73" i="4"/>
  <c r="AN73" i="4"/>
  <c r="AL73" i="4"/>
  <c r="AK73" i="4"/>
  <c r="AH73" i="4"/>
  <c r="AG73" i="4"/>
  <c r="AF73" i="4"/>
  <c r="AC73" i="4"/>
  <c r="AB73" i="4"/>
  <c r="Z73" i="4"/>
  <c r="X73" i="4"/>
  <c r="V73" i="4"/>
  <c r="U73" i="4"/>
  <c r="R73" i="4"/>
  <c r="Q73" i="4"/>
  <c r="P73" i="4"/>
  <c r="M73" i="4"/>
  <c r="L73" i="4"/>
  <c r="J73" i="4"/>
  <c r="H73" i="4"/>
  <c r="F73" i="4"/>
  <c r="E73" i="4"/>
  <c r="BC72" i="4"/>
  <c r="BB72" i="4"/>
  <c r="BA72" i="4"/>
  <c r="AX72" i="4"/>
  <c r="AW72" i="4"/>
  <c r="AU72" i="4"/>
  <c r="AS72" i="4"/>
  <c r="AQ72" i="4"/>
  <c r="AP72" i="4"/>
  <c r="AM72" i="4"/>
  <c r="AL72" i="4"/>
  <c r="AK72" i="4"/>
  <c r="AH72" i="4"/>
  <c r="AG72" i="4"/>
  <c r="AE72" i="4"/>
  <c r="AC72" i="4"/>
  <c r="AA72" i="4"/>
  <c r="Z72" i="4"/>
  <c r="W72" i="4"/>
  <c r="V72" i="4"/>
  <c r="U72" i="4"/>
  <c r="R72" i="4"/>
  <c r="Q72" i="4"/>
  <c r="O72" i="4"/>
  <c r="M72" i="4"/>
  <c r="K72" i="4"/>
  <c r="J72" i="4"/>
  <c r="G72" i="4"/>
  <c r="F72" i="4"/>
  <c r="E72" i="4"/>
  <c r="A72" i="4"/>
  <c r="C70" i="4"/>
  <c r="AZ68" i="4"/>
  <c r="AS68" i="4"/>
  <c r="AL68" i="4"/>
  <c r="AD68" i="4"/>
  <c r="X68" i="4"/>
  <c r="Q68" i="4"/>
  <c r="I68" i="4"/>
  <c r="BC67" i="4"/>
  <c r="AW67" i="4"/>
  <c r="AO67" i="4"/>
  <c r="AH67" i="4"/>
  <c r="AA67" i="4"/>
  <c r="S67" i="4"/>
  <c r="M67" i="4"/>
  <c r="F67" i="4"/>
  <c r="A67" i="4"/>
  <c r="BD68" i="4" s="1"/>
  <c r="C65" i="4"/>
  <c r="BA63" i="4"/>
  <c r="AZ63" i="4"/>
  <c r="AT63" i="4"/>
  <c r="AS63" i="4"/>
  <c r="AN63" i="4"/>
  <c r="AK63" i="4"/>
  <c r="AF63" i="4"/>
  <c r="AD63" i="4"/>
  <c r="Y63" i="4"/>
  <c r="X63" i="4"/>
  <c r="R63" i="4"/>
  <c r="P63" i="4"/>
  <c r="J63" i="4"/>
  <c r="I63" i="4"/>
  <c r="D63" i="4"/>
  <c r="BC62" i="4"/>
  <c r="AX62" i="4"/>
  <c r="AU62" i="4"/>
  <c r="AP62" i="4"/>
  <c r="AO62" i="4"/>
  <c r="AI62" i="4"/>
  <c r="AH62" i="4"/>
  <c r="AC62" i="4"/>
  <c r="Z62" i="4"/>
  <c r="U62" i="4"/>
  <c r="S62" i="4"/>
  <c r="N62" i="4"/>
  <c r="M62" i="4"/>
  <c r="G62" i="4"/>
  <c r="E62" i="4"/>
  <c r="A62" i="4"/>
  <c r="BD63" i="4" s="1"/>
  <c r="C60" i="4"/>
  <c r="BB58" i="4"/>
  <c r="BA58" i="4"/>
  <c r="AV58" i="4"/>
  <c r="AT58" i="4"/>
  <c r="AO58" i="4"/>
  <c r="AL58" i="4"/>
  <c r="AG58" i="4"/>
  <c r="AF58" i="4"/>
  <c r="AD58" i="4"/>
  <c r="Z58" i="4"/>
  <c r="Y58" i="4"/>
  <c r="V58" i="4"/>
  <c r="T58" i="4"/>
  <c r="Q58" i="4"/>
  <c r="P58" i="4"/>
  <c r="L58" i="4"/>
  <c r="J58" i="4"/>
  <c r="I58" i="4"/>
  <c r="E58" i="4"/>
  <c r="D58" i="4"/>
  <c r="BB57" i="4"/>
  <c r="AY57" i="4"/>
  <c r="AW57" i="4"/>
  <c r="AU57" i="4"/>
  <c r="AQ57" i="4"/>
  <c r="AP57" i="4"/>
  <c r="AO57" i="4"/>
  <c r="AK57" i="4"/>
  <c r="AI57" i="4"/>
  <c r="AG57" i="4"/>
  <c r="AD57" i="4"/>
  <c r="AA57" i="4"/>
  <c r="Z57" i="4"/>
  <c r="V57" i="4"/>
  <c r="U57" i="4"/>
  <c r="S57" i="4"/>
  <c r="O57" i="4"/>
  <c r="N57" i="4"/>
  <c r="K57" i="4"/>
  <c r="I57" i="4"/>
  <c r="F57" i="4"/>
  <c r="E57" i="4"/>
  <c r="A57" i="4"/>
  <c r="C55" i="4"/>
  <c r="BD53" i="4"/>
  <c r="BB53" i="4"/>
  <c r="BA53" i="4"/>
  <c r="AX53" i="4"/>
  <c r="AW53" i="4"/>
  <c r="AV53" i="4"/>
  <c r="AS53" i="4"/>
  <c r="AR53" i="4"/>
  <c r="AP53" i="4"/>
  <c r="AN53" i="4"/>
  <c r="AL53" i="4"/>
  <c r="AK53" i="4"/>
  <c r="AH53" i="4"/>
  <c r="AG53" i="4"/>
  <c r="AF53" i="4"/>
  <c r="AC53" i="4"/>
  <c r="AB53" i="4"/>
  <c r="Z53" i="4"/>
  <c r="X53" i="4"/>
  <c r="V53" i="4"/>
  <c r="U53" i="4"/>
  <c r="R53" i="4"/>
  <c r="Q53" i="4"/>
  <c r="P53" i="4"/>
  <c r="M53" i="4"/>
  <c r="L53" i="4"/>
  <c r="J53" i="4"/>
  <c r="H53" i="4"/>
  <c r="F53" i="4"/>
  <c r="E53" i="4"/>
  <c r="BC52" i="4"/>
  <c r="BB52" i="4"/>
  <c r="BA52" i="4"/>
  <c r="AX52" i="4"/>
  <c r="AW52" i="4"/>
  <c r="AU52" i="4"/>
  <c r="AS52" i="4"/>
  <c r="AQ52" i="4"/>
  <c r="AP52" i="4"/>
  <c r="AM52" i="4"/>
  <c r="AL52" i="4"/>
  <c r="AK52" i="4"/>
  <c r="AH52" i="4"/>
  <c r="AG52" i="4"/>
  <c r="AE52" i="4"/>
  <c r="AC52" i="4"/>
  <c r="AA52" i="4"/>
  <c r="Z52" i="4"/>
  <c r="W52" i="4"/>
  <c r="V52" i="4"/>
  <c r="U52" i="4"/>
  <c r="R52" i="4"/>
  <c r="Q52" i="4"/>
  <c r="O52" i="4"/>
  <c r="M52" i="4"/>
  <c r="K52" i="4"/>
  <c r="J52" i="4"/>
  <c r="G52" i="4"/>
  <c r="F52" i="4"/>
  <c r="E52" i="4"/>
  <c r="A52" i="4"/>
  <c r="C50" i="4"/>
  <c r="AZ48" i="4"/>
  <c r="AX48" i="4"/>
  <c r="AT48" i="4"/>
  <c r="AR48" i="4"/>
  <c r="AN48" i="4"/>
  <c r="AL48" i="4"/>
  <c r="AG48" i="4"/>
  <c r="AD48" i="4"/>
  <c r="AC48" i="4"/>
  <c r="X48" i="4"/>
  <c r="V48" i="4"/>
  <c r="R48" i="4"/>
  <c r="N48" i="4"/>
  <c r="L48" i="4"/>
  <c r="I48" i="4"/>
  <c r="D48" i="4"/>
  <c r="BC47" i="4"/>
  <c r="BB47" i="4"/>
  <c r="AW47" i="4"/>
  <c r="AT47" i="4"/>
  <c r="AQ47" i="4"/>
  <c r="AM47" i="4"/>
  <c r="AI47" i="4"/>
  <c r="AH47" i="4"/>
  <c r="AC47" i="4"/>
  <c r="AA47" i="4"/>
  <c r="Y47" i="4"/>
  <c r="S47" i="4"/>
  <c r="R47" i="4"/>
  <c r="N47" i="4"/>
  <c r="K47" i="4"/>
  <c r="G47" i="4"/>
  <c r="F47" i="4"/>
  <c r="A47" i="4"/>
  <c r="C45" i="4"/>
  <c r="BD43" i="4"/>
  <c r="BA43" i="4"/>
  <c r="AZ43" i="4"/>
  <c r="AV43" i="4"/>
  <c r="AT43" i="4"/>
  <c r="AS43" i="4"/>
  <c r="AO43" i="4"/>
  <c r="AN43" i="4"/>
  <c r="AK43" i="4"/>
  <c r="AH43" i="4"/>
  <c r="AF43" i="4"/>
  <c r="AD43" i="4"/>
  <c r="Z43" i="4"/>
  <c r="Y43" i="4"/>
  <c r="X43" i="4"/>
  <c r="T43" i="4"/>
  <c r="R43" i="4"/>
  <c r="P43" i="4"/>
  <c r="M43" i="4"/>
  <c r="J43" i="4"/>
  <c r="I43" i="4"/>
  <c r="E43" i="4"/>
  <c r="D43" i="4"/>
  <c r="BC42" i="4"/>
  <c r="AY42" i="4"/>
  <c r="AX42" i="4"/>
  <c r="AU42" i="4"/>
  <c r="AS42" i="4"/>
  <c r="AP42" i="4"/>
  <c r="AO42" i="4"/>
  <c r="AK42" i="4"/>
  <c r="AI42" i="4"/>
  <c r="AH42" i="4"/>
  <c r="AD42" i="4"/>
  <c r="AC42" i="4"/>
  <c r="Z42" i="4"/>
  <c r="W42" i="4"/>
  <c r="U42" i="4"/>
  <c r="S42" i="4"/>
  <c r="O42" i="4"/>
  <c r="N42" i="4"/>
  <c r="M42" i="4"/>
  <c r="I42" i="4"/>
  <c r="G42" i="4"/>
  <c r="E42" i="4"/>
  <c r="A42" i="4"/>
  <c r="C40" i="4"/>
  <c r="AW38" i="4"/>
  <c r="AO38" i="4"/>
  <c r="AF38" i="4"/>
  <c r="U38" i="4"/>
  <c r="L38" i="4"/>
  <c r="D38" i="4"/>
  <c r="AT37" i="4"/>
  <c r="AK37" i="4"/>
  <c r="AA37" i="4"/>
  <c r="Q37" i="4"/>
  <c r="I37" i="4"/>
  <c r="A37" i="4"/>
  <c r="BA38" i="4" s="1"/>
  <c r="C35" i="4"/>
  <c r="BD33" i="4"/>
  <c r="BA33" i="4"/>
  <c r="AX33" i="4"/>
  <c r="AW33" i="4"/>
  <c r="AS33" i="4"/>
  <c r="AR33" i="4"/>
  <c r="AP33" i="4"/>
  <c r="AL33" i="4"/>
  <c r="AK33" i="4"/>
  <c r="AH33" i="4"/>
  <c r="AF33" i="4"/>
  <c r="AC33" i="4"/>
  <c r="AB33" i="4"/>
  <c r="X33" i="4"/>
  <c r="V33" i="4"/>
  <c r="U33" i="4"/>
  <c r="R33" i="4"/>
  <c r="Q33" i="4"/>
  <c r="O33" i="4"/>
  <c r="M33" i="4"/>
  <c r="K33" i="4"/>
  <c r="J33" i="4"/>
  <c r="G33" i="4"/>
  <c r="F33" i="4"/>
  <c r="E33" i="4"/>
  <c r="BC32" i="4"/>
  <c r="BB32" i="4"/>
  <c r="AZ32" i="4"/>
  <c r="AX32" i="4"/>
  <c r="AV32" i="4"/>
  <c r="AU32" i="4"/>
  <c r="AR32" i="4"/>
  <c r="AQ32" i="4"/>
  <c r="AP32" i="4"/>
  <c r="AM32" i="4"/>
  <c r="AL32" i="4"/>
  <c r="AJ32" i="4"/>
  <c r="AH32" i="4"/>
  <c r="AF32" i="4"/>
  <c r="AE32" i="4"/>
  <c r="AB32" i="4"/>
  <c r="AA32" i="4"/>
  <c r="Z32" i="4"/>
  <c r="W32" i="4"/>
  <c r="V32" i="4"/>
  <c r="T32" i="4"/>
  <c r="R32" i="4"/>
  <c r="P32" i="4"/>
  <c r="O32" i="4"/>
  <c r="L32" i="4"/>
  <c r="K32" i="4"/>
  <c r="J32" i="4"/>
  <c r="G32" i="4"/>
  <c r="F32" i="4"/>
  <c r="D32" i="4"/>
  <c r="A32" i="4"/>
  <c r="C30" i="4"/>
  <c r="AT28" i="4"/>
  <c r="AL28" i="4"/>
  <c r="AC28" i="4"/>
  <c r="R28" i="4"/>
  <c r="I28" i="4"/>
  <c r="BB27" i="4"/>
  <c r="AQ27" i="4"/>
  <c r="AH27" i="4"/>
  <c r="X27" i="4"/>
  <c r="N27" i="4"/>
  <c r="F27" i="4"/>
  <c r="A27" i="4"/>
  <c r="AY28" i="4" s="1"/>
  <c r="C25" i="4"/>
  <c r="BC23" i="4"/>
  <c r="BA23" i="4"/>
  <c r="AY23" i="4"/>
  <c r="AU23" i="4"/>
  <c r="AT23" i="4"/>
  <c r="AS23" i="4"/>
  <c r="AO23" i="4"/>
  <c r="AM23" i="4"/>
  <c r="AK23" i="4"/>
  <c r="AH23" i="4"/>
  <c r="AE23" i="4"/>
  <c r="AD23" i="4"/>
  <c r="Z23" i="4"/>
  <c r="Y23" i="4"/>
  <c r="W23" i="4"/>
  <c r="S23" i="4"/>
  <c r="R23" i="4"/>
  <c r="O23" i="4"/>
  <c r="M23" i="4"/>
  <c r="J23" i="4"/>
  <c r="I23" i="4"/>
  <c r="E23" i="4"/>
  <c r="BD22" i="4"/>
  <c r="BC22" i="4"/>
  <c r="AY22" i="4"/>
  <c r="AX22" i="4"/>
  <c r="AU22" i="4"/>
  <c r="AR22" i="4"/>
  <c r="AP22" i="4"/>
  <c r="AN22" i="4"/>
  <c r="AJ22" i="4"/>
  <c r="AI22" i="4"/>
  <c r="AH22" i="4"/>
  <c r="AD22" i="4"/>
  <c r="AB22" i="4"/>
  <c r="Z22" i="4"/>
  <c r="W22" i="4"/>
  <c r="T22" i="4"/>
  <c r="S22" i="4"/>
  <c r="O22" i="4"/>
  <c r="N22" i="4"/>
  <c r="L22" i="4"/>
  <c r="H22" i="4"/>
  <c r="G22" i="4"/>
  <c r="D22" i="4"/>
  <c r="A22" i="4"/>
  <c r="C20" i="4"/>
  <c r="AW18" i="4"/>
  <c r="AU18" i="4"/>
  <c r="AO18" i="4"/>
  <c r="AL18" i="4"/>
  <c r="AE18" i="4"/>
  <c r="AA18" i="4"/>
  <c r="U18" i="4"/>
  <c r="S18" i="4"/>
  <c r="K18" i="4"/>
  <c r="J18" i="4"/>
  <c r="BD17" i="4"/>
  <c r="AZ17" i="4"/>
  <c r="AT17" i="4"/>
  <c r="AQ17" i="4"/>
  <c r="AJ17" i="4"/>
  <c r="AI17" i="4"/>
  <c r="AA17" i="4"/>
  <c r="X17" i="4"/>
  <c r="P17" i="4"/>
  <c r="O17" i="4"/>
  <c r="H17" i="4"/>
  <c r="F17" i="4"/>
  <c r="A17" i="4"/>
  <c r="BA18" i="4" s="1"/>
  <c r="C15" i="4"/>
  <c r="BC13" i="4"/>
  <c r="BB13" i="4"/>
  <c r="BA13" i="4"/>
  <c r="AX13" i="4"/>
  <c r="AW13" i="4"/>
  <c r="AU13" i="4"/>
  <c r="AS13" i="4"/>
  <c r="AQ13" i="4"/>
  <c r="AP13" i="4"/>
  <c r="AM13" i="4"/>
  <c r="AL13" i="4"/>
  <c r="AK13" i="4"/>
  <c r="AH13" i="4"/>
  <c r="AG13" i="4"/>
  <c r="AE13" i="4"/>
  <c r="AC13" i="4"/>
  <c r="AA13" i="4"/>
  <c r="Z13" i="4"/>
  <c r="W13" i="4"/>
  <c r="V13" i="4"/>
  <c r="U13" i="4"/>
  <c r="R13" i="4"/>
  <c r="Q13" i="4"/>
  <c r="O13" i="4"/>
  <c r="M13" i="4"/>
  <c r="K13" i="4"/>
  <c r="J13" i="4"/>
  <c r="G13" i="4"/>
  <c r="F13" i="4"/>
  <c r="E13" i="4"/>
  <c r="BC12" i="4"/>
  <c r="BB12" i="4"/>
  <c r="AZ12" i="4"/>
  <c r="AX12" i="4"/>
  <c r="AV12" i="4"/>
  <c r="AU12" i="4"/>
  <c r="AR12" i="4"/>
  <c r="AQ12" i="4"/>
  <c r="AP12" i="4"/>
  <c r="AM12" i="4"/>
  <c r="AL12" i="4"/>
  <c r="AJ12" i="4"/>
  <c r="AH12" i="4"/>
  <c r="AF12" i="4"/>
  <c r="AE12" i="4"/>
  <c r="AB12" i="4"/>
  <c r="AA12" i="4"/>
  <c r="Z12" i="4"/>
  <c r="W12" i="4"/>
  <c r="V12" i="4"/>
  <c r="T12" i="4"/>
  <c r="R12" i="4"/>
  <c r="P12" i="4"/>
  <c r="O12" i="4"/>
  <c r="L12" i="4"/>
  <c r="K12" i="4"/>
  <c r="J12" i="4"/>
  <c r="G12" i="4"/>
  <c r="F12" i="4"/>
  <c r="D12" i="4"/>
  <c r="A12" i="4"/>
  <c r="C10" i="4"/>
  <c r="BC8" i="4"/>
  <c r="BB8" i="4"/>
  <c r="AY8" i="4"/>
  <c r="AW8" i="4"/>
  <c r="AT8" i="4"/>
  <c r="AS8" i="4"/>
  <c r="AO8" i="4"/>
  <c r="AM8" i="4"/>
  <c r="AL8" i="4"/>
  <c r="AH8" i="4"/>
  <c r="AG8" i="4"/>
  <c r="AD8" i="4"/>
  <c r="AA8" i="4"/>
  <c r="Y8" i="4"/>
  <c r="W8" i="4"/>
  <c r="S8" i="4"/>
  <c r="R8" i="4"/>
  <c r="Q8" i="4"/>
  <c r="M8" i="4"/>
  <c r="K8" i="4"/>
  <c r="I8" i="4"/>
  <c r="F8" i="4"/>
  <c r="BD7" i="4"/>
  <c r="BC7" i="4"/>
  <c r="AY7" i="4"/>
  <c r="AX7" i="4"/>
  <c r="AV7" i="4"/>
  <c r="AR7" i="4"/>
  <c r="AQ7" i="4"/>
  <c r="AN7" i="4"/>
  <c r="AL7" i="4"/>
  <c r="AI7" i="4"/>
  <c r="AH7" i="4"/>
  <c r="AD7" i="4"/>
  <c r="AB7" i="4"/>
  <c r="AA7" i="4"/>
  <c r="W7" i="4"/>
  <c r="V7" i="4"/>
  <c r="S7" i="4"/>
  <c r="P7" i="4"/>
  <c r="N7" i="4"/>
  <c r="L7" i="4"/>
  <c r="H7" i="4"/>
  <c r="G7" i="4"/>
  <c r="F7" i="4"/>
  <c r="A7" i="4"/>
  <c r="C5" i="4"/>
  <c r="BA3" i="4"/>
  <c r="AU3" i="4"/>
  <c r="AP3" i="4"/>
  <c r="AM3" i="4"/>
  <c r="AH3" i="4"/>
  <c r="AC3" i="4"/>
  <c r="Y3" i="4"/>
  <c r="S3" i="4"/>
  <c r="N3" i="4"/>
  <c r="J3" i="4"/>
  <c r="E3" i="4"/>
  <c r="AZ2" i="4"/>
  <c r="AX2" i="4"/>
  <c r="AR2" i="4"/>
  <c r="AM2" i="4"/>
  <c r="AI2" i="4"/>
  <c r="AD2" i="4"/>
  <c r="X2" i="4"/>
  <c r="T2" i="4"/>
  <c r="O2" i="4"/>
  <c r="J2" i="4"/>
  <c r="G2" i="4"/>
  <c r="A2" i="4"/>
  <c r="AX3" i="4" s="1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Q86" i="3"/>
  <c r="O86" i="3"/>
  <c r="N86" i="3"/>
  <c r="M86" i="3"/>
  <c r="K86" i="3"/>
  <c r="I86" i="3"/>
  <c r="F86" i="3"/>
  <c r="E86" i="3"/>
  <c r="D86" i="3"/>
  <c r="T86" i="3"/>
  <c r="S86" i="3"/>
  <c r="R86" i="3"/>
  <c r="P86" i="3"/>
  <c r="L86" i="3"/>
  <c r="J86" i="3"/>
  <c r="H86" i="3"/>
  <c r="G86" i="3"/>
  <c r="C80" i="3"/>
  <c r="BC78" i="3"/>
  <c r="BB78" i="3"/>
  <c r="AY78" i="3"/>
  <c r="AV78" i="3"/>
  <c r="AT78" i="3"/>
  <c r="AR78" i="3"/>
  <c r="AN78" i="3"/>
  <c r="AM78" i="3"/>
  <c r="AL78" i="3"/>
  <c r="AH78" i="3"/>
  <c r="AF78" i="3"/>
  <c r="AD78" i="3"/>
  <c r="AA78" i="3"/>
  <c r="X78" i="3"/>
  <c r="W78" i="3"/>
  <c r="O78" i="3"/>
  <c r="N78" i="3"/>
  <c r="K78" i="3"/>
  <c r="D78" i="3"/>
  <c r="T78" i="3"/>
  <c r="P78" i="3"/>
  <c r="J78" i="3"/>
  <c r="BD77" i="3"/>
  <c r="BC77" i="3"/>
  <c r="AY77" i="3"/>
  <c r="AW77" i="3"/>
  <c r="AV77" i="3"/>
  <c r="AR77" i="3"/>
  <c r="AQ77" i="3"/>
  <c r="AN77" i="3"/>
  <c r="AK77" i="3"/>
  <c r="AI77" i="3"/>
  <c r="AG77" i="3"/>
  <c r="AC77" i="3"/>
  <c r="AB77" i="3"/>
  <c r="AA77" i="3"/>
  <c r="W77" i="3"/>
  <c r="U77" i="3"/>
  <c r="O77" i="3"/>
  <c r="K77" i="3"/>
  <c r="E77" i="3"/>
  <c r="D77" i="3"/>
  <c r="P77" i="3"/>
  <c r="L77" i="3"/>
  <c r="H77" i="3"/>
  <c r="A77" i="3"/>
  <c r="C75" i="3"/>
  <c r="A72" i="3"/>
  <c r="C70" i="3"/>
  <c r="BC68" i="3"/>
  <c r="BB68" i="3"/>
  <c r="AY68" i="3"/>
  <c r="AV68" i="3"/>
  <c r="AT68" i="3"/>
  <c r="AR68" i="3"/>
  <c r="AN68" i="3"/>
  <c r="AM68" i="3"/>
  <c r="AL68" i="3"/>
  <c r="AH68" i="3"/>
  <c r="AF68" i="3"/>
  <c r="AD68" i="3"/>
  <c r="AA68" i="3"/>
  <c r="X68" i="3"/>
  <c r="W68" i="3"/>
  <c r="O68" i="3"/>
  <c r="N68" i="3"/>
  <c r="K68" i="3"/>
  <c r="D68" i="3"/>
  <c r="T68" i="3"/>
  <c r="P68" i="3"/>
  <c r="J68" i="3"/>
  <c r="BD67" i="3"/>
  <c r="BC67" i="3"/>
  <c r="AY67" i="3"/>
  <c r="AW67" i="3"/>
  <c r="AV67" i="3"/>
  <c r="AR67" i="3"/>
  <c r="AQ67" i="3"/>
  <c r="AN67" i="3"/>
  <c r="AK67" i="3"/>
  <c r="AI67" i="3"/>
  <c r="AG67" i="3"/>
  <c r="AC67" i="3"/>
  <c r="AB67" i="3"/>
  <c r="AA67" i="3"/>
  <c r="W67" i="3"/>
  <c r="U67" i="3"/>
  <c r="O67" i="3"/>
  <c r="K67" i="3"/>
  <c r="E67" i="3"/>
  <c r="D67" i="3"/>
  <c r="P67" i="3"/>
  <c r="L67" i="3"/>
  <c r="H67" i="3"/>
  <c r="A67" i="3"/>
  <c r="C65" i="3"/>
  <c r="AV63" i="3"/>
  <c r="AN63" i="3"/>
  <c r="AD63" i="3"/>
  <c r="Q63" i="3"/>
  <c r="T63" i="3"/>
  <c r="BA62" i="3"/>
  <c r="AS62" i="3"/>
  <c r="AJ62" i="3"/>
  <c r="Y62" i="3"/>
  <c r="K62" i="3"/>
  <c r="P62" i="3"/>
  <c r="A62" i="3"/>
  <c r="AY63" i="3" s="1"/>
  <c r="C60" i="3"/>
  <c r="BC58" i="3"/>
  <c r="BB58" i="3"/>
  <c r="AY58" i="3"/>
  <c r="AV58" i="3"/>
  <c r="AT58" i="3"/>
  <c r="AR58" i="3"/>
  <c r="AN58" i="3"/>
  <c r="AM58" i="3"/>
  <c r="AL58" i="3"/>
  <c r="AH58" i="3"/>
  <c r="AF58" i="3"/>
  <c r="AD58" i="3"/>
  <c r="AA58" i="3"/>
  <c r="X58" i="3"/>
  <c r="W58" i="3"/>
  <c r="O58" i="3"/>
  <c r="N58" i="3"/>
  <c r="K58" i="3"/>
  <c r="D58" i="3"/>
  <c r="T58" i="3"/>
  <c r="P58" i="3"/>
  <c r="J58" i="3"/>
  <c r="BD57" i="3"/>
  <c r="BC57" i="3"/>
  <c r="AY57" i="3"/>
  <c r="AW57" i="3"/>
  <c r="AV57" i="3"/>
  <c r="AR57" i="3"/>
  <c r="AQ57" i="3"/>
  <c r="AN57" i="3"/>
  <c r="AK57" i="3"/>
  <c r="AI57" i="3"/>
  <c r="AG57" i="3"/>
  <c r="AC57" i="3"/>
  <c r="AB57" i="3"/>
  <c r="AA57" i="3"/>
  <c r="W57" i="3"/>
  <c r="U57" i="3"/>
  <c r="O57" i="3"/>
  <c r="K57" i="3"/>
  <c r="E57" i="3"/>
  <c r="D57" i="3"/>
  <c r="P57" i="3"/>
  <c r="L57" i="3"/>
  <c r="H57" i="3"/>
  <c r="A57" i="3"/>
  <c r="C55" i="3"/>
  <c r="A52" i="3"/>
  <c r="C50" i="3"/>
  <c r="BC48" i="3"/>
  <c r="BB48" i="3"/>
  <c r="AY48" i="3"/>
  <c r="AV48" i="3"/>
  <c r="AT48" i="3"/>
  <c r="AR48" i="3"/>
  <c r="AN48" i="3"/>
  <c r="AM48" i="3"/>
  <c r="AL48" i="3"/>
  <c r="AH48" i="3"/>
  <c r="AF48" i="3"/>
  <c r="AD48" i="3"/>
  <c r="AA48" i="3"/>
  <c r="X48" i="3"/>
  <c r="W48" i="3"/>
  <c r="O48" i="3"/>
  <c r="N48" i="3"/>
  <c r="K48" i="3"/>
  <c r="D48" i="3"/>
  <c r="T48" i="3"/>
  <c r="P48" i="3"/>
  <c r="J48" i="3"/>
  <c r="BD47" i="3"/>
  <c r="BC47" i="3"/>
  <c r="AY47" i="3"/>
  <c r="AW47" i="3"/>
  <c r="AV47" i="3"/>
  <c r="AR47" i="3"/>
  <c r="AQ47" i="3"/>
  <c r="AN47" i="3"/>
  <c r="AK47" i="3"/>
  <c r="AI47" i="3"/>
  <c r="AG47" i="3"/>
  <c r="AC47" i="3"/>
  <c r="AB47" i="3"/>
  <c r="AA47" i="3"/>
  <c r="W47" i="3"/>
  <c r="U47" i="3"/>
  <c r="O47" i="3"/>
  <c r="K47" i="3"/>
  <c r="E47" i="3"/>
  <c r="D47" i="3"/>
  <c r="P47" i="3"/>
  <c r="L47" i="3"/>
  <c r="H47" i="3"/>
  <c r="A47" i="3"/>
  <c r="C45" i="3"/>
  <c r="AV43" i="3"/>
  <c r="AN43" i="3"/>
  <c r="AD43" i="3"/>
  <c r="Q43" i="3"/>
  <c r="T43" i="3"/>
  <c r="BA42" i="3"/>
  <c r="AS42" i="3"/>
  <c r="AJ42" i="3"/>
  <c r="Y42" i="3"/>
  <c r="K42" i="3"/>
  <c r="P42" i="3"/>
  <c r="A42" i="3"/>
  <c r="AY43" i="3" s="1"/>
  <c r="C40" i="3"/>
  <c r="BC38" i="3"/>
  <c r="BB38" i="3"/>
  <c r="AY38" i="3"/>
  <c r="AV38" i="3"/>
  <c r="AT38" i="3"/>
  <c r="AR38" i="3"/>
  <c r="AN38" i="3"/>
  <c r="AM38" i="3"/>
  <c r="AL38" i="3"/>
  <c r="AH38" i="3"/>
  <c r="AF38" i="3"/>
  <c r="AD38" i="3"/>
  <c r="AA38" i="3"/>
  <c r="X38" i="3"/>
  <c r="W38" i="3"/>
  <c r="O38" i="3"/>
  <c r="N38" i="3"/>
  <c r="K38" i="3"/>
  <c r="D38" i="3"/>
  <c r="T38" i="3"/>
  <c r="P38" i="3"/>
  <c r="J38" i="3"/>
  <c r="BD37" i="3"/>
  <c r="BC37" i="3"/>
  <c r="AY37" i="3"/>
  <c r="AW37" i="3"/>
  <c r="AV37" i="3"/>
  <c r="AR37" i="3"/>
  <c r="AQ37" i="3"/>
  <c r="AN37" i="3"/>
  <c r="AK37" i="3"/>
  <c r="AI37" i="3"/>
  <c r="AG37" i="3"/>
  <c r="AC37" i="3"/>
  <c r="AB37" i="3"/>
  <c r="AA37" i="3"/>
  <c r="W37" i="3"/>
  <c r="U37" i="3"/>
  <c r="O37" i="3"/>
  <c r="K37" i="3"/>
  <c r="E37" i="3"/>
  <c r="D37" i="3"/>
  <c r="P37" i="3"/>
  <c r="L37" i="3"/>
  <c r="H37" i="3"/>
  <c r="A37" i="3"/>
  <c r="C35" i="3"/>
  <c r="A32" i="3"/>
  <c r="C30" i="3"/>
  <c r="A27" i="3"/>
  <c r="C25" i="3"/>
  <c r="BC23" i="3"/>
  <c r="BB23" i="3"/>
  <c r="BA23" i="3"/>
  <c r="AX23" i="3"/>
  <c r="AW23" i="3"/>
  <c r="AU23" i="3"/>
  <c r="AS23" i="3"/>
  <c r="AQ23" i="3"/>
  <c r="AP23" i="3"/>
  <c r="AM23" i="3"/>
  <c r="AL23" i="3"/>
  <c r="AK23" i="3"/>
  <c r="AH23" i="3"/>
  <c r="AG23" i="3"/>
  <c r="AE23" i="3"/>
  <c r="AC23" i="3"/>
  <c r="AA23" i="3"/>
  <c r="Z23" i="3"/>
  <c r="W23" i="3"/>
  <c r="V23" i="3"/>
  <c r="U23" i="3"/>
  <c r="N23" i="3"/>
  <c r="M23" i="3"/>
  <c r="I23" i="3"/>
  <c r="E23" i="3"/>
  <c r="T23" i="3"/>
  <c r="S23" i="3"/>
  <c r="L23" i="3"/>
  <c r="J23" i="3"/>
  <c r="H23" i="3"/>
  <c r="BC22" i="3"/>
  <c r="BB22" i="3"/>
  <c r="AZ22" i="3"/>
  <c r="AX22" i="3"/>
  <c r="AV22" i="3"/>
  <c r="AU22" i="3"/>
  <c r="AR22" i="3"/>
  <c r="AQ22" i="3"/>
  <c r="AP22" i="3"/>
  <c r="AM22" i="3"/>
  <c r="AL22" i="3"/>
  <c r="AJ22" i="3"/>
  <c r="AH22" i="3"/>
  <c r="AF22" i="3"/>
  <c r="AE22" i="3"/>
  <c r="AB22" i="3"/>
  <c r="AA22" i="3"/>
  <c r="Z22" i="3"/>
  <c r="W22" i="3"/>
  <c r="V22" i="3"/>
  <c r="Q22" i="3"/>
  <c r="N22" i="3"/>
  <c r="K22" i="3"/>
  <c r="I22" i="3"/>
  <c r="D22" i="3"/>
  <c r="T22" i="3"/>
  <c r="S22" i="3"/>
  <c r="L22" i="3"/>
  <c r="J22" i="3"/>
  <c r="G22" i="3"/>
  <c r="A22" i="3"/>
  <c r="C20" i="3"/>
  <c r="BC18" i="3"/>
  <c r="BB18" i="3"/>
  <c r="AY18" i="3"/>
  <c r="AW18" i="3"/>
  <c r="AT18" i="3"/>
  <c r="AS18" i="3"/>
  <c r="AO18" i="3"/>
  <c r="AM18" i="3"/>
  <c r="AL18" i="3"/>
  <c r="AH18" i="3"/>
  <c r="AG18" i="3"/>
  <c r="AD18" i="3"/>
  <c r="AA18" i="3"/>
  <c r="Y18" i="3"/>
  <c r="W18" i="3"/>
  <c r="O18" i="3"/>
  <c r="N18" i="3"/>
  <c r="M18" i="3"/>
  <c r="E18" i="3"/>
  <c r="T18" i="3"/>
  <c r="R18" i="3"/>
  <c r="J18" i="3"/>
  <c r="BD17" i="3"/>
  <c r="BC17" i="3"/>
  <c r="AY17" i="3"/>
  <c r="AX17" i="3"/>
  <c r="AV17" i="3"/>
  <c r="AR17" i="3"/>
  <c r="AQ17" i="3"/>
  <c r="AN17" i="3"/>
  <c r="AL17" i="3"/>
  <c r="AI17" i="3"/>
  <c r="AH17" i="3"/>
  <c r="AD17" i="3"/>
  <c r="AB17" i="3"/>
  <c r="AA17" i="3"/>
  <c r="W17" i="3"/>
  <c r="V17" i="3"/>
  <c r="O17" i="3"/>
  <c r="K17" i="3"/>
  <c r="F17" i="3"/>
  <c r="D17" i="3"/>
  <c r="P17" i="3"/>
  <c r="L17" i="3"/>
  <c r="J17" i="3"/>
  <c r="A17" i="3"/>
  <c r="C15" i="3"/>
  <c r="A12" i="3"/>
  <c r="C10" i="3"/>
  <c r="A7" i="3"/>
  <c r="C5" i="3"/>
  <c r="BC3" i="3"/>
  <c r="BA3" i="3"/>
  <c r="AX3" i="3"/>
  <c r="AU3" i="3"/>
  <c r="AS3" i="3"/>
  <c r="AP3" i="3"/>
  <c r="AM3" i="3"/>
  <c r="AK3" i="3"/>
  <c r="AH3" i="3"/>
  <c r="AE3" i="3"/>
  <c r="AC3" i="3"/>
  <c r="Z3" i="3"/>
  <c r="W3" i="3"/>
  <c r="U3" i="3"/>
  <c r="N3" i="3"/>
  <c r="I3" i="3"/>
  <c r="E3" i="3"/>
  <c r="S3" i="3"/>
  <c r="L3" i="3"/>
  <c r="H3" i="3"/>
  <c r="BC2" i="3"/>
  <c r="AZ2" i="3"/>
  <c r="AX2" i="3"/>
  <c r="AU2" i="3"/>
  <c r="AR2" i="3"/>
  <c r="AP2" i="3"/>
  <c r="AM2" i="3"/>
  <c r="AJ2" i="3"/>
  <c r="AH2" i="3"/>
  <c r="AE2" i="3"/>
  <c r="AB2" i="3"/>
  <c r="Z2" i="3"/>
  <c r="W2" i="3"/>
  <c r="Q2" i="3"/>
  <c r="N2" i="3"/>
  <c r="I2" i="3"/>
  <c r="D2" i="3"/>
  <c r="S2" i="3"/>
  <c r="L2" i="3"/>
  <c r="G2" i="3"/>
  <c r="A2" i="3"/>
  <c r="BB3" i="3" s="1"/>
  <c r="B19" i="2"/>
  <c r="Q54" i="1" s="1"/>
  <c r="U17" i="2"/>
  <c r="T17" i="2"/>
  <c r="S17" i="2"/>
  <c r="Q17" i="2"/>
  <c r="P17" i="2"/>
  <c r="O17" i="2"/>
  <c r="M17" i="2"/>
  <c r="L17" i="2"/>
  <c r="K17" i="2"/>
  <c r="I17" i="2"/>
  <c r="H17" i="2"/>
  <c r="G17" i="2"/>
  <c r="E17" i="2"/>
  <c r="D17" i="2"/>
  <c r="C17" i="2"/>
  <c r="A17" i="2"/>
  <c r="V17" i="2" s="1"/>
  <c r="U16" i="2"/>
  <c r="P16" i="2"/>
  <c r="J16" i="2"/>
  <c r="E16" i="2"/>
  <c r="A16" i="2"/>
  <c r="V16" i="2" s="1"/>
  <c r="U15" i="2"/>
  <c r="O15" i="2"/>
  <c r="J15" i="2"/>
  <c r="E15" i="2"/>
  <c r="A15" i="2"/>
  <c r="V15" i="2" s="1"/>
  <c r="T14" i="2"/>
  <c r="O14" i="2"/>
  <c r="J14" i="2"/>
  <c r="D14" i="2"/>
  <c r="A14" i="2"/>
  <c r="V14" i="2" s="1"/>
  <c r="U13" i="2"/>
  <c r="T13" i="2"/>
  <c r="S13" i="2"/>
  <c r="Q13" i="2"/>
  <c r="P13" i="2"/>
  <c r="O13" i="2"/>
  <c r="M13" i="2"/>
  <c r="L13" i="2"/>
  <c r="K13" i="2"/>
  <c r="I13" i="2"/>
  <c r="H13" i="2"/>
  <c r="G13" i="2"/>
  <c r="E13" i="2"/>
  <c r="D13" i="2"/>
  <c r="C13" i="2"/>
  <c r="A13" i="2"/>
  <c r="V13" i="2" s="1"/>
  <c r="U12" i="2"/>
  <c r="P12" i="2"/>
  <c r="J12" i="2"/>
  <c r="E12" i="2"/>
  <c r="A12" i="2"/>
  <c r="V12" i="2" s="1"/>
  <c r="U11" i="2"/>
  <c r="O11" i="2"/>
  <c r="J11" i="2"/>
  <c r="E11" i="2"/>
  <c r="A11" i="2"/>
  <c r="V11" i="2" s="1"/>
  <c r="T10" i="2"/>
  <c r="O10" i="2"/>
  <c r="J10" i="2"/>
  <c r="D10" i="2"/>
  <c r="A10" i="2"/>
  <c r="V10" i="2" s="1"/>
  <c r="U9" i="2"/>
  <c r="T9" i="2"/>
  <c r="S9" i="2"/>
  <c r="Q9" i="2"/>
  <c r="P9" i="2"/>
  <c r="O9" i="2"/>
  <c r="M9" i="2"/>
  <c r="L9" i="2"/>
  <c r="K9" i="2"/>
  <c r="I9" i="2"/>
  <c r="H9" i="2"/>
  <c r="G9" i="2"/>
  <c r="E9" i="2"/>
  <c r="D9" i="2"/>
  <c r="C9" i="2"/>
  <c r="A9" i="2"/>
  <c r="V9" i="2" s="1"/>
  <c r="U8" i="2"/>
  <c r="P8" i="2"/>
  <c r="J8" i="2"/>
  <c r="E8" i="2"/>
  <c r="A8" i="2"/>
  <c r="V8" i="2" s="1"/>
  <c r="U7" i="2"/>
  <c r="O7" i="2"/>
  <c r="J7" i="2"/>
  <c r="E7" i="2"/>
  <c r="A7" i="2"/>
  <c r="V7" i="2" s="1"/>
  <c r="T6" i="2"/>
  <c r="O6" i="2"/>
  <c r="J6" i="2"/>
  <c r="D6" i="2"/>
  <c r="A6" i="2"/>
  <c r="V6" i="2" s="1"/>
  <c r="U5" i="2"/>
  <c r="T5" i="2"/>
  <c r="S5" i="2"/>
  <c r="Q5" i="2"/>
  <c r="P5" i="2"/>
  <c r="O5" i="2"/>
  <c r="M5" i="2"/>
  <c r="L5" i="2"/>
  <c r="K5" i="2"/>
  <c r="I5" i="2"/>
  <c r="H5" i="2"/>
  <c r="G5" i="2"/>
  <c r="E5" i="2"/>
  <c r="D5" i="2"/>
  <c r="C5" i="2"/>
  <c r="A5" i="2"/>
  <c r="V5" i="2" s="1"/>
  <c r="U4" i="2"/>
  <c r="P4" i="2"/>
  <c r="J4" i="2"/>
  <c r="E4" i="2"/>
  <c r="A4" i="2"/>
  <c r="V4" i="2" s="1"/>
  <c r="U3" i="2"/>
  <c r="O3" i="2"/>
  <c r="J3" i="2"/>
  <c r="E3" i="2"/>
  <c r="A3" i="2"/>
  <c r="V3" i="2" s="1"/>
  <c r="T2" i="2"/>
  <c r="O2" i="2"/>
  <c r="J2" i="2"/>
  <c r="D2" i="2"/>
  <c r="A2" i="2"/>
  <c r="V2" i="2" s="1"/>
  <c r="W52" i="1"/>
  <c r="W54" i="1" s="1"/>
  <c r="W55" i="1" s="1"/>
  <c r="Z51" i="1"/>
  <c r="AX1" i="11" s="1"/>
  <c r="Z48" i="1"/>
  <c r="AU1" i="11" s="1"/>
  <c r="Z47" i="1"/>
  <c r="AT1" i="11" s="1"/>
  <c r="Z46" i="1"/>
  <c r="AS1" i="11" s="1"/>
  <c r="Z45" i="1"/>
  <c r="AR1" i="11" s="1"/>
  <c r="Z44" i="1"/>
  <c r="AQ1" i="11" s="1"/>
  <c r="Z43" i="1"/>
  <c r="AP1" i="11" s="1"/>
  <c r="Z42" i="1"/>
  <c r="AO1" i="11" s="1"/>
  <c r="Z41" i="1"/>
  <c r="AN1" i="11" s="1"/>
  <c r="Z40" i="1"/>
  <c r="AM1" i="11" s="1"/>
  <c r="Z39" i="1"/>
  <c r="AL1" i="11" s="1"/>
  <c r="Z38" i="1"/>
  <c r="AK1" i="11" s="1"/>
  <c r="Z37" i="1"/>
  <c r="AJ1" i="11" s="1"/>
  <c r="Z36" i="1"/>
  <c r="AI1" i="11" s="1"/>
  <c r="Z34" i="1"/>
  <c r="Z23" i="1"/>
  <c r="Z20" i="1"/>
  <c r="Z24" i="1"/>
  <c r="Z25" i="1"/>
  <c r="Z13" i="1"/>
  <c r="Z16" i="1"/>
  <c r="Z21" i="1"/>
  <c r="Z28" i="1"/>
  <c r="Z18" i="1"/>
  <c r="Z30" i="1"/>
  <c r="Z27" i="1"/>
  <c r="W1" i="11" s="1"/>
  <c r="Z5" i="1"/>
  <c r="Z35" i="1"/>
  <c r="Z33" i="1"/>
  <c r="Z32" i="1"/>
  <c r="Z31" i="1"/>
  <c r="Z29" i="1"/>
  <c r="Q1" i="11" s="1"/>
  <c r="Z26" i="1"/>
  <c r="Z22" i="1"/>
  <c r="Z19" i="1"/>
  <c r="Z17" i="1"/>
  <c r="Z15" i="1"/>
  <c r="Z14" i="1"/>
  <c r="Z12" i="1"/>
  <c r="Z11" i="1"/>
  <c r="Z10" i="1"/>
  <c r="Z9" i="1"/>
  <c r="Z8" i="1"/>
  <c r="Z7" i="1"/>
  <c r="Z6" i="1"/>
  <c r="Z4" i="1"/>
  <c r="U4" i="1" s="1"/>
  <c r="Z3" i="1"/>
  <c r="U3" i="1" s="1"/>
  <c r="M3" i="1"/>
  <c r="Z2" i="1"/>
  <c r="N2" i="1"/>
  <c r="Z77" i="13"/>
  <c r="Z47" i="13"/>
  <c r="Z50" i="13"/>
  <c r="Z122" i="13"/>
  <c r="Z39" i="13"/>
  <c r="Z109" i="13"/>
  <c r="Z92" i="13"/>
  <c r="Z22" i="13"/>
  <c r="Z102" i="13"/>
  <c r="Z55" i="13"/>
  <c r="Z108" i="13"/>
  <c r="Z88" i="13"/>
  <c r="Z5" i="13"/>
  <c r="Z66" i="13"/>
  <c r="Z125" i="13"/>
  <c r="Z99" i="13"/>
  <c r="Z57" i="13"/>
  <c r="Z74" i="13"/>
  <c r="Z46" i="13"/>
  <c r="Z84" i="13"/>
  <c r="Z117" i="13"/>
  <c r="Z59" i="13"/>
  <c r="Z32" i="13"/>
  <c r="Z70" i="13"/>
  <c r="Z64" i="13"/>
  <c r="Z4" i="13"/>
  <c r="Z94" i="13"/>
  <c r="Z96" i="13"/>
  <c r="Z3" i="13"/>
  <c r="Z128" i="13"/>
  <c r="Z67" i="13"/>
  <c r="Z129" i="13"/>
  <c r="Z91" i="13"/>
  <c r="Z118" i="13"/>
  <c r="Z56" i="13"/>
  <c r="Z121" i="13"/>
  <c r="Z11" i="13"/>
  <c r="Z85" i="13"/>
  <c r="Z45" i="13"/>
  <c r="Z68" i="13"/>
  <c r="Z69" i="13"/>
  <c r="Z110" i="13"/>
  <c r="Z27" i="13"/>
  <c r="Z86" i="13"/>
  <c r="Z112" i="13"/>
  <c r="Z15" i="13"/>
  <c r="Z107" i="13"/>
  <c r="Z116" i="13"/>
  <c r="Z6" i="13"/>
  <c r="Z13" i="13"/>
  <c r="Z30" i="13"/>
  <c r="Z41" i="13"/>
  <c r="Z71" i="13"/>
  <c r="Z8" i="13"/>
  <c r="Z115" i="13"/>
  <c r="Z95" i="13"/>
  <c r="Z34" i="13"/>
  <c r="Z12" i="13"/>
  <c r="Z79" i="13"/>
  <c r="Z73" i="13"/>
  <c r="Z82" i="13"/>
  <c r="Z90" i="13"/>
  <c r="Z18" i="13"/>
  <c r="Z53" i="13"/>
  <c r="Z58" i="13"/>
  <c r="Z119" i="13"/>
  <c r="Z97" i="13"/>
  <c r="Z113" i="13"/>
  <c r="Z120" i="13"/>
  <c r="Z54" i="13"/>
  <c r="Z87" i="13"/>
  <c r="Z130" i="13"/>
  <c r="Z40" i="13"/>
  <c r="Z62" i="13"/>
  <c r="Z63" i="13"/>
  <c r="Z9" i="13"/>
  <c r="Z33" i="13"/>
  <c r="Z16" i="13"/>
  <c r="Z49" i="13"/>
  <c r="Z61" i="13"/>
  <c r="Z24" i="13"/>
  <c r="Z76" i="13"/>
  <c r="Z25" i="13"/>
  <c r="Z42" i="13"/>
  <c r="Z126" i="13"/>
  <c r="Z23" i="13"/>
  <c r="Z17" i="13"/>
  <c r="Z21" i="13"/>
  <c r="Z123" i="13"/>
  <c r="Z19" i="13"/>
  <c r="Z75" i="13"/>
  <c r="Z104" i="13"/>
  <c r="Z31" i="13"/>
  <c r="Z48" i="13"/>
  <c r="Z7" i="13"/>
  <c r="Z105" i="13"/>
  <c r="Z10" i="13"/>
  <c r="Z114" i="13"/>
  <c r="Z132" i="13"/>
  <c r="Z28" i="13"/>
  <c r="Z81" i="13"/>
  <c r="Z124" i="13"/>
  <c r="Z43" i="13"/>
  <c r="Z29" i="13"/>
  <c r="Z2" i="13"/>
  <c r="Z44" i="13"/>
  <c r="Z52" i="13"/>
  <c r="Z60" i="13"/>
  <c r="Z80" i="13"/>
  <c r="Z51" i="13"/>
  <c r="Z100" i="13"/>
  <c r="Z20" i="13"/>
  <c r="Z127" i="13"/>
  <c r="Z106" i="13"/>
  <c r="Z37" i="13"/>
  <c r="Z26" i="13"/>
  <c r="Z38" i="13"/>
  <c r="Z65" i="13"/>
  <c r="Z101" i="13"/>
  <c r="Z36" i="13"/>
  <c r="Z98" i="13"/>
  <c r="Z103" i="13"/>
  <c r="Z89" i="13"/>
  <c r="Z93" i="13"/>
  <c r="Z131" i="13"/>
  <c r="Z78" i="13"/>
  <c r="Z83" i="13"/>
  <c r="Z111" i="13"/>
  <c r="Z35" i="13"/>
  <c r="Z72" i="13"/>
  <c r="Z14" i="13"/>
  <c r="S2" i="1" l="1"/>
  <c r="AW211" i="11"/>
  <c r="AW212" i="11"/>
  <c r="F2" i="1"/>
  <c r="A15" i="11"/>
  <c r="AV212" i="11"/>
  <c r="AV211" i="11"/>
  <c r="H2" i="1"/>
  <c r="P2" i="1"/>
  <c r="G3" i="1"/>
  <c r="O3" i="1"/>
  <c r="J2" i="1"/>
  <c r="R2" i="1"/>
  <c r="I3" i="1"/>
  <c r="Q3" i="1"/>
  <c r="L2" i="1"/>
  <c r="T2" i="1"/>
  <c r="K3" i="1"/>
  <c r="S3" i="1"/>
  <c r="AG1" i="11"/>
  <c r="A3" i="11"/>
  <c r="S1" i="11"/>
  <c r="S211" i="11" s="1"/>
  <c r="AH1" i="11"/>
  <c r="AF1" i="11"/>
  <c r="AE1" i="11"/>
  <c r="V2" i="13"/>
  <c r="L1" i="11"/>
  <c r="L211" i="11" s="1"/>
  <c r="P1" i="11"/>
  <c r="BA73" i="3"/>
  <c r="AW73" i="3"/>
  <c r="AS73" i="3"/>
  <c r="AO73" i="3"/>
  <c r="AK73" i="3"/>
  <c r="AG73" i="3"/>
  <c r="AC73" i="3"/>
  <c r="Y73" i="3"/>
  <c r="U73" i="3"/>
  <c r="M73" i="3"/>
  <c r="E73" i="3"/>
  <c r="R73" i="3"/>
  <c r="H73" i="3"/>
  <c r="BB72" i="3"/>
  <c r="AX72" i="3"/>
  <c r="AT72" i="3"/>
  <c r="AP72" i="3"/>
  <c r="AL72" i="3"/>
  <c r="AH72" i="3"/>
  <c r="AD72" i="3"/>
  <c r="Z72" i="3"/>
  <c r="V72" i="3"/>
  <c r="N72" i="3"/>
  <c r="F72" i="3"/>
  <c r="S72" i="3"/>
  <c r="J72" i="3"/>
  <c r="BC73" i="3"/>
  <c r="AX73" i="3"/>
  <c r="AR73" i="3"/>
  <c r="AM73" i="3"/>
  <c r="AH73" i="3"/>
  <c r="AB73" i="3"/>
  <c r="W73" i="3"/>
  <c r="N73" i="3"/>
  <c r="D73" i="3"/>
  <c r="L73" i="3"/>
  <c r="BC72" i="3"/>
  <c r="AW72" i="3"/>
  <c r="AR72" i="3"/>
  <c r="AM72" i="3"/>
  <c r="AG72" i="3"/>
  <c r="AB72" i="3"/>
  <c r="W72" i="3"/>
  <c r="M72" i="3"/>
  <c r="D72" i="3"/>
  <c r="L72" i="3"/>
  <c r="AZ73" i="3"/>
  <c r="AT73" i="3"/>
  <c r="AL73" i="3"/>
  <c r="AE73" i="3"/>
  <c r="X73" i="3"/>
  <c r="K73" i="3"/>
  <c r="S73" i="3"/>
  <c r="BD72" i="3"/>
  <c r="AV72" i="3"/>
  <c r="AO72" i="3"/>
  <c r="AI72" i="3"/>
  <c r="AA72" i="3"/>
  <c r="Q72" i="3"/>
  <c r="E72" i="3"/>
  <c r="H72" i="3"/>
  <c r="T72" i="3"/>
  <c r="U72" i="3"/>
  <c r="AE72" i="3"/>
  <c r="AN72" i="3"/>
  <c r="AY72" i="3"/>
  <c r="J73" i="3"/>
  <c r="I73" i="3"/>
  <c r="Z73" i="3"/>
  <c r="AI73" i="3"/>
  <c r="AQ73" i="3"/>
  <c r="BB73" i="3"/>
  <c r="BD8" i="3"/>
  <c r="AZ8" i="3"/>
  <c r="AV8" i="3"/>
  <c r="AR8" i="3"/>
  <c r="AN8" i="3"/>
  <c r="AJ8" i="3"/>
  <c r="AF8" i="3"/>
  <c r="AB8" i="3"/>
  <c r="X8" i="3"/>
  <c r="Q8" i="3"/>
  <c r="K8" i="3"/>
  <c r="D8" i="3"/>
  <c r="P8" i="3"/>
  <c r="G8" i="3"/>
  <c r="BA7" i="3"/>
  <c r="AW7" i="3"/>
  <c r="AS7" i="3"/>
  <c r="AO7" i="3"/>
  <c r="AK7" i="3"/>
  <c r="AG7" i="3"/>
  <c r="AC7" i="3"/>
  <c r="Y7" i="3"/>
  <c r="U7" i="3"/>
  <c r="M7" i="3"/>
  <c r="E7" i="3"/>
  <c r="R7" i="3"/>
  <c r="H7" i="3"/>
  <c r="BC8" i="3"/>
  <c r="AX8" i="3"/>
  <c r="AS8" i="3"/>
  <c r="AM8" i="3"/>
  <c r="AH8" i="3"/>
  <c r="AC8" i="3"/>
  <c r="W8" i="3"/>
  <c r="N8" i="3"/>
  <c r="E8" i="3"/>
  <c r="L8" i="3"/>
  <c r="BC7" i="3"/>
  <c r="AX7" i="3"/>
  <c r="AR7" i="3"/>
  <c r="AM7" i="3"/>
  <c r="AH7" i="3"/>
  <c r="AB7" i="3"/>
  <c r="W7" i="3"/>
  <c r="P7" i="3"/>
  <c r="F7" i="3"/>
  <c r="O7" i="3"/>
  <c r="Z7" i="3"/>
  <c r="AF7" i="3"/>
  <c r="AN7" i="3"/>
  <c r="AU7" i="3"/>
  <c r="BB7" i="3"/>
  <c r="R8" i="3"/>
  <c r="I8" i="3"/>
  <c r="V8" i="3"/>
  <c r="AD8" i="3"/>
  <c r="AK8" i="3"/>
  <c r="AQ8" i="3"/>
  <c r="AY8" i="3"/>
  <c r="BD13" i="3"/>
  <c r="AZ13" i="3"/>
  <c r="AV13" i="3"/>
  <c r="AR13" i="3"/>
  <c r="AN13" i="3"/>
  <c r="AJ13" i="3"/>
  <c r="AF13" i="3"/>
  <c r="AB13" i="3"/>
  <c r="X13" i="3"/>
  <c r="Q13" i="3"/>
  <c r="K13" i="3"/>
  <c r="D13" i="3"/>
  <c r="P13" i="3"/>
  <c r="G13" i="3"/>
  <c r="BA12" i="3"/>
  <c r="AW12" i="3"/>
  <c r="AS12" i="3"/>
  <c r="AO12" i="3"/>
  <c r="AK12" i="3"/>
  <c r="AG12" i="3"/>
  <c r="AC12" i="3"/>
  <c r="Y12" i="3"/>
  <c r="U12" i="3"/>
  <c r="M12" i="3"/>
  <c r="E12" i="3"/>
  <c r="R12" i="3"/>
  <c r="H12" i="3"/>
  <c r="BB13" i="3"/>
  <c r="AW13" i="3"/>
  <c r="AQ13" i="3"/>
  <c r="AL13" i="3"/>
  <c r="AG13" i="3"/>
  <c r="AA13" i="3"/>
  <c r="V13" i="3"/>
  <c r="M13" i="3"/>
  <c r="T13" i="3"/>
  <c r="J13" i="3"/>
  <c r="BB12" i="3"/>
  <c r="AV12" i="3"/>
  <c r="AQ12" i="3"/>
  <c r="AL12" i="3"/>
  <c r="AF12" i="3"/>
  <c r="AA12" i="3"/>
  <c r="V12" i="3"/>
  <c r="K12" i="3"/>
  <c r="T12" i="3"/>
  <c r="J12" i="3"/>
  <c r="S12" i="3"/>
  <c r="N12" i="3"/>
  <c r="X12" i="3"/>
  <c r="AE12" i="3"/>
  <c r="AM12" i="3"/>
  <c r="AT12" i="3"/>
  <c r="AZ12" i="3"/>
  <c r="L13" i="3"/>
  <c r="F13" i="3"/>
  <c r="U13" i="3"/>
  <c r="AC13" i="3"/>
  <c r="AI13" i="3"/>
  <c r="AP13" i="3"/>
  <c r="AX13" i="3"/>
  <c r="BA28" i="3"/>
  <c r="AW28" i="3"/>
  <c r="AS28" i="3"/>
  <c r="AO28" i="3"/>
  <c r="AK28" i="3"/>
  <c r="AG28" i="3"/>
  <c r="AC28" i="3"/>
  <c r="Y28" i="3"/>
  <c r="U28" i="3"/>
  <c r="M28" i="3"/>
  <c r="E28" i="3"/>
  <c r="R28" i="3"/>
  <c r="H28" i="3"/>
  <c r="BB27" i="3"/>
  <c r="AX27" i="3"/>
  <c r="AT27" i="3"/>
  <c r="AP27" i="3"/>
  <c r="AZ28" i="3"/>
  <c r="AU28" i="3"/>
  <c r="AP28" i="3"/>
  <c r="AJ28" i="3"/>
  <c r="AE28" i="3"/>
  <c r="Z28" i="3"/>
  <c r="Q28" i="3"/>
  <c r="I28" i="3"/>
  <c r="S28" i="3"/>
  <c r="G28" i="3"/>
  <c r="AZ27" i="3"/>
  <c r="AU27" i="3"/>
  <c r="AO27" i="3"/>
  <c r="AK27" i="3"/>
  <c r="AG27" i="3"/>
  <c r="AC27" i="3"/>
  <c r="Y27" i="3"/>
  <c r="U27" i="3"/>
  <c r="M27" i="3"/>
  <c r="E27" i="3"/>
  <c r="R27" i="3"/>
  <c r="H27" i="3"/>
  <c r="BD28" i="3"/>
  <c r="AX28" i="3"/>
  <c r="AQ28" i="3"/>
  <c r="AI28" i="3"/>
  <c r="AB28" i="3"/>
  <c r="V28" i="3"/>
  <c r="F28" i="3"/>
  <c r="L28" i="3"/>
  <c r="BA27" i="3"/>
  <c r="AS27" i="3"/>
  <c r="AM27" i="3"/>
  <c r="AH27" i="3"/>
  <c r="AB27" i="3"/>
  <c r="W27" i="3"/>
  <c r="N27" i="3"/>
  <c r="D27" i="3"/>
  <c r="L27" i="3"/>
  <c r="S27" i="3"/>
  <c r="K27" i="3"/>
  <c r="X27" i="3"/>
  <c r="AE27" i="3"/>
  <c r="AL27" i="3"/>
  <c r="AV27" i="3"/>
  <c r="BD27" i="3"/>
  <c r="D28" i="3"/>
  <c r="W28" i="3"/>
  <c r="AF28" i="3"/>
  <c r="AN28" i="3"/>
  <c r="AY28" i="3"/>
  <c r="BA33" i="3"/>
  <c r="AW33" i="3"/>
  <c r="AS33" i="3"/>
  <c r="AO33" i="3"/>
  <c r="AK33" i="3"/>
  <c r="AG33" i="3"/>
  <c r="AC33" i="3"/>
  <c r="Y33" i="3"/>
  <c r="U33" i="3"/>
  <c r="M33" i="3"/>
  <c r="E33" i="3"/>
  <c r="R33" i="3"/>
  <c r="H33" i="3"/>
  <c r="BB32" i="3"/>
  <c r="AX32" i="3"/>
  <c r="AT32" i="3"/>
  <c r="AP32" i="3"/>
  <c r="AL32" i="3"/>
  <c r="AH32" i="3"/>
  <c r="AD32" i="3"/>
  <c r="Z32" i="3"/>
  <c r="V32" i="3"/>
  <c r="N32" i="3"/>
  <c r="F32" i="3"/>
  <c r="S32" i="3"/>
  <c r="J32" i="3"/>
  <c r="BC33" i="3"/>
  <c r="AX33" i="3"/>
  <c r="AR33" i="3"/>
  <c r="AM33" i="3"/>
  <c r="AH33" i="3"/>
  <c r="AB33" i="3"/>
  <c r="W33" i="3"/>
  <c r="N33" i="3"/>
  <c r="D33" i="3"/>
  <c r="L33" i="3"/>
  <c r="BC32" i="3"/>
  <c r="AW32" i="3"/>
  <c r="AR32" i="3"/>
  <c r="AM32" i="3"/>
  <c r="AG32" i="3"/>
  <c r="AB32" i="3"/>
  <c r="W32" i="3"/>
  <c r="M32" i="3"/>
  <c r="D32" i="3"/>
  <c r="L32" i="3"/>
  <c r="AZ33" i="3"/>
  <c r="AT33" i="3"/>
  <c r="AL33" i="3"/>
  <c r="AE33" i="3"/>
  <c r="X33" i="3"/>
  <c r="K33" i="3"/>
  <c r="S33" i="3"/>
  <c r="BD32" i="3"/>
  <c r="AV32" i="3"/>
  <c r="AO32" i="3"/>
  <c r="AI32" i="3"/>
  <c r="AA32" i="3"/>
  <c r="Q32" i="3"/>
  <c r="E32" i="3"/>
  <c r="H32" i="3"/>
  <c r="T32" i="3"/>
  <c r="U32" i="3"/>
  <c r="AE32" i="3"/>
  <c r="AN32" i="3"/>
  <c r="AY32" i="3"/>
  <c r="J33" i="3"/>
  <c r="I33" i="3"/>
  <c r="Z33" i="3"/>
  <c r="AI33" i="3"/>
  <c r="AQ33" i="3"/>
  <c r="BB33" i="3"/>
  <c r="BA53" i="3"/>
  <c r="AW53" i="3"/>
  <c r="AS53" i="3"/>
  <c r="AO53" i="3"/>
  <c r="AK53" i="3"/>
  <c r="AG53" i="3"/>
  <c r="AC53" i="3"/>
  <c r="Y53" i="3"/>
  <c r="U53" i="3"/>
  <c r="M53" i="3"/>
  <c r="E53" i="3"/>
  <c r="R53" i="3"/>
  <c r="H53" i="3"/>
  <c r="BB52" i="3"/>
  <c r="AX52" i="3"/>
  <c r="AT52" i="3"/>
  <c r="AP52" i="3"/>
  <c r="AL52" i="3"/>
  <c r="AH52" i="3"/>
  <c r="AD52" i="3"/>
  <c r="Z52" i="3"/>
  <c r="V52" i="3"/>
  <c r="N52" i="3"/>
  <c r="F52" i="3"/>
  <c r="S52" i="3"/>
  <c r="J52" i="3"/>
  <c r="BC53" i="3"/>
  <c r="AX53" i="3"/>
  <c r="AR53" i="3"/>
  <c r="AM53" i="3"/>
  <c r="AH53" i="3"/>
  <c r="AB53" i="3"/>
  <c r="W53" i="3"/>
  <c r="N53" i="3"/>
  <c r="D53" i="3"/>
  <c r="L53" i="3"/>
  <c r="BC52" i="3"/>
  <c r="AW52" i="3"/>
  <c r="AR52" i="3"/>
  <c r="AM52" i="3"/>
  <c r="AG52" i="3"/>
  <c r="AB52" i="3"/>
  <c r="W52" i="3"/>
  <c r="M52" i="3"/>
  <c r="D52" i="3"/>
  <c r="L52" i="3"/>
  <c r="AZ53" i="3"/>
  <c r="AT53" i="3"/>
  <c r="AL53" i="3"/>
  <c r="AE53" i="3"/>
  <c r="X53" i="3"/>
  <c r="K53" i="3"/>
  <c r="S53" i="3"/>
  <c r="BD52" i="3"/>
  <c r="AV52" i="3"/>
  <c r="AO52" i="3"/>
  <c r="AI52" i="3"/>
  <c r="AA52" i="3"/>
  <c r="Q52" i="3"/>
  <c r="E52" i="3"/>
  <c r="H52" i="3"/>
  <c r="T52" i="3"/>
  <c r="U52" i="3"/>
  <c r="AE52" i="3"/>
  <c r="AN52" i="3"/>
  <c r="AY52" i="3"/>
  <c r="J53" i="3"/>
  <c r="I53" i="3"/>
  <c r="Z53" i="3"/>
  <c r="AI53" i="3"/>
  <c r="AQ53" i="3"/>
  <c r="BB53" i="3"/>
  <c r="I2" i="1"/>
  <c r="M2" i="1"/>
  <c r="Q2" i="1"/>
  <c r="U2" i="1"/>
  <c r="H3" i="1"/>
  <c r="L3" i="1"/>
  <c r="P3" i="1"/>
  <c r="T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J2" i="3"/>
  <c r="T2" i="3"/>
  <c r="K2" i="3"/>
  <c r="V2" i="3"/>
  <c r="AA2" i="3"/>
  <c r="AF2" i="3"/>
  <c r="AL2" i="3"/>
  <c r="AQ2" i="3"/>
  <c r="AV2" i="3"/>
  <c r="BB2" i="3"/>
  <c r="J3" i="3"/>
  <c r="T3" i="3"/>
  <c r="M3" i="3"/>
  <c r="V3" i="3"/>
  <c r="AA3" i="3"/>
  <c r="AG3" i="3"/>
  <c r="AL3" i="3"/>
  <c r="AQ3" i="3"/>
  <c r="AW3" i="3"/>
  <c r="G7" i="3"/>
  <c r="S7" i="3"/>
  <c r="I7" i="3"/>
  <c r="Q7" i="3"/>
  <c r="AA7" i="3"/>
  <c r="AI7" i="3"/>
  <c r="AP7" i="3"/>
  <c r="AV7" i="3"/>
  <c r="BD7" i="3"/>
  <c r="S8" i="3"/>
  <c r="M8" i="3"/>
  <c r="Y8" i="3"/>
  <c r="AE8" i="3"/>
  <c r="AL8" i="3"/>
  <c r="AT8" i="3"/>
  <c r="BA8" i="3"/>
  <c r="G12" i="3"/>
  <c r="D12" i="3"/>
  <c r="O12" i="3"/>
  <c r="Z12" i="3"/>
  <c r="AH12" i="3"/>
  <c r="AN12" i="3"/>
  <c r="AU12" i="3"/>
  <c r="BC12" i="3"/>
  <c r="R13" i="3"/>
  <c r="I13" i="3"/>
  <c r="W13" i="3"/>
  <c r="AD13" i="3"/>
  <c r="AK13" i="3"/>
  <c r="AS13" i="3"/>
  <c r="AY13" i="3"/>
  <c r="BD18" i="3"/>
  <c r="AZ18" i="3"/>
  <c r="AV18" i="3"/>
  <c r="AR18" i="3"/>
  <c r="AN18" i="3"/>
  <c r="AJ18" i="3"/>
  <c r="AF18" i="3"/>
  <c r="AB18" i="3"/>
  <c r="X18" i="3"/>
  <c r="Q18" i="3"/>
  <c r="K18" i="3"/>
  <c r="D18" i="3"/>
  <c r="P18" i="3"/>
  <c r="G18" i="3"/>
  <c r="BA17" i="3"/>
  <c r="AW17" i="3"/>
  <c r="AS17" i="3"/>
  <c r="AO17" i="3"/>
  <c r="AK17" i="3"/>
  <c r="AG17" i="3"/>
  <c r="AC17" i="3"/>
  <c r="Y17" i="3"/>
  <c r="U17" i="3"/>
  <c r="M17" i="3"/>
  <c r="E17" i="3"/>
  <c r="R17" i="3"/>
  <c r="H17" i="3"/>
  <c r="BA18" i="3"/>
  <c r="AU18" i="3"/>
  <c r="AP18" i="3"/>
  <c r="AK18" i="3"/>
  <c r="AE18" i="3"/>
  <c r="Z18" i="3"/>
  <c r="U18" i="3"/>
  <c r="I18" i="3"/>
  <c r="S18" i="3"/>
  <c r="H18" i="3"/>
  <c r="AZ17" i="3"/>
  <c r="AU17" i="3"/>
  <c r="AP17" i="3"/>
  <c r="AJ17" i="3"/>
  <c r="AE17" i="3"/>
  <c r="Z17" i="3"/>
  <c r="Q17" i="3"/>
  <c r="I17" i="3"/>
  <c r="S17" i="3"/>
  <c r="G17" i="3"/>
  <c r="T17" i="3"/>
  <c r="N17" i="3"/>
  <c r="X17" i="3"/>
  <c r="AF17" i="3"/>
  <c r="AM17" i="3"/>
  <c r="AT17" i="3"/>
  <c r="BB17" i="3"/>
  <c r="L18" i="3"/>
  <c r="F18" i="3"/>
  <c r="V18" i="3"/>
  <c r="AC18" i="3"/>
  <c r="AI18" i="3"/>
  <c r="AQ18" i="3"/>
  <c r="AX18" i="3"/>
  <c r="G27" i="3"/>
  <c r="T27" i="3"/>
  <c r="O27" i="3"/>
  <c r="Z27" i="3"/>
  <c r="AF27" i="3"/>
  <c r="AN27" i="3"/>
  <c r="AW27" i="3"/>
  <c r="J28" i="3"/>
  <c r="K28" i="3"/>
  <c r="X28" i="3"/>
  <c r="AH28" i="3"/>
  <c r="AR28" i="3"/>
  <c r="BB28" i="3"/>
  <c r="G32" i="3"/>
  <c r="I32" i="3"/>
  <c r="X32" i="3"/>
  <c r="AF32" i="3"/>
  <c r="AQ32" i="3"/>
  <c r="AZ32" i="3"/>
  <c r="P33" i="3"/>
  <c r="O33" i="3"/>
  <c r="AA33" i="3"/>
  <c r="AJ33" i="3"/>
  <c r="AU33" i="3"/>
  <c r="BD33" i="3"/>
  <c r="R42" i="3"/>
  <c r="O42" i="3"/>
  <c r="AC42" i="3"/>
  <c r="AK42" i="3"/>
  <c r="AU42" i="3"/>
  <c r="G43" i="3"/>
  <c r="F43" i="3"/>
  <c r="V43" i="3"/>
  <c r="AF43" i="3"/>
  <c r="AP43" i="3"/>
  <c r="G52" i="3"/>
  <c r="I52" i="3"/>
  <c r="X52" i="3"/>
  <c r="AF52" i="3"/>
  <c r="AQ52" i="3"/>
  <c r="AZ52" i="3"/>
  <c r="P53" i="3"/>
  <c r="O53" i="3"/>
  <c r="AA53" i="3"/>
  <c r="AJ53" i="3"/>
  <c r="AU53" i="3"/>
  <c r="BD53" i="3"/>
  <c r="R62" i="3"/>
  <c r="O62" i="3"/>
  <c r="AC62" i="3"/>
  <c r="AK62" i="3"/>
  <c r="AU62" i="3"/>
  <c r="G63" i="3"/>
  <c r="F63" i="3"/>
  <c r="V63" i="3"/>
  <c r="AF63" i="3"/>
  <c r="AP63" i="3"/>
  <c r="G72" i="3"/>
  <c r="I72" i="3"/>
  <c r="X72" i="3"/>
  <c r="AF72" i="3"/>
  <c r="AQ72" i="3"/>
  <c r="AZ72" i="3"/>
  <c r="P73" i="3"/>
  <c r="O73" i="3"/>
  <c r="AA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D3" i="2"/>
  <c r="G3" i="2"/>
  <c r="M3" i="2"/>
  <c r="R3" i="2"/>
  <c r="S4" i="2"/>
  <c r="O4" i="2"/>
  <c r="K4" i="2"/>
  <c r="G4" i="2"/>
  <c r="C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D7" i="2"/>
  <c r="G7" i="2"/>
  <c r="M7" i="2"/>
  <c r="R7" i="2"/>
  <c r="S8" i="2"/>
  <c r="O8" i="2"/>
  <c r="K8" i="2"/>
  <c r="G8" i="2"/>
  <c r="C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D11" i="2"/>
  <c r="G11" i="2"/>
  <c r="M11" i="2"/>
  <c r="R11" i="2"/>
  <c r="S12" i="2"/>
  <c r="O12" i="2"/>
  <c r="K12" i="2"/>
  <c r="G12" i="2"/>
  <c r="C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D15" i="2"/>
  <c r="G15" i="2"/>
  <c r="M15" i="2"/>
  <c r="R15" i="2"/>
  <c r="S16" i="2"/>
  <c r="O16" i="2"/>
  <c r="K16" i="2"/>
  <c r="G16" i="2"/>
  <c r="C16" i="2"/>
  <c r="H16" i="2"/>
  <c r="M16" i="2"/>
  <c r="R16" i="2"/>
  <c r="J7" i="3"/>
  <c r="T7" i="3"/>
  <c r="K7" i="3"/>
  <c r="V7" i="3"/>
  <c r="AD7" i="3"/>
  <c r="AJ7" i="3"/>
  <c r="AQ7" i="3"/>
  <c r="AY7" i="3"/>
  <c r="H8" i="3"/>
  <c r="T8" i="3"/>
  <c r="O8" i="3"/>
  <c r="Z8" i="3"/>
  <c r="AG8" i="3"/>
  <c r="AO8" i="3"/>
  <c r="AU8" i="3"/>
  <c r="BB8" i="3"/>
  <c r="L12" i="3"/>
  <c r="F12" i="3"/>
  <c r="Q12" i="3"/>
  <c r="AB12" i="3"/>
  <c r="AI12" i="3"/>
  <c r="AP12" i="3"/>
  <c r="AX12" i="3"/>
  <c r="BD12" i="3"/>
  <c r="S13" i="3"/>
  <c r="N13" i="3"/>
  <c r="Y13" i="3"/>
  <c r="AE13" i="3"/>
  <c r="AM13" i="3"/>
  <c r="AT13" i="3"/>
  <c r="BA13" i="3"/>
  <c r="J27" i="3"/>
  <c r="F27" i="3"/>
  <c r="Q27" i="3"/>
  <c r="AA27" i="3"/>
  <c r="AI27" i="3"/>
  <c r="AQ27" i="3"/>
  <c r="AY27" i="3"/>
  <c r="P28" i="3"/>
  <c r="N28" i="3"/>
  <c r="AA28" i="3"/>
  <c r="AL28" i="3"/>
  <c r="AT28" i="3"/>
  <c r="BC28" i="3"/>
  <c r="P32" i="3"/>
  <c r="K32" i="3"/>
  <c r="Y32" i="3"/>
  <c r="AJ32" i="3"/>
  <c r="AS32" i="3"/>
  <c r="BA32" i="3"/>
  <c r="T33" i="3"/>
  <c r="Q33" i="3"/>
  <c r="AD33" i="3"/>
  <c r="AN33" i="3"/>
  <c r="AV33" i="3"/>
  <c r="BA43" i="3"/>
  <c r="AW43" i="3"/>
  <c r="AS43" i="3"/>
  <c r="AO43" i="3"/>
  <c r="AK43" i="3"/>
  <c r="AG43" i="3"/>
  <c r="AC43" i="3"/>
  <c r="Y43" i="3"/>
  <c r="U43" i="3"/>
  <c r="M43" i="3"/>
  <c r="E43" i="3"/>
  <c r="R43" i="3"/>
  <c r="H43" i="3"/>
  <c r="BB42" i="3"/>
  <c r="AX42" i="3"/>
  <c r="AT42" i="3"/>
  <c r="AP42" i="3"/>
  <c r="AL42" i="3"/>
  <c r="AH42" i="3"/>
  <c r="AD42" i="3"/>
  <c r="Z42" i="3"/>
  <c r="V42" i="3"/>
  <c r="N42" i="3"/>
  <c r="F42" i="3"/>
  <c r="S42" i="3"/>
  <c r="J42" i="3"/>
  <c r="BC43" i="3"/>
  <c r="AX43" i="3"/>
  <c r="AR43" i="3"/>
  <c r="AM43" i="3"/>
  <c r="AH43" i="3"/>
  <c r="AB43" i="3"/>
  <c r="W43" i="3"/>
  <c r="N43" i="3"/>
  <c r="D43" i="3"/>
  <c r="L43" i="3"/>
  <c r="BC42" i="3"/>
  <c r="AW42" i="3"/>
  <c r="AR42" i="3"/>
  <c r="AM42" i="3"/>
  <c r="AG42" i="3"/>
  <c r="AB42" i="3"/>
  <c r="W42" i="3"/>
  <c r="M42" i="3"/>
  <c r="D42" i="3"/>
  <c r="L42" i="3"/>
  <c r="AZ43" i="3"/>
  <c r="AT43" i="3"/>
  <c r="AL43" i="3"/>
  <c r="AE43" i="3"/>
  <c r="X43" i="3"/>
  <c r="K43" i="3"/>
  <c r="S43" i="3"/>
  <c r="BD42" i="3"/>
  <c r="AV42" i="3"/>
  <c r="AO42" i="3"/>
  <c r="AI42" i="3"/>
  <c r="AA42" i="3"/>
  <c r="Q42" i="3"/>
  <c r="E42" i="3"/>
  <c r="H42" i="3"/>
  <c r="T42" i="3"/>
  <c r="U42" i="3"/>
  <c r="AE42" i="3"/>
  <c r="AN42" i="3"/>
  <c r="AY42" i="3"/>
  <c r="J43" i="3"/>
  <c r="I43" i="3"/>
  <c r="Z43" i="3"/>
  <c r="AI43" i="3"/>
  <c r="AQ43" i="3"/>
  <c r="BB43" i="3"/>
  <c r="P52" i="3"/>
  <c r="K52" i="3"/>
  <c r="Y52" i="3"/>
  <c r="AJ52" i="3"/>
  <c r="AS52" i="3"/>
  <c r="BA52" i="3"/>
  <c r="T53" i="3"/>
  <c r="Q53" i="3"/>
  <c r="AD53" i="3"/>
  <c r="AN53" i="3"/>
  <c r="AV53" i="3"/>
  <c r="BA63" i="3"/>
  <c r="AW63" i="3"/>
  <c r="AS63" i="3"/>
  <c r="AO63" i="3"/>
  <c r="AK63" i="3"/>
  <c r="AG63" i="3"/>
  <c r="AC63" i="3"/>
  <c r="Y63" i="3"/>
  <c r="U63" i="3"/>
  <c r="M63" i="3"/>
  <c r="E63" i="3"/>
  <c r="R63" i="3"/>
  <c r="H63" i="3"/>
  <c r="BB62" i="3"/>
  <c r="AX62" i="3"/>
  <c r="AT62" i="3"/>
  <c r="AP62" i="3"/>
  <c r="AL62" i="3"/>
  <c r="AH62" i="3"/>
  <c r="AD62" i="3"/>
  <c r="Z62" i="3"/>
  <c r="V62" i="3"/>
  <c r="N62" i="3"/>
  <c r="F62" i="3"/>
  <c r="S62" i="3"/>
  <c r="J62" i="3"/>
  <c r="BC63" i="3"/>
  <c r="AX63" i="3"/>
  <c r="AR63" i="3"/>
  <c r="AM63" i="3"/>
  <c r="AH63" i="3"/>
  <c r="AB63" i="3"/>
  <c r="W63" i="3"/>
  <c r="N63" i="3"/>
  <c r="D63" i="3"/>
  <c r="L63" i="3"/>
  <c r="BC62" i="3"/>
  <c r="AW62" i="3"/>
  <c r="AR62" i="3"/>
  <c r="AM62" i="3"/>
  <c r="AG62" i="3"/>
  <c r="AB62" i="3"/>
  <c r="W62" i="3"/>
  <c r="M62" i="3"/>
  <c r="D62" i="3"/>
  <c r="L62" i="3"/>
  <c r="AZ63" i="3"/>
  <c r="AT63" i="3"/>
  <c r="AL63" i="3"/>
  <c r="AE63" i="3"/>
  <c r="X63" i="3"/>
  <c r="K63" i="3"/>
  <c r="S63" i="3"/>
  <c r="BD62" i="3"/>
  <c r="AV62" i="3"/>
  <c r="AO62" i="3"/>
  <c r="AI62" i="3"/>
  <c r="AA62" i="3"/>
  <c r="Q62" i="3"/>
  <c r="E62" i="3"/>
  <c r="H62" i="3"/>
  <c r="T62" i="3"/>
  <c r="U62" i="3"/>
  <c r="AE62" i="3"/>
  <c r="AN62" i="3"/>
  <c r="AY62" i="3"/>
  <c r="J63" i="3"/>
  <c r="I63" i="3"/>
  <c r="Z63" i="3"/>
  <c r="AI63" i="3"/>
  <c r="AQ63" i="3"/>
  <c r="BB63" i="3"/>
  <c r="P72" i="3"/>
  <c r="K72" i="3"/>
  <c r="Y72" i="3"/>
  <c r="AJ72" i="3"/>
  <c r="AS72" i="3"/>
  <c r="BA72" i="3"/>
  <c r="T73" i="3"/>
  <c r="Q73" i="3"/>
  <c r="AD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R3" i="1"/>
  <c r="C2" i="2"/>
  <c r="H2" i="2"/>
  <c r="N2" i="2"/>
  <c r="S2" i="2"/>
  <c r="C3" i="2"/>
  <c r="I3" i="2"/>
  <c r="N3" i="2"/>
  <c r="S3" i="2"/>
  <c r="D4" i="2"/>
  <c r="I4" i="2"/>
  <c r="N4" i="2"/>
  <c r="T4" i="2"/>
  <c r="C6" i="2"/>
  <c r="H6" i="2"/>
  <c r="N6" i="2"/>
  <c r="S6" i="2"/>
  <c r="C7" i="2"/>
  <c r="I7" i="2"/>
  <c r="N7" i="2"/>
  <c r="S7" i="2"/>
  <c r="D8" i="2"/>
  <c r="I8" i="2"/>
  <c r="N8" i="2"/>
  <c r="T8" i="2"/>
  <c r="C10" i="2"/>
  <c r="H10" i="2"/>
  <c r="N10" i="2"/>
  <c r="S10" i="2"/>
  <c r="C11" i="2"/>
  <c r="I11" i="2"/>
  <c r="N11" i="2"/>
  <c r="S11" i="2"/>
  <c r="D12" i="2"/>
  <c r="I12" i="2"/>
  <c r="N12" i="2"/>
  <c r="T12" i="2"/>
  <c r="C14" i="2"/>
  <c r="H14" i="2"/>
  <c r="N14" i="2"/>
  <c r="S14" i="2"/>
  <c r="C15" i="2"/>
  <c r="I15" i="2"/>
  <c r="N15" i="2"/>
  <c r="S15" i="2"/>
  <c r="D16" i="2"/>
  <c r="I16" i="2"/>
  <c r="N16" i="2"/>
  <c r="T16" i="2"/>
  <c r="BD3" i="3"/>
  <c r="AZ3" i="3"/>
  <c r="AV3" i="3"/>
  <c r="AR3" i="3"/>
  <c r="AN3" i="3"/>
  <c r="AJ3" i="3"/>
  <c r="AF3" i="3"/>
  <c r="AB3" i="3"/>
  <c r="X3" i="3"/>
  <c r="Q3" i="3"/>
  <c r="K3" i="3"/>
  <c r="D3" i="3"/>
  <c r="P3" i="3"/>
  <c r="G3" i="3"/>
  <c r="BA2" i="3"/>
  <c r="AW2" i="3"/>
  <c r="AS2" i="3"/>
  <c r="AO2" i="3"/>
  <c r="AK2" i="3"/>
  <c r="AG2" i="3"/>
  <c r="AC2" i="3"/>
  <c r="Y2" i="3"/>
  <c r="U2" i="3"/>
  <c r="M2" i="3"/>
  <c r="E2" i="3"/>
  <c r="R2" i="3"/>
  <c r="H2" i="3"/>
  <c r="P2" i="3"/>
  <c r="F2" i="3"/>
  <c r="O2" i="3"/>
  <c r="X2" i="3"/>
  <c r="AD2" i="3"/>
  <c r="AI2" i="3"/>
  <c r="AN2" i="3"/>
  <c r="AT2" i="3"/>
  <c r="AY2" i="3"/>
  <c r="BD2" i="3"/>
  <c r="R3" i="3"/>
  <c r="F3" i="3"/>
  <c r="O3" i="3"/>
  <c r="Y3" i="3"/>
  <c r="AD3" i="3"/>
  <c r="AI3" i="3"/>
  <c r="AO3" i="3"/>
  <c r="AT3" i="3"/>
  <c r="AY3" i="3"/>
  <c r="L7" i="3"/>
  <c r="D7" i="3"/>
  <c r="D84" i="3" s="1"/>
  <c r="N7" i="3"/>
  <c r="X7" i="3"/>
  <c r="AE7" i="3"/>
  <c r="AL7" i="3"/>
  <c r="AT7" i="3"/>
  <c r="AZ7" i="3"/>
  <c r="J8" i="3"/>
  <c r="F8" i="3"/>
  <c r="U8" i="3"/>
  <c r="AA8" i="3"/>
  <c r="AI8" i="3"/>
  <c r="AP8" i="3"/>
  <c r="AW8" i="3"/>
  <c r="P12" i="3"/>
  <c r="I12" i="3"/>
  <c r="W12" i="3"/>
  <c r="AD12" i="3"/>
  <c r="AJ12" i="3"/>
  <c r="AR12" i="3"/>
  <c r="AY12" i="3"/>
  <c r="H13" i="3"/>
  <c r="E13" i="3"/>
  <c r="O13" i="3"/>
  <c r="Z13" i="3"/>
  <c r="AH13" i="3"/>
  <c r="AO13" i="3"/>
  <c r="AU13" i="3"/>
  <c r="BC13" i="3"/>
  <c r="P27" i="3"/>
  <c r="I27" i="3"/>
  <c r="V27" i="3"/>
  <c r="AD27" i="3"/>
  <c r="AJ27" i="3"/>
  <c r="AR27" i="3"/>
  <c r="BC27" i="3"/>
  <c r="T28" i="3"/>
  <c r="O28" i="3"/>
  <c r="AD28" i="3"/>
  <c r="AM28" i="3"/>
  <c r="AV28" i="3"/>
  <c r="R32" i="3"/>
  <c r="O32" i="3"/>
  <c r="AC32" i="3"/>
  <c r="AK32" i="3"/>
  <c r="AU32" i="3"/>
  <c r="G33" i="3"/>
  <c r="F33" i="3"/>
  <c r="V33" i="3"/>
  <c r="AF33" i="3"/>
  <c r="AP33" i="3"/>
  <c r="AY33" i="3"/>
  <c r="G42" i="3"/>
  <c r="I42" i="3"/>
  <c r="X42" i="3"/>
  <c r="AF42" i="3"/>
  <c r="AQ42" i="3"/>
  <c r="AZ42" i="3"/>
  <c r="P43" i="3"/>
  <c r="O43" i="3"/>
  <c r="AA43" i="3"/>
  <c r="AJ43" i="3"/>
  <c r="AU43" i="3"/>
  <c r="BD43" i="3"/>
  <c r="R52" i="3"/>
  <c r="O52" i="3"/>
  <c r="AC52" i="3"/>
  <c r="AK52" i="3"/>
  <c r="AU52" i="3"/>
  <c r="G53" i="3"/>
  <c r="F53" i="3"/>
  <c r="V53" i="3"/>
  <c r="AF53" i="3"/>
  <c r="AP53" i="3"/>
  <c r="AY53" i="3"/>
  <c r="G62" i="3"/>
  <c r="I62" i="3"/>
  <c r="X62" i="3"/>
  <c r="AF62" i="3"/>
  <c r="AQ62" i="3"/>
  <c r="AZ62" i="3"/>
  <c r="P63" i="3"/>
  <c r="O63" i="3"/>
  <c r="AA63" i="3"/>
  <c r="AJ63" i="3"/>
  <c r="AU63" i="3"/>
  <c r="BD63" i="3"/>
  <c r="R72" i="3"/>
  <c r="O72" i="3"/>
  <c r="AC72" i="3"/>
  <c r="AK72" i="3"/>
  <c r="AU72" i="3"/>
  <c r="G73" i="3"/>
  <c r="F73" i="3"/>
  <c r="V73" i="3"/>
  <c r="AF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AF23" i="3"/>
  <c r="AB23" i="3"/>
  <c r="X23" i="3"/>
  <c r="Q23" i="3"/>
  <c r="K23" i="3"/>
  <c r="D23" i="3"/>
  <c r="P23" i="3"/>
  <c r="G23" i="3"/>
  <c r="BA22" i="3"/>
  <c r="AW22" i="3"/>
  <c r="AS22" i="3"/>
  <c r="AO22" i="3"/>
  <c r="AK22" i="3"/>
  <c r="AG22" i="3"/>
  <c r="AC22" i="3"/>
  <c r="Y22" i="3"/>
  <c r="U22" i="3"/>
  <c r="M22" i="3"/>
  <c r="E22" i="3"/>
  <c r="R22" i="3"/>
  <c r="H22" i="3"/>
  <c r="P22" i="3"/>
  <c r="F22" i="3"/>
  <c r="O22" i="3"/>
  <c r="X22" i="3"/>
  <c r="AD22" i="3"/>
  <c r="AI22" i="3"/>
  <c r="AN22" i="3"/>
  <c r="AT22" i="3"/>
  <c r="AY22" i="3"/>
  <c r="BD22" i="3"/>
  <c r="R23" i="3"/>
  <c r="F23" i="3"/>
  <c r="O23" i="3"/>
  <c r="Y23" i="3"/>
  <c r="AD23" i="3"/>
  <c r="AI23" i="3"/>
  <c r="AO23" i="3"/>
  <c r="AT23" i="3"/>
  <c r="AY23" i="3"/>
  <c r="BA38" i="3"/>
  <c r="AW38" i="3"/>
  <c r="AS38" i="3"/>
  <c r="AO38" i="3"/>
  <c r="AK38" i="3"/>
  <c r="AG38" i="3"/>
  <c r="AC38" i="3"/>
  <c r="Y38" i="3"/>
  <c r="U38" i="3"/>
  <c r="M38" i="3"/>
  <c r="E38" i="3"/>
  <c r="R38" i="3"/>
  <c r="H38" i="3"/>
  <c r="BB37" i="3"/>
  <c r="AX37" i="3"/>
  <c r="AT37" i="3"/>
  <c r="AP37" i="3"/>
  <c r="AL37" i="3"/>
  <c r="AH37" i="3"/>
  <c r="AD37" i="3"/>
  <c r="Z37" i="3"/>
  <c r="V37" i="3"/>
  <c r="N37" i="3"/>
  <c r="F37" i="3"/>
  <c r="S37" i="3"/>
  <c r="J37" i="3"/>
  <c r="AZ38" i="3"/>
  <c r="AU38" i="3"/>
  <c r="AP38" i="3"/>
  <c r="AJ38" i="3"/>
  <c r="AE38" i="3"/>
  <c r="Z38" i="3"/>
  <c r="Q38" i="3"/>
  <c r="I38" i="3"/>
  <c r="S38" i="3"/>
  <c r="G38" i="3"/>
  <c r="AZ37" i="3"/>
  <c r="AU37" i="3"/>
  <c r="AO37" i="3"/>
  <c r="AJ37" i="3"/>
  <c r="AE37" i="3"/>
  <c r="Y37" i="3"/>
  <c r="Q37" i="3"/>
  <c r="I37" i="3"/>
  <c r="R37" i="3"/>
  <c r="G37" i="3"/>
  <c r="T37" i="3"/>
  <c r="M37" i="3"/>
  <c r="X37" i="3"/>
  <c r="AF37" i="3"/>
  <c r="AM37" i="3"/>
  <c r="AS37" i="3"/>
  <c r="BA37" i="3"/>
  <c r="L38" i="3"/>
  <c r="F38" i="3"/>
  <c r="V38" i="3"/>
  <c r="AB38" i="3"/>
  <c r="AI38" i="3"/>
  <c r="AQ38" i="3"/>
  <c r="AX38" i="3"/>
  <c r="BD38" i="3"/>
  <c r="BA48" i="3"/>
  <c r="AW48" i="3"/>
  <c r="AS48" i="3"/>
  <c r="AO48" i="3"/>
  <c r="AK48" i="3"/>
  <c r="AG48" i="3"/>
  <c r="AC48" i="3"/>
  <c r="Y48" i="3"/>
  <c r="U48" i="3"/>
  <c r="M48" i="3"/>
  <c r="E48" i="3"/>
  <c r="R48" i="3"/>
  <c r="H48" i="3"/>
  <c r="BB47" i="3"/>
  <c r="AX47" i="3"/>
  <c r="AT47" i="3"/>
  <c r="AP47" i="3"/>
  <c r="AL47" i="3"/>
  <c r="AH47" i="3"/>
  <c r="AD47" i="3"/>
  <c r="Z47" i="3"/>
  <c r="V47" i="3"/>
  <c r="N47" i="3"/>
  <c r="F47" i="3"/>
  <c r="S47" i="3"/>
  <c r="J47" i="3"/>
  <c r="AZ48" i="3"/>
  <c r="AU48" i="3"/>
  <c r="AP48" i="3"/>
  <c r="AJ48" i="3"/>
  <c r="AE48" i="3"/>
  <c r="Z48" i="3"/>
  <c r="Q48" i="3"/>
  <c r="I48" i="3"/>
  <c r="S48" i="3"/>
  <c r="G48" i="3"/>
  <c r="AZ47" i="3"/>
  <c r="AU47" i="3"/>
  <c r="AO47" i="3"/>
  <c r="AJ47" i="3"/>
  <c r="AE47" i="3"/>
  <c r="Y47" i="3"/>
  <c r="Q47" i="3"/>
  <c r="I47" i="3"/>
  <c r="R47" i="3"/>
  <c r="G47" i="3"/>
  <c r="T47" i="3"/>
  <c r="M47" i="3"/>
  <c r="X47" i="3"/>
  <c r="AF47" i="3"/>
  <c r="AM47" i="3"/>
  <c r="AS47" i="3"/>
  <c r="BA47" i="3"/>
  <c r="L48" i="3"/>
  <c r="F48" i="3"/>
  <c r="V48" i="3"/>
  <c r="AB48" i="3"/>
  <c r="AI48" i="3"/>
  <c r="AQ48" i="3"/>
  <c r="AX48" i="3"/>
  <c r="BD48" i="3"/>
  <c r="BA58" i="3"/>
  <c r="AW58" i="3"/>
  <c r="AS58" i="3"/>
  <c r="AO58" i="3"/>
  <c r="AK58" i="3"/>
  <c r="AG58" i="3"/>
  <c r="AC58" i="3"/>
  <c r="Y58" i="3"/>
  <c r="U58" i="3"/>
  <c r="M58" i="3"/>
  <c r="E58" i="3"/>
  <c r="R58" i="3"/>
  <c r="H58" i="3"/>
  <c r="BB57" i="3"/>
  <c r="AX57" i="3"/>
  <c r="AT57" i="3"/>
  <c r="AP57" i="3"/>
  <c r="AL57" i="3"/>
  <c r="AH57" i="3"/>
  <c r="AD57" i="3"/>
  <c r="Z57" i="3"/>
  <c r="V57" i="3"/>
  <c r="N57" i="3"/>
  <c r="F57" i="3"/>
  <c r="S57" i="3"/>
  <c r="J57" i="3"/>
  <c r="AZ58" i="3"/>
  <c r="AU58" i="3"/>
  <c r="AP58" i="3"/>
  <c r="AJ58" i="3"/>
  <c r="AE58" i="3"/>
  <c r="Z58" i="3"/>
  <c r="Q58" i="3"/>
  <c r="I58" i="3"/>
  <c r="S58" i="3"/>
  <c r="G58" i="3"/>
  <c r="AZ57" i="3"/>
  <c r="AU57" i="3"/>
  <c r="AO57" i="3"/>
  <c r="AJ57" i="3"/>
  <c r="AE57" i="3"/>
  <c r="Y57" i="3"/>
  <c r="Q57" i="3"/>
  <c r="I57" i="3"/>
  <c r="R57" i="3"/>
  <c r="G57" i="3"/>
  <c r="T57" i="3"/>
  <c r="M57" i="3"/>
  <c r="X57" i="3"/>
  <c r="AF57" i="3"/>
  <c r="AM57" i="3"/>
  <c r="AS57" i="3"/>
  <c r="BA57" i="3"/>
  <c r="L58" i="3"/>
  <c r="F58" i="3"/>
  <c r="V58" i="3"/>
  <c r="AB58" i="3"/>
  <c r="AI58" i="3"/>
  <c r="AQ58" i="3"/>
  <c r="AX58" i="3"/>
  <c r="BD58" i="3"/>
  <c r="BA68" i="3"/>
  <c r="AW68" i="3"/>
  <c r="AS68" i="3"/>
  <c r="AO68" i="3"/>
  <c r="AK68" i="3"/>
  <c r="AG68" i="3"/>
  <c r="AC68" i="3"/>
  <c r="Y68" i="3"/>
  <c r="U68" i="3"/>
  <c r="M68" i="3"/>
  <c r="E68" i="3"/>
  <c r="R68" i="3"/>
  <c r="H68" i="3"/>
  <c r="BB67" i="3"/>
  <c r="AX67" i="3"/>
  <c r="AT67" i="3"/>
  <c r="AP67" i="3"/>
  <c r="AL67" i="3"/>
  <c r="AH67" i="3"/>
  <c r="AD67" i="3"/>
  <c r="Z67" i="3"/>
  <c r="V67" i="3"/>
  <c r="N67" i="3"/>
  <c r="F67" i="3"/>
  <c r="S67" i="3"/>
  <c r="J67" i="3"/>
  <c r="AZ68" i="3"/>
  <c r="AU68" i="3"/>
  <c r="AP68" i="3"/>
  <c r="AJ68" i="3"/>
  <c r="AE68" i="3"/>
  <c r="Z68" i="3"/>
  <c r="Q68" i="3"/>
  <c r="I68" i="3"/>
  <c r="S68" i="3"/>
  <c r="G68" i="3"/>
  <c r="AZ67" i="3"/>
  <c r="AU67" i="3"/>
  <c r="AO67" i="3"/>
  <c r="AJ67" i="3"/>
  <c r="AE67" i="3"/>
  <c r="Y67" i="3"/>
  <c r="Q67" i="3"/>
  <c r="I67" i="3"/>
  <c r="R67" i="3"/>
  <c r="G67" i="3"/>
  <c r="T67" i="3"/>
  <c r="M67" i="3"/>
  <c r="X67" i="3"/>
  <c r="AF67" i="3"/>
  <c r="AM67" i="3"/>
  <c r="AS67" i="3"/>
  <c r="BA67" i="3"/>
  <c r="L68" i="3"/>
  <c r="F68" i="3"/>
  <c r="V68" i="3"/>
  <c r="AB68" i="3"/>
  <c r="AI68" i="3"/>
  <c r="AQ68" i="3"/>
  <c r="AX68" i="3"/>
  <c r="BD68" i="3"/>
  <c r="BA78" i="3"/>
  <c r="AW78" i="3"/>
  <c r="AS78" i="3"/>
  <c r="AO78" i="3"/>
  <c r="AK78" i="3"/>
  <c r="AG78" i="3"/>
  <c r="AC78" i="3"/>
  <c r="Y78" i="3"/>
  <c r="U78" i="3"/>
  <c r="M78" i="3"/>
  <c r="E78" i="3"/>
  <c r="R78" i="3"/>
  <c r="H78" i="3"/>
  <c r="BB77" i="3"/>
  <c r="AX77" i="3"/>
  <c r="AT77" i="3"/>
  <c r="AP77" i="3"/>
  <c r="AL77" i="3"/>
  <c r="AH77" i="3"/>
  <c r="AD77" i="3"/>
  <c r="Z77" i="3"/>
  <c r="V77" i="3"/>
  <c r="N77" i="3"/>
  <c r="F77" i="3"/>
  <c r="S77" i="3"/>
  <c r="J77" i="3"/>
  <c r="AZ78" i="3"/>
  <c r="AU78" i="3"/>
  <c r="AP78" i="3"/>
  <c r="AJ78" i="3"/>
  <c r="AE78" i="3"/>
  <c r="Z78" i="3"/>
  <c r="Q78" i="3"/>
  <c r="I78" i="3"/>
  <c r="S78" i="3"/>
  <c r="G78" i="3"/>
  <c r="AZ77" i="3"/>
  <c r="AU77" i="3"/>
  <c r="AO77" i="3"/>
  <c r="AJ77" i="3"/>
  <c r="AE77" i="3"/>
  <c r="Y77" i="3"/>
  <c r="Q77" i="3"/>
  <c r="I77" i="3"/>
  <c r="R77" i="3"/>
  <c r="G77" i="3"/>
  <c r="T77" i="3"/>
  <c r="M77" i="3"/>
  <c r="X77" i="3"/>
  <c r="AF77" i="3"/>
  <c r="AM77" i="3"/>
  <c r="AS77" i="3"/>
  <c r="BA77" i="3"/>
  <c r="L78" i="3"/>
  <c r="F78" i="3"/>
  <c r="V78" i="3"/>
  <c r="AB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H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H5" i="15"/>
  <c r="P5" i="15"/>
  <c r="W5" i="15"/>
  <c r="AC5" i="15"/>
  <c r="AK5" i="15"/>
  <c r="AJ7" i="15"/>
  <c r="AF7" i="15"/>
  <c r="AB7" i="15"/>
  <c r="X7" i="15"/>
  <c r="T7" i="15"/>
  <c r="P7" i="15"/>
  <c r="L7" i="15"/>
  <c r="H7" i="15"/>
  <c r="D7" i="15"/>
  <c r="AH7" i="15"/>
  <c r="AC7" i="15"/>
  <c r="W7" i="15"/>
  <c r="R7" i="15"/>
  <c r="M7" i="15"/>
  <c r="G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G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E23" i="17"/>
  <c r="T23" i="17"/>
  <c r="L23" i="17"/>
  <c r="F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H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G8" i="15"/>
  <c r="N8" i="15"/>
  <c r="V8" i="15"/>
  <c r="AB8" i="15"/>
  <c r="AI8" i="15"/>
  <c r="H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H16" i="15"/>
  <c r="S16" i="15"/>
  <c r="AD16" i="15"/>
  <c r="Y22" i="17"/>
  <c r="U22" i="17"/>
  <c r="Q22" i="17"/>
  <c r="M22" i="17"/>
  <c r="I22" i="17"/>
  <c r="F22" i="17"/>
  <c r="X22" i="17"/>
  <c r="S22" i="17"/>
  <c r="N22" i="17"/>
  <c r="H22" i="17"/>
  <c r="V22" i="17"/>
  <c r="O22" i="17"/>
  <c r="G22" i="17"/>
  <c r="T22" i="17"/>
  <c r="L22" i="17"/>
  <c r="E22" i="17"/>
  <c r="W22" i="17"/>
  <c r="P22" i="17"/>
  <c r="J22" i="17"/>
  <c r="J23" i="17"/>
  <c r="G3" i="15"/>
  <c r="M3" i="15"/>
  <c r="R3" i="15"/>
  <c r="W3" i="15"/>
  <c r="AC3" i="15"/>
  <c r="AH3" i="15"/>
  <c r="G5" i="15"/>
  <c r="M5" i="15"/>
  <c r="U5" i="15"/>
  <c r="AB5" i="15"/>
  <c r="AI5" i="15"/>
  <c r="I7" i="15"/>
  <c r="O7" i="15"/>
  <c r="V7" i="15"/>
  <c r="AD7" i="15"/>
  <c r="AK7" i="15"/>
  <c r="H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G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H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G12" i="15"/>
  <c r="L12" i="15"/>
  <c r="R12" i="15"/>
  <c r="W12" i="15"/>
  <c r="AB12" i="15"/>
  <c r="G15" i="15"/>
  <c r="M15" i="15"/>
  <c r="R15" i="15"/>
  <c r="W15" i="15"/>
  <c r="AC15" i="15"/>
  <c r="Y18" i="17"/>
  <c r="U18" i="17"/>
  <c r="Q18" i="17"/>
  <c r="M18" i="17"/>
  <c r="I18" i="17"/>
  <c r="F18" i="17"/>
  <c r="V18" i="17"/>
  <c r="P18" i="17"/>
  <c r="K18" i="17"/>
  <c r="E18" i="17"/>
  <c r="L18" i="17"/>
  <c r="S18" i="17"/>
  <c r="W19" i="17"/>
  <c r="S19" i="17"/>
  <c r="O19" i="17"/>
  <c r="K19" i="17"/>
  <c r="G19" i="17"/>
  <c r="U19" i="17"/>
  <c r="P19" i="17"/>
  <c r="J19" i="17"/>
  <c r="F19" i="17"/>
  <c r="L19" i="17"/>
  <c r="R19" i="17"/>
  <c r="Y19" i="17"/>
  <c r="Y24" i="17"/>
  <c r="U24" i="17"/>
  <c r="Q24" i="17"/>
  <c r="M24" i="17"/>
  <c r="I24" i="17"/>
  <c r="F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E25" i="17"/>
  <c r="J25" i="17"/>
  <c r="R25" i="17"/>
  <c r="Y25" i="17"/>
  <c r="J26" i="17"/>
  <c r="R26" i="17"/>
  <c r="I27" i="17"/>
  <c r="Q27" i="17"/>
  <c r="Y30" i="17"/>
  <c r="U30" i="17"/>
  <c r="Q30" i="17"/>
  <c r="M30" i="17"/>
  <c r="I30" i="17"/>
  <c r="F30" i="17"/>
  <c r="V30" i="17"/>
  <c r="P30" i="17"/>
  <c r="K30" i="17"/>
  <c r="E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F31" i="17"/>
  <c r="X31" i="17"/>
  <c r="R31" i="17"/>
  <c r="M31" i="17"/>
  <c r="H31" i="17"/>
  <c r="N31" i="17"/>
  <c r="Y31" i="17"/>
  <c r="AK12" i="15"/>
  <c r="AG12" i="15"/>
  <c r="AC12" i="15"/>
  <c r="Y12" i="15"/>
  <c r="U12" i="15"/>
  <c r="Q12" i="15"/>
  <c r="M12" i="15"/>
  <c r="I12" i="15"/>
  <c r="E12" i="15"/>
  <c r="H12" i="15"/>
  <c r="N12" i="15"/>
  <c r="S12" i="15"/>
  <c r="X12" i="15"/>
  <c r="AD12" i="15"/>
  <c r="AI12" i="15"/>
  <c r="AJ15" i="15"/>
  <c r="AF15" i="15"/>
  <c r="AF18" i="15" s="1"/>
  <c r="AB15" i="15"/>
  <c r="X15" i="15"/>
  <c r="T15" i="15"/>
  <c r="P15" i="15"/>
  <c r="P18" i="15" s="1"/>
  <c r="L15" i="15"/>
  <c r="H15" i="15"/>
  <c r="D15" i="15"/>
  <c r="I15" i="15"/>
  <c r="N15" i="15"/>
  <c r="S15" i="15"/>
  <c r="Y15" i="15"/>
  <c r="AD15" i="15"/>
  <c r="AI15" i="15"/>
  <c r="Y26" i="17"/>
  <c r="U26" i="17"/>
  <c r="Q26" i="17"/>
  <c r="M26" i="17"/>
  <c r="I26" i="17"/>
  <c r="F26" i="17"/>
  <c r="V26" i="17"/>
  <c r="P26" i="17"/>
  <c r="K26" i="17"/>
  <c r="E26" i="17"/>
  <c r="L26" i="17"/>
  <c r="S26" i="17"/>
  <c r="W27" i="17"/>
  <c r="S27" i="17"/>
  <c r="O27" i="17"/>
  <c r="K27" i="17"/>
  <c r="G27" i="17"/>
  <c r="U27" i="17"/>
  <c r="P27" i="17"/>
  <c r="J27" i="17"/>
  <c r="F27" i="17"/>
  <c r="L27" i="17"/>
  <c r="R27" i="17"/>
  <c r="Y27" i="17"/>
  <c r="AJ3" i="10"/>
  <c r="AF3" i="10"/>
  <c r="AB3" i="10"/>
  <c r="X3" i="10"/>
  <c r="T3" i="10"/>
  <c r="P3" i="10"/>
  <c r="L3" i="10"/>
  <c r="H3" i="10"/>
  <c r="F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H5" i="10"/>
  <c r="M5" i="10"/>
  <c r="S5" i="10"/>
  <c r="X5" i="10"/>
  <c r="AC5" i="10"/>
  <c r="AI5" i="10"/>
  <c r="E7" i="10"/>
  <c r="L7" i="10"/>
  <c r="T7" i="10"/>
  <c r="AA7" i="10"/>
  <c r="AH7" i="10"/>
  <c r="G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G2" i="15"/>
  <c r="K2" i="15"/>
  <c r="O2" i="15"/>
  <c r="S2" i="15"/>
  <c r="W2" i="15"/>
  <c r="AA2" i="15"/>
  <c r="AE2" i="15"/>
  <c r="G6" i="15"/>
  <c r="K6" i="15"/>
  <c r="O6" i="15"/>
  <c r="S6" i="15"/>
  <c r="W6" i="15"/>
  <c r="AA6" i="15"/>
  <c r="AE6" i="15"/>
  <c r="G10" i="15"/>
  <c r="K10" i="15"/>
  <c r="O10" i="15"/>
  <c r="S10" i="15"/>
  <c r="W10" i="15"/>
  <c r="AA10" i="15"/>
  <c r="AE10" i="15"/>
  <c r="G14" i="15"/>
  <c r="K14" i="15"/>
  <c r="O14" i="15"/>
  <c r="S14" i="15"/>
  <c r="W14" i="15"/>
  <c r="AA14" i="15"/>
  <c r="AE14" i="15"/>
  <c r="Y20" i="17"/>
  <c r="U20" i="17"/>
  <c r="Q20" i="17"/>
  <c r="M20" i="17"/>
  <c r="I20" i="17"/>
  <c r="F20" i="17"/>
  <c r="J20" i="17"/>
  <c r="O20" i="17"/>
  <c r="T20" i="17"/>
  <c r="W21" i="17"/>
  <c r="S21" i="17"/>
  <c r="O21" i="17"/>
  <c r="K21" i="17"/>
  <c r="G21" i="17"/>
  <c r="I21" i="17"/>
  <c r="N21" i="17"/>
  <c r="T21" i="17"/>
  <c r="Y21" i="17"/>
  <c r="Y28" i="17"/>
  <c r="U28" i="17"/>
  <c r="Q28" i="17"/>
  <c r="M28" i="17"/>
  <c r="I28" i="17"/>
  <c r="F28" i="17"/>
  <c r="J28" i="17"/>
  <c r="O28" i="17"/>
  <c r="T28" i="17"/>
  <c r="W29" i="17"/>
  <c r="S29" i="17"/>
  <c r="O29" i="17"/>
  <c r="K29" i="17"/>
  <c r="G29" i="17"/>
  <c r="I29" i="17"/>
  <c r="N29" i="17"/>
  <c r="T29" i="17"/>
  <c r="Y29" i="17"/>
  <c r="G32" i="17"/>
  <c r="L32" i="17"/>
  <c r="R32" i="17"/>
  <c r="E33" i="17"/>
  <c r="L33" i="17"/>
  <c r="Q33" i="17"/>
  <c r="D3" i="10"/>
  <c r="J3" i="10"/>
  <c r="O3" i="10"/>
  <c r="U3" i="10"/>
  <c r="Z3" i="10"/>
  <c r="AE3" i="10"/>
  <c r="AK3" i="10"/>
  <c r="G4" i="10"/>
  <c r="L4" i="10"/>
  <c r="R4" i="10"/>
  <c r="W4" i="10"/>
  <c r="AB4" i="10"/>
  <c r="F5" i="10"/>
  <c r="I5" i="10"/>
  <c r="O5" i="10"/>
  <c r="T5" i="10"/>
  <c r="Y5" i="10"/>
  <c r="AE5" i="10"/>
  <c r="AJ5" i="10"/>
  <c r="G7" i="10"/>
  <c r="O7" i="10"/>
  <c r="V7" i="10"/>
  <c r="AB7" i="10"/>
  <c r="H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H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H7" i="10"/>
  <c r="F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Y32" i="17"/>
  <c r="U32" i="17"/>
  <c r="Q32" i="17"/>
  <c r="M32" i="17"/>
  <c r="I32" i="17"/>
  <c r="F32" i="17"/>
  <c r="J32" i="17"/>
  <c r="O32" i="17"/>
  <c r="T32" i="17"/>
  <c r="W33" i="17"/>
  <c r="S33" i="17"/>
  <c r="O33" i="17"/>
  <c r="K33" i="17"/>
  <c r="G33" i="17"/>
  <c r="I33" i="17"/>
  <c r="N33" i="17"/>
  <c r="T33" i="17"/>
  <c r="Y33" i="17"/>
  <c r="G3" i="10"/>
  <c r="M3" i="10"/>
  <c r="R3" i="10"/>
  <c r="W3" i="10"/>
  <c r="AC3" i="10"/>
  <c r="AH3" i="10"/>
  <c r="F4" i="10"/>
  <c r="J4" i="10"/>
  <c r="O4" i="10"/>
  <c r="T4" i="10"/>
  <c r="Z4" i="10"/>
  <c r="AE4" i="10"/>
  <c r="AJ4" i="10"/>
  <c r="G5" i="10"/>
  <c r="L5" i="10"/>
  <c r="Q5" i="10"/>
  <c r="W5" i="10"/>
  <c r="AB5" i="10"/>
  <c r="AG5" i="10"/>
  <c r="D7" i="10"/>
  <c r="K7" i="10"/>
  <c r="R7" i="10"/>
  <c r="Z7" i="10"/>
  <c r="AF7" i="10"/>
  <c r="F8" i="10"/>
  <c r="L8" i="10"/>
  <c r="S8" i="10"/>
  <c r="Y8" i="10"/>
  <c r="AG8" i="10"/>
  <c r="F11" i="10"/>
  <c r="J11" i="10"/>
  <c r="O11" i="10"/>
  <c r="T11" i="10"/>
  <c r="Z11" i="10"/>
  <c r="AE11" i="10"/>
  <c r="AJ11" i="10"/>
  <c r="G17" i="15"/>
  <c r="K17" i="15"/>
  <c r="O17" i="15"/>
  <c r="S17" i="15"/>
  <c r="W17" i="15"/>
  <c r="AA17" i="15"/>
  <c r="AE17" i="15"/>
  <c r="G2" i="10"/>
  <c r="K2" i="10"/>
  <c r="O2" i="10"/>
  <c r="S2" i="10"/>
  <c r="W2" i="10"/>
  <c r="AA2" i="10"/>
  <c r="AE2" i="10"/>
  <c r="G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H10" i="10"/>
  <c r="F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H12" i="10"/>
  <c r="M12" i="10"/>
  <c r="S12" i="10"/>
  <c r="X12" i="10"/>
  <c r="AC12" i="10"/>
  <c r="G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H11" i="10"/>
  <c r="N11" i="10"/>
  <c r="S11" i="10"/>
  <c r="X11" i="10"/>
  <c r="AD11" i="10"/>
  <c r="AI11" i="10"/>
  <c r="I17" i="10"/>
  <c r="Q17" i="10"/>
  <c r="Y17" i="10"/>
  <c r="G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H13" i="10"/>
  <c r="F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H15" i="10"/>
  <c r="F15" i="10"/>
  <c r="K15" i="10"/>
  <c r="S15" i="10"/>
  <c r="AA15" i="10"/>
  <c r="AI15" i="10"/>
  <c r="AJ17" i="10"/>
  <c r="AF17" i="10"/>
  <c r="AB17" i="10"/>
  <c r="X17" i="10"/>
  <c r="T17" i="10"/>
  <c r="P17" i="10"/>
  <c r="L17" i="10"/>
  <c r="H17" i="10"/>
  <c r="F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16" i="11"/>
  <c r="AC17" i="10"/>
  <c r="AK17" i="10"/>
  <c r="G17" i="10"/>
  <c r="O17" i="10"/>
  <c r="W17" i="10"/>
  <c r="AE17" i="10"/>
  <c r="G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G16" i="10"/>
  <c r="K16" i="10"/>
  <c r="O16" i="10"/>
  <c r="S16" i="10"/>
  <c r="W16" i="10"/>
  <c r="AA16" i="10"/>
  <c r="AE16" i="10"/>
  <c r="G1" i="11"/>
  <c r="K1" i="11"/>
  <c r="K211" i="11" s="1"/>
  <c r="AA1" i="11"/>
  <c r="AA211" i="11" s="1"/>
  <c r="O1" i="11"/>
  <c r="F44" i="1"/>
  <c r="V1" i="11"/>
  <c r="Z1" i="11"/>
  <c r="AD1" i="11"/>
  <c r="H1" i="11"/>
  <c r="T1" i="11"/>
  <c r="G18" i="14"/>
  <c r="G34" i="14" s="1"/>
  <c r="D1" i="11"/>
  <c r="L4" i="1"/>
  <c r="E1" i="11"/>
  <c r="I1" i="11"/>
  <c r="M1" i="11"/>
  <c r="U1" i="11"/>
  <c r="X1" i="11"/>
  <c r="AB1" i="11"/>
  <c r="C58" i="4"/>
  <c r="T4" i="1"/>
  <c r="F1" i="11"/>
  <c r="F211" i="11" s="1"/>
  <c r="J1" i="11"/>
  <c r="N1" i="11"/>
  <c r="R1" i="11"/>
  <c r="R212" i="11" s="1"/>
  <c r="Y1" i="11"/>
  <c r="AC1" i="11"/>
  <c r="F51" i="1"/>
  <c r="J18" i="1"/>
  <c r="K44" i="1"/>
  <c r="H4" i="1"/>
  <c r="U18" i="1"/>
  <c r="L24" i="1"/>
  <c r="N44" i="1"/>
  <c r="Q11" i="1"/>
  <c r="Q36" i="1"/>
  <c r="Q44" i="1"/>
  <c r="J14" i="1"/>
  <c r="M14" i="1"/>
  <c r="Q14" i="1"/>
  <c r="S35" i="1"/>
  <c r="N21" i="1"/>
  <c r="I44" i="1"/>
  <c r="S44" i="1"/>
  <c r="F21" i="1"/>
  <c r="J21" i="1"/>
  <c r="G14" i="1"/>
  <c r="U14" i="1"/>
  <c r="R21" i="1"/>
  <c r="H36" i="1"/>
  <c r="M48" i="1"/>
  <c r="I7" i="1"/>
  <c r="K21" i="1"/>
  <c r="O21" i="1"/>
  <c r="S21" i="1"/>
  <c r="H21" i="1"/>
  <c r="L21" i="1"/>
  <c r="T21" i="1"/>
  <c r="F34" i="1"/>
  <c r="F39" i="1"/>
  <c r="H40" i="1"/>
  <c r="Q40" i="1"/>
  <c r="G21" i="1"/>
  <c r="F40" i="1"/>
  <c r="P40" i="1"/>
  <c r="G46" i="1"/>
  <c r="N48" i="1"/>
  <c r="M7" i="1"/>
  <c r="P21" i="1"/>
  <c r="L46" i="1"/>
  <c r="F48" i="1"/>
  <c r="Q48" i="1"/>
  <c r="U7" i="1"/>
  <c r="F14" i="1"/>
  <c r="O14" i="1"/>
  <c r="O26" i="1"/>
  <c r="H5" i="1"/>
  <c r="I21" i="1"/>
  <c r="M21" i="1"/>
  <c r="Q21" i="1"/>
  <c r="U21" i="1"/>
  <c r="N34" i="1"/>
  <c r="N39" i="1"/>
  <c r="J40" i="1"/>
  <c r="U40" i="1"/>
  <c r="R43" i="1"/>
  <c r="R46" i="1"/>
  <c r="I48" i="1"/>
  <c r="U48" i="1"/>
  <c r="B33" i="8"/>
  <c r="C33" i="8" s="1"/>
  <c r="D33" i="8" s="1"/>
  <c r="F18" i="15"/>
  <c r="N16" i="1" s="1"/>
  <c r="J18" i="15"/>
  <c r="N18" i="15"/>
  <c r="R18" i="15"/>
  <c r="V18" i="15"/>
  <c r="Z18" i="15"/>
  <c r="AD18" i="15"/>
  <c r="AH18" i="15"/>
  <c r="C5" i="15"/>
  <c r="C9" i="15"/>
  <c r="C13" i="15"/>
  <c r="M40" i="1"/>
  <c r="C18" i="3"/>
  <c r="C58" i="3"/>
  <c r="C32" i="4"/>
  <c r="C67" i="4"/>
  <c r="G31" i="1"/>
  <c r="C5" i="7"/>
  <c r="C9" i="7"/>
  <c r="C13" i="7"/>
  <c r="C15" i="7"/>
  <c r="C16" i="7"/>
  <c r="G9" i="1"/>
  <c r="J9" i="1"/>
  <c r="Q9" i="1"/>
  <c r="U11" i="1"/>
  <c r="H17" i="1"/>
  <c r="U26" i="1"/>
  <c r="K31" i="1"/>
  <c r="O13" i="1"/>
  <c r="F24" i="1"/>
  <c r="M24" i="1"/>
  <c r="U24" i="1"/>
  <c r="I36" i="1"/>
  <c r="U36" i="1"/>
  <c r="J44" i="1"/>
  <c r="O44" i="1"/>
  <c r="U44" i="1"/>
  <c r="H46" i="1"/>
  <c r="M46" i="1"/>
  <c r="U46" i="1"/>
  <c r="R51" i="1"/>
  <c r="C38" i="3"/>
  <c r="C52" i="4"/>
  <c r="C53" i="4"/>
  <c r="C62" i="4"/>
  <c r="B19" i="17"/>
  <c r="F15" i="1"/>
  <c r="O31" i="1"/>
  <c r="F27" i="1"/>
  <c r="P24" i="1"/>
  <c r="M36" i="1"/>
  <c r="I46" i="1"/>
  <c r="O46" i="1"/>
  <c r="C23" i="4"/>
  <c r="K9" i="1"/>
  <c r="I11" i="1"/>
  <c r="Q7" i="1"/>
  <c r="F9" i="1"/>
  <c r="M9" i="1"/>
  <c r="U9" i="1"/>
  <c r="M11" i="1"/>
  <c r="K14" i="1"/>
  <c r="R14" i="1"/>
  <c r="R15" i="1"/>
  <c r="T17" i="1"/>
  <c r="J26" i="1"/>
  <c r="S31" i="1"/>
  <c r="I35" i="1"/>
  <c r="J5" i="1"/>
  <c r="J27" i="1"/>
  <c r="O18" i="1"/>
  <c r="L25" i="1"/>
  <c r="J24" i="1"/>
  <c r="Q24" i="1"/>
  <c r="P36" i="1"/>
  <c r="L40" i="1"/>
  <c r="R40" i="1"/>
  <c r="G44" i="1"/>
  <c r="M44" i="1"/>
  <c r="R44" i="1"/>
  <c r="K46" i="1"/>
  <c r="Q46" i="1"/>
  <c r="F47" i="1"/>
  <c r="C27" i="3"/>
  <c r="C67" i="3"/>
  <c r="C77" i="3"/>
  <c r="N27" i="1"/>
  <c r="P4" i="1"/>
  <c r="I9" i="1"/>
  <c r="N9" i="1"/>
  <c r="S9" i="1"/>
  <c r="I14" i="1"/>
  <c r="S14" i="1"/>
  <c r="H15" i="1"/>
  <c r="U15" i="1"/>
  <c r="J35" i="1"/>
  <c r="U35" i="1"/>
  <c r="G27" i="1"/>
  <c r="K27" i="1"/>
  <c r="O27" i="1"/>
  <c r="S27" i="1"/>
  <c r="U13" i="1"/>
  <c r="T25" i="1"/>
  <c r="I24" i="1"/>
  <c r="N24" i="1"/>
  <c r="T24" i="1"/>
  <c r="T34" i="1"/>
  <c r="L36" i="1"/>
  <c r="T36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51" i="1"/>
  <c r="C7" i="3"/>
  <c r="C13" i="3"/>
  <c r="C22" i="3"/>
  <c r="C43" i="4"/>
  <c r="C10" i="7"/>
  <c r="C17" i="7"/>
  <c r="B30" i="8"/>
  <c r="C30" i="8" s="1"/>
  <c r="D30" i="8" s="1"/>
  <c r="AI18" i="15"/>
  <c r="C4" i="15"/>
  <c r="C8" i="15"/>
  <c r="C16" i="15"/>
  <c r="M15" i="1"/>
  <c r="N35" i="1"/>
  <c r="L27" i="1"/>
  <c r="P27" i="1"/>
  <c r="T27" i="1"/>
  <c r="F18" i="2"/>
  <c r="J18" i="2"/>
  <c r="N18" i="2"/>
  <c r="R18" i="2"/>
  <c r="V18" i="2"/>
  <c r="B13" i="2"/>
  <c r="B17" i="2"/>
  <c r="J84" i="3"/>
  <c r="S84" i="3"/>
  <c r="H32" i="1" s="1"/>
  <c r="F84" i="3"/>
  <c r="H7" i="1" s="1"/>
  <c r="N84" i="3"/>
  <c r="H24" i="1" s="1"/>
  <c r="V84" i="3"/>
  <c r="Z84" i="3"/>
  <c r="AD84" i="3"/>
  <c r="AH84" i="3"/>
  <c r="AL84" i="3"/>
  <c r="AP84" i="3"/>
  <c r="AT84" i="3"/>
  <c r="AX84" i="3"/>
  <c r="BB84" i="3"/>
  <c r="C12" i="4"/>
  <c r="C18" i="4"/>
  <c r="C27" i="4"/>
  <c r="C72" i="4"/>
  <c r="C78" i="4"/>
  <c r="B20" i="8"/>
  <c r="C20" i="8" s="1"/>
  <c r="D20" i="8" s="1"/>
  <c r="D18" i="15"/>
  <c r="N12" i="1" s="1"/>
  <c r="H18" i="15"/>
  <c r="L18" i="15"/>
  <c r="T18" i="15"/>
  <c r="AB18" i="15"/>
  <c r="AJ18" i="15"/>
  <c r="C3" i="15"/>
  <c r="C7" i="15"/>
  <c r="C11" i="15"/>
  <c r="B25" i="17"/>
  <c r="P28" i="1"/>
  <c r="O42" i="1"/>
  <c r="J43" i="1"/>
  <c r="N15" i="1"/>
  <c r="T29" i="1"/>
  <c r="O35" i="1"/>
  <c r="I27" i="1"/>
  <c r="Q27" i="1"/>
  <c r="T28" i="1"/>
  <c r="J13" i="1"/>
  <c r="J25" i="1"/>
  <c r="L34" i="1"/>
  <c r="L39" i="1"/>
  <c r="U42" i="1"/>
  <c r="L43" i="1"/>
  <c r="C47" i="3"/>
  <c r="C53" i="3"/>
  <c r="C62" i="3"/>
  <c r="C3" i="4"/>
  <c r="C68" i="4"/>
  <c r="B19" i="8"/>
  <c r="C19" i="8" s="1"/>
  <c r="D19" i="8" s="1"/>
  <c r="E18" i="15"/>
  <c r="N14" i="1" s="1"/>
  <c r="M18" i="15"/>
  <c r="Q18" i="15"/>
  <c r="U18" i="15"/>
  <c r="Y18" i="15"/>
  <c r="AC18" i="15"/>
  <c r="AG18" i="15"/>
  <c r="AK18" i="15"/>
  <c r="F23" i="1"/>
  <c r="K23" i="1"/>
  <c r="Q23" i="1"/>
  <c r="Q26" i="1"/>
  <c r="G32" i="1"/>
  <c r="S32" i="1"/>
  <c r="F18" i="1"/>
  <c r="K18" i="1"/>
  <c r="Q18" i="1"/>
  <c r="F13" i="1"/>
  <c r="K13" i="1"/>
  <c r="Q13" i="1"/>
  <c r="G23" i="1"/>
  <c r="M23" i="1"/>
  <c r="G18" i="2"/>
  <c r="K18" i="2"/>
  <c r="O18" i="2"/>
  <c r="S18" i="2"/>
  <c r="B6" i="2"/>
  <c r="B10" i="2"/>
  <c r="B14" i="2"/>
  <c r="C8" i="3"/>
  <c r="C23" i="3"/>
  <c r="C32" i="3"/>
  <c r="C48" i="3"/>
  <c r="C63" i="3"/>
  <c r="F32" i="1"/>
  <c r="F38" i="1"/>
  <c r="K38" i="1"/>
  <c r="Q38" i="1"/>
  <c r="K6" i="1"/>
  <c r="J7" i="1"/>
  <c r="G19" i="1"/>
  <c r="K19" i="1"/>
  <c r="O19" i="1"/>
  <c r="S19" i="1"/>
  <c r="K26" i="1"/>
  <c r="K32" i="1"/>
  <c r="O32" i="1"/>
  <c r="G38" i="1"/>
  <c r="M38" i="1"/>
  <c r="R38" i="1"/>
  <c r="H47" i="1"/>
  <c r="C18" i="2"/>
  <c r="G26" i="1" s="1"/>
  <c r="O6" i="1"/>
  <c r="G7" i="1"/>
  <c r="K7" i="1"/>
  <c r="O7" i="1"/>
  <c r="S7" i="1"/>
  <c r="H19" i="1"/>
  <c r="L19" i="1"/>
  <c r="P19" i="1"/>
  <c r="T19" i="1"/>
  <c r="F26" i="1"/>
  <c r="M26" i="1"/>
  <c r="R26" i="1"/>
  <c r="G18" i="1"/>
  <c r="M18" i="1"/>
  <c r="I38" i="1"/>
  <c r="N38" i="1"/>
  <c r="S38" i="1"/>
  <c r="H39" i="1"/>
  <c r="P39" i="1"/>
  <c r="N43" i="1"/>
  <c r="D18" i="2"/>
  <c r="L18" i="2"/>
  <c r="T18" i="2"/>
  <c r="B3" i="2"/>
  <c r="B15" i="2"/>
  <c r="C33" i="3"/>
  <c r="C42" i="3"/>
  <c r="C73" i="3"/>
  <c r="F19" i="1"/>
  <c r="J32" i="1"/>
  <c r="B9" i="2"/>
  <c r="F7" i="1"/>
  <c r="N7" i="1"/>
  <c r="L10" i="1"/>
  <c r="F11" i="1"/>
  <c r="J11" i="1"/>
  <c r="N11" i="1"/>
  <c r="F42" i="1"/>
  <c r="K42" i="1"/>
  <c r="Q42" i="1"/>
  <c r="P47" i="1"/>
  <c r="P10" i="1"/>
  <c r="G11" i="1"/>
  <c r="K11" i="1"/>
  <c r="O11" i="1"/>
  <c r="S11" i="1"/>
  <c r="I15" i="1"/>
  <c r="P15" i="1"/>
  <c r="L32" i="1"/>
  <c r="P32" i="1"/>
  <c r="T32" i="1"/>
  <c r="F35" i="1"/>
  <c r="K35" i="1"/>
  <c r="Q35" i="1"/>
  <c r="G13" i="1"/>
  <c r="M13" i="1"/>
  <c r="R13" i="1"/>
  <c r="F25" i="1"/>
  <c r="N25" i="1"/>
  <c r="I23" i="1"/>
  <c r="N23" i="1"/>
  <c r="S23" i="1"/>
  <c r="H34" i="1"/>
  <c r="P34" i="1"/>
  <c r="F36" i="1"/>
  <c r="J36" i="1"/>
  <c r="N36" i="1"/>
  <c r="R36" i="1"/>
  <c r="G42" i="1"/>
  <c r="M42" i="1"/>
  <c r="R42" i="1"/>
  <c r="J47" i="1"/>
  <c r="R47" i="1"/>
  <c r="G48" i="1"/>
  <c r="K48" i="1"/>
  <c r="O48" i="1"/>
  <c r="S48" i="1"/>
  <c r="H18" i="2"/>
  <c r="P18" i="2"/>
  <c r="B7" i="2"/>
  <c r="B11" i="2"/>
  <c r="S6" i="1"/>
  <c r="L7" i="1"/>
  <c r="P7" i="1"/>
  <c r="T7" i="1"/>
  <c r="T10" i="1"/>
  <c r="L11" i="1"/>
  <c r="P11" i="1"/>
  <c r="T11" i="1"/>
  <c r="J15" i="1"/>
  <c r="Q15" i="1"/>
  <c r="I19" i="1"/>
  <c r="M19" i="1"/>
  <c r="Q19" i="1"/>
  <c r="U19" i="1"/>
  <c r="I26" i="1"/>
  <c r="N26" i="1"/>
  <c r="S26" i="1"/>
  <c r="L29" i="1"/>
  <c r="I32" i="1"/>
  <c r="M32" i="1"/>
  <c r="Q32" i="1"/>
  <c r="U32" i="1"/>
  <c r="G35" i="1"/>
  <c r="M35" i="1"/>
  <c r="F5" i="1"/>
  <c r="N5" i="1"/>
  <c r="I18" i="1"/>
  <c r="N18" i="1"/>
  <c r="S18" i="1"/>
  <c r="L28" i="1"/>
  <c r="I13" i="1"/>
  <c r="N13" i="1"/>
  <c r="S13" i="1"/>
  <c r="H25" i="1"/>
  <c r="P25" i="1"/>
  <c r="G24" i="1"/>
  <c r="K24" i="1"/>
  <c r="O24" i="1"/>
  <c r="S24" i="1"/>
  <c r="J23" i="1"/>
  <c r="O23" i="1"/>
  <c r="U23" i="1"/>
  <c r="J34" i="1"/>
  <c r="R34" i="1"/>
  <c r="G36" i="1"/>
  <c r="K36" i="1"/>
  <c r="O36" i="1"/>
  <c r="S36" i="1"/>
  <c r="J38" i="1"/>
  <c r="O38" i="1"/>
  <c r="U38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51" i="1"/>
  <c r="E18" i="2"/>
  <c r="I18" i="2"/>
  <c r="M18" i="2"/>
  <c r="Q18" i="2"/>
  <c r="U18" i="2"/>
  <c r="B4" i="2"/>
  <c r="B8" i="2"/>
  <c r="B12" i="2"/>
  <c r="B16" i="2"/>
  <c r="H84" i="3"/>
  <c r="H9" i="1" s="1"/>
  <c r="R84" i="3"/>
  <c r="H30" i="1" s="1"/>
  <c r="E84" i="3"/>
  <c r="H6" i="1" s="1"/>
  <c r="M84" i="3"/>
  <c r="U84" i="3"/>
  <c r="Y84" i="3"/>
  <c r="AC84" i="3"/>
  <c r="AG84" i="3"/>
  <c r="AK84" i="3"/>
  <c r="AO84" i="3"/>
  <c r="AS84" i="3"/>
  <c r="AW84" i="3"/>
  <c r="BA84" i="3"/>
  <c r="C3" i="3"/>
  <c r="C12" i="3"/>
  <c r="C28" i="3"/>
  <c r="C43" i="3"/>
  <c r="G6" i="1"/>
  <c r="H10" i="1"/>
  <c r="J19" i="1"/>
  <c r="N19" i="1"/>
  <c r="R19" i="1"/>
  <c r="B5" i="2"/>
  <c r="C22" i="17"/>
  <c r="D22" i="17" s="1"/>
  <c r="C68" i="3"/>
  <c r="C13" i="4"/>
  <c r="C28" i="4"/>
  <c r="C37" i="4"/>
  <c r="C42" i="4"/>
  <c r="C63" i="4"/>
  <c r="C73" i="4"/>
  <c r="I18" i="7"/>
  <c r="J18" i="7"/>
  <c r="J22" i="7" s="1"/>
  <c r="T6" i="1" s="1"/>
  <c r="P18" i="7"/>
  <c r="T18" i="7"/>
  <c r="X18" i="7"/>
  <c r="AB18" i="7"/>
  <c r="AF18" i="7"/>
  <c r="AJ18" i="7"/>
  <c r="AN18" i="7"/>
  <c r="C3" i="7"/>
  <c r="C4" i="7"/>
  <c r="C14" i="7"/>
  <c r="G35" i="8"/>
  <c r="M27" i="1" s="1"/>
  <c r="K35" i="8"/>
  <c r="O35" i="8"/>
  <c r="S35" i="8"/>
  <c r="W35" i="8"/>
  <c r="B21" i="8"/>
  <c r="C21" i="8" s="1"/>
  <c r="D21" i="8" s="1"/>
  <c r="J35" i="8"/>
  <c r="N35" i="8"/>
  <c r="R35" i="8"/>
  <c r="V35" i="8"/>
  <c r="Z35" i="8"/>
  <c r="B23" i="8"/>
  <c r="C23" i="8" s="1"/>
  <c r="D23" i="8" s="1"/>
  <c r="C31" i="17"/>
  <c r="D31" i="17" s="1"/>
  <c r="B23" i="17"/>
  <c r="C78" i="3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C2" i="7"/>
  <c r="M18" i="7"/>
  <c r="Q18" i="7"/>
  <c r="U18" i="7"/>
  <c r="Y18" i="7"/>
  <c r="AC18" i="7"/>
  <c r="AG18" i="7"/>
  <c r="AK18" i="7"/>
  <c r="AO18" i="7"/>
  <c r="C7" i="7"/>
  <c r="C8" i="7"/>
  <c r="H35" i="8"/>
  <c r="M31" i="1" s="1"/>
  <c r="L35" i="8"/>
  <c r="P35" i="8"/>
  <c r="T35" i="8"/>
  <c r="X35" i="8"/>
  <c r="B25" i="8"/>
  <c r="C25" i="8" s="1"/>
  <c r="D25" i="8" s="1"/>
  <c r="B27" i="8"/>
  <c r="C27" i="8" s="1"/>
  <c r="D27" i="8" s="1"/>
  <c r="H34" i="17"/>
  <c r="X34" i="17"/>
  <c r="B30" i="17"/>
  <c r="C72" i="3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H18" i="7"/>
  <c r="H22" i="7" s="1"/>
  <c r="T5" i="1" s="1"/>
  <c r="N18" i="7"/>
  <c r="R18" i="7"/>
  <c r="V18" i="7"/>
  <c r="Z18" i="7"/>
  <c r="AD18" i="7"/>
  <c r="AH18" i="7"/>
  <c r="AL18" i="7"/>
  <c r="C6" i="7"/>
  <c r="C11" i="7"/>
  <c r="C12" i="7"/>
  <c r="B17" i="8"/>
  <c r="M35" i="8"/>
  <c r="Q35" i="8"/>
  <c r="Y35" i="8"/>
  <c r="B29" i="8"/>
  <c r="C29" i="8" s="1"/>
  <c r="D29" i="8" s="1"/>
  <c r="B31" i="8"/>
  <c r="C31" i="8" s="1"/>
  <c r="D31" i="8" s="1"/>
  <c r="B20" i="17"/>
  <c r="V34" i="17"/>
  <c r="F12" i="1"/>
  <c r="F16" i="1"/>
  <c r="J16" i="1"/>
  <c r="R16" i="1"/>
  <c r="J41" i="1"/>
  <c r="R41" i="1"/>
  <c r="F22" i="1"/>
  <c r="J22" i="1"/>
  <c r="N22" i="1"/>
  <c r="J33" i="1"/>
  <c r="N33" i="1"/>
  <c r="R33" i="1"/>
  <c r="F20" i="1"/>
  <c r="N20" i="1"/>
  <c r="AJ212" i="11"/>
  <c r="AJ211" i="11"/>
  <c r="AJ15" i="11"/>
  <c r="AJ2" i="11"/>
  <c r="AN212" i="11"/>
  <c r="AN211" i="11"/>
  <c r="AN15" i="11"/>
  <c r="AN2" i="11"/>
  <c r="F45" i="1"/>
  <c r="J45" i="1"/>
  <c r="N45" i="1"/>
  <c r="R45" i="1"/>
  <c r="I4" i="1"/>
  <c r="M4" i="1"/>
  <c r="Q4" i="1"/>
  <c r="P6" i="1"/>
  <c r="G8" i="1"/>
  <c r="K8" i="1"/>
  <c r="O8" i="1"/>
  <c r="S8" i="1"/>
  <c r="I10" i="1"/>
  <c r="M10" i="1"/>
  <c r="Q10" i="1"/>
  <c r="U10" i="1"/>
  <c r="G12" i="1"/>
  <c r="K12" i="1"/>
  <c r="O12" i="1"/>
  <c r="S12" i="1"/>
  <c r="L212" i="11"/>
  <c r="I17" i="1"/>
  <c r="M17" i="1"/>
  <c r="Q17" i="1"/>
  <c r="U17" i="1"/>
  <c r="G22" i="1"/>
  <c r="K22" i="1"/>
  <c r="O22" i="1"/>
  <c r="S22" i="1"/>
  <c r="P212" i="11"/>
  <c r="P211" i="11"/>
  <c r="P15" i="11"/>
  <c r="P2" i="11"/>
  <c r="I29" i="1"/>
  <c r="M29" i="1"/>
  <c r="Q29" i="1"/>
  <c r="U29" i="1"/>
  <c r="H31" i="1"/>
  <c r="L31" i="1"/>
  <c r="P31" i="1"/>
  <c r="T31" i="1"/>
  <c r="G33" i="1"/>
  <c r="K33" i="1"/>
  <c r="O33" i="1"/>
  <c r="S33" i="1"/>
  <c r="I5" i="1"/>
  <c r="M5" i="1"/>
  <c r="Q5" i="1"/>
  <c r="U5" i="1"/>
  <c r="G30" i="1"/>
  <c r="K30" i="1"/>
  <c r="O30" i="1"/>
  <c r="S30" i="1"/>
  <c r="I28" i="1"/>
  <c r="M28" i="1"/>
  <c r="Q28" i="1"/>
  <c r="U28" i="1"/>
  <c r="G16" i="1"/>
  <c r="K16" i="1"/>
  <c r="O16" i="1"/>
  <c r="S16" i="1"/>
  <c r="I25" i="1"/>
  <c r="M25" i="1"/>
  <c r="Q25" i="1"/>
  <c r="U25" i="1"/>
  <c r="G20" i="1"/>
  <c r="K20" i="1"/>
  <c r="O20" i="1"/>
  <c r="S20" i="1"/>
  <c r="AG211" i="11"/>
  <c r="AG212" i="11"/>
  <c r="AG15" i="11"/>
  <c r="AG2" i="11"/>
  <c r="I34" i="1"/>
  <c r="M34" i="1"/>
  <c r="Q34" i="1"/>
  <c r="U34" i="1"/>
  <c r="G37" i="1"/>
  <c r="K37" i="1"/>
  <c r="O37" i="1"/>
  <c r="S37" i="1"/>
  <c r="AK211" i="11"/>
  <c r="AK212" i="11"/>
  <c r="AK15" i="11"/>
  <c r="AK2" i="11"/>
  <c r="I39" i="1"/>
  <c r="M39" i="1"/>
  <c r="Q39" i="1"/>
  <c r="U39" i="1"/>
  <c r="G41" i="1"/>
  <c r="K41" i="1"/>
  <c r="O41" i="1"/>
  <c r="S41" i="1"/>
  <c r="AO211" i="11"/>
  <c r="AO212" i="11"/>
  <c r="AO15" i="11"/>
  <c r="AO2" i="11"/>
  <c r="I43" i="1"/>
  <c r="M43" i="1"/>
  <c r="Q43" i="1"/>
  <c r="U43" i="1"/>
  <c r="G45" i="1"/>
  <c r="K45" i="1"/>
  <c r="O45" i="1"/>
  <c r="S45" i="1"/>
  <c r="AS211" i="11"/>
  <c r="AS212" i="11"/>
  <c r="AS15" i="11"/>
  <c r="AS2" i="11"/>
  <c r="I47" i="1"/>
  <c r="M47" i="1"/>
  <c r="Q47" i="1"/>
  <c r="U47" i="1"/>
  <c r="G51" i="1"/>
  <c r="K51" i="1"/>
  <c r="O51" i="1"/>
  <c r="S51" i="1"/>
  <c r="B2" i="2"/>
  <c r="F8" i="1"/>
  <c r="J8" i="1"/>
  <c r="N8" i="1"/>
  <c r="J12" i="1"/>
  <c r="R12" i="1"/>
  <c r="F33" i="1"/>
  <c r="F30" i="1"/>
  <c r="N30" i="1"/>
  <c r="J20" i="1"/>
  <c r="N41" i="1"/>
  <c r="AX212" i="11"/>
  <c r="AX211" i="11"/>
  <c r="AX15" i="11"/>
  <c r="AX2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AC20" i="15" s="1"/>
  <c r="Y19" i="15"/>
  <c r="U19" i="15"/>
  <c r="Q19" i="15"/>
  <c r="M19" i="15"/>
  <c r="M20" i="15" s="1"/>
  <c r="I19" i="15"/>
  <c r="E19" i="15"/>
  <c r="X37" i="8"/>
  <c r="T37" i="8"/>
  <c r="P37" i="8"/>
  <c r="P36" i="8" s="1"/>
  <c r="L37" i="8"/>
  <c r="H37" i="8"/>
  <c r="H36" i="8" s="1"/>
  <c r="U31" i="1" s="1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O56" i="4" s="1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I76" i="4" s="1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P19" i="15"/>
  <c r="L19" i="15"/>
  <c r="H19" i="15"/>
  <c r="D19" i="15"/>
  <c r="W37" i="8"/>
  <c r="S37" i="8"/>
  <c r="S18" i="8" s="1"/>
  <c r="O37" i="8"/>
  <c r="K37" i="8"/>
  <c r="K36" i="8" s="1"/>
  <c r="G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H19" i="10"/>
  <c r="F19" i="10"/>
  <c r="V35" i="17"/>
  <c r="R35" i="17"/>
  <c r="N35" i="17"/>
  <c r="J35" i="17"/>
  <c r="E35" i="17"/>
  <c r="AI19" i="15"/>
  <c r="AI20" i="15" s="1"/>
  <c r="AE19" i="15"/>
  <c r="AA19" i="15"/>
  <c r="W19" i="15"/>
  <c r="S19" i="15"/>
  <c r="O19" i="15"/>
  <c r="K19" i="15"/>
  <c r="G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G19" i="10"/>
  <c r="Y35" i="17"/>
  <c r="U35" i="17"/>
  <c r="Q35" i="17"/>
  <c r="M35" i="17"/>
  <c r="I35" i="17"/>
  <c r="F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AE82" i="3"/>
  <c r="AE11" i="3" s="1"/>
  <c r="AA82" i="3"/>
  <c r="W82" i="3"/>
  <c r="W76" i="3" s="1"/>
  <c r="O82" i="3"/>
  <c r="O26" i="3" s="1"/>
  <c r="I82" i="3"/>
  <c r="I11" i="3" s="1"/>
  <c r="T82" i="3"/>
  <c r="L82" i="3"/>
  <c r="L71" i="3" s="1"/>
  <c r="BB82" i="3"/>
  <c r="BB41" i="3" s="1"/>
  <c r="AX82" i="3"/>
  <c r="AT82" i="3"/>
  <c r="AT51" i="3" s="1"/>
  <c r="AP82" i="3"/>
  <c r="AP81" i="3" s="1"/>
  <c r="AL82" i="3"/>
  <c r="AL41" i="3" s="1"/>
  <c r="AH82" i="3"/>
  <c r="AD82" i="3"/>
  <c r="AD81" i="3" s="1"/>
  <c r="Z82" i="3"/>
  <c r="Z51" i="3" s="1"/>
  <c r="V82" i="3"/>
  <c r="V41" i="3" s="1"/>
  <c r="N82" i="3"/>
  <c r="N61" i="3" s="1"/>
  <c r="F82" i="3"/>
  <c r="F51" i="3" s="1"/>
  <c r="S82" i="3"/>
  <c r="S51" i="3" s="1"/>
  <c r="J82" i="3"/>
  <c r="J41" i="3" s="1"/>
  <c r="BA82" i="3"/>
  <c r="AW82" i="3"/>
  <c r="AW66" i="3" s="1"/>
  <c r="AS82" i="3"/>
  <c r="AS6" i="3" s="1"/>
  <c r="AO82" i="3"/>
  <c r="AO51" i="3" s="1"/>
  <c r="AK82" i="3"/>
  <c r="AG82" i="3"/>
  <c r="AC82" i="3"/>
  <c r="AC61" i="3" s="1"/>
  <c r="Y82" i="3"/>
  <c r="Y56" i="3" s="1"/>
  <c r="U82" i="3"/>
  <c r="M82" i="3"/>
  <c r="M66" i="3" s="1"/>
  <c r="E82" i="3"/>
  <c r="R82" i="3"/>
  <c r="R6" i="3" s="1"/>
  <c r="H82" i="3"/>
  <c r="BD82" i="3"/>
  <c r="AZ82" i="3"/>
  <c r="AZ76" i="3" s="1"/>
  <c r="AV82" i="3"/>
  <c r="AV11" i="3" s="1"/>
  <c r="AR82" i="3"/>
  <c r="AR71" i="3" s="1"/>
  <c r="AN82" i="3"/>
  <c r="AN76" i="3" s="1"/>
  <c r="AJ82" i="3"/>
  <c r="AJ76" i="3" s="1"/>
  <c r="AF82" i="3"/>
  <c r="AF11" i="3" s="1"/>
  <c r="AB82" i="3"/>
  <c r="AB71" i="3" s="1"/>
  <c r="X82" i="3"/>
  <c r="X76" i="3" s="1"/>
  <c r="Q82" i="3"/>
  <c r="Q71" i="3" s="1"/>
  <c r="K82" i="3"/>
  <c r="K11" i="3" s="1"/>
  <c r="D82" i="3"/>
  <c r="D71" i="3" s="1"/>
  <c r="P82" i="3"/>
  <c r="G82" i="3"/>
  <c r="G71" i="3" s="1"/>
  <c r="I6" i="1"/>
  <c r="Q6" i="1"/>
  <c r="F10" i="1"/>
  <c r="J10" i="1"/>
  <c r="N10" i="1"/>
  <c r="R10" i="1"/>
  <c r="H12" i="1"/>
  <c r="L12" i="1"/>
  <c r="P12" i="1"/>
  <c r="T12" i="1"/>
  <c r="F17" i="1"/>
  <c r="J17" i="1"/>
  <c r="N17" i="1"/>
  <c r="R17" i="1"/>
  <c r="T22" i="1"/>
  <c r="Q211" i="11"/>
  <c r="Q212" i="11"/>
  <c r="Q15" i="11"/>
  <c r="Q2" i="11"/>
  <c r="I31" i="1"/>
  <c r="Q31" i="1"/>
  <c r="R5" i="1"/>
  <c r="F28" i="1"/>
  <c r="J28" i="1"/>
  <c r="N28" i="1"/>
  <c r="H16" i="1"/>
  <c r="L16" i="1"/>
  <c r="P16" i="1"/>
  <c r="T16" i="1"/>
  <c r="AD211" i="11"/>
  <c r="AD212" i="11"/>
  <c r="AD15" i="11"/>
  <c r="AD2" i="11"/>
  <c r="L20" i="1"/>
  <c r="P20" i="1"/>
  <c r="T20" i="1"/>
  <c r="AH211" i="11"/>
  <c r="AH212" i="11"/>
  <c r="AH15" i="11"/>
  <c r="AH2" i="11"/>
  <c r="H37" i="1"/>
  <c r="L37" i="1"/>
  <c r="P37" i="1"/>
  <c r="T37" i="1"/>
  <c r="AL211" i="11"/>
  <c r="AL212" i="11"/>
  <c r="AL15" i="11"/>
  <c r="AL2" i="11"/>
  <c r="H41" i="1"/>
  <c r="L41" i="1"/>
  <c r="P41" i="1"/>
  <c r="T41" i="1"/>
  <c r="AP211" i="11"/>
  <c r="AP212" i="11"/>
  <c r="AP15" i="11"/>
  <c r="AP2" i="11"/>
  <c r="H45" i="1"/>
  <c r="L45" i="1"/>
  <c r="P45" i="1"/>
  <c r="T45" i="1"/>
  <c r="AT211" i="11"/>
  <c r="AT212" i="11"/>
  <c r="AT15" i="11"/>
  <c r="AT2" i="11"/>
  <c r="H51" i="1"/>
  <c r="L51" i="1"/>
  <c r="P51" i="1"/>
  <c r="T51" i="1"/>
  <c r="C17" i="3"/>
  <c r="C37" i="3"/>
  <c r="C57" i="3"/>
  <c r="J30" i="1"/>
  <c r="AF212" i="11"/>
  <c r="AF211" i="11"/>
  <c r="AF15" i="11"/>
  <c r="AF2" i="11"/>
  <c r="F37" i="1"/>
  <c r="J37" i="1"/>
  <c r="N37" i="1"/>
  <c r="R37" i="1"/>
  <c r="AR212" i="11"/>
  <c r="AR211" i="11"/>
  <c r="AR15" i="11"/>
  <c r="AR2" i="11"/>
  <c r="F4" i="1"/>
  <c r="J4" i="1"/>
  <c r="N4" i="1"/>
  <c r="D212" i="11"/>
  <c r="D211" i="11"/>
  <c r="D15" i="11"/>
  <c r="D2" i="11"/>
  <c r="L8" i="1"/>
  <c r="P8" i="1"/>
  <c r="T8" i="1"/>
  <c r="M211" i="11"/>
  <c r="M212" i="11"/>
  <c r="M15" i="11"/>
  <c r="M2" i="11"/>
  <c r="L22" i="1"/>
  <c r="P22" i="1"/>
  <c r="F29" i="1"/>
  <c r="J29" i="1"/>
  <c r="N29" i="1"/>
  <c r="H33" i="1"/>
  <c r="L33" i="1"/>
  <c r="P33" i="1"/>
  <c r="T33" i="1"/>
  <c r="L30" i="1"/>
  <c r="P30" i="1"/>
  <c r="T30" i="1"/>
  <c r="R25" i="1"/>
  <c r="G4" i="1"/>
  <c r="K4" i="1"/>
  <c r="O4" i="1"/>
  <c r="S4" i="1"/>
  <c r="F6" i="1"/>
  <c r="J6" i="1"/>
  <c r="N6" i="1"/>
  <c r="I8" i="1"/>
  <c r="M8" i="1"/>
  <c r="Q8" i="1"/>
  <c r="U8" i="1"/>
  <c r="L9" i="1"/>
  <c r="P9" i="1"/>
  <c r="T9" i="1"/>
  <c r="G10" i="1"/>
  <c r="K10" i="1"/>
  <c r="O10" i="1"/>
  <c r="S10" i="1"/>
  <c r="I12" i="1"/>
  <c r="M12" i="1"/>
  <c r="Q12" i="1"/>
  <c r="U12" i="1"/>
  <c r="H14" i="1"/>
  <c r="L14" i="1"/>
  <c r="P14" i="1"/>
  <c r="T14" i="1"/>
  <c r="G15" i="1"/>
  <c r="K15" i="1"/>
  <c r="O15" i="1"/>
  <c r="S15" i="1"/>
  <c r="G17" i="1"/>
  <c r="K17" i="1"/>
  <c r="S17" i="1"/>
  <c r="N211" i="11"/>
  <c r="N212" i="11"/>
  <c r="N15" i="11"/>
  <c r="N2" i="11"/>
  <c r="I22" i="1"/>
  <c r="M22" i="1"/>
  <c r="Q22" i="1"/>
  <c r="U22" i="1"/>
  <c r="H26" i="1"/>
  <c r="L26" i="1"/>
  <c r="P26" i="1"/>
  <c r="T26" i="1"/>
  <c r="G29" i="1"/>
  <c r="K29" i="1"/>
  <c r="O29" i="1"/>
  <c r="S29" i="1"/>
  <c r="F31" i="1"/>
  <c r="J31" i="1"/>
  <c r="N31" i="1"/>
  <c r="R31" i="1"/>
  <c r="S212" i="11"/>
  <c r="I33" i="1"/>
  <c r="M33" i="1"/>
  <c r="Q33" i="1"/>
  <c r="U33" i="1"/>
  <c r="L35" i="1"/>
  <c r="P35" i="1"/>
  <c r="T35" i="1"/>
  <c r="G5" i="1"/>
  <c r="K5" i="1"/>
  <c r="O5" i="1"/>
  <c r="S5" i="1"/>
  <c r="W212" i="11"/>
  <c r="W211" i="11"/>
  <c r="W15" i="11"/>
  <c r="W2" i="11"/>
  <c r="I30" i="1"/>
  <c r="M30" i="1"/>
  <c r="Q30" i="1"/>
  <c r="U30" i="1"/>
  <c r="H18" i="1"/>
  <c r="L18" i="1"/>
  <c r="P18" i="1"/>
  <c r="T18" i="1"/>
  <c r="G28" i="1"/>
  <c r="K28" i="1"/>
  <c r="O28" i="1"/>
  <c r="S28" i="1"/>
  <c r="AA15" i="11"/>
  <c r="I16" i="1"/>
  <c r="M16" i="1"/>
  <c r="Q16" i="1"/>
  <c r="U16" i="1"/>
  <c r="H13" i="1"/>
  <c r="L13" i="1"/>
  <c r="T13" i="1"/>
  <c r="G25" i="1"/>
  <c r="K25" i="1"/>
  <c r="O25" i="1"/>
  <c r="S25" i="1"/>
  <c r="AE211" i="11"/>
  <c r="I20" i="1"/>
  <c r="M20" i="1"/>
  <c r="Q20" i="1"/>
  <c r="U20" i="1"/>
  <c r="H23" i="1"/>
  <c r="L23" i="1"/>
  <c r="P23" i="1"/>
  <c r="T23" i="1"/>
  <c r="G34" i="1"/>
  <c r="K34" i="1"/>
  <c r="O34" i="1"/>
  <c r="S34" i="1"/>
  <c r="AI212" i="11"/>
  <c r="AI211" i="11"/>
  <c r="AI15" i="11"/>
  <c r="AI2" i="11"/>
  <c r="I37" i="1"/>
  <c r="M37" i="1"/>
  <c r="Q37" i="1"/>
  <c r="U37" i="1"/>
  <c r="H38" i="1"/>
  <c r="L38" i="1"/>
  <c r="P38" i="1"/>
  <c r="T38" i="1"/>
  <c r="G39" i="1"/>
  <c r="K39" i="1"/>
  <c r="O39" i="1"/>
  <c r="S39" i="1"/>
  <c r="AM212" i="11"/>
  <c r="AM211" i="11"/>
  <c r="AM15" i="11"/>
  <c r="AM2" i="11"/>
  <c r="I41" i="1"/>
  <c r="M41" i="1"/>
  <c r="Q41" i="1"/>
  <c r="U41" i="1"/>
  <c r="H42" i="1"/>
  <c r="L42" i="1"/>
  <c r="P42" i="1"/>
  <c r="T42" i="1"/>
  <c r="G43" i="1"/>
  <c r="K43" i="1"/>
  <c r="O43" i="1"/>
  <c r="S43" i="1"/>
  <c r="AQ212" i="11"/>
  <c r="AQ211" i="11"/>
  <c r="AQ15" i="11"/>
  <c r="AQ2" i="11"/>
  <c r="I45" i="1"/>
  <c r="M45" i="1"/>
  <c r="Q45" i="1"/>
  <c r="U45" i="1"/>
  <c r="P46" i="1"/>
  <c r="T46" i="1"/>
  <c r="G47" i="1"/>
  <c r="K47" i="1"/>
  <c r="O47" i="1"/>
  <c r="S47" i="1"/>
  <c r="AU212" i="11"/>
  <c r="AU211" i="11"/>
  <c r="AU15" i="11"/>
  <c r="AU2" i="11"/>
  <c r="I51" i="1"/>
  <c r="M51" i="1"/>
  <c r="Q51" i="1"/>
  <c r="U51" i="1"/>
  <c r="C2" i="3"/>
  <c r="L84" i="3"/>
  <c r="H22" i="1" s="1"/>
  <c r="T84" i="3"/>
  <c r="H35" i="1" s="1"/>
  <c r="I84" i="3"/>
  <c r="H11" i="1" s="1"/>
  <c r="O84" i="3"/>
  <c r="H27" i="1" s="1"/>
  <c r="W84" i="3"/>
  <c r="AA84" i="3"/>
  <c r="AE84" i="3"/>
  <c r="AI84" i="3"/>
  <c r="AM84" i="3"/>
  <c r="AQ84" i="3"/>
  <c r="AU84" i="3"/>
  <c r="AY84" i="3"/>
  <c r="BC84" i="3"/>
  <c r="C52" i="3"/>
  <c r="AC66" i="3"/>
  <c r="E11" i="4"/>
  <c r="T16" i="4"/>
  <c r="D26" i="4"/>
  <c r="AZ26" i="4"/>
  <c r="O31" i="4"/>
  <c r="AX36" i="4"/>
  <c r="R41" i="4"/>
  <c r="AH46" i="4"/>
  <c r="BA51" i="4"/>
  <c r="AE56" i="4"/>
  <c r="E61" i="4"/>
  <c r="AK61" i="4"/>
  <c r="BA61" i="4"/>
  <c r="AJ66" i="4"/>
  <c r="AZ66" i="4"/>
  <c r="AU71" i="4"/>
  <c r="Q76" i="4"/>
  <c r="BA76" i="4"/>
  <c r="D46" i="4"/>
  <c r="R61" i="4"/>
  <c r="U66" i="4"/>
  <c r="AK66" i="4"/>
  <c r="AJ71" i="4"/>
  <c r="AV71" i="4"/>
  <c r="AH81" i="4"/>
  <c r="C2" i="4"/>
  <c r="U6" i="4"/>
  <c r="AK6" i="4"/>
  <c r="C22" i="4"/>
  <c r="D51" i="4"/>
  <c r="O61" i="4"/>
  <c r="AU61" i="4"/>
  <c r="U71" i="4"/>
  <c r="AK71" i="4"/>
  <c r="AE76" i="4"/>
  <c r="AU76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AX56" i="4"/>
  <c r="C57" i="4"/>
  <c r="AZ61" i="4"/>
  <c r="O66" i="4"/>
  <c r="R71" i="4"/>
  <c r="AH71" i="4"/>
  <c r="AJ76" i="4"/>
  <c r="P81" i="4"/>
  <c r="K18" i="7"/>
  <c r="L15" i="1" s="1"/>
  <c r="F35" i="8"/>
  <c r="M6" i="1" s="1"/>
  <c r="C20" i="17"/>
  <c r="D20" i="17" s="1"/>
  <c r="C24" i="17"/>
  <c r="D24" i="17" s="1"/>
  <c r="C28" i="17"/>
  <c r="D28" i="17" s="1"/>
  <c r="C32" i="17"/>
  <c r="D32" i="17" s="1"/>
  <c r="E34" i="17"/>
  <c r="O9" i="1" s="1"/>
  <c r="T15" i="1"/>
  <c r="B18" i="17"/>
  <c r="B22" i="17"/>
  <c r="C25" i="17"/>
  <c r="D25" i="17" s="1"/>
  <c r="C29" i="17"/>
  <c r="D29" i="17" s="1"/>
  <c r="C33" i="17"/>
  <c r="D33" i="17" s="1"/>
  <c r="C18" i="17"/>
  <c r="C26" i="17"/>
  <c r="D26" i="17" s="1"/>
  <c r="C30" i="17"/>
  <c r="D30" i="17" s="1"/>
  <c r="C2" i="8"/>
  <c r="D2" i="8" s="1"/>
  <c r="C19" i="17"/>
  <c r="D19" i="17" s="1"/>
  <c r="C23" i="17"/>
  <c r="D23" i="17" s="1"/>
  <c r="C27" i="17"/>
  <c r="D27" i="17" s="1"/>
  <c r="F94" i="6"/>
  <c r="C91" i="6"/>
  <c r="AD6" i="4" l="1"/>
  <c r="R46" i="4"/>
  <c r="AP51" i="3"/>
  <c r="V20" i="7"/>
  <c r="AL20" i="7"/>
  <c r="AW2" i="11"/>
  <c r="G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S61" i="3"/>
  <c r="AC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W81" i="3"/>
  <c r="AP61" i="3"/>
  <c r="T20" i="15"/>
  <c r="A4" i="11"/>
  <c r="A17" i="11"/>
  <c r="V36" i="17"/>
  <c r="A28" i="11"/>
  <c r="AW15" i="11"/>
  <c r="D20" i="15"/>
  <c r="N20" i="15"/>
  <c r="AD20" i="15"/>
  <c r="AV15" i="11"/>
  <c r="AV2" i="11"/>
  <c r="AV28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J61" i="3"/>
  <c r="AQ81" i="4"/>
  <c r="S15" i="11"/>
  <c r="L2" i="11"/>
  <c r="L15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K71" i="3"/>
  <c r="AL61" i="3"/>
  <c r="AE15" i="11"/>
  <c r="AE212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O81" i="3"/>
  <c r="V61" i="3"/>
  <c r="BB51" i="3"/>
  <c r="V51" i="3"/>
  <c r="AE2" i="11"/>
  <c r="AE28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J51" i="3"/>
  <c r="AG41" i="4"/>
  <c r="L6" i="1"/>
  <c r="W34" i="17"/>
  <c r="U34" i="17"/>
  <c r="I35" i="8"/>
  <c r="J94" i="6"/>
  <c r="Y97" i="6"/>
  <c r="G91" i="6"/>
  <c r="A18" i="11" l="1"/>
  <c r="A41" i="11"/>
  <c r="AW28" i="11"/>
  <c r="AG28" i="11"/>
  <c r="L28" i="11"/>
  <c r="P28" i="11"/>
  <c r="A29" i="11"/>
  <c r="AS28" i="11"/>
  <c r="AX28" i="11"/>
  <c r="AD28" i="11"/>
  <c r="AK28" i="11"/>
  <c r="AO28" i="11"/>
  <c r="AL28" i="11"/>
  <c r="AJ28" i="11"/>
  <c r="AN28" i="11"/>
  <c r="Q28" i="11"/>
  <c r="AR28" i="11"/>
  <c r="AP28" i="11"/>
  <c r="AT28" i="11"/>
  <c r="AF28" i="11"/>
  <c r="AH28" i="11"/>
  <c r="N28" i="11"/>
  <c r="M28" i="11"/>
  <c r="W28" i="11"/>
  <c r="AI28" i="11"/>
  <c r="D28" i="11"/>
  <c r="S28" i="11"/>
  <c r="AM28" i="11"/>
  <c r="AU28" i="11"/>
  <c r="AQ28" i="11"/>
  <c r="A5" i="11"/>
  <c r="K34" i="17"/>
  <c r="F34" i="17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G34" i="17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Y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W18" i="15"/>
  <c r="G28" i="11"/>
  <c r="C11" i="10"/>
  <c r="I34" i="17"/>
  <c r="P51" i="4"/>
  <c r="G212" i="11"/>
  <c r="G18" i="10"/>
  <c r="P29" i="1" s="1"/>
  <c r="I18" i="10"/>
  <c r="Q18" i="10"/>
  <c r="C6" i="10"/>
  <c r="C17" i="10"/>
  <c r="Y18" i="10"/>
  <c r="O18" i="10"/>
  <c r="E18" i="10"/>
  <c r="P13" i="1" s="1"/>
  <c r="V18" i="10"/>
  <c r="AF18" i="10"/>
  <c r="X18" i="10"/>
  <c r="C12" i="10"/>
  <c r="AE18" i="10"/>
  <c r="B33" i="17"/>
  <c r="B32" i="17"/>
  <c r="P18" i="10"/>
  <c r="S34" i="17"/>
  <c r="Q34" i="17"/>
  <c r="T34" i="17"/>
  <c r="C10" i="15"/>
  <c r="G18" i="15"/>
  <c r="N32" i="1" s="1"/>
  <c r="B34" i="8"/>
  <c r="C34" i="8" s="1"/>
  <c r="D34" i="8" s="1"/>
  <c r="C5" i="10"/>
  <c r="AR84" i="3"/>
  <c r="C13" i="10"/>
  <c r="C8" i="10"/>
  <c r="C21" i="17"/>
  <c r="D21" i="17" s="1"/>
  <c r="AA18" i="15"/>
  <c r="I97" i="6"/>
  <c r="AA91" i="6"/>
  <c r="AG97" i="6"/>
  <c r="AU91" i="6"/>
  <c r="AP94" i="6"/>
  <c r="AX94" i="6"/>
  <c r="AH94" i="6"/>
  <c r="AL94" i="6"/>
  <c r="W91" i="6"/>
  <c r="Q97" i="6"/>
  <c r="AK97" i="6"/>
  <c r="E97" i="6"/>
  <c r="AI91" i="6"/>
  <c r="U97" i="6"/>
  <c r="A54" i="11" l="1"/>
  <c r="AW41" i="11"/>
  <c r="AJ41" i="11"/>
  <c r="AO41" i="11"/>
  <c r="AX41" i="11"/>
  <c r="A42" i="11"/>
  <c r="L41" i="11"/>
  <c r="AG41" i="11"/>
  <c r="AK41" i="11"/>
  <c r="AS41" i="11"/>
  <c r="AD41" i="11"/>
  <c r="AN41" i="11"/>
  <c r="AL41" i="11"/>
  <c r="AF41" i="11"/>
  <c r="P41" i="11"/>
  <c r="AH41" i="11"/>
  <c r="AP41" i="11"/>
  <c r="Q41" i="11"/>
  <c r="AT41" i="11"/>
  <c r="AR41" i="11"/>
  <c r="W41" i="11"/>
  <c r="AI41" i="11"/>
  <c r="D41" i="11"/>
  <c r="N41" i="11"/>
  <c r="M41" i="11"/>
  <c r="AM41" i="11"/>
  <c r="AQ41" i="11"/>
  <c r="AU41" i="11"/>
  <c r="AV41" i="11"/>
  <c r="S41" i="11"/>
  <c r="AE41" i="11"/>
  <c r="A6" i="11"/>
  <c r="A30" i="11"/>
  <c r="A19" i="11"/>
  <c r="O17" i="1"/>
  <c r="F61" i="4"/>
  <c r="AN16" i="4"/>
  <c r="M6" i="3"/>
  <c r="R66" i="3"/>
  <c r="AV76" i="3"/>
  <c r="AF71" i="3"/>
  <c r="AF76" i="3"/>
  <c r="G66" i="3"/>
  <c r="K76" i="3"/>
  <c r="Y66" i="3"/>
  <c r="AD51" i="3"/>
  <c r="AO6" i="3"/>
  <c r="AN81" i="4"/>
  <c r="AV71" i="3"/>
  <c r="AO66" i="3"/>
  <c r="Y6" i="3"/>
  <c r="AO61" i="3"/>
  <c r="K6" i="3"/>
  <c r="N18" i="10"/>
  <c r="K15" i="11"/>
  <c r="AK18" i="10"/>
  <c r="W18" i="10"/>
  <c r="H18" i="10"/>
  <c r="AE18" i="15"/>
  <c r="G2" i="11"/>
  <c r="C2" i="15"/>
  <c r="AM18" i="7"/>
  <c r="AM20" i="7" s="1"/>
  <c r="AE18" i="7"/>
  <c r="AE20" i="7" s="1"/>
  <c r="Q84" i="3"/>
  <c r="H29" i="1" s="1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O20" i="7" s="1"/>
  <c r="AJ84" i="3"/>
  <c r="AG18" i="10"/>
  <c r="AI85" i="4"/>
  <c r="O85" i="4"/>
  <c r="G84" i="3"/>
  <c r="H8" i="1" s="1"/>
  <c r="AZ84" i="3"/>
  <c r="AC18" i="10"/>
  <c r="L18" i="10"/>
  <c r="AA18" i="10"/>
  <c r="J18" i="10"/>
  <c r="Z18" i="10"/>
  <c r="L18" i="7"/>
  <c r="L17" i="1" s="1"/>
  <c r="W18" i="7"/>
  <c r="W20" i="7" s="1"/>
  <c r="AM85" i="4"/>
  <c r="G85" i="4"/>
  <c r="AB84" i="3"/>
  <c r="AW97" i="6"/>
  <c r="AE91" i="6"/>
  <c r="AO97" i="6"/>
  <c r="AC97" i="6"/>
  <c r="AS97" i="6"/>
  <c r="N94" i="6"/>
  <c r="AD94" i="6"/>
  <c r="AQ91" i="6"/>
  <c r="AT94" i="6"/>
  <c r="A20" i="11" l="1"/>
  <c r="AW19" i="11"/>
  <c r="Q19" i="11"/>
  <c r="AH19" i="11"/>
  <c r="AP19" i="11"/>
  <c r="AD19" i="11"/>
  <c r="AT19" i="11"/>
  <c r="AB19" i="11"/>
  <c r="S19" i="11"/>
  <c r="W19" i="11"/>
  <c r="AI19" i="11"/>
  <c r="AL19" i="11"/>
  <c r="AF19" i="11"/>
  <c r="AR19" i="11"/>
  <c r="D19" i="11"/>
  <c r="N19" i="11"/>
  <c r="AM19" i="11"/>
  <c r="AU19" i="11"/>
  <c r="AQ19" i="11"/>
  <c r="M19" i="11"/>
  <c r="AS19" i="11"/>
  <c r="AG19" i="11"/>
  <c r="L19" i="11"/>
  <c r="AV19" i="11"/>
  <c r="AO19" i="11"/>
  <c r="P19" i="11"/>
  <c r="AN19" i="11"/>
  <c r="AX19" i="11"/>
  <c r="AK19" i="11"/>
  <c r="AE19" i="11"/>
  <c r="V19" i="11"/>
  <c r="G19" i="11"/>
  <c r="A7" i="11"/>
  <c r="AW6" i="11"/>
  <c r="AN6" i="11"/>
  <c r="AS6" i="11"/>
  <c r="AX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A31" i="11"/>
  <c r="A43" i="11"/>
  <c r="A67" i="11"/>
  <c r="H67" i="11" s="1"/>
  <c r="AW54" i="11"/>
  <c r="P54" i="11"/>
  <c r="A55" i="11"/>
  <c r="AG54" i="11"/>
  <c r="AJ54" i="11"/>
  <c r="AN54" i="11"/>
  <c r="AK54" i="11"/>
  <c r="AO54" i="11"/>
  <c r="Q54" i="11"/>
  <c r="AD54" i="11"/>
  <c r="AH54" i="11"/>
  <c r="AF54" i="11"/>
  <c r="AS54" i="11"/>
  <c r="AP54" i="11"/>
  <c r="M54" i="11"/>
  <c r="AX54" i="11"/>
  <c r="AL54" i="11"/>
  <c r="D54" i="11"/>
  <c r="AA54" i="11"/>
  <c r="AE54" i="11"/>
  <c r="AM54" i="11"/>
  <c r="AR54" i="11"/>
  <c r="N54" i="11"/>
  <c r="AQ54" i="11"/>
  <c r="AT54" i="11"/>
  <c r="AI54" i="11"/>
  <c r="AU54" i="11"/>
  <c r="W54" i="11"/>
  <c r="L54" i="11"/>
  <c r="AV54" i="11"/>
  <c r="S54" i="11"/>
  <c r="G54" i="11"/>
  <c r="L20" i="7"/>
  <c r="G6" i="11"/>
  <c r="G41" i="11"/>
  <c r="G211" i="11"/>
  <c r="AJ20" i="11"/>
  <c r="K18" i="10"/>
  <c r="D18" i="10"/>
  <c r="P5" i="1" s="1"/>
  <c r="F18" i="10"/>
  <c r="P17" i="1" s="1"/>
  <c r="O18" i="15"/>
  <c r="B46" i="5"/>
  <c r="A48" i="5"/>
  <c r="K85" i="4"/>
  <c r="X84" i="3"/>
  <c r="AV84" i="3"/>
  <c r="AE85" i="4"/>
  <c r="AN84" i="3"/>
  <c r="G7" i="11"/>
  <c r="G15" i="11"/>
  <c r="AJ19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K84" i="3"/>
  <c r="H20" i="1" s="1"/>
  <c r="S18" i="7"/>
  <c r="S20" i="7" s="1"/>
  <c r="B22" i="5"/>
  <c r="A24" i="5"/>
  <c r="AY85" i="4"/>
  <c r="BC85" i="4"/>
  <c r="AA85" i="4"/>
  <c r="P84" i="3"/>
  <c r="H28" i="1" s="1"/>
  <c r="AF84" i="3"/>
  <c r="Q6" i="3"/>
  <c r="Q76" i="3"/>
  <c r="AJ6" i="3"/>
  <c r="AJ71" i="3"/>
  <c r="Z81" i="3"/>
  <c r="Z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H20" i="11"/>
  <c r="AK46" i="4"/>
  <c r="K6" i="11"/>
  <c r="R2" i="11"/>
  <c r="K54" i="11"/>
  <c r="K212" i="11"/>
  <c r="K20" i="11"/>
  <c r="K28" i="11"/>
  <c r="K19" i="11"/>
  <c r="K2" i="11"/>
  <c r="H28" i="11"/>
  <c r="K41" i="11"/>
  <c r="K67" i="11"/>
  <c r="Z28" i="11"/>
  <c r="AB67" i="11"/>
  <c r="J15" i="11"/>
  <c r="AA19" i="11"/>
  <c r="AA20" i="11"/>
  <c r="AA7" i="11"/>
  <c r="AA28" i="11"/>
  <c r="AA212" i="11"/>
  <c r="AA2" i="11"/>
  <c r="AA41" i="11"/>
  <c r="AA67" i="11"/>
  <c r="AG46" i="4"/>
  <c r="AF11" i="4"/>
  <c r="K66" i="3"/>
  <c r="AC212" i="11"/>
  <c r="AC41" i="11"/>
  <c r="AC28" i="11"/>
  <c r="AC19" i="11"/>
  <c r="AC7" i="11"/>
  <c r="AC211" i="11"/>
  <c r="AC67" i="11"/>
  <c r="AC15" i="11"/>
  <c r="AC54" i="11"/>
  <c r="AC6" i="11"/>
  <c r="AC20" i="11"/>
  <c r="AC2" i="11"/>
  <c r="J212" i="11"/>
  <c r="J19" i="11"/>
  <c r="J54" i="11"/>
  <c r="J211" i="11"/>
  <c r="J67" i="11"/>
  <c r="J2" i="11"/>
  <c r="J7" i="11"/>
  <c r="J41" i="11"/>
  <c r="J28" i="11"/>
  <c r="AB212" i="11"/>
  <c r="AB15" i="11"/>
  <c r="AB7" i="11"/>
  <c r="AB54" i="11"/>
  <c r="AB20" i="11"/>
  <c r="AB211" i="11"/>
  <c r="AB41" i="11"/>
  <c r="AB6" i="11"/>
  <c r="I211" i="11"/>
  <c r="I67" i="11"/>
  <c r="I15" i="11"/>
  <c r="I20" i="11"/>
  <c r="I28" i="11"/>
  <c r="I2" i="11"/>
  <c r="Z212" i="11"/>
  <c r="Z19" i="11"/>
  <c r="Z15" i="11"/>
  <c r="Z54" i="11"/>
  <c r="Z6" i="11"/>
  <c r="O54" i="11"/>
  <c r="O211" i="11"/>
  <c r="O67" i="11"/>
  <c r="O41" i="11"/>
  <c r="O6" i="11"/>
  <c r="O212" i="11"/>
  <c r="O20" i="11"/>
  <c r="O28" i="11"/>
  <c r="O19" i="11"/>
  <c r="O2" i="11"/>
  <c r="O15" i="11"/>
  <c r="O7" i="11"/>
  <c r="I6" i="11"/>
  <c r="I54" i="11"/>
  <c r="Z2" i="11"/>
  <c r="Z211" i="11"/>
  <c r="J6" i="11"/>
  <c r="I19" i="11"/>
  <c r="Z41" i="11"/>
  <c r="Z67" i="11"/>
  <c r="AB2" i="11"/>
  <c r="AB28" i="11"/>
  <c r="I7" i="11"/>
  <c r="I41" i="11"/>
  <c r="I212" i="11"/>
  <c r="Z20" i="11"/>
  <c r="J20" i="11"/>
  <c r="R56" i="3"/>
  <c r="R61" i="3"/>
  <c r="AI26" i="3"/>
  <c r="AI71" i="3"/>
  <c r="K36" i="4"/>
  <c r="K16" i="4"/>
  <c r="F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211" i="11"/>
  <c r="E212" i="11"/>
  <c r="E19" i="11"/>
  <c r="E28" i="11"/>
  <c r="E15" i="11"/>
  <c r="E7" i="11"/>
  <c r="V211" i="11"/>
  <c r="V54" i="11"/>
  <c r="BD81" i="4"/>
  <c r="AL56" i="4"/>
  <c r="AL6" i="4"/>
  <c r="AO66" i="4"/>
  <c r="V61" i="4"/>
  <c r="F46" i="4"/>
  <c r="R19" i="11"/>
  <c r="R15" i="11"/>
  <c r="R20" i="11"/>
  <c r="R6" i="11"/>
  <c r="U28" i="11"/>
  <c r="U212" i="11"/>
  <c r="U41" i="11"/>
  <c r="H212" i="11"/>
  <c r="H7" i="11"/>
  <c r="H54" i="11"/>
  <c r="H41" i="11"/>
  <c r="V71" i="4"/>
  <c r="F56" i="4"/>
  <c r="V66" i="4"/>
  <c r="I56" i="4"/>
  <c r="BD71" i="4"/>
  <c r="I66" i="4"/>
  <c r="AL61" i="4"/>
  <c r="AO51" i="4"/>
  <c r="V46" i="4"/>
  <c r="AL36" i="4"/>
  <c r="Y11" i="4"/>
  <c r="R211" i="11"/>
  <c r="H15" i="11"/>
  <c r="AJ51" i="4"/>
  <c r="S81" i="3"/>
  <c r="W56" i="3"/>
  <c r="T41" i="11"/>
  <c r="F71" i="4"/>
  <c r="V36" i="4"/>
  <c r="X81" i="4"/>
  <c r="AL71" i="4"/>
  <c r="AL66" i="4"/>
  <c r="V76" i="4"/>
  <c r="X71" i="4"/>
  <c r="BD56" i="4"/>
  <c r="I51" i="4"/>
  <c r="AL46" i="4"/>
  <c r="X16" i="4"/>
  <c r="BD76" i="3"/>
  <c r="V212" i="11"/>
  <c r="R54" i="11"/>
  <c r="H6" i="11"/>
  <c r="G46" i="3"/>
  <c r="G6" i="3"/>
  <c r="AZ6" i="3"/>
  <c r="AZ66" i="3"/>
  <c r="E61" i="3"/>
  <c r="E6" i="3"/>
  <c r="E66" i="3"/>
  <c r="AS61" i="3"/>
  <c r="AS66" i="3"/>
  <c r="L76" i="3"/>
  <c r="L56" i="3"/>
  <c r="L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G20" i="15"/>
  <c r="W20" i="15"/>
  <c r="H20" i="15"/>
  <c r="X20" i="15"/>
  <c r="U20" i="7"/>
  <c r="AK20" i="7"/>
  <c r="R20" i="10"/>
  <c r="AH20" i="10"/>
  <c r="T211" i="11"/>
  <c r="T54" i="11"/>
  <c r="T15" i="11"/>
  <c r="T20" i="11"/>
  <c r="T6" i="11"/>
  <c r="T212" i="11"/>
  <c r="T7" i="11"/>
  <c r="E67" i="11"/>
  <c r="Y15" i="11"/>
  <c r="Y67" i="11"/>
  <c r="Y54" i="11"/>
  <c r="F212" i="11"/>
  <c r="F2" i="11"/>
  <c r="X211" i="11"/>
  <c r="X54" i="11"/>
  <c r="X20" i="11"/>
  <c r="E211" i="11"/>
  <c r="E20" i="11"/>
  <c r="E6" i="11"/>
  <c r="V41" i="11"/>
  <c r="V28" i="11"/>
  <c r="V7" i="11"/>
  <c r="X71" i="3"/>
  <c r="AW6" i="3"/>
  <c r="E2" i="11"/>
  <c r="E54" i="11"/>
  <c r="E41" i="11"/>
  <c r="V2" i="11"/>
  <c r="H81" i="4"/>
  <c r="BB71" i="4"/>
  <c r="V56" i="4"/>
  <c r="BB6" i="4"/>
  <c r="F6" i="4"/>
  <c r="F66" i="4"/>
  <c r="Y56" i="4"/>
  <c r="F76" i="4"/>
  <c r="Y66" i="4"/>
  <c r="B35" i="8"/>
  <c r="M54" i="1" s="1"/>
  <c r="AY56" i="4"/>
  <c r="X26" i="4"/>
  <c r="H21" i="4"/>
  <c r="V6" i="11"/>
  <c r="V20" i="11"/>
  <c r="V15" i="11"/>
  <c r="V67" i="11"/>
  <c r="F81" i="3"/>
  <c r="P76" i="3"/>
  <c r="P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G36" i="17"/>
  <c r="W36" i="17"/>
  <c r="Q20" i="10"/>
  <c r="AG20" i="10"/>
  <c r="H36" i="17"/>
  <c r="X36" i="17"/>
  <c r="AZ51" i="4"/>
  <c r="BC76" i="3"/>
  <c r="W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19" i="11"/>
  <c r="X67" i="11"/>
  <c r="T2" i="11"/>
  <c r="T19" i="11"/>
  <c r="T28" i="11"/>
  <c r="T67" i="11"/>
  <c r="K21" i="4"/>
  <c r="V81" i="3"/>
  <c r="AI76" i="3"/>
  <c r="AF66" i="3"/>
  <c r="O56" i="3"/>
  <c r="AV6" i="3"/>
  <c r="N20" i="7"/>
  <c r="AD20" i="7"/>
  <c r="N36" i="17"/>
  <c r="J20" i="7"/>
  <c r="AB20" i="7"/>
  <c r="Y28" i="11"/>
  <c r="Y41" i="11"/>
  <c r="Y212" i="11"/>
  <c r="F28" i="11"/>
  <c r="U20" i="15"/>
  <c r="AK20" i="15"/>
  <c r="Y2" i="11"/>
  <c r="Y20" i="11"/>
  <c r="X7" i="11"/>
  <c r="F20" i="11"/>
  <c r="F67" i="11"/>
  <c r="G11" i="4"/>
  <c r="G76" i="4"/>
  <c r="AU76" i="3"/>
  <c r="R67" i="11"/>
  <c r="R41" i="11"/>
  <c r="R28" i="11"/>
  <c r="R7" i="11"/>
  <c r="U211" i="11"/>
  <c r="U15" i="11"/>
  <c r="U54" i="11"/>
  <c r="U6" i="11"/>
  <c r="U20" i="11"/>
  <c r="U2" i="11"/>
  <c r="U67" i="11"/>
  <c r="U19" i="11"/>
  <c r="U7" i="11"/>
  <c r="H211" i="11"/>
  <c r="H19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J81" i="3"/>
  <c r="O76" i="3"/>
  <c r="Y61" i="3"/>
  <c r="AY56" i="3"/>
  <c r="AF6" i="3"/>
  <c r="O20" i="10"/>
  <c r="AE20" i="10"/>
  <c r="AF20" i="15"/>
  <c r="O36" i="17"/>
  <c r="I20" i="10"/>
  <c r="Y20" i="10"/>
  <c r="P36" i="17"/>
  <c r="AB21" i="3"/>
  <c r="AB76" i="3"/>
  <c r="H46" i="3"/>
  <c r="H6" i="3"/>
  <c r="H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D21" i="3"/>
  <c r="D76" i="3"/>
  <c r="D6" i="3"/>
  <c r="AR21" i="3"/>
  <c r="AR76" i="3"/>
  <c r="U46" i="3"/>
  <c r="U6" i="3"/>
  <c r="U66" i="3"/>
  <c r="AK46" i="3"/>
  <c r="AK6" i="3"/>
  <c r="AK66" i="3"/>
  <c r="N31" i="3"/>
  <c r="N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G26" i="3"/>
  <c r="X41" i="11"/>
  <c r="F7" i="11"/>
  <c r="F41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O71" i="3"/>
  <c r="AV66" i="3"/>
  <c r="Q66" i="3"/>
  <c r="AI56" i="3"/>
  <c r="X2" i="11"/>
  <c r="X15" i="11"/>
  <c r="X212" i="11"/>
  <c r="F6" i="11"/>
  <c r="F15" i="11"/>
  <c r="L5" i="1"/>
  <c r="C18" i="7"/>
  <c r="X6" i="11"/>
  <c r="X19" i="11"/>
  <c r="X28" i="11"/>
  <c r="F54" i="11"/>
  <c r="F19" i="11"/>
  <c r="C18" i="10"/>
  <c r="P54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D66" i="3"/>
  <c r="AB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I81" i="3"/>
  <c r="I76" i="3"/>
  <c r="AR66" i="3"/>
  <c r="AB66" i="3"/>
  <c r="AR6" i="3"/>
  <c r="F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P11" i="3"/>
  <c r="P6" i="3"/>
  <c r="P66" i="3"/>
  <c r="X11" i="3"/>
  <c r="X6" i="3"/>
  <c r="X66" i="3"/>
  <c r="AN11" i="3"/>
  <c r="AN6" i="3"/>
  <c r="BD11" i="3"/>
  <c r="BD6" i="3"/>
  <c r="M56" i="3"/>
  <c r="M61" i="3"/>
  <c r="AG56" i="3"/>
  <c r="AG61" i="3"/>
  <c r="AW56" i="3"/>
  <c r="AW61" i="3"/>
  <c r="F41" i="3"/>
  <c r="F61" i="3"/>
  <c r="AD41" i="3"/>
  <c r="AD61" i="3"/>
  <c r="AT41" i="3"/>
  <c r="AT61" i="3"/>
  <c r="T26" i="3"/>
  <c r="T56" i="3"/>
  <c r="T71" i="3"/>
  <c r="T76" i="3"/>
  <c r="T81" i="3"/>
  <c r="AA11" i="3"/>
  <c r="AA56" i="3"/>
  <c r="AA71" i="3"/>
  <c r="AA76" i="3"/>
  <c r="AA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I71" i="3"/>
  <c r="BA61" i="3"/>
  <c r="AK61" i="3"/>
  <c r="U61" i="3"/>
  <c r="AU56" i="3"/>
  <c r="AE56" i="3"/>
  <c r="I56" i="3"/>
  <c r="K20" i="10"/>
  <c r="AA20" i="10"/>
  <c r="K36" i="17"/>
  <c r="U20" i="10"/>
  <c r="AK20" i="10"/>
  <c r="L36" i="17"/>
  <c r="C18" i="15"/>
  <c r="N54" i="1" s="1"/>
  <c r="AS41" i="4"/>
  <c r="AC41" i="4"/>
  <c r="M41" i="4"/>
  <c r="BC21" i="4"/>
  <c r="AM21" i="4"/>
  <c r="W21" i="4"/>
  <c r="G21" i="4"/>
  <c r="AX81" i="3"/>
  <c r="AH81" i="3"/>
  <c r="N81" i="3"/>
  <c r="H61" i="3"/>
  <c r="V20" i="15"/>
  <c r="H20" i="10"/>
  <c r="X20" i="10"/>
  <c r="M20" i="7"/>
  <c r="AC20" i="7"/>
  <c r="Q20" i="15"/>
  <c r="AG20" i="15"/>
  <c r="J20" i="10"/>
  <c r="Z20" i="10"/>
  <c r="B18" i="2"/>
  <c r="G54" i="1" s="1"/>
  <c r="F54" i="1"/>
  <c r="K91" i="6"/>
  <c r="AM91" i="6"/>
  <c r="S91" i="6"/>
  <c r="Z94" i="6"/>
  <c r="AY91" i="6"/>
  <c r="V94" i="6"/>
  <c r="R94" i="6"/>
  <c r="M97" i="6"/>
  <c r="O91" i="6"/>
  <c r="G67" i="11" l="1"/>
  <c r="A56" i="11"/>
  <c r="A32" i="11"/>
  <c r="A44" i="11"/>
  <c r="A80" i="11"/>
  <c r="AW67" i="11"/>
  <c r="AG67" i="11"/>
  <c r="AO67" i="11"/>
  <c r="AX67" i="11"/>
  <c r="A68" i="11"/>
  <c r="P67" i="11"/>
  <c r="AJ67" i="11"/>
  <c r="AD67" i="11"/>
  <c r="AK67" i="11"/>
  <c r="AH67" i="11"/>
  <c r="AL67" i="11"/>
  <c r="AT67" i="11"/>
  <c r="AN67" i="11"/>
  <c r="AS67" i="11"/>
  <c r="AF67" i="11"/>
  <c r="M67" i="11"/>
  <c r="Q67" i="11"/>
  <c r="AP67" i="11"/>
  <c r="AR67" i="11"/>
  <c r="N67" i="11"/>
  <c r="W67" i="11"/>
  <c r="AI67" i="11"/>
  <c r="D67" i="11"/>
  <c r="AQ67" i="11"/>
  <c r="AU67" i="11"/>
  <c r="AM67" i="11"/>
  <c r="AV67" i="11"/>
  <c r="L67" i="11"/>
  <c r="S67" i="11"/>
  <c r="AE67" i="11"/>
  <c r="A8" i="11"/>
  <c r="AW7" i="11"/>
  <c r="AX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A21" i="11"/>
  <c r="AW20" i="11"/>
  <c r="AH20" i="11"/>
  <c r="Q20" i="11"/>
  <c r="D20" i="11"/>
  <c r="M20" i="11"/>
  <c r="AD20" i="11"/>
  <c r="AL20" i="11"/>
  <c r="N20" i="11"/>
  <c r="AF20" i="11"/>
  <c r="AR20" i="11"/>
  <c r="W20" i="11"/>
  <c r="AI20" i="11"/>
  <c r="AT20" i="11"/>
  <c r="S20" i="11"/>
  <c r="AP20" i="11"/>
  <c r="AM20" i="11"/>
  <c r="AQ20" i="11"/>
  <c r="AU20" i="11"/>
  <c r="AV20" i="11"/>
  <c r="AX20" i="11"/>
  <c r="AE20" i="11"/>
  <c r="AO20" i="11"/>
  <c r="L20" i="11"/>
  <c r="AN20" i="11"/>
  <c r="P20" i="11"/>
  <c r="AK20" i="11"/>
  <c r="AS20" i="11"/>
  <c r="G20" i="11"/>
  <c r="AG20" i="11"/>
  <c r="F52" i="1"/>
  <c r="F58" i="1" s="1"/>
  <c r="AB36" i="4"/>
  <c r="J21" i="4"/>
  <c r="L36" i="4"/>
  <c r="AU66" i="3"/>
  <c r="B34" i="17"/>
  <c r="O54" i="1" s="1"/>
  <c r="AP21" i="4"/>
  <c r="AE66" i="3"/>
  <c r="AR36" i="4"/>
  <c r="Z21" i="4"/>
  <c r="I66" i="3"/>
  <c r="C85" i="4"/>
  <c r="I54" i="1" s="1"/>
  <c r="C66" i="4"/>
  <c r="A66" i="4" s="1"/>
  <c r="C61" i="4"/>
  <c r="A61" i="4" s="1"/>
  <c r="C71" i="4"/>
  <c r="A71" i="4" s="1"/>
  <c r="AM21" i="11"/>
  <c r="W21" i="11"/>
  <c r="O52" i="1"/>
  <c r="T3" i="13" s="1"/>
  <c r="T4" i="13" s="1"/>
  <c r="Q52" i="1"/>
  <c r="Q55" i="1" s="1"/>
  <c r="F21" i="11"/>
  <c r="X21" i="11"/>
  <c r="AJ8" i="11"/>
  <c r="AN21" i="11"/>
  <c r="K21" i="11"/>
  <c r="U8" i="11"/>
  <c r="AC8" i="11"/>
  <c r="AK8" i="11"/>
  <c r="AS8" i="11"/>
  <c r="O8" i="11"/>
  <c r="AX21" i="11"/>
  <c r="Q21" i="11"/>
  <c r="AD8" i="11"/>
  <c r="AL8" i="11"/>
  <c r="AT8" i="11"/>
  <c r="J21" i="11"/>
  <c r="T21" i="11"/>
  <c r="AB21" i="11"/>
  <c r="AF8" i="11"/>
  <c r="AR21" i="11"/>
  <c r="R8" i="11"/>
  <c r="Z8" i="11"/>
  <c r="E21" i="11"/>
  <c r="S21" i="11"/>
  <c r="K8" i="11"/>
  <c r="L21" i="11"/>
  <c r="P8" i="11"/>
  <c r="U21" i="11"/>
  <c r="AC21" i="11"/>
  <c r="AK21" i="11"/>
  <c r="AS21" i="11"/>
  <c r="AD21" i="11"/>
  <c r="AL21" i="11"/>
  <c r="AT21" i="11"/>
  <c r="H8" i="11"/>
  <c r="M8" i="11"/>
  <c r="R21" i="11"/>
  <c r="Z21" i="11"/>
  <c r="I8" i="11"/>
  <c r="S8" i="11"/>
  <c r="AA8" i="11"/>
  <c r="X8" i="11"/>
  <c r="AJ21" i="11"/>
  <c r="AN8" i="11"/>
  <c r="G21" i="11"/>
  <c r="L8" i="11"/>
  <c r="Y8" i="11"/>
  <c r="AG8" i="11"/>
  <c r="AO8" i="11"/>
  <c r="Q8" i="11"/>
  <c r="AH8" i="11"/>
  <c r="AP8" i="11"/>
  <c r="T8" i="11"/>
  <c r="AB8" i="11"/>
  <c r="AF21" i="11"/>
  <c r="AR8" i="11"/>
  <c r="D21" i="11"/>
  <c r="M21" i="11"/>
  <c r="V8" i="11"/>
  <c r="E8" i="11"/>
  <c r="I21" i="11"/>
  <c r="N8" i="11"/>
  <c r="F8" i="11"/>
  <c r="G8" i="11"/>
  <c r="P21" i="11"/>
  <c r="Y21" i="11"/>
  <c r="AG21" i="11"/>
  <c r="AO21" i="11"/>
  <c r="O21" i="11"/>
  <c r="AX8" i="11"/>
  <c r="AH21" i="11"/>
  <c r="AP21" i="11"/>
  <c r="J8" i="11"/>
  <c r="D8" i="11"/>
  <c r="H21" i="11"/>
  <c r="V21" i="11"/>
  <c r="N21" i="11"/>
  <c r="W8" i="11"/>
  <c r="AU8" i="11"/>
  <c r="AQ8" i="11"/>
  <c r="AI8" i="11"/>
  <c r="F55" i="1"/>
  <c r="AQ21" i="11"/>
  <c r="AI21" i="11"/>
  <c r="AE21" i="11"/>
  <c r="G52" i="1"/>
  <c r="C76" i="4"/>
  <c r="A76" i="4" s="1"/>
  <c r="D18" i="17"/>
  <c r="D34" i="17" s="1"/>
  <c r="C34" i="17"/>
  <c r="C81" i="4"/>
  <c r="A81" i="4" s="1"/>
  <c r="E19" i="7"/>
  <c r="L54" i="1"/>
  <c r="C84" i="3"/>
  <c r="H54" i="1" s="1"/>
  <c r="AU21" i="11"/>
  <c r="AM8" i="11"/>
  <c r="AE8" i="11"/>
  <c r="AA21" i="11"/>
  <c r="H52" i="1"/>
  <c r="G56" i="3"/>
  <c r="G36" i="3"/>
  <c r="G16" i="3"/>
  <c r="Q56" i="3"/>
  <c r="Q36" i="3"/>
  <c r="Q16" i="3"/>
  <c r="AJ56" i="3"/>
  <c r="AJ36" i="3"/>
  <c r="AJ16" i="3"/>
  <c r="AZ56" i="3"/>
  <c r="AZ51" i="3"/>
  <c r="AZ36" i="3"/>
  <c r="AZ16" i="3"/>
  <c r="E81" i="3"/>
  <c r="E31" i="3"/>
  <c r="E11" i="3"/>
  <c r="AC81" i="3"/>
  <c r="AC31" i="3"/>
  <c r="AC11" i="3"/>
  <c r="AS71" i="3"/>
  <c r="AS81" i="3"/>
  <c r="AS31" i="3"/>
  <c r="AS11" i="3"/>
  <c r="S46" i="3"/>
  <c r="S26" i="3"/>
  <c r="S6" i="3"/>
  <c r="Z46" i="3"/>
  <c r="Z26" i="3"/>
  <c r="Z6" i="3"/>
  <c r="AP46" i="3"/>
  <c r="AP26" i="3"/>
  <c r="AP6" i="3"/>
  <c r="L41" i="3"/>
  <c r="L21" i="3"/>
  <c r="W41" i="3"/>
  <c r="W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U27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H81" i="3"/>
  <c r="AP76" i="3"/>
  <c r="Z76" i="3"/>
  <c r="S76" i="3"/>
  <c r="AT71" i="3"/>
  <c r="AD71" i="3"/>
  <c r="F71" i="3"/>
  <c r="AY66" i="3"/>
  <c r="AI66" i="3"/>
  <c r="O66" i="3"/>
  <c r="BD61" i="3"/>
  <c r="AN61" i="3"/>
  <c r="X61" i="3"/>
  <c r="P61" i="3"/>
  <c r="AT56" i="3"/>
  <c r="AD56" i="3"/>
  <c r="F56" i="3"/>
  <c r="I52" i="1"/>
  <c r="AU41" i="4"/>
  <c r="AE41" i="4"/>
  <c r="O41" i="4"/>
  <c r="AV81" i="3"/>
  <c r="AF81" i="3"/>
  <c r="K81" i="3"/>
  <c r="BA76" i="3"/>
  <c r="AK76" i="3"/>
  <c r="U76" i="3"/>
  <c r="H76" i="3"/>
  <c r="AC71" i="3"/>
  <c r="E71" i="3"/>
  <c r="AP66" i="3"/>
  <c r="Z66" i="3"/>
  <c r="S66" i="3"/>
  <c r="AE61" i="3"/>
  <c r="I61" i="3"/>
  <c r="AQ46" i="3"/>
  <c r="AA46" i="3"/>
  <c r="T46" i="3"/>
  <c r="AV41" i="3"/>
  <c r="AF41" i="3"/>
  <c r="K41" i="3"/>
  <c r="BD31" i="3"/>
  <c r="AN31" i="3"/>
  <c r="X31" i="3"/>
  <c r="P31" i="3"/>
  <c r="AS26" i="3"/>
  <c r="AC26" i="3"/>
  <c r="E26" i="3"/>
  <c r="AX21" i="3"/>
  <c r="AH21" i="3"/>
  <c r="N21" i="3"/>
  <c r="BB16" i="3"/>
  <c r="AL16" i="3"/>
  <c r="V16" i="3"/>
  <c r="J16" i="3"/>
  <c r="AP11" i="3"/>
  <c r="Z11" i="3"/>
  <c r="S11" i="3"/>
  <c r="AU6" i="3"/>
  <c r="AE6" i="3"/>
  <c r="I6" i="3"/>
  <c r="T36" i="3"/>
  <c r="AQ31" i="3"/>
  <c r="AA31" i="3"/>
  <c r="L31" i="3"/>
  <c r="AR26" i="3"/>
  <c r="X26" i="3"/>
  <c r="P26" i="3"/>
  <c r="AO21" i="3"/>
  <c r="U21" i="3"/>
  <c r="H21" i="3"/>
  <c r="AK16" i="3"/>
  <c r="U16" i="3"/>
  <c r="AM11" i="3"/>
  <c r="BA51" i="3"/>
  <c r="AC51" i="3"/>
  <c r="R51" i="3"/>
  <c r="AU36" i="3"/>
  <c r="AA36" i="3"/>
  <c r="AN26" i="3"/>
  <c r="AU51" i="3"/>
  <c r="BD56" i="3"/>
  <c r="X56" i="3"/>
  <c r="AV51" i="3"/>
  <c r="X51" i="3"/>
  <c r="G51" i="3"/>
  <c r="AO46" i="3"/>
  <c r="Y46" i="3"/>
  <c r="R46" i="3"/>
  <c r="AX36" i="3"/>
  <c r="AH36" i="3"/>
  <c r="N36" i="3"/>
  <c r="BB31" i="3"/>
  <c r="AL31" i="3"/>
  <c r="V31" i="3"/>
  <c r="J31" i="3"/>
  <c r="AQ26" i="3"/>
  <c r="AA26" i="3"/>
  <c r="AV21" i="3"/>
  <c r="AF21" i="3"/>
  <c r="K21" i="3"/>
  <c r="AY51" i="3"/>
  <c r="AE51" i="3"/>
  <c r="I51" i="3"/>
  <c r="AZ46" i="3"/>
  <c r="AJ46" i="3"/>
  <c r="Q46" i="3"/>
  <c r="BA41" i="3"/>
  <c r="AK41" i="3"/>
  <c r="U41" i="3"/>
  <c r="H41" i="3"/>
  <c r="AK36" i="3"/>
  <c r="U36" i="3"/>
  <c r="H36" i="3"/>
  <c r="W16" i="3"/>
  <c r="L16" i="3"/>
  <c r="P36" i="3"/>
  <c r="P16" i="3"/>
  <c r="X36" i="3"/>
  <c r="X16" i="3"/>
  <c r="AN36" i="3"/>
  <c r="AN16" i="3"/>
  <c r="BD36" i="3"/>
  <c r="BD16" i="3"/>
  <c r="M81" i="3"/>
  <c r="M51" i="3"/>
  <c r="M31" i="3"/>
  <c r="M11" i="3"/>
  <c r="AG81" i="3"/>
  <c r="AG51" i="3"/>
  <c r="AG31" i="3"/>
  <c r="AG11" i="3"/>
  <c r="AW71" i="3"/>
  <c r="AW81" i="3"/>
  <c r="AW51" i="3"/>
  <c r="AW31" i="3"/>
  <c r="AW11" i="3"/>
  <c r="F46" i="3"/>
  <c r="F26" i="3"/>
  <c r="F6" i="3"/>
  <c r="AD46" i="3"/>
  <c r="AD26" i="3"/>
  <c r="AD6" i="3"/>
  <c r="AT46" i="3"/>
  <c r="AT26" i="3"/>
  <c r="AT6" i="3"/>
  <c r="T41" i="3"/>
  <c r="T21" i="3"/>
  <c r="AA41" i="3"/>
  <c r="AA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V76" i="3"/>
  <c r="J76" i="3"/>
  <c r="AP71" i="3"/>
  <c r="Z71" i="3"/>
  <c r="S71" i="3"/>
  <c r="AZ61" i="3"/>
  <c r="AJ61" i="3"/>
  <c r="Q61" i="3"/>
  <c r="G61" i="3"/>
  <c r="AP56" i="3"/>
  <c r="Z56" i="3"/>
  <c r="S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AB81" i="3"/>
  <c r="D81" i="3"/>
  <c r="AW76" i="3"/>
  <c r="AG76" i="3"/>
  <c r="M76" i="3"/>
  <c r="AO71" i="3"/>
  <c r="Y71" i="3"/>
  <c r="R71" i="3"/>
  <c r="AL66" i="3"/>
  <c r="V66" i="3"/>
  <c r="J66" i="3"/>
  <c r="AA61" i="3"/>
  <c r="T61" i="3"/>
  <c r="AS56" i="3"/>
  <c r="AC56" i="3"/>
  <c r="E56" i="3"/>
  <c r="BC46" i="3"/>
  <c r="AM46" i="3"/>
  <c r="W46" i="3"/>
  <c r="L46" i="3"/>
  <c r="AR41" i="3"/>
  <c r="AB41" i="3"/>
  <c r="D41" i="3"/>
  <c r="AZ31" i="3"/>
  <c r="AJ31" i="3"/>
  <c r="Q31" i="3"/>
  <c r="G31" i="3"/>
  <c r="AO26" i="3"/>
  <c r="Y26" i="3"/>
  <c r="R26" i="3"/>
  <c r="AT21" i="3"/>
  <c r="AD21" i="3"/>
  <c r="F21" i="3"/>
  <c r="AX16" i="3"/>
  <c r="AH16" i="3"/>
  <c r="N16" i="3"/>
  <c r="BB11" i="3"/>
  <c r="AL11" i="3"/>
  <c r="V11" i="3"/>
  <c r="J11" i="3"/>
  <c r="AQ6" i="3"/>
  <c r="AA6" i="3"/>
  <c r="T6" i="3"/>
  <c r="AE36" i="3"/>
  <c r="L36" i="3"/>
  <c r="AM31" i="3"/>
  <c r="W31" i="3"/>
  <c r="BD26" i="3"/>
  <c r="AJ26" i="3"/>
  <c r="Q26" i="3"/>
  <c r="BA21" i="3"/>
  <c r="AK21" i="3"/>
  <c r="M21" i="3"/>
  <c r="AW16" i="3"/>
  <c r="AG16" i="3"/>
  <c r="M16" i="3"/>
  <c r="BA36" i="3"/>
  <c r="AS51" i="3"/>
  <c r="Y51" i="3"/>
  <c r="H51" i="3"/>
  <c r="AQ36" i="3"/>
  <c r="I36" i="3"/>
  <c r="AC21" i="3"/>
  <c r="AV56" i="3"/>
  <c r="K56" i="3"/>
  <c r="AN51" i="3"/>
  <c r="Q51" i="3"/>
  <c r="AP41" i="3"/>
  <c r="Z41" i="3"/>
  <c r="S41" i="3"/>
  <c r="AT36" i="3"/>
  <c r="AD36" i="3"/>
  <c r="F36" i="3"/>
  <c r="BC26" i="3"/>
  <c r="AM26" i="3"/>
  <c r="W26" i="3"/>
  <c r="L26" i="3"/>
  <c r="AZ11" i="3"/>
  <c r="AJ11" i="3"/>
  <c r="Q11" i="3"/>
  <c r="G11" i="3"/>
  <c r="AQ51" i="3"/>
  <c r="AA51" i="3"/>
  <c r="T51" i="3"/>
  <c r="AV46" i="3"/>
  <c r="AF46" i="3"/>
  <c r="K46" i="3"/>
  <c r="AW41" i="3"/>
  <c r="AG41" i="3"/>
  <c r="M41" i="3"/>
  <c r="AW36" i="3"/>
  <c r="AG36" i="3"/>
  <c r="M36" i="3"/>
  <c r="BC16" i="3"/>
  <c r="AI16" i="3"/>
  <c r="O16" i="3"/>
  <c r="BC11" i="3"/>
  <c r="S52" i="1"/>
  <c r="D56" i="3"/>
  <c r="D51" i="3"/>
  <c r="D36" i="3"/>
  <c r="D16" i="3"/>
  <c r="AB56" i="3"/>
  <c r="AB51" i="3"/>
  <c r="AB36" i="3"/>
  <c r="AB16" i="3"/>
  <c r="AR56" i="3"/>
  <c r="AR51" i="3"/>
  <c r="AR36" i="3"/>
  <c r="AR16" i="3"/>
  <c r="H31" i="3"/>
  <c r="H11" i="3"/>
  <c r="U81" i="3"/>
  <c r="U31" i="3"/>
  <c r="U11" i="3"/>
  <c r="AK81" i="3"/>
  <c r="AK31" i="3"/>
  <c r="AK11" i="3"/>
  <c r="BA71" i="3"/>
  <c r="BA81" i="3"/>
  <c r="BA31" i="3"/>
  <c r="BA11" i="3"/>
  <c r="N46" i="3"/>
  <c r="N26" i="3"/>
  <c r="N6" i="3"/>
  <c r="AH46" i="3"/>
  <c r="AH26" i="3"/>
  <c r="AH6" i="3"/>
  <c r="AX66" i="3"/>
  <c r="AX46" i="3"/>
  <c r="AX26" i="3"/>
  <c r="AX6" i="3"/>
  <c r="I41" i="3"/>
  <c r="I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E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N76" i="3"/>
  <c r="BB71" i="3"/>
  <c r="AL71" i="3"/>
  <c r="V71" i="3"/>
  <c r="J71" i="3"/>
  <c r="AQ66" i="3"/>
  <c r="AA66" i="3"/>
  <c r="T66" i="3"/>
  <c r="AV61" i="3"/>
  <c r="AF61" i="3"/>
  <c r="K61" i="3"/>
  <c r="BB56" i="3"/>
  <c r="AL56" i="3"/>
  <c r="V56" i="3"/>
  <c r="J56" i="3"/>
  <c r="BC41" i="4"/>
  <c r="AM41" i="4"/>
  <c r="W41" i="4"/>
  <c r="G41" i="4"/>
  <c r="BA21" i="4"/>
  <c r="AK21" i="4"/>
  <c r="U21" i="4"/>
  <c r="E21" i="4"/>
  <c r="BD81" i="3"/>
  <c r="AN81" i="3"/>
  <c r="X81" i="3"/>
  <c r="P81" i="3"/>
  <c r="AS76" i="3"/>
  <c r="AC76" i="3"/>
  <c r="E76" i="3"/>
  <c r="AK71" i="3"/>
  <c r="U71" i="3"/>
  <c r="H71" i="3"/>
  <c r="AH66" i="3"/>
  <c r="N66" i="3"/>
  <c r="AM61" i="3"/>
  <c r="W61" i="3"/>
  <c r="L61" i="3"/>
  <c r="AO56" i="3"/>
  <c r="AY46" i="3"/>
  <c r="AI46" i="3"/>
  <c r="O46" i="3"/>
  <c r="BD41" i="3"/>
  <c r="AN41" i="3"/>
  <c r="X41" i="3"/>
  <c r="P41" i="3"/>
  <c r="AV31" i="3"/>
  <c r="AF31" i="3"/>
  <c r="K31" i="3"/>
  <c r="BA26" i="3"/>
  <c r="AK26" i="3"/>
  <c r="U26" i="3"/>
  <c r="H26" i="3"/>
  <c r="AP21" i="3"/>
  <c r="Z21" i="3"/>
  <c r="S21" i="3"/>
  <c r="AT16" i="3"/>
  <c r="AD16" i="3"/>
  <c r="F16" i="3"/>
  <c r="AX11" i="3"/>
  <c r="AH11" i="3"/>
  <c r="N11" i="3"/>
  <c r="BC6" i="3"/>
  <c r="AM6" i="3"/>
  <c r="W6" i="3"/>
  <c r="L6" i="3"/>
  <c r="W36" i="3"/>
  <c r="BC31" i="3"/>
  <c r="AI31" i="3"/>
  <c r="O31" i="3"/>
  <c r="AZ26" i="3"/>
  <c r="AF26" i="3"/>
  <c r="K26" i="3"/>
  <c r="AW21" i="3"/>
  <c r="AG21" i="3"/>
  <c r="E21" i="3"/>
  <c r="AS16" i="3"/>
  <c r="AC16" i="3"/>
  <c r="E16" i="3"/>
  <c r="AM16" i="3"/>
  <c r="O11" i="3"/>
  <c r="U51" i="3"/>
  <c r="BC36" i="3"/>
  <c r="AM36" i="3"/>
  <c r="AY31" i="3"/>
  <c r="BA16" i="3"/>
  <c r="W11" i="3"/>
  <c r="AN56" i="3"/>
  <c r="P56" i="3"/>
  <c r="AJ51" i="3"/>
  <c r="K51" i="3"/>
  <c r="AW46" i="3"/>
  <c r="AG46" i="3"/>
  <c r="M46" i="3"/>
  <c r="AP36" i="3"/>
  <c r="Z36" i="3"/>
  <c r="S36" i="3"/>
  <c r="AT31" i="3"/>
  <c r="AD31" i="3"/>
  <c r="F31" i="3"/>
  <c r="AY26" i="3"/>
  <c r="BD21" i="3"/>
  <c r="AN21" i="3"/>
  <c r="X21" i="3"/>
  <c r="P21" i="3"/>
  <c r="AM51" i="3"/>
  <c r="W51" i="3"/>
  <c r="L51" i="3"/>
  <c r="AR46" i="3"/>
  <c r="AB46" i="3"/>
  <c r="D46" i="3"/>
  <c r="AS41" i="3"/>
  <c r="AC41" i="3"/>
  <c r="E41" i="3"/>
  <c r="AS36" i="3"/>
  <c r="AC36" i="3"/>
  <c r="E36" i="3"/>
  <c r="AE16" i="3"/>
  <c r="I16" i="3"/>
  <c r="AQ11" i="3"/>
  <c r="L11" i="3"/>
  <c r="K36" i="3"/>
  <c r="K16" i="3"/>
  <c r="AF36" i="3"/>
  <c r="AF16" i="3"/>
  <c r="AV36" i="3"/>
  <c r="AV16" i="3"/>
  <c r="R31" i="3"/>
  <c r="R11" i="3"/>
  <c r="Y81" i="3"/>
  <c r="Y31" i="3"/>
  <c r="Y11" i="3"/>
  <c r="AO81" i="3"/>
  <c r="AO31" i="3"/>
  <c r="AO11" i="3"/>
  <c r="J46" i="3"/>
  <c r="J26" i="3"/>
  <c r="J6" i="3"/>
  <c r="V46" i="3"/>
  <c r="V26" i="3"/>
  <c r="V6" i="3"/>
  <c r="AL46" i="3"/>
  <c r="AL26" i="3"/>
  <c r="AL6" i="3"/>
  <c r="BB66" i="3"/>
  <c r="BB46" i="3"/>
  <c r="BB26" i="3"/>
  <c r="BB6" i="3"/>
  <c r="O41" i="3"/>
  <c r="O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11" i="11"/>
  <c r="C80" i="11"/>
  <c r="C67" i="11"/>
  <c r="C20" i="11"/>
  <c r="C54" i="11"/>
  <c r="C32" i="11"/>
  <c r="C28" i="11"/>
  <c r="C21" i="11"/>
  <c r="C41" i="11"/>
  <c r="C19" i="11"/>
  <c r="C15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R81" i="3"/>
  <c r="AT76" i="3"/>
  <c r="AD76" i="3"/>
  <c r="F76" i="3"/>
  <c r="AX71" i="3"/>
  <c r="AH71" i="3"/>
  <c r="N71" i="3"/>
  <c r="BC66" i="3"/>
  <c r="AM66" i="3"/>
  <c r="W66" i="3"/>
  <c r="L66" i="3"/>
  <c r="AR61" i="3"/>
  <c r="AB61" i="3"/>
  <c r="D61" i="3"/>
  <c r="AX56" i="3"/>
  <c r="AH56" i="3"/>
  <c r="N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Q81" i="3"/>
  <c r="G81" i="3"/>
  <c r="AO76" i="3"/>
  <c r="Y76" i="3"/>
  <c r="R76" i="3"/>
  <c r="AG71" i="3"/>
  <c r="M71" i="3"/>
  <c r="AT66" i="3"/>
  <c r="AD66" i="3"/>
  <c r="F66" i="3"/>
  <c r="AI61" i="3"/>
  <c r="O61" i="3"/>
  <c r="BA56" i="3"/>
  <c r="AK56" i="3"/>
  <c r="U56" i="3"/>
  <c r="H56" i="3"/>
  <c r="AU46" i="3"/>
  <c r="AE46" i="3"/>
  <c r="I46" i="3"/>
  <c r="AZ41" i="3"/>
  <c r="AJ41" i="3"/>
  <c r="Q41" i="3"/>
  <c r="G41" i="3"/>
  <c r="AR31" i="3"/>
  <c r="AB31" i="3"/>
  <c r="D31" i="3"/>
  <c r="AW26" i="3"/>
  <c r="AG26" i="3"/>
  <c r="M26" i="3"/>
  <c r="BB21" i="3"/>
  <c r="AL21" i="3"/>
  <c r="V21" i="3"/>
  <c r="J21" i="3"/>
  <c r="AP16" i="3"/>
  <c r="Z16" i="3"/>
  <c r="S16" i="3"/>
  <c r="AT11" i="3"/>
  <c r="AD11" i="3"/>
  <c r="F11" i="3"/>
  <c r="AY6" i="3"/>
  <c r="AI6" i="3"/>
  <c r="O6" i="3"/>
  <c r="O36" i="3"/>
  <c r="AU31" i="3"/>
  <c r="AE31" i="3"/>
  <c r="I31" i="3"/>
  <c r="AV26" i="3"/>
  <c r="AB26" i="3"/>
  <c r="D26" i="3"/>
  <c r="AS21" i="3"/>
  <c r="Y21" i="3"/>
  <c r="R21" i="3"/>
  <c r="AO16" i="3"/>
  <c r="Y16" i="3"/>
  <c r="H16" i="3"/>
  <c r="AY11" i="3"/>
  <c r="T11" i="3"/>
  <c r="AK51" i="3"/>
  <c r="E51" i="3"/>
  <c r="AY36" i="3"/>
  <c r="AI36" i="3"/>
  <c r="T31" i="3"/>
  <c r="R16" i="3"/>
  <c r="AF56" i="3"/>
  <c r="BD51" i="3"/>
  <c r="AF51" i="3"/>
  <c r="P51" i="3"/>
  <c r="AS46" i="3"/>
  <c r="AC46" i="3"/>
  <c r="E46" i="3"/>
  <c r="AX41" i="3"/>
  <c r="AH41" i="3"/>
  <c r="N41" i="3"/>
  <c r="BB36" i="3"/>
  <c r="AL36" i="3"/>
  <c r="V36" i="3"/>
  <c r="J36" i="3"/>
  <c r="AP31" i="3"/>
  <c r="Z31" i="3"/>
  <c r="S31" i="3"/>
  <c r="AU26" i="3"/>
  <c r="AE26" i="3"/>
  <c r="I26" i="3"/>
  <c r="AZ21" i="3"/>
  <c r="AJ21" i="3"/>
  <c r="Q21" i="3"/>
  <c r="G21" i="3"/>
  <c r="AR11" i="3"/>
  <c r="AB11" i="3"/>
  <c r="D11" i="3"/>
  <c r="BC51" i="3"/>
  <c r="AI51" i="3"/>
  <c r="O51" i="3"/>
  <c r="BD46" i="3"/>
  <c r="AN46" i="3"/>
  <c r="X46" i="3"/>
  <c r="P46" i="3"/>
  <c r="AO41" i="3"/>
  <c r="Y41" i="3"/>
  <c r="R41" i="3"/>
  <c r="AO36" i="3"/>
  <c r="Y36" i="3"/>
  <c r="R36" i="3"/>
  <c r="AU16" i="3"/>
  <c r="AA16" i="3"/>
  <c r="T16" i="3"/>
  <c r="AI11" i="3"/>
  <c r="C79" i="6"/>
  <c r="A9" i="11" l="1"/>
  <c r="AW8" i="11"/>
  <c r="AV8" i="11"/>
  <c r="A33" i="11"/>
  <c r="AW32" i="11"/>
  <c r="AJ32" i="11"/>
  <c r="AN32" i="11"/>
  <c r="AK32" i="11"/>
  <c r="AO32" i="11"/>
  <c r="AS32" i="11"/>
  <c r="AX32" i="11"/>
  <c r="AG32" i="11"/>
  <c r="AP32" i="11"/>
  <c r="P32" i="11"/>
  <c r="AT32" i="11"/>
  <c r="AF32" i="11"/>
  <c r="AD32" i="11"/>
  <c r="M32" i="11"/>
  <c r="Q32" i="11"/>
  <c r="W32" i="11"/>
  <c r="AI32" i="11"/>
  <c r="AH32" i="11"/>
  <c r="AL32" i="11"/>
  <c r="D32" i="11"/>
  <c r="AR32" i="11"/>
  <c r="AM32" i="11"/>
  <c r="AU32" i="11"/>
  <c r="AQ32" i="11"/>
  <c r="N32" i="11"/>
  <c r="L32" i="11"/>
  <c r="AV32" i="11"/>
  <c r="S32" i="11"/>
  <c r="AE32" i="11"/>
  <c r="E32" i="11"/>
  <c r="G32" i="11"/>
  <c r="K32" i="11"/>
  <c r="I32" i="11"/>
  <c r="AB32" i="11"/>
  <c r="Z32" i="11"/>
  <c r="V32" i="11"/>
  <c r="AC32" i="11"/>
  <c r="J32" i="11"/>
  <c r="O32" i="11"/>
  <c r="AA32" i="11"/>
  <c r="R32" i="11"/>
  <c r="H32" i="11"/>
  <c r="T32" i="11"/>
  <c r="X32" i="11"/>
  <c r="U32" i="11"/>
  <c r="Y32" i="11"/>
  <c r="F32" i="11"/>
  <c r="A22" i="11"/>
  <c r="AW21" i="11"/>
  <c r="AV21" i="11"/>
  <c r="A45" i="11"/>
  <c r="A69" i="11"/>
  <c r="A57" i="11"/>
  <c r="A93" i="11"/>
  <c r="AW80" i="11"/>
  <c r="AJ80" i="11"/>
  <c r="A81" i="11"/>
  <c r="P80" i="11"/>
  <c r="AS80" i="11"/>
  <c r="AK80" i="11"/>
  <c r="AX80" i="11"/>
  <c r="AD80" i="11"/>
  <c r="Q80" i="11"/>
  <c r="AL80" i="11"/>
  <c r="AT80" i="11"/>
  <c r="AR80" i="11"/>
  <c r="AN80" i="11"/>
  <c r="AO80" i="11"/>
  <c r="AG80" i="11"/>
  <c r="AF80" i="11"/>
  <c r="AP80" i="11"/>
  <c r="M80" i="11"/>
  <c r="AH80" i="11"/>
  <c r="N80" i="11"/>
  <c r="AA80" i="11"/>
  <c r="W80" i="11"/>
  <c r="AI80" i="11"/>
  <c r="D80" i="11"/>
  <c r="AQ80" i="11"/>
  <c r="AM80" i="11"/>
  <c r="AU80" i="11"/>
  <c r="L80" i="11"/>
  <c r="AV80" i="11"/>
  <c r="S80" i="11"/>
  <c r="AE80" i="11"/>
  <c r="R80" i="11"/>
  <c r="T80" i="11"/>
  <c r="K80" i="11"/>
  <c r="J80" i="11"/>
  <c r="V80" i="11"/>
  <c r="H80" i="11"/>
  <c r="G80" i="11"/>
  <c r="AC80" i="11"/>
  <c r="AB80" i="11"/>
  <c r="O80" i="11"/>
  <c r="E80" i="11"/>
  <c r="F80" i="11"/>
  <c r="U80" i="11"/>
  <c r="Z80" i="11"/>
  <c r="I80" i="11"/>
  <c r="Y80" i="11"/>
  <c r="X80" i="11"/>
  <c r="AH85" i="3"/>
  <c r="AV85" i="3"/>
  <c r="AW86" i="4"/>
  <c r="W86" i="4"/>
  <c r="N86" i="4"/>
  <c r="B39" i="17"/>
  <c r="B40" i="17" s="1"/>
  <c r="AS85" i="6"/>
  <c r="AM79" i="6"/>
  <c r="I85" i="6"/>
  <c r="R82" i="6"/>
  <c r="AC85" i="6"/>
  <c r="P88" i="6"/>
  <c r="AA79" i="6"/>
  <c r="AV88" i="6"/>
  <c r="AO85" i="6"/>
  <c r="AK85" i="6"/>
  <c r="AU79" i="6"/>
  <c r="J82" i="6"/>
  <c r="H88" i="6"/>
  <c r="AB88" i="6"/>
  <c r="K79" i="6"/>
  <c r="U85" i="6"/>
  <c r="AQ79" i="6"/>
  <c r="AE79" i="6"/>
  <c r="M85" i="6"/>
  <c r="AD82" i="6"/>
  <c r="AN88" i="6"/>
  <c r="AY79" i="6"/>
  <c r="AF88" i="6"/>
  <c r="S79" i="6"/>
  <c r="AX82" i="6"/>
  <c r="G79" i="6"/>
  <c r="V82" i="6"/>
  <c r="T88" i="6"/>
  <c r="AH82" i="6"/>
  <c r="Y85" i="6"/>
  <c r="AZ88" i="6"/>
  <c r="W79" i="6"/>
  <c r="E85" i="6"/>
  <c r="Z82" i="6"/>
  <c r="L88" i="6"/>
  <c r="F82" i="6"/>
  <c r="AP82" i="6"/>
  <c r="AG85" i="6"/>
  <c r="O79" i="6"/>
  <c r="AI79" i="6"/>
  <c r="AJ88" i="6"/>
  <c r="AL82" i="6"/>
  <c r="N82" i="6"/>
  <c r="X88" i="6"/>
  <c r="Q85" i="6"/>
  <c r="AW85" i="6"/>
  <c r="AR88" i="6"/>
  <c r="AT82" i="6"/>
  <c r="A58" i="11" l="1"/>
  <c r="A23" i="11"/>
  <c r="AW22" i="11"/>
  <c r="Q22" i="11"/>
  <c r="AD22" i="11"/>
  <c r="AL22" i="11"/>
  <c r="AT22" i="11"/>
  <c r="AH22" i="11"/>
  <c r="D22" i="11"/>
  <c r="N22" i="11"/>
  <c r="S22" i="11"/>
  <c r="AF22" i="11"/>
  <c r="AR22" i="11"/>
  <c r="M22" i="11"/>
  <c r="W22" i="11"/>
  <c r="AI22" i="11"/>
  <c r="AQ22" i="11"/>
  <c r="AM22" i="11"/>
  <c r="AU22" i="11"/>
  <c r="AP22" i="11"/>
  <c r="AE22" i="11"/>
  <c r="AV22" i="11"/>
  <c r="AK22" i="11"/>
  <c r="AX22" i="11"/>
  <c r="AG22" i="11"/>
  <c r="AS22" i="11"/>
  <c r="L22" i="11"/>
  <c r="AO22" i="11"/>
  <c r="G22" i="11"/>
  <c r="P22" i="11"/>
  <c r="H22" i="11"/>
  <c r="AB22" i="11"/>
  <c r="AN22" i="11"/>
  <c r="AJ22" i="11"/>
  <c r="K22" i="11"/>
  <c r="AC22" i="11"/>
  <c r="Y22" i="11"/>
  <c r="F22" i="11"/>
  <c r="AA22" i="11"/>
  <c r="O22" i="11"/>
  <c r="V22" i="11"/>
  <c r="U22" i="11"/>
  <c r="I22" i="11"/>
  <c r="J22" i="11"/>
  <c r="Z22" i="11"/>
  <c r="E22" i="11"/>
  <c r="R22" i="11"/>
  <c r="T22" i="11"/>
  <c r="X22" i="11"/>
  <c r="C22" i="11"/>
  <c r="A34" i="11"/>
  <c r="AW33" i="11"/>
  <c r="AX33" i="11"/>
  <c r="AD33" i="11"/>
  <c r="AH33" i="11"/>
  <c r="AP33" i="11"/>
  <c r="AF33" i="11"/>
  <c r="AL33" i="11"/>
  <c r="Q33" i="11"/>
  <c r="AR33" i="11"/>
  <c r="M33" i="11"/>
  <c r="W33" i="11"/>
  <c r="AI33" i="11"/>
  <c r="AT33" i="11"/>
  <c r="R33" i="11"/>
  <c r="D33" i="11"/>
  <c r="AM33" i="11"/>
  <c r="AU33" i="11"/>
  <c r="N33" i="11"/>
  <c r="AQ33" i="11"/>
  <c r="AV33" i="11"/>
  <c r="S33" i="11"/>
  <c r="AE33" i="11"/>
  <c r="AS33" i="11"/>
  <c r="AN33" i="11"/>
  <c r="AO33" i="11"/>
  <c r="P33" i="11"/>
  <c r="L33" i="11"/>
  <c r="AK33" i="11"/>
  <c r="AG33" i="11"/>
  <c r="AJ33" i="11"/>
  <c r="G33" i="11"/>
  <c r="AC33" i="11"/>
  <c r="H33" i="11"/>
  <c r="V33" i="11"/>
  <c r="J33" i="11"/>
  <c r="U33" i="11"/>
  <c r="E33" i="11"/>
  <c r="Y33" i="11"/>
  <c r="K33" i="11"/>
  <c r="AA33" i="11"/>
  <c r="AB33" i="11"/>
  <c r="Z33" i="11"/>
  <c r="T33" i="11"/>
  <c r="O33" i="11"/>
  <c r="I33" i="11"/>
  <c r="X33" i="11"/>
  <c r="F33" i="11"/>
  <c r="C33" i="11"/>
  <c r="A46" i="11"/>
  <c r="AW45" i="11"/>
  <c r="AN45" i="11"/>
  <c r="Q45" i="11"/>
  <c r="AD45" i="11"/>
  <c r="AH45" i="11"/>
  <c r="AT45" i="11"/>
  <c r="AR45" i="11"/>
  <c r="AL45" i="11"/>
  <c r="AF45" i="11"/>
  <c r="D45" i="11"/>
  <c r="M45" i="11"/>
  <c r="AP45" i="11"/>
  <c r="N45" i="11"/>
  <c r="AA45" i="11"/>
  <c r="AM45" i="11"/>
  <c r="W45" i="11"/>
  <c r="AE45" i="11"/>
  <c r="AQ45" i="11"/>
  <c r="AU45" i="11"/>
  <c r="AI45" i="11"/>
  <c r="AV45" i="11"/>
  <c r="S45" i="11"/>
  <c r="AG45" i="11"/>
  <c r="AO45" i="11"/>
  <c r="AX45" i="11"/>
  <c r="P45" i="11"/>
  <c r="AS45" i="11"/>
  <c r="AK45" i="11"/>
  <c r="L45" i="11"/>
  <c r="G45" i="11"/>
  <c r="K45" i="11"/>
  <c r="J45" i="11"/>
  <c r="Z45" i="11"/>
  <c r="AC45" i="11"/>
  <c r="I45" i="11"/>
  <c r="E45" i="11"/>
  <c r="U45" i="11"/>
  <c r="AB45" i="11"/>
  <c r="F45" i="11"/>
  <c r="AJ45" i="11"/>
  <c r="O45" i="11"/>
  <c r="V45" i="11"/>
  <c r="H45" i="11"/>
  <c r="R45" i="11"/>
  <c r="T45" i="11"/>
  <c r="X45" i="11"/>
  <c r="Y45" i="11"/>
  <c r="C45" i="11"/>
  <c r="A106" i="11"/>
  <c r="AW93" i="11"/>
  <c r="AJ93" i="11"/>
  <c r="AN93" i="11"/>
  <c r="A94" i="11"/>
  <c r="AG93" i="11"/>
  <c r="AO93" i="11"/>
  <c r="AS93" i="11"/>
  <c r="Q93" i="11"/>
  <c r="AX93" i="11"/>
  <c r="AP93" i="11"/>
  <c r="P93" i="11"/>
  <c r="AK93" i="11"/>
  <c r="AH93" i="11"/>
  <c r="AR93" i="11"/>
  <c r="AD93" i="11"/>
  <c r="AT93" i="11"/>
  <c r="D93" i="11"/>
  <c r="M93" i="11"/>
  <c r="AL93" i="11"/>
  <c r="AI93" i="11"/>
  <c r="AF93" i="11"/>
  <c r="AA93" i="11"/>
  <c r="N93" i="11"/>
  <c r="W93" i="11"/>
  <c r="AE93" i="11"/>
  <c r="AU93" i="11"/>
  <c r="AM93" i="11"/>
  <c r="AQ93" i="11"/>
  <c r="AV93" i="11"/>
  <c r="S93" i="11"/>
  <c r="L93" i="11"/>
  <c r="U93" i="11"/>
  <c r="K93" i="11"/>
  <c r="O93" i="11"/>
  <c r="E93" i="11"/>
  <c r="J93" i="11"/>
  <c r="AB93" i="11"/>
  <c r="Y93" i="11"/>
  <c r="H93" i="11"/>
  <c r="X93" i="11"/>
  <c r="R93" i="11"/>
  <c r="V93" i="11"/>
  <c r="T93" i="11"/>
  <c r="G93" i="11"/>
  <c r="AC93" i="11"/>
  <c r="I93" i="11"/>
  <c r="Z93" i="11"/>
  <c r="F93" i="11"/>
  <c r="C93" i="11"/>
  <c r="A82" i="11"/>
  <c r="A70" i="11"/>
  <c r="A10" i="11"/>
  <c r="AW9" i="11"/>
  <c r="AX9" i="11"/>
  <c r="AD9" i="11"/>
  <c r="AL9" i="11"/>
  <c r="AT9" i="11"/>
  <c r="AF9" i="11"/>
  <c r="AH9" i="11"/>
  <c r="D9" i="11"/>
  <c r="AA9" i="11"/>
  <c r="AE9" i="11"/>
  <c r="Q9" i="11"/>
  <c r="N9" i="11"/>
  <c r="AQ9" i="11"/>
  <c r="AU9" i="11"/>
  <c r="M9" i="11"/>
  <c r="AI9" i="11"/>
  <c r="W9" i="11"/>
  <c r="AR9" i="11"/>
  <c r="AM9" i="11"/>
  <c r="AP9" i="11"/>
  <c r="S9" i="11"/>
  <c r="AV9" i="11"/>
  <c r="G9" i="11"/>
  <c r="AS9" i="11"/>
  <c r="P9" i="11"/>
  <c r="L9" i="11"/>
  <c r="AG9" i="11"/>
  <c r="AO9" i="11"/>
  <c r="AK9" i="11"/>
  <c r="AN9" i="11"/>
  <c r="AJ9" i="11"/>
  <c r="J9" i="11"/>
  <c r="O9" i="11"/>
  <c r="Z9" i="11"/>
  <c r="V9" i="11"/>
  <c r="K9" i="11"/>
  <c r="AB9" i="11"/>
  <c r="E9" i="11"/>
  <c r="T9" i="11"/>
  <c r="R9" i="11"/>
  <c r="Y9" i="11"/>
  <c r="U9" i="11"/>
  <c r="AC9" i="11"/>
  <c r="I9" i="11"/>
  <c r="H9" i="11"/>
  <c r="X9" i="11"/>
  <c r="F9" i="11"/>
  <c r="C9" i="11"/>
  <c r="AB86" i="4"/>
  <c r="AM86" i="4"/>
  <c r="AV86" i="4"/>
  <c r="R86" i="4"/>
  <c r="AD86" i="4"/>
  <c r="AO86" i="4"/>
  <c r="U86" i="4"/>
  <c r="O86" i="4"/>
  <c r="AB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V85" i="3"/>
  <c r="R85" i="3"/>
  <c r="R30" i="1" s="1"/>
  <c r="W85" i="3"/>
  <c r="C71" i="3"/>
  <c r="A71" i="3" s="1"/>
  <c r="T86" i="4"/>
  <c r="U85" i="3"/>
  <c r="AJ85" i="3"/>
  <c r="T85" i="3"/>
  <c r="R35" i="1" s="1"/>
  <c r="C66" i="3"/>
  <c r="A66" i="3" s="1"/>
  <c r="C11" i="4"/>
  <c r="A11" i="4" s="1"/>
  <c r="C26" i="4"/>
  <c r="A26" i="4" s="1"/>
  <c r="AE86" i="4"/>
  <c r="X86" i="4"/>
  <c r="Y86" i="4"/>
  <c r="S86" i="4"/>
  <c r="AK86" i="4"/>
  <c r="S85" i="3"/>
  <c r="R32" i="1" s="1"/>
  <c r="C26" i="3"/>
  <c r="A26" i="3" s="1"/>
  <c r="AY85" i="3"/>
  <c r="P86" i="4"/>
  <c r="AQ86" i="4"/>
  <c r="BB85" i="3"/>
  <c r="AL85" i="3"/>
  <c r="C46" i="3"/>
  <c r="A46" i="3" s="1"/>
  <c r="Y85" i="3"/>
  <c r="X85" i="3"/>
  <c r="AM85" i="3"/>
  <c r="AJ86" i="4"/>
  <c r="M86" i="4"/>
  <c r="AK85" i="3"/>
  <c r="AZ85" i="3"/>
  <c r="AA85" i="3"/>
  <c r="C56" i="4"/>
  <c r="A56" i="4" s="1"/>
  <c r="AI86" i="4"/>
  <c r="V86" i="4"/>
  <c r="AN85" i="3"/>
  <c r="AX86" i="4"/>
  <c r="J86" i="4"/>
  <c r="Z85" i="3"/>
  <c r="BC85" i="3"/>
  <c r="H85" i="3"/>
  <c r="R9" i="1" s="1"/>
  <c r="F85" i="3"/>
  <c r="R7" i="1" s="1"/>
  <c r="AF86" i="4"/>
  <c r="AO85" i="3"/>
  <c r="K85" i="3"/>
  <c r="R20" i="1" s="1"/>
  <c r="I85" i="3"/>
  <c r="R11" i="1" s="1"/>
  <c r="E85" i="3"/>
  <c r="R6" i="1" s="1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D85" i="3"/>
  <c r="R4" i="1" s="1"/>
  <c r="AF85" i="3"/>
  <c r="O85" i="3"/>
  <c r="R27" i="1" s="1"/>
  <c r="AD85" i="3"/>
  <c r="C16" i="4"/>
  <c r="A16" i="4" s="1"/>
  <c r="C6" i="3"/>
  <c r="A6" i="3" s="1"/>
  <c r="AE85" i="3"/>
  <c r="BA85" i="3"/>
  <c r="AC85" i="3"/>
  <c r="L85" i="3"/>
  <c r="R22" i="1" s="1"/>
  <c r="N85" i="3"/>
  <c r="R24" i="1" s="1"/>
  <c r="P85" i="3"/>
  <c r="R28" i="1" s="1"/>
  <c r="Z86" i="4"/>
  <c r="AC86" i="4"/>
  <c r="L86" i="4"/>
  <c r="C46" i="4"/>
  <c r="A46" i="4" s="1"/>
  <c r="C51" i="4"/>
  <c r="A51" i="4" s="1"/>
  <c r="AX85" i="3"/>
  <c r="Q85" i="3"/>
  <c r="R29" i="1" s="1"/>
  <c r="H86" i="4"/>
  <c r="BB86" i="4"/>
  <c r="AG85" i="3"/>
  <c r="M85" i="3"/>
  <c r="R23" i="1" s="1"/>
  <c r="BD85" i="3"/>
  <c r="C76" i="3"/>
  <c r="A76" i="3" s="1"/>
  <c r="AS85" i="3"/>
  <c r="C11" i="3"/>
  <c r="A11" i="3" s="1"/>
  <c r="F86" i="4"/>
  <c r="C56" i="3"/>
  <c r="A56" i="3" s="1"/>
  <c r="L3" i="13"/>
  <c r="L4" i="13" s="1"/>
  <c r="G55" i="1"/>
  <c r="C81" i="3"/>
  <c r="A81" i="3" s="1"/>
  <c r="C36" i="4"/>
  <c r="A36" i="4" s="1"/>
  <c r="J85" i="3"/>
  <c r="R18" i="1" s="1"/>
  <c r="E86" i="4"/>
  <c r="C41" i="4"/>
  <c r="A41" i="4" s="1"/>
  <c r="G85" i="3"/>
  <c r="R8" i="1" s="1"/>
  <c r="C6" i="4"/>
  <c r="C31" i="3"/>
  <c r="A31" i="3" s="1"/>
  <c r="C61" i="3"/>
  <c r="A61" i="3" s="1"/>
  <c r="C51" i="3"/>
  <c r="A51" i="3" s="1"/>
  <c r="N3" i="13"/>
  <c r="N4" i="13" s="1"/>
  <c r="I55" i="1"/>
  <c r="D86" i="4"/>
  <c r="C16" i="3"/>
  <c r="A16" i="3" s="1"/>
  <c r="M3" i="13"/>
  <c r="M4" i="13" s="1"/>
  <c r="H55" i="1"/>
  <c r="C21" i="3"/>
  <c r="A21" i="3" s="1"/>
  <c r="C41" i="3"/>
  <c r="A41" i="3" s="1"/>
  <c r="C36" i="3"/>
  <c r="A36" i="3" s="1"/>
  <c r="C67" i="6"/>
  <c r="A35" i="11" l="1"/>
  <c r="AW34" i="11"/>
  <c r="AV34" i="11"/>
  <c r="L34" i="11"/>
  <c r="AO34" i="11"/>
  <c r="AX34" i="11"/>
  <c r="AP34" i="11"/>
  <c r="V34" i="11"/>
  <c r="D34" i="11"/>
  <c r="E34" i="11"/>
  <c r="AC34" i="11"/>
  <c r="AK34" i="11"/>
  <c r="AB34" i="11"/>
  <c r="H34" i="11"/>
  <c r="I34" i="11"/>
  <c r="F34" i="11"/>
  <c r="U34" i="11"/>
  <c r="O34" i="11"/>
  <c r="AL34" i="11"/>
  <c r="J34" i="11"/>
  <c r="X34" i="11"/>
  <c r="AN34" i="11"/>
  <c r="K34" i="11"/>
  <c r="AS34" i="11"/>
  <c r="M34" i="11"/>
  <c r="S34" i="11"/>
  <c r="AA34" i="11"/>
  <c r="AU34" i="11"/>
  <c r="C34" i="11"/>
  <c r="AQ34" i="11"/>
  <c r="AI34" i="11"/>
  <c r="Y34" i="11"/>
  <c r="AH34" i="11"/>
  <c r="AJ34" i="11"/>
  <c r="G34" i="11"/>
  <c r="Q34" i="11"/>
  <c r="W34" i="11"/>
  <c r="P34" i="11"/>
  <c r="AD34" i="11"/>
  <c r="R34" i="11"/>
  <c r="Z34" i="11"/>
  <c r="T34" i="11"/>
  <c r="AR34" i="11"/>
  <c r="AG34" i="11"/>
  <c r="AF34" i="11"/>
  <c r="N34" i="11"/>
  <c r="AE34" i="11"/>
  <c r="AT34" i="11"/>
  <c r="AM34" i="11"/>
  <c r="AW16" i="11"/>
  <c r="AW3" i="11"/>
  <c r="AW29" i="11"/>
  <c r="AW42" i="11"/>
  <c r="AW55" i="11"/>
  <c r="AW68" i="11"/>
  <c r="A71" i="11"/>
  <c r="A95" i="11"/>
  <c r="AW94" i="11"/>
  <c r="A119" i="11"/>
  <c r="AW106" i="11"/>
  <c r="AJ106" i="11"/>
  <c r="L106" i="11"/>
  <c r="AG106" i="11"/>
  <c r="AK106" i="11"/>
  <c r="AS106" i="11"/>
  <c r="AX106" i="11"/>
  <c r="A107" i="11"/>
  <c r="AN106" i="11"/>
  <c r="P106" i="11"/>
  <c r="AO106" i="11"/>
  <c r="M106" i="11"/>
  <c r="AD106" i="11"/>
  <c r="D106" i="11"/>
  <c r="Q106" i="11"/>
  <c r="AL106" i="11"/>
  <c r="AT106" i="11"/>
  <c r="AH106" i="11"/>
  <c r="AR106" i="11"/>
  <c r="W106" i="11"/>
  <c r="AP106" i="11"/>
  <c r="AM106" i="11"/>
  <c r="AU106" i="11"/>
  <c r="AF106" i="11"/>
  <c r="N106" i="11"/>
  <c r="AI106" i="11"/>
  <c r="AQ106" i="11"/>
  <c r="S106" i="11"/>
  <c r="AE106" i="11"/>
  <c r="AV106" i="11"/>
  <c r="AA106" i="11"/>
  <c r="Z106" i="11"/>
  <c r="E106" i="11"/>
  <c r="AC106" i="11"/>
  <c r="J106" i="11"/>
  <c r="Y106" i="11"/>
  <c r="R106" i="11"/>
  <c r="G106" i="11"/>
  <c r="I106" i="11"/>
  <c r="O106" i="11"/>
  <c r="K106" i="11"/>
  <c r="AB106" i="11"/>
  <c r="T106" i="11"/>
  <c r="V106" i="11"/>
  <c r="U106" i="11"/>
  <c r="H106" i="11"/>
  <c r="F106" i="11"/>
  <c r="X106" i="11"/>
  <c r="C106" i="11"/>
  <c r="A24" i="11"/>
  <c r="AW81" i="11"/>
  <c r="A47" i="11"/>
  <c r="AW46" i="11"/>
  <c r="AX46" i="11"/>
  <c r="AD46" i="11"/>
  <c r="Q46" i="11"/>
  <c r="AH46" i="11"/>
  <c r="AL46" i="11"/>
  <c r="AF46" i="11"/>
  <c r="AP46" i="11"/>
  <c r="AT46" i="11"/>
  <c r="AR46" i="11"/>
  <c r="D46" i="11"/>
  <c r="M46" i="11"/>
  <c r="N46" i="11"/>
  <c r="Z46" i="11"/>
  <c r="W46" i="11"/>
  <c r="AA46" i="11"/>
  <c r="AQ46" i="11"/>
  <c r="AM46" i="11"/>
  <c r="AU46" i="11"/>
  <c r="AI46" i="11"/>
  <c r="AS46" i="11"/>
  <c r="S46" i="11"/>
  <c r="AE46" i="11"/>
  <c r="AV46" i="11"/>
  <c r="P46" i="11"/>
  <c r="K46" i="11"/>
  <c r="AN46" i="11"/>
  <c r="AO46" i="11"/>
  <c r="AK46" i="11"/>
  <c r="AG46" i="11"/>
  <c r="L46" i="11"/>
  <c r="AJ46" i="11"/>
  <c r="AB46" i="11"/>
  <c r="H46" i="11"/>
  <c r="T46" i="11"/>
  <c r="J46" i="11"/>
  <c r="U46" i="11"/>
  <c r="G46" i="11"/>
  <c r="AC46" i="11"/>
  <c r="I46" i="11"/>
  <c r="O46" i="11"/>
  <c r="V46" i="11"/>
  <c r="E46" i="11"/>
  <c r="Y46" i="11"/>
  <c r="F46" i="11"/>
  <c r="R46" i="11"/>
  <c r="X46" i="11"/>
  <c r="C46" i="11"/>
  <c r="A11" i="11"/>
  <c r="A83" i="11"/>
  <c r="A59" i="11"/>
  <c r="AW58" i="11"/>
  <c r="AS58" i="11"/>
  <c r="AJ58" i="11"/>
  <c r="AN58" i="11"/>
  <c r="AK58" i="11"/>
  <c r="AO58" i="11"/>
  <c r="P58" i="11"/>
  <c r="AX58" i="11"/>
  <c r="Q58" i="11"/>
  <c r="AH58" i="11"/>
  <c r="AT58" i="11"/>
  <c r="AR58" i="11"/>
  <c r="AG58" i="11"/>
  <c r="AD58" i="11"/>
  <c r="AL58" i="11"/>
  <c r="D58" i="11"/>
  <c r="AP58" i="11"/>
  <c r="M58" i="11"/>
  <c r="AA58" i="11"/>
  <c r="N58" i="11"/>
  <c r="W58" i="11"/>
  <c r="AF58" i="11"/>
  <c r="AI58" i="11"/>
  <c r="AU58" i="11"/>
  <c r="AM58" i="11"/>
  <c r="AQ58" i="11"/>
  <c r="S58" i="11"/>
  <c r="L58" i="11"/>
  <c r="AE58" i="11"/>
  <c r="AV58" i="11"/>
  <c r="AC58" i="11"/>
  <c r="J58" i="11"/>
  <c r="Z58" i="11"/>
  <c r="I58" i="11"/>
  <c r="V58" i="11"/>
  <c r="G58" i="11"/>
  <c r="K58" i="11"/>
  <c r="U58" i="11"/>
  <c r="R58" i="11"/>
  <c r="E58" i="11"/>
  <c r="T58" i="11"/>
  <c r="Y58" i="11"/>
  <c r="AB58" i="11"/>
  <c r="O58" i="11"/>
  <c r="H58" i="11"/>
  <c r="F58" i="11"/>
  <c r="X58" i="11"/>
  <c r="C58" i="11"/>
  <c r="AV68" i="11"/>
  <c r="AV81" i="11"/>
  <c r="AV94" i="11"/>
  <c r="AV3" i="11"/>
  <c r="AV107" i="11"/>
  <c r="AV16" i="11"/>
  <c r="AV29" i="11"/>
  <c r="AV42" i="11"/>
  <c r="AV55" i="11"/>
  <c r="R52" i="1"/>
  <c r="C85" i="3"/>
  <c r="R54" i="1" s="1"/>
  <c r="C86" i="4"/>
  <c r="S54" i="1" s="1"/>
  <c r="S55" i="1" s="1"/>
  <c r="C88" i="4"/>
  <c r="A88" i="4" s="1"/>
  <c r="A6" i="4"/>
  <c r="AW23" i="11" s="1"/>
  <c r="F42" i="11"/>
  <c r="X94" i="11"/>
  <c r="AJ29" i="11"/>
  <c r="AJ16" i="11"/>
  <c r="AJ3" i="11"/>
  <c r="AN94" i="11"/>
  <c r="G94" i="11"/>
  <c r="G29" i="11"/>
  <c r="G16" i="11"/>
  <c r="G3" i="11"/>
  <c r="K107" i="11"/>
  <c r="K68" i="11"/>
  <c r="L94" i="11"/>
  <c r="L81" i="11"/>
  <c r="P81" i="11"/>
  <c r="P55" i="11"/>
  <c r="P42" i="11"/>
  <c r="U94" i="11"/>
  <c r="U107" i="11"/>
  <c r="U68" i="11"/>
  <c r="U42" i="11"/>
  <c r="Y81" i="11"/>
  <c r="Y55" i="11"/>
  <c r="Y3" i="11"/>
  <c r="AC107" i="11"/>
  <c r="AC68" i="11"/>
  <c r="AC42" i="11"/>
  <c r="AG81" i="11"/>
  <c r="AG55" i="11"/>
  <c r="AG3" i="11"/>
  <c r="AK107" i="11"/>
  <c r="AK42" i="11"/>
  <c r="AO81" i="11"/>
  <c r="AO55" i="11"/>
  <c r="AO3" i="11"/>
  <c r="O94" i="11"/>
  <c r="O81" i="11"/>
  <c r="O55" i="11"/>
  <c r="O42" i="11"/>
  <c r="AX94" i="11"/>
  <c r="AX81" i="11"/>
  <c r="AX3" i="11"/>
  <c r="Q81" i="11"/>
  <c r="Q16" i="11"/>
  <c r="AD42" i="11"/>
  <c r="AH55" i="11"/>
  <c r="AH3" i="11"/>
  <c r="AL42" i="11"/>
  <c r="AP107" i="11"/>
  <c r="AP94" i="11"/>
  <c r="AP68" i="11"/>
  <c r="AP55" i="11"/>
  <c r="AP3" i="11"/>
  <c r="J94" i="11"/>
  <c r="J42" i="11"/>
  <c r="T107" i="11"/>
  <c r="AF94" i="11"/>
  <c r="AF68" i="11"/>
  <c r="AF29" i="11"/>
  <c r="AF16" i="11"/>
  <c r="AR94" i="11"/>
  <c r="D94" i="11"/>
  <c r="D29" i="11"/>
  <c r="D16" i="11"/>
  <c r="D3" i="11"/>
  <c r="H94" i="11"/>
  <c r="H81" i="11"/>
  <c r="H55" i="11"/>
  <c r="M94" i="11"/>
  <c r="M68" i="11"/>
  <c r="M29" i="11"/>
  <c r="R81" i="11"/>
  <c r="R42" i="11"/>
  <c r="V94" i="11"/>
  <c r="V55" i="11"/>
  <c r="V3" i="11"/>
  <c r="Z42" i="11"/>
  <c r="E81" i="11"/>
  <c r="E16" i="11"/>
  <c r="I107" i="11"/>
  <c r="I81" i="11"/>
  <c r="I29" i="11"/>
  <c r="I3" i="11"/>
  <c r="N94" i="11"/>
  <c r="N68" i="11"/>
  <c r="N16" i="11"/>
  <c r="N55" i="11"/>
  <c r="S68" i="11"/>
  <c r="F81" i="11"/>
  <c r="F16" i="11"/>
  <c r="F55" i="11"/>
  <c r="X81" i="11"/>
  <c r="X55" i="11"/>
  <c r="X42" i="11"/>
  <c r="AJ94" i="11"/>
  <c r="AJ81" i="11"/>
  <c r="AN81" i="11"/>
  <c r="AN55" i="11"/>
  <c r="AN42" i="11"/>
  <c r="G81" i="11"/>
  <c r="K55" i="11"/>
  <c r="K42" i="11"/>
  <c r="P94" i="11"/>
  <c r="P68" i="11"/>
  <c r="P29" i="11"/>
  <c r="P16" i="11"/>
  <c r="U16" i="11"/>
  <c r="Y94" i="11"/>
  <c r="Y107" i="11"/>
  <c r="Y29" i="11"/>
  <c r="AC16" i="11"/>
  <c r="AG94" i="11"/>
  <c r="AG107" i="11"/>
  <c r="AG29" i="11"/>
  <c r="AK94" i="11"/>
  <c r="AK81" i="11"/>
  <c r="AK16" i="11"/>
  <c r="AO107" i="11"/>
  <c r="AO29" i="11"/>
  <c r="AS42" i="11"/>
  <c r="O29" i="11"/>
  <c r="O16" i="11"/>
  <c r="O3" i="11"/>
  <c r="AX55" i="11"/>
  <c r="Q107" i="11"/>
  <c r="Q55" i="11"/>
  <c r="Q3" i="11"/>
  <c r="AD94" i="11"/>
  <c r="AD68" i="11"/>
  <c r="AD16" i="11"/>
  <c r="AH107" i="11"/>
  <c r="AH68" i="11"/>
  <c r="AH29" i="11"/>
  <c r="AL107" i="11"/>
  <c r="AL16" i="11"/>
  <c r="AP81" i="11"/>
  <c r="AP29" i="11"/>
  <c r="AT42" i="11"/>
  <c r="J107" i="11"/>
  <c r="J16" i="11"/>
  <c r="J55" i="11"/>
  <c r="T68" i="11"/>
  <c r="T55" i="11"/>
  <c r="T42" i="11"/>
  <c r="AB107" i="11"/>
  <c r="AB68" i="11"/>
  <c r="AB55" i="11"/>
  <c r="AB42" i="11"/>
  <c r="AF3" i="11"/>
  <c r="AR81" i="11"/>
  <c r="AR107" i="11"/>
  <c r="AR68" i="11"/>
  <c r="AR55" i="11"/>
  <c r="AR42" i="11"/>
  <c r="H29" i="11"/>
  <c r="H42" i="11"/>
  <c r="M42" i="11"/>
  <c r="R16" i="11"/>
  <c r="V29" i="11"/>
  <c r="Z94" i="11"/>
  <c r="Z16" i="11"/>
  <c r="E55" i="11"/>
  <c r="N81" i="11"/>
  <c r="N29" i="11"/>
  <c r="N3" i="11"/>
  <c r="S55" i="11"/>
  <c r="S42" i="11"/>
  <c r="S3" i="11"/>
  <c r="W94" i="11"/>
  <c r="W81" i="11"/>
  <c r="AA55" i="11"/>
  <c r="AA42" i="11"/>
  <c r="AA3" i="11"/>
  <c r="AE94" i="11"/>
  <c r="AE81" i="11"/>
  <c r="F107" i="11"/>
  <c r="F94" i="11"/>
  <c r="F68" i="11"/>
  <c r="F29" i="11"/>
  <c r="F3" i="11"/>
  <c r="X29" i="11"/>
  <c r="X16" i="11"/>
  <c r="AN29" i="11"/>
  <c r="AN16" i="11"/>
  <c r="G68" i="11"/>
  <c r="K81" i="11"/>
  <c r="K29" i="11"/>
  <c r="K16" i="11"/>
  <c r="K3" i="11"/>
  <c r="L107" i="11"/>
  <c r="L68" i="11"/>
  <c r="L55" i="11"/>
  <c r="L42" i="11"/>
  <c r="P107" i="11"/>
  <c r="P3" i="11"/>
  <c r="U81" i="11"/>
  <c r="U55" i="11"/>
  <c r="U3" i="11"/>
  <c r="Y68" i="11"/>
  <c r="Y42" i="11"/>
  <c r="AC81" i="11"/>
  <c r="AC55" i="11"/>
  <c r="AC3" i="11"/>
  <c r="AG68" i="11"/>
  <c r="AG42" i="11"/>
  <c r="AK55" i="11"/>
  <c r="AK3" i="11"/>
  <c r="AO94" i="11"/>
  <c r="AO68" i="11"/>
  <c r="AO42" i="11"/>
  <c r="AS107" i="11"/>
  <c r="AS81" i="11"/>
  <c r="AS16" i="11"/>
  <c r="AS55" i="11"/>
  <c r="AS3" i="11"/>
  <c r="O107" i="11"/>
  <c r="AX29" i="11"/>
  <c r="AX42" i="11"/>
  <c r="Q94" i="11"/>
  <c r="Q68" i="11"/>
  <c r="Q29" i="11"/>
  <c r="AD81" i="11"/>
  <c r="AD55" i="11"/>
  <c r="AD3" i="11"/>
  <c r="AH81" i="11"/>
  <c r="AH94" i="11"/>
  <c r="AH42" i="11"/>
  <c r="AL81" i="11"/>
  <c r="AL68" i="11"/>
  <c r="AL55" i="11"/>
  <c r="AL3" i="11"/>
  <c r="AP42" i="11"/>
  <c r="AT94" i="11"/>
  <c r="AT68" i="11"/>
  <c r="AT16" i="11"/>
  <c r="AT55" i="11"/>
  <c r="AT3" i="11"/>
  <c r="J81" i="11"/>
  <c r="J29" i="11"/>
  <c r="J3" i="11"/>
  <c r="T94" i="11"/>
  <c r="T29" i="11"/>
  <c r="T16" i="11"/>
  <c r="T3" i="11"/>
  <c r="AB29" i="11"/>
  <c r="AB16" i="11"/>
  <c r="AB3" i="11"/>
  <c r="AF107" i="11"/>
  <c r="AR29" i="11"/>
  <c r="AR16" i="11"/>
  <c r="AR3" i="11"/>
  <c r="D68" i="11"/>
  <c r="H107" i="11"/>
  <c r="H68" i="11"/>
  <c r="H16" i="11"/>
  <c r="H3" i="11"/>
  <c r="M81" i="11"/>
  <c r="M16" i="11"/>
  <c r="R68" i="11"/>
  <c r="R55" i="11"/>
  <c r="R3" i="11"/>
  <c r="V42" i="11"/>
  <c r="Z81" i="11"/>
  <c r="Z68" i="11"/>
  <c r="Z55" i="11"/>
  <c r="Z3" i="11"/>
  <c r="E94" i="11"/>
  <c r="E29" i="11"/>
  <c r="E3" i="11"/>
  <c r="I68" i="11"/>
  <c r="I42" i="11"/>
  <c r="S29" i="11"/>
  <c r="S16" i="11"/>
  <c r="X107" i="11"/>
  <c r="X68" i="11"/>
  <c r="X3" i="11"/>
  <c r="AJ107" i="11"/>
  <c r="AJ68" i="11"/>
  <c r="AJ55" i="11"/>
  <c r="AJ42" i="11"/>
  <c r="AN107" i="11"/>
  <c r="AN68" i="11"/>
  <c r="AN3" i="11"/>
  <c r="G107" i="11"/>
  <c r="G55" i="11"/>
  <c r="G42" i="11"/>
  <c r="K94" i="11"/>
  <c r="L29" i="11"/>
  <c r="L16" i="11"/>
  <c r="L3" i="11"/>
  <c r="U29" i="11"/>
  <c r="Y16" i="11"/>
  <c r="AC94" i="11"/>
  <c r="AC29" i="11"/>
  <c r="AG16" i="11"/>
  <c r="AK68" i="11"/>
  <c r="AK29" i="11"/>
  <c r="AO16" i="11"/>
  <c r="AS94" i="11"/>
  <c r="AS68" i="11"/>
  <c r="AS29" i="11"/>
  <c r="O68" i="11"/>
  <c r="AX107" i="11"/>
  <c r="AX68" i="11"/>
  <c r="AX16" i="11"/>
  <c r="Q42" i="11"/>
  <c r="AD107" i="11"/>
  <c r="AD29" i="11"/>
  <c r="AH16" i="11"/>
  <c r="AL94" i="11"/>
  <c r="AL29" i="11"/>
  <c r="AP16" i="11"/>
  <c r="AT107" i="11"/>
  <c r="AT81" i="11"/>
  <c r="AT29" i="11"/>
  <c r="J68" i="11"/>
  <c r="T81" i="11"/>
  <c r="AB94" i="11"/>
  <c r="AB81" i="11"/>
  <c r="AF81" i="11"/>
  <c r="AF55" i="11"/>
  <c r="AF42" i="11"/>
  <c r="D107" i="11"/>
  <c r="D81" i="11"/>
  <c r="D55" i="11"/>
  <c r="D42" i="11"/>
  <c r="M107" i="11"/>
  <c r="M55" i="11"/>
  <c r="M3" i="11"/>
  <c r="R107" i="11"/>
  <c r="R94" i="11"/>
  <c r="R29" i="11"/>
  <c r="V107" i="11"/>
  <c r="V81" i="11"/>
  <c r="V68" i="11"/>
  <c r="V16" i="11"/>
  <c r="Z107" i="11"/>
  <c r="Z29" i="11"/>
  <c r="E107" i="11"/>
  <c r="E68" i="11"/>
  <c r="E42" i="11"/>
  <c r="I94" i="11"/>
  <c r="I16" i="11"/>
  <c r="I55" i="11"/>
  <c r="N107" i="11"/>
  <c r="N42" i="11"/>
  <c r="S107" i="11"/>
  <c r="S94" i="11"/>
  <c r="S81" i="11"/>
  <c r="W107" i="11"/>
  <c r="W55" i="11"/>
  <c r="W42" i="11"/>
  <c r="AA94" i="11"/>
  <c r="AA16" i="11"/>
  <c r="AM55" i="11"/>
  <c r="AM42" i="11"/>
  <c r="AQ107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07" i="11"/>
  <c r="AE42" i="11"/>
  <c r="AE16" i="11"/>
  <c r="AE3" i="11"/>
  <c r="AI107" i="11"/>
  <c r="AI94" i="11"/>
  <c r="AI81" i="11"/>
  <c r="AI68" i="11"/>
  <c r="AM107" i="11"/>
  <c r="AM29" i="11"/>
  <c r="AM16" i="11"/>
  <c r="AM3" i="11"/>
  <c r="AQ94" i="11"/>
  <c r="AQ68" i="11"/>
  <c r="AU55" i="11"/>
  <c r="AA29" i="11"/>
  <c r="AE68" i="11"/>
  <c r="AI55" i="11"/>
  <c r="AI42" i="11"/>
  <c r="AI3" i="11"/>
  <c r="AM94" i="11"/>
  <c r="AM81" i="11"/>
  <c r="AQ55" i="11"/>
  <c r="AQ42" i="11"/>
  <c r="AQ3" i="11"/>
  <c r="AU29" i="11"/>
  <c r="AU42" i="11"/>
  <c r="AE55" i="11"/>
  <c r="AE29" i="11"/>
  <c r="AI29" i="11"/>
  <c r="AI16" i="11"/>
  <c r="AM68" i="11"/>
  <c r="AQ29" i="11"/>
  <c r="AQ16" i="11"/>
  <c r="AU16" i="11"/>
  <c r="AU3" i="11"/>
  <c r="C94" i="11"/>
  <c r="C81" i="11"/>
  <c r="C68" i="11"/>
  <c r="C55" i="11"/>
  <c r="C42" i="11"/>
  <c r="C107" i="11"/>
  <c r="C29" i="11"/>
  <c r="C16" i="11"/>
  <c r="C3" i="11"/>
  <c r="C87" i="3"/>
  <c r="A87" i="3" s="1"/>
  <c r="AO61" i="6"/>
  <c r="W55" i="6"/>
  <c r="Y73" i="6"/>
  <c r="H76" i="6"/>
  <c r="AN76" i="6"/>
  <c r="J58" i="6"/>
  <c r="P76" i="6"/>
  <c r="AQ55" i="6"/>
  <c r="Z70" i="6"/>
  <c r="N70" i="6"/>
  <c r="AP70" i="6"/>
  <c r="AL58" i="6"/>
  <c r="R58" i="6"/>
  <c r="N58" i="6"/>
  <c r="C55" i="6"/>
  <c r="F70" i="6"/>
  <c r="AS73" i="6"/>
  <c r="AO73" i="6"/>
  <c r="AT58" i="6"/>
  <c r="L76" i="6"/>
  <c r="AU67" i="6"/>
  <c r="AW10" i="11" l="1"/>
  <c r="A60" i="11"/>
  <c r="AW59" i="11"/>
  <c r="AX59" i="11"/>
  <c r="AP59" i="11"/>
  <c r="AL59" i="11"/>
  <c r="AT59" i="11"/>
  <c r="AR59" i="11"/>
  <c r="M59" i="11"/>
  <c r="Q59" i="11"/>
  <c r="AH59" i="11"/>
  <c r="AF59" i="11"/>
  <c r="D59" i="11"/>
  <c r="AA59" i="11"/>
  <c r="AD59" i="11"/>
  <c r="W59" i="11"/>
  <c r="AI59" i="11"/>
  <c r="AM59" i="11"/>
  <c r="N59" i="11"/>
  <c r="AQ59" i="11"/>
  <c r="AU59" i="11"/>
  <c r="AS59" i="11"/>
  <c r="AV59" i="11"/>
  <c r="L59" i="11"/>
  <c r="S59" i="11"/>
  <c r="AE59" i="11"/>
  <c r="AN59" i="11"/>
  <c r="AK59" i="11"/>
  <c r="P59" i="11"/>
  <c r="AG59" i="11"/>
  <c r="AO59" i="11"/>
  <c r="AJ59" i="11"/>
  <c r="I59" i="11"/>
  <c r="E59" i="11"/>
  <c r="AC59" i="11"/>
  <c r="T59" i="11"/>
  <c r="V59" i="11"/>
  <c r="J59" i="11"/>
  <c r="AB59" i="11"/>
  <c r="Z59" i="11"/>
  <c r="U59" i="11"/>
  <c r="G59" i="11"/>
  <c r="R59" i="11"/>
  <c r="K59" i="11"/>
  <c r="O59" i="11"/>
  <c r="H59" i="11"/>
  <c r="Y59" i="11"/>
  <c r="F59" i="11"/>
  <c r="X59" i="11"/>
  <c r="C59" i="11"/>
  <c r="A12" i="11"/>
  <c r="AW11" i="11"/>
  <c r="P11" i="11"/>
  <c r="AG11" i="11"/>
  <c r="AK11" i="11"/>
  <c r="AS11" i="11"/>
  <c r="AX11" i="11"/>
  <c r="AJ11" i="11"/>
  <c r="AN11" i="11"/>
  <c r="AO11" i="11"/>
  <c r="AH11" i="11"/>
  <c r="AT11" i="11"/>
  <c r="AR11" i="11"/>
  <c r="Q11" i="11"/>
  <c r="AD11" i="11"/>
  <c r="AP11" i="11"/>
  <c r="AF11" i="11"/>
  <c r="D11" i="11"/>
  <c r="M11" i="11"/>
  <c r="AA11" i="11"/>
  <c r="N11" i="11"/>
  <c r="AL11" i="11"/>
  <c r="W11" i="11"/>
  <c r="AI11" i="11"/>
  <c r="AQ11" i="11"/>
  <c r="AM11" i="11"/>
  <c r="AU11" i="11"/>
  <c r="AE11" i="11"/>
  <c r="AV11" i="11"/>
  <c r="L11" i="11"/>
  <c r="Y11" i="11"/>
  <c r="S11" i="11"/>
  <c r="K11" i="11"/>
  <c r="O11" i="11"/>
  <c r="R11" i="11"/>
  <c r="T11" i="11"/>
  <c r="E11" i="11"/>
  <c r="AB11" i="11"/>
  <c r="H11" i="11"/>
  <c r="J11" i="11"/>
  <c r="Z11" i="11"/>
  <c r="G11" i="11"/>
  <c r="AC11" i="11"/>
  <c r="I11" i="11"/>
  <c r="V11" i="11"/>
  <c r="U11" i="11"/>
  <c r="X11" i="11"/>
  <c r="F11" i="11"/>
  <c r="C11" i="11"/>
  <c r="A25" i="11"/>
  <c r="AW24" i="11"/>
  <c r="L24" i="11"/>
  <c r="AP24" i="11"/>
  <c r="AR24" i="11"/>
  <c r="AK24" i="11"/>
  <c r="Q24" i="11"/>
  <c r="D24" i="11"/>
  <c r="M24" i="11"/>
  <c r="AT24" i="11"/>
  <c r="AH24" i="11"/>
  <c r="AD24" i="11"/>
  <c r="AL24" i="11"/>
  <c r="AF24" i="11"/>
  <c r="W24" i="11"/>
  <c r="AI24" i="11"/>
  <c r="N24" i="11"/>
  <c r="AM24" i="11"/>
  <c r="AQ24" i="11"/>
  <c r="AU24" i="11"/>
  <c r="P24" i="11"/>
  <c r="AX24" i="11"/>
  <c r="AV24" i="11"/>
  <c r="AJ24" i="11"/>
  <c r="S24" i="11"/>
  <c r="T24" i="11"/>
  <c r="AO24" i="11"/>
  <c r="AN24" i="11"/>
  <c r="AS24" i="11"/>
  <c r="AE24" i="11"/>
  <c r="AG24" i="11"/>
  <c r="AA24" i="11"/>
  <c r="J24" i="11"/>
  <c r="Z24" i="11"/>
  <c r="AC24" i="11"/>
  <c r="O24" i="11"/>
  <c r="G24" i="11"/>
  <c r="V24" i="11"/>
  <c r="R24" i="11"/>
  <c r="H24" i="11"/>
  <c r="E24" i="11"/>
  <c r="U24" i="11"/>
  <c r="K24" i="11"/>
  <c r="AB24" i="11"/>
  <c r="I24" i="11"/>
  <c r="Y24" i="11"/>
  <c r="F24" i="11"/>
  <c r="X24" i="11"/>
  <c r="C24" i="11"/>
  <c r="A96" i="11"/>
  <c r="A48" i="11"/>
  <c r="AW47" i="11"/>
  <c r="AV47" i="11"/>
  <c r="AC47" i="11"/>
  <c r="AK47" i="11"/>
  <c r="AS47" i="11"/>
  <c r="AD47" i="11"/>
  <c r="AT47" i="11"/>
  <c r="Z47" i="11"/>
  <c r="Y47" i="11"/>
  <c r="O47" i="11"/>
  <c r="X47" i="11"/>
  <c r="AN47" i="11"/>
  <c r="K47" i="11"/>
  <c r="S47" i="11"/>
  <c r="AM47" i="11"/>
  <c r="AQ47" i="11"/>
  <c r="AI47" i="11"/>
  <c r="AL47" i="11"/>
  <c r="R47" i="11"/>
  <c r="AJ47" i="11"/>
  <c r="G47" i="11"/>
  <c r="W47" i="11"/>
  <c r="P47" i="11"/>
  <c r="AH47" i="11"/>
  <c r="AP47" i="11"/>
  <c r="F47" i="11"/>
  <c r="E47" i="11"/>
  <c r="U47" i="11"/>
  <c r="AF47" i="11"/>
  <c r="M47" i="11"/>
  <c r="AE47" i="11"/>
  <c r="AO47" i="11"/>
  <c r="H47" i="11"/>
  <c r="AX47" i="11"/>
  <c r="J47" i="11"/>
  <c r="T47" i="11"/>
  <c r="AR47" i="11"/>
  <c r="C47" i="11"/>
  <c r="AB47" i="11"/>
  <c r="AU47" i="11"/>
  <c r="AA47" i="11"/>
  <c r="L47" i="11"/>
  <c r="D47" i="11"/>
  <c r="I47" i="11"/>
  <c r="AG47" i="11"/>
  <c r="V47" i="11"/>
  <c r="N47" i="11"/>
  <c r="Q47" i="11"/>
  <c r="A36" i="11"/>
  <c r="AW35" i="11"/>
  <c r="Q35" i="11"/>
  <c r="AH35" i="11"/>
  <c r="AD35" i="11"/>
  <c r="AL35" i="11"/>
  <c r="AP35" i="11"/>
  <c r="AF35" i="11"/>
  <c r="AR35" i="11"/>
  <c r="AE35" i="11"/>
  <c r="D35" i="11"/>
  <c r="AM35" i="11"/>
  <c r="M35" i="11"/>
  <c r="I35" i="11"/>
  <c r="N35" i="11"/>
  <c r="AI35" i="11"/>
  <c r="AQ35" i="11"/>
  <c r="AU35" i="11"/>
  <c r="W35" i="11"/>
  <c r="AA35" i="11"/>
  <c r="AT35" i="11"/>
  <c r="AV35" i="11"/>
  <c r="S35" i="11"/>
  <c r="AG35" i="11"/>
  <c r="AS35" i="11"/>
  <c r="AK35" i="11"/>
  <c r="AX35" i="11"/>
  <c r="L35" i="11"/>
  <c r="G35" i="11"/>
  <c r="P35" i="11"/>
  <c r="AO35" i="11"/>
  <c r="AJ35" i="11"/>
  <c r="AN35" i="11"/>
  <c r="O35" i="11"/>
  <c r="K35" i="11"/>
  <c r="J35" i="11"/>
  <c r="AB35" i="11"/>
  <c r="R35" i="11"/>
  <c r="E35" i="11"/>
  <c r="T35" i="11"/>
  <c r="AC35" i="11"/>
  <c r="Z35" i="11"/>
  <c r="V35" i="11"/>
  <c r="Y35" i="11"/>
  <c r="H35" i="11"/>
  <c r="U35" i="11"/>
  <c r="X35" i="11"/>
  <c r="F35" i="11"/>
  <c r="C35" i="11"/>
  <c r="A84" i="11"/>
  <c r="A108" i="11"/>
  <c r="AW107" i="11"/>
  <c r="AW119" i="11"/>
  <c r="A120" i="11"/>
  <c r="AJ119" i="11"/>
  <c r="AN119" i="11"/>
  <c r="AO119" i="11"/>
  <c r="AS119" i="11"/>
  <c r="A132" i="11"/>
  <c r="P119" i="11"/>
  <c r="AG119" i="11"/>
  <c r="AX119" i="11"/>
  <c r="AH119" i="11"/>
  <c r="Q119" i="11"/>
  <c r="AT119" i="11"/>
  <c r="AR119" i="11"/>
  <c r="AK119" i="11"/>
  <c r="AP119" i="11"/>
  <c r="AL119" i="11"/>
  <c r="AB119" i="11"/>
  <c r="AF119" i="11"/>
  <c r="AD119" i="11"/>
  <c r="S119" i="11"/>
  <c r="M119" i="11"/>
  <c r="N119" i="11"/>
  <c r="W119" i="11"/>
  <c r="D119" i="11"/>
  <c r="AI119" i="11"/>
  <c r="AQ119" i="11"/>
  <c r="AM119" i="11"/>
  <c r="AU119" i="11"/>
  <c r="L119" i="11"/>
  <c r="AE119" i="11"/>
  <c r="AV119" i="11"/>
  <c r="G119" i="11"/>
  <c r="J119" i="11"/>
  <c r="Z119" i="11"/>
  <c r="T119" i="11"/>
  <c r="AC119" i="11"/>
  <c r="I119" i="11"/>
  <c r="O119" i="11"/>
  <c r="H119" i="11"/>
  <c r="AA119" i="11"/>
  <c r="E119" i="11"/>
  <c r="U119" i="11"/>
  <c r="K119" i="11"/>
  <c r="R119" i="11"/>
  <c r="V119" i="11"/>
  <c r="F119" i="11"/>
  <c r="Y119" i="11"/>
  <c r="X119" i="11"/>
  <c r="C119" i="11"/>
  <c r="A72" i="11"/>
  <c r="AW71" i="11"/>
  <c r="AN71" i="11"/>
  <c r="AK71" i="11"/>
  <c r="AS71" i="11"/>
  <c r="AJ71" i="11"/>
  <c r="AG71" i="11"/>
  <c r="AO71" i="11"/>
  <c r="AX71" i="11"/>
  <c r="AH71" i="11"/>
  <c r="P71" i="11"/>
  <c r="Q71" i="11"/>
  <c r="AR71" i="11"/>
  <c r="D71" i="11"/>
  <c r="I71" i="11"/>
  <c r="AL71" i="11"/>
  <c r="AP71" i="11"/>
  <c r="AD71" i="11"/>
  <c r="AF71" i="11"/>
  <c r="M71" i="11"/>
  <c r="AA71" i="11"/>
  <c r="AM71" i="11"/>
  <c r="AT71" i="11"/>
  <c r="W71" i="11"/>
  <c r="AQ71" i="11"/>
  <c r="AU71" i="11"/>
  <c r="N71" i="11"/>
  <c r="AI71" i="11"/>
  <c r="AE71" i="11"/>
  <c r="U71" i="11"/>
  <c r="AV71" i="11"/>
  <c r="S71" i="11"/>
  <c r="L71" i="11"/>
  <c r="G71" i="11"/>
  <c r="K71" i="11"/>
  <c r="Z71" i="11"/>
  <c r="R71" i="11"/>
  <c r="J71" i="11"/>
  <c r="V71" i="11"/>
  <c r="T71" i="11"/>
  <c r="E71" i="11"/>
  <c r="H71" i="11"/>
  <c r="AC71" i="11"/>
  <c r="AB71" i="11"/>
  <c r="O71" i="11"/>
  <c r="Y71" i="11"/>
  <c r="F71" i="11"/>
  <c r="X71" i="11"/>
  <c r="C71" i="11"/>
  <c r="AV36" i="11"/>
  <c r="AV23" i="11"/>
  <c r="AV10" i="11"/>
  <c r="K67" i="6"/>
  <c r="AC73" i="6"/>
  <c r="T76" i="6"/>
  <c r="AQ67" i="6"/>
  <c r="AG73" i="6"/>
  <c r="I61" i="6"/>
  <c r="AA55" i="6"/>
  <c r="AI67" i="6"/>
  <c r="J70" i="6"/>
  <c r="U73" i="6"/>
  <c r="AW73" i="6"/>
  <c r="AB76" i="6"/>
  <c r="AU55" i="6"/>
  <c r="M73" i="6"/>
  <c r="AF76" i="6"/>
  <c r="Z58" i="6"/>
  <c r="O67" i="6"/>
  <c r="X76" i="6"/>
  <c r="F58" i="6"/>
  <c r="A85" i="11" l="1"/>
  <c r="AW84" i="11"/>
  <c r="AG84" i="11"/>
  <c r="AK84" i="11"/>
  <c r="AN84" i="11"/>
  <c r="AJ84" i="11"/>
  <c r="P84" i="11"/>
  <c r="AS84" i="11"/>
  <c r="AX84" i="11"/>
  <c r="AP84" i="11"/>
  <c r="AR84" i="11"/>
  <c r="AO84" i="11"/>
  <c r="AD84" i="11"/>
  <c r="AL84" i="11"/>
  <c r="AF84" i="11"/>
  <c r="AT84" i="11"/>
  <c r="M84" i="11"/>
  <c r="W84" i="11"/>
  <c r="AE84" i="11"/>
  <c r="AI84" i="11"/>
  <c r="AH84" i="11"/>
  <c r="D84" i="11"/>
  <c r="Z84" i="11"/>
  <c r="N84" i="11"/>
  <c r="AU84" i="11"/>
  <c r="AA84" i="11"/>
  <c r="Q84" i="11"/>
  <c r="AM84" i="11"/>
  <c r="AQ84" i="11"/>
  <c r="L84" i="11"/>
  <c r="AV84" i="11"/>
  <c r="S84" i="11"/>
  <c r="G84" i="11"/>
  <c r="AB84" i="11"/>
  <c r="V84" i="11"/>
  <c r="H84" i="11"/>
  <c r="K84" i="11"/>
  <c r="E84" i="11"/>
  <c r="Y84" i="11"/>
  <c r="U84" i="11"/>
  <c r="AC84" i="11"/>
  <c r="J84" i="11"/>
  <c r="T84" i="11"/>
  <c r="I84" i="11"/>
  <c r="O84" i="11"/>
  <c r="R84" i="11"/>
  <c r="F84" i="11"/>
  <c r="X84" i="11"/>
  <c r="C84" i="11"/>
  <c r="A49" i="11"/>
  <c r="AW48" i="11"/>
  <c r="AH48" i="11"/>
  <c r="AT48" i="11"/>
  <c r="AR48" i="11"/>
  <c r="D48" i="11"/>
  <c r="M48" i="11"/>
  <c r="AL48" i="11"/>
  <c r="AP48" i="11"/>
  <c r="AD48" i="11"/>
  <c r="N48" i="11"/>
  <c r="W48" i="11"/>
  <c r="AA48" i="11"/>
  <c r="AQ48" i="11"/>
  <c r="AU48" i="11"/>
  <c r="AI48" i="11"/>
  <c r="AM48" i="11"/>
  <c r="Q48" i="11"/>
  <c r="S48" i="11"/>
  <c r="AE48" i="11"/>
  <c r="AF48" i="11"/>
  <c r="AV48" i="11"/>
  <c r="AO48" i="11"/>
  <c r="AS48" i="11"/>
  <c r="P48" i="11"/>
  <c r="AG48" i="11"/>
  <c r="AJ48" i="11"/>
  <c r="AK48" i="11"/>
  <c r="AX48" i="11"/>
  <c r="AN48" i="11"/>
  <c r="L48" i="11"/>
  <c r="K48" i="11"/>
  <c r="G48" i="11"/>
  <c r="AB48" i="11"/>
  <c r="V48" i="11"/>
  <c r="Z48" i="11"/>
  <c r="J48" i="11"/>
  <c r="R48" i="11"/>
  <c r="Y48" i="11"/>
  <c r="E48" i="11"/>
  <c r="AC48" i="11"/>
  <c r="I48" i="11"/>
  <c r="T48" i="11"/>
  <c r="O48" i="11"/>
  <c r="U48" i="11"/>
  <c r="F48" i="11"/>
  <c r="H48" i="11"/>
  <c r="X48" i="11"/>
  <c r="C48" i="11"/>
  <c r="A97" i="11"/>
  <c r="A73" i="11"/>
  <c r="AW72" i="11"/>
  <c r="AS72" i="11"/>
  <c r="Q72" i="11"/>
  <c r="AD72" i="11"/>
  <c r="AP72" i="11"/>
  <c r="AL72" i="11"/>
  <c r="AT72" i="11"/>
  <c r="AR72" i="11"/>
  <c r="AH72" i="11"/>
  <c r="AF72" i="11"/>
  <c r="D72" i="11"/>
  <c r="W72" i="11"/>
  <c r="M72" i="11"/>
  <c r="N72" i="11"/>
  <c r="AA72" i="11"/>
  <c r="AM72" i="11"/>
  <c r="AU72" i="11"/>
  <c r="AI72" i="11"/>
  <c r="AQ72" i="11"/>
  <c r="S72" i="11"/>
  <c r="AX72" i="11"/>
  <c r="AE72" i="11"/>
  <c r="AV72" i="11"/>
  <c r="L72" i="11"/>
  <c r="AK72" i="11"/>
  <c r="AG72" i="11"/>
  <c r="P72" i="11"/>
  <c r="AJ72" i="11"/>
  <c r="G72" i="11"/>
  <c r="AN72" i="11"/>
  <c r="AO72" i="11"/>
  <c r="AB72" i="11"/>
  <c r="Z72" i="11"/>
  <c r="H72" i="11"/>
  <c r="V72" i="11"/>
  <c r="K72" i="11"/>
  <c r="O72" i="11"/>
  <c r="I72" i="11"/>
  <c r="T72" i="11"/>
  <c r="J72" i="11"/>
  <c r="R72" i="11"/>
  <c r="Y72" i="11"/>
  <c r="AC72" i="11"/>
  <c r="E72" i="11"/>
  <c r="U72" i="11"/>
  <c r="X72" i="11"/>
  <c r="F72" i="11"/>
  <c r="C72" i="11"/>
  <c r="AJ132" i="11"/>
  <c r="AW132" i="11"/>
  <c r="AP132" i="11"/>
  <c r="W132" i="11"/>
  <c r="N132" i="11"/>
  <c r="M132" i="11"/>
  <c r="AU132" i="11"/>
  <c r="AR132" i="11"/>
  <c r="AL132" i="11"/>
  <c r="AT132" i="11"/>
  <c r="AD132" i="11"/>
  <c r="AX132" i="11"/>
  <c r="AO132" i="11"/>
  <c r="L132" i="11"/>
  <c r="G132" i="11"/>
  <c r="S132" i="11"/>
  <c r="AM132" i="11"/>
  <c r="AV132" i="11"/>
  <c r="AF132" i="11"/>
  <c r="AG132" i="11"/>
  <c r="D132" i="11"/>
  <c r="Q132" i="11"/>
  <c r="AQ132" i="11"/>
  <c r="AH132" i="11"/>
  <c r="AI132" i="11"/>
  <c r="AE132" i="11"/>
  <c r="P132" i="11"/>
  <c r="AS132" i="11"/>
  <c r="AA132" i="11"/>
  <c r="AK132" i="11"/>
  <c r="A133" i="11"/>
  <c r="AB132" i="11"/>
  <c r="Z132" i="11"/>
  <c r="R132" i="11"/>
  <c r="T132" i="11"/>
  <c r="AN132" i="11"/>
  <c r="K132" i="11"/>
  <c r="J132" i="11"/>
  <c r="O132" i="11"/>
  <c r="X132" i="11"/>
  <c r="I132" i="11"/>
  <c r="V132" i="11"/>
  <c r="E132" i="11"/>
  <c r="A145" i="11"/>
  <c r="H132" i="11"/>
  <c r="AC132" i="11"/>
  <c r="Y132" i="11"/>
  <c r="F132" i="11"/>
  <c r="U132" i="11"/>
  <c r="C132" i="11"/>
  <c r="A109" i="11"/>
  <c r="A37" i="11"/>
  <c r="AW36" i="11"/>
  <c r="A26" i="11"/>
  <c r="A27" i="11" s="1"/>
  <c r="A121" i="11"/>
  <c r="AW120" i="11"/>
  <c r="AV120" i="11"/>
  <c r="P120" i="11"/>
  <c r="Z120" i="11"/>
  <c r="T120" i="11"/>
  <c r="K120" i="11"/>
  <c r="AL120" i="11"/>
  <c r="R120" i="11"/>
  <c r="S120" i="11"/>
  <c r="AX120" i="11"/>
  <c r="AP120" i="11"/>
  <c r="J120" i="11"/>
  <c r="D120" i="11"/>
  <c r="AM120" i="11"/>
  <c r="AA120" i="11"/>
  <c r="AU120" i="11"/>
  <c r="Y120" i="11"/>
  <c r="Q120" i="11"/>
  <c r="X120" i="11"/>
  <c r="U120" i="11"/>
  <c r="O120" i="11"/>
  <c r="M120" i="11"/>
  <c r="N120" i="11"/>
  <c r="AQ120" i="11"/>
  <c r="W120" i="11"/>
  <c r="AG120" i="11"/>
  <c r="AD120" i="11"/>
  <c r="AO120" i="11"/>
  <c r="AH120" i="11"/>
  <c r="AT120" i="11"/>
  <c r="AC120" i="11"/>
  <c r="AB120" i="11"/>
  <c r="G120" i="11"/>
  <c r="H120" i="11"/>
  <c r="V120" i="11"/>
  <c r="C120" i="11"/>
  <c r="AE120" i="11"/>
  <c r="AJ120" i="11"/>
  <c r="AK120" i="11"/>
  <c r="E120" i="11"/>
  <c r="I120" i="11"/>
  <c r="F120" i="11"/>
  <c r="AS120" i="11"/>
  <c r="AN120" i="11"/>
  <c r="L120" i="11"/>
  <c r="AF120" i="11"/>
  <c r="AR120" i="11"/>
  <c r="AI120" i="11"/>
  <c r="A13" i="11"/>
  <c r="A14" i="11" s="1"/>
  <c r="A61" i="11"/>
  <c r="AW60" i="11"/>
  <c r="AV60" i="11"/>
  <c r="W60" i="11"/>
  <c r="AU60" i="11"/>
  <c r="AA60" i="11"/>
  <c r="G60" i="11"/>
  <c r="AL60" i="11"/>
  <c r="D60" i="11"/>
  <c r="R60" i="11"/>
  <c r="I60" i="11"/>
  <c r="AJ60" i="11"/>
  <c r="AK60" i="11"/>
  <c r="J60" i="11"/>
  <c r="U60" i="11"/>
  <c r="AP60" i="11"/>
  <c r="AF60" i="11"/>
  <c r="AD60" i="11"/>
  <c r="AQ60" i="11"/>
  <c r="Y60" i="11"/>
  <c r="Q60" i="11"/>
  <c r="X60" i="11"/>
  <c r="AN60" i="11"/>
  <c r="AX60" i="11"/>
  <c r="V60" i="11"/>
  <c r="T60" i="11"/>
  <c r="AR60" i="11"/>
  <c r="AM60" i="11"/>
  <c r="AI60" i="11"/>
  <c r="F60" i="11"/>
  <c r="L60" i="11"/>
  <c r="AG60" i="11"/>
  <c r="AT60" i="11"/>
  <c r="H60" i="11"/>
  <c r="O60" i="11"/>
  <c r="K60" i="11"/>
  <c r="N60" i="11"/>
  <c r="S60" i="11"/>
  <c r="P60" i="11"/>
  <c r="AB60" i="11"/>
  <c r="AE60" i="11"/>
  <c r="C60" i="11"/>
  <c r="AO60" i="11"/>
  <c r="Z60" i="11"/>
  <c r="AS60" i="11"/>
  <c r="E60" i="11"/>
  <c r="AC60" i="11"/>
  <c r="M60" i="11"/>
  <c r="AH60" i="11"/>
  <c r="R55" i="1"/>
  <c r="F36" i="11"/>
  <c r="X36" i="11"/>
  <c r="X23" i="11"/>
  <c r="AN36" i="11"/>
  <c r="AN23" i="11"/>
  <c r="K36" i="11"/>
  <c r="K23" i="11"/>
  <c r="L49" i="11"/>
  <c r="P10" i="11"/>
  <c r="Y49" i="11"/>
  <c r="Y10" i="11"/>
  <c r="AG49" i="11"/>
  <c r="AG10" i="11"/>
  <c r="AO49" i="11"/>
  <c r="AO10" i="11"/>
  <c r="AS23" i="11"/>
  <c r="O10" i="11"/>
  <c r="AX36" i="11"/>
  <c r="AX49" i="11"/>
  <c r="Q36" i="11"/>
  <c r="AH49" i="11"/>
  <c r="AH10" i="11"/>
  <c r="AP49" i="11"/>
  <c r="AP10" i="11"/>
  <c r="AT23" i="11"/>
  <c r="J36" i="11"/>
  <c r="T36" i="11"/>
  <c r="T23" i="11"/>
  <c r="AB36" i="11"/>
  <c r="AB23" i="11"/>
  <c r="AR36" i="11"/>
  <c r="AR23" i="11"/>
  <c r="H10" i="11"/>
  <c r="H23" i="11"/>
  <c r="M23" i="11"/>
  <c r="V49" i="11"/>
  <c r="V10" i="11"/>
  <c r="E36" i="11"/>
  <c r="I49" i="11"/>
  <c r="I10" i="11"/>
  <c r="N10" i="11"/>
  <c r="S36" i="11"/>
  <c r="F10" i="11"/>
  <c r="X10" i="11"/>
  <c r="AJ49" i="11"/>
  <c r="AN10" i="11"/>
  <c r="G49" i="11"/>
  <c r="K10" i="11"/>
  <c r="L36" i="11"/>
  <c r="L23" i="11"/>
  <c r="U36" i="11"/>
  <c r="Y23" i="11"/>
  <c r="AC36" i="11"/>
  <c r="AG23" i="11"/>
  <c r="AK36" i="11"/>
  <c r="AO23" i="11"/>
  <c r="AS36" i="11"/>
  <c r="AX10" i="11"/>
  <c r="AX23" i="11"/>
  <c r="Q49" i="11"/>
  <c r="AD36" i="11"/>
  <c r="AH23" i="11"/>
  <c r="AL36" i="11"/>
  <c r="AP23" i="11"/>
  <c r="AT36" i="11"/>
  <c r="J10" i="11"/>
  <c r="T10" i="11"/>
  <c r="AB10" i="11"/>
  <c r="AF49" i="11"/>
  <c r="AR10" i="11"/>
  <c r="D49" i="11"/>
  <c r="R36" i="11"/>
  <c r="V23" i="11"/>
  <c r="Z36" i="11"/>
  <c r="E49" i="11"/>
  <c r="I23" i="11"/>
  <c r="N49" i="11"/>
  <c r="S10" i="11"/>
  <c r="W49" i="11"/>
  <c r="AA10" i="11"/>
  <c r="AE49" i="11"/>
  <c r="F49" i="11"/>
  <c r="AJ36" i="11"/>
  <c r="AJ23" i="11"/>
  <c r="G36" i="11"/>
  <c r="G23" i="11"/>
  <c r="L10" i="11"/>
  <c r="P49" i="11"/>
  <c r="U49" i="11"/>
  <c r="U10" i="11"/>
  <c r="AC49" i="11"/>
  <c r="AC10" i="11"/>
  <c r="AK49" i="11"/>
  <c r="AK10" i="11"/>
  <c r="AS10" i="11"/>
  <c r="O49" i="11"/>
  <c r="Q23" i="11"/>
  <c r="AD49" i="11"/>
  <c r="AD10" i="11"/>
  <c r="AL49" i="11"/>
  <c r="AL10" i="11"/>
  <c r="AT10" i="11"/>
  <c r="J49" i="11"/>
  <c r="AF36" i="11"/>
  <c r="AF23" i="11"/>
  <c r="D36" i="11"/>
  <c r="D23" i="11"/>
  <c r="M36" i="11"/>
  <c r="R49" i="11"/>
  <c r="R10" i="11"/>
  <c r="Z49" i="11"/>
  <c r="Z10" i="11"/>
  <c r="E23" i="11"/>
  <c r="I36" i="11"/>
  <c r="N23" i="11"/>
  <c r="F23" i="11"/>
  <c r="X49" i="11"/>
  <c r="AJ10" i="11"/>
  <c r="AN49" i="11"/>
  <c r="G10" i="11"/>
  <c r="K49" i="11"/>
  <c r="P36" i="11"/>
  <c r="P23" i="11"/>
  <c r="U23" i="11"/>
  <c r="Y36" i="11"/>
  <c r="AC23" i="11"/>
  <c r="AG36" i="11"/>
  <c r="AK23" i="11"/>
  <c r="AO36" i="11"/>
  <c r="AS49" i="11"/>
  <c r="O36" i="11"/>
  <c r="O23" i="11"/>
  <c r="Q10" i="11"/>
  <c r="AD23" i="11"/>
  <c r="AH36" i="11"/>
  <c r="AL23" i="11"/>
  <c r="AP36" i="11"/>
  <c r="AT49" i="11"/>
  <c r="J23" i="11"/>
  <c r="T49" i="11"/>
  <c r="AB49" i="11"/>
  <c r="AF10" i="11"/>
  <c r="AR49" i="11"/>
  <c r="D10" i="11"/>
  <c r="H36" i="11"/>
  <c r="H49" i="11"/>
  <c r="M49" i="11"/>
  <c r="M10" i="11"/>
  <c r="R23" i="11"/>
  <c r="V36" i="11"/>
  <c r="Z23" i="11"/>
  <c r="E10" i="11"/>
  <c r="N36" i="11"/>
  <c r="S49" i="11"/>
  <c r="W10" i="11"/>
  <c r="AA36" i="11"/>
  <c r="AI49" i="11"/>
  <c r="AM10" i="11"/>
  <c r="AQ49" i="11"/>
  <c r="AU36" i="11"/>
  <c r="AU49" i="11"/>
  <c r="AU10" i="11"/>
  <c r="AE36" i="11"/>
  <c r="AI36" i="11"/>
  <c r="AI23" i="11"/>
  <c r="AQ36" i="11"/>
  <c r="AQ23" i="11"/>
  <c r="AU23" i="11"/>
  <c r="AA49" i="11"/>
  <c r="AA23" i="11"/>
  <c r="AE10" i="11"/>
  <c r="AI10" i="11"/>
  <c r="AM49" i="11"/>
  <c r="AQ10" i="11"/>
  <c r="S23" i="11"/>
  <c r="W36" i="11"/>
  <c r="W23" i="11"/>
  <c r="AE23" i="11"/>
  <c r="AM36" i="11"/>
  <c r="AM23" i="11"/>
  <c r="C49" i="11"/>
  <c r="C36" i="11"/>
  <c r="C10" i="11"/>
  <c r="C23" i="11"/>
  <c r="W67" i="6"/>
  <c r="I73" i="6"/>
  <c r="E61" i="6"/>
  <c r="AN64" i="6"/>
  <c r="AH70" i="6"/>
  <c r="Q61" i="6"/>
  <c r="AV76" i="6"/>
  <c r="AM55" i="6"/>
  <c r="AJ64" i="6"/>
  <c r="K55" i="6"/>
  <c r="AR76" i="6"/>
  <c r="AR64" i="6"/>
  <c r="P64" i="6"/>
  <c r="X64" i="6"/>
  <c r="L64" i="6"/>
  <c r="S55" i="6"/>
  <c r="AI55" i="6"/>
  <c r="AX58" i="6"/>
  <c r="R70" i="6"/>
  <c r="AA67" i="6"/>
  <c r="AS61" i="6"/>
  <c r="AG61" i="6"/>
  <c r="U61" i="6"/>
  <c r="Y61" i="6"/>
  <c r="E73" i="6"/>
  <c r="M61" i="6"/>
  <c r="O55" i="6"/>
  <c r="AL70" i="6"/>
  <c r="AP58" i="6"/>
  <c r="AC61" i="6"/>
  <c r="AW61" i="6"/>
  <c r="V70" i="6"/>
  <c r="G67" i="6"/>
  <c r="AZ64" i="6"/>
  <c r="AK73" i="6"/>
  <c r="AY67" i="6"/>
  <c r="AK61" i="6"/>
  <c r="AE55" i="6"/>
  <c r="AT70" i="6"/>
  <c r="G55" i="6"/>
  <c r="AD70" i="6"/>
  <c r="AY55" i="6"/>
  <c r="Q73" i="6"/>
  <c r="AE67" i="6"/>
  <c r="AX70" i="6"/>
  <c r="AJ76" i="6"/>
  <c r="AM67" i="6"/>
  <c r="T64" i="6"/>
  <c r="AF64" i="6"/>
  <c r="V58" i="6"/>
  <c r="AV64" i="6"/>
  <c r="AD58" i="6"/>
  <c r="AB64" i="6"/>
  <c r="H64" i="6"/>
  <c r="S67" i="6"/>
  <c r="AH58" i="6"/>
  <c r="AZ76" i="6"/>
  <c r="A98" i="11" l="1"/>
  <c r="AW97" i="11"/>
  <c r="P97" i="11"/>
  <c r="AG97" i="11"/>
  <c r="AX97" i="11"/>
  <c r="AK97" i="11"/>
  <c r="AJ97" i="11"/>
  <c r="AN97" i="11"/>
  <c r="L97" i="11"/>
  <c r="AO97" i="11"/>
  <c r="AS97" i="11"/>
  <c r="AH97" i="11"/>
  <c r="AD97" i="11"/>
  <c r="AL97" i="11"/>
  <c r="AT97" i="11"/>
  <c r="D97" i="11"/>
  <c r="M97" i="11"/>
  <c r="Q97" i="11"/>
  <c r="AP97" i="11"/>
  <c r="AF97" i="11"/>
  <c r="N97" i="11"/>
  <c r="AM97" i="11"/>
  <c r="W97" i="11"/>
  <c r="AU97" i="11"/>
  <c r="AI97" i="11"/>
  <c r="AQ97" i="11"/>
  <c r="AR97" i="11"/>
  <c r="AV97" i="11"/>
  <c r="AE97" i="11"/>
  <c r="S97" i="11"/>
  <c r="G97" i="11"/>
  <c r="R97" i="11"/>
  <c r="K97" i="11"/>
  <c r="E97" i="11"/>
  <c r="V97" i="11"/>
  <c r="Y97" i="11"/>
  <c r="AB97" i="11"/>
  <c r="Z97" i="11"/>
  <c r="H97" i="11"/>
  <c r="AA97" i="11"/>
  <c r="AC97" i="11"/>
  <c r="J97" i="11"/>
  <c r="O97" i="11"/>
  <c r="I97" i="11"/>
  <c r="F97" i="11"/>
  <c r="T97" i="11"/>
  <c r="X97" i="11"/>
  <c r="U97" i="11"/>
  <c r="C97" i="11"/>
  <c r="A62" i="11"/>
  <c r="AW61" i="11"/>
  <c r="Q61" i="11"/>
  <c r="AD61" i="11"/>
  <c r="AP61" i="11"/>
  <c r="AL61" i="11"/>
  <c r="AT61" i="11"/>
  <c r="AR61" i="11"/>
  <c r="AF61" i="11"/>
  <c r="W61" i="11"/>
  <c r="AQ61" i="11"/>
  <c r="AI61" i="11"/>
  <c r="AU61" i="11"/>
  <c r="D61" i="11"/>
  <c r="M61" i="11"/>
  <c r="N61" i="11"/>
  <c r="AA61" i="11"/>
  <c r="AM61" i="11"/>
  <c r="AE61" i="11"/>
  <c r="S61" i="11"/>
  <c r="AH61" i="11"/>
  <c r="AV61" i="11"/>
  <c r="AG61" i="11"/>
  <c r="AX61" i="11"/>
  <c r="AS61" i="11"/>
  <c r="AK61" i="11"/>
  <c r="L61" i="11"/>
  <c r="P61" i="11"/>
  <c r="AO61" i="11"/>
  <c r="AJ61" i="11"/>
  <c r="G61" i="11"/>
  <c r="AC61" i="11"/>
  <c r="R61" i="11"/>
  <c r="Z61" i="11"/>
  <c r="H61" i="11"/>
  <c r="V61" i="11"/>
  <c r="U61" i="11"/>
  <c r="AN61" i="11"/>
  <c r="O61" i="11"/>
  <c r="I61" i="11"/>
  <c r="AB61" i="11"/>
  <c r="Y61" i="11"/>
  <c r="T61" i="11"/>
  <c r="K61" i="11"/>
  <c r="J61" i="11"/>
  <c r="E61" i="11"/>
  <c r="X61" i="11"/>
  <c r="F61" i="11"/>
  <c r="C61" i="11"/>
  <c r="A122" i="11"/>
  <c r="A38" i="11"/>
  <c r="AW37" i="11"/>
  <c r="AX37" i="11"/>
  <c r="AJ37" i="11"/>
  <c r="AN37" i="11"/>
  <c r="AO37" i="11"/>
  <c r="P37" i="11"/>
  <c r="AK37" i="11"/>
  <c r="AG37" i="11"/>
  <c r="AH37" i="11"/>
  <c r="AL37" i="11"/>
  <c r="AS37" i="11"/>
  <c r="AR37" i="11"/>
  <c r="D37" i="11"/>
  <c r="M37" i="11"/>
  <c r="AD37" i="11"/>
  <c r="AP37" i="11"/>
  <c r="Q37" i="11"/>
  <c r="AT37" i="11"/>
  <c r="AF37" i="11"/>
  <c r="N37" i="11"/>
  <c r="AA37" i="11"/>
  <c r="AQ37" i="11"/>
  <c r="AE37" i="11"/>
  <c r="AM37" i="11"/>
  <c r="AU37" i="11"/>
  <c r="W37" i="11"/>
  <c r="AI37" i="11"/>
  <c r="AV37" i="11"/>
  <c r="S37" i="11"/>
  <c r="L37" i="11"/>
  <c r="G37" i="11"/>
  <c r="I37" i="11"/>
  <c r="R37" i="11"/>
  <c r="E37" i="11"/>
  <c r="AC37" i="11"/>
  <c r="AB37" i="11"/>
  <c r="Z37" i="11"/>
  <c r="O37" i="11"/>
  <c r="H37" i="11"/>
  <c r="V37" i="11"/>
  <c r="X37" i="11"/>
  <c r="K37" i="11"/>
  <c r="J37" i="11"/>
  <c r="T37" i="11"/>
  <c r="Y37" i="11"/>
  <c r="U37" i="11"/>
  <c r="F37" i="11"/>
  <c r="C37" i="11"/>
  <c r="A50" i="11"/>
  <c r="AW49" i="11"/>
  <c r="AV49" i="11"/>
  <c r="AW145" i="11"/>
  <c r="AV145" i="11"/>
  <c r="K145" i="11"/>
  <c r="AC145" i="11"/>
  <c r="V145" i="11"/>
  <c r="T145" i="11"/>
  <c r="Y145" i="11"/>
  <c r="AA145" i="11"/>
  <c r="AB145" i="11"/>
  <c r="J145" i="11"/>
  <c r="Z145" i="11"/>
  <c r="U145" i="11"/>
  <c r="O145" i="11"/>
  <c r="H145" i="11"/>
  <c r="E145" i="11"/>
  <c r="F145" i="11"/>
  <c r="X145" i="11"/>
  <c r="A146" i="11"/>
  <c r="G145" i="11"/>
  <c r="Q145" i="11"/>
  <c r="AE145" i="11"/>
  <c r="AL145" i="11"/>
  <c r="AX145" i="11"/>
  <c r="AD145" i="11"/>
  <c r="AM145" i="11"/>
  <c r="AJ145" i="11"/>
  <c r="P145" i="11"/>
  <c r="N145" i="11"/>
  <c r="AG145" i="11"/>
  <c r="M145" i="11"/>
  <c r="AP145" i="11"/>
  <c r="AT145" i="11"/>
  <c r="AI145" i="11"/>
  <c r="C145" i="11"/>
  <c r="L145" i="11"/>
  <c r="AK145" i="11"/>
  <c r="S145" i="11"/>
  <c r="AO145" i="11"/>
  <c r="R145" i="11"/>
  <c r="AR145" i="11"/>
  <c r="AF145" i="11"/>
  <c r="AU145" i="11"/>
  <c r="A158" i="11"/>
  <c r="AN145" i="11"/>
  <c r="AS145" i="11"/>
  <c r="W145" i="11"/>
  <c r="AH145" i="11"/>
  <c r="AQ145" i="11"/>
  <c r="D145" i="11"/>
  <c r="I145" i="11"/>
  <c r="A74" i="11"/>
  <c r="AW73" i="11"/>
  <c r="AV73" i="11"/>
  <c r="O73" i="11"/>
  <c r="G73" i="11"/>
  <c r="K73" i="11"/>
  <c r="P73" i="11"/>
  <c r="T73" i="11"/>
  <c r="Z73" i="11"/>
  <c r="W73" i="11"/>
  <c r="D73" i="11"/>
  <c r="E73" i="11"/>
  <c r="AC73" i="11"/>
  <c r="AS73" i="11"/>
  <c r="AH73" i="11"/>
  <c r="AP73" i="11"/>
  <c r="AR73" i="11"/>
  <c r="AI73" i="11"/>
  <c r="AE73" i="11"/>
  <c r="M73" i="11"/>
  <c r="Y73" i="11"/>
  <c r="J73" i="11"/>
  <c r="R73" i="11"/>
  <c r="S73" i="11"/>
  <c r="AB73" i="11"/>
  <c r="U73" i="11"/>
  <c r="AX73" i="11"/>
  <c r="AD73" i="11"/>
  <c r="AM73" i="11"/>
  <c r="AU73" i="11"/>
  <c r="AA73" i="11"/>
  <c r="C73" i="11"/>
  <c r="AQ73" i="11"/>
  <c r="AG73" i="11"/>
  <c r="AO73" i="11"/>
  <c r="H73" i="11"/>
  <c r="V73" i="11"/>
  <c r="I73" i="11"/>
  <c r="X73" i="11"/>
  <c r="AN73" i="11"/>
  <c r="AJ73" i="11"/>
  <c r="N73" i="11"/>
  <c r="AK73" i="11"/>
  <c r="F73" i="11"/>
  <c r="AT73" i="11"/>
  <c r="AF73" i="11"/>
  <c r="Q73" i="11"/>
  <c r="L73" i="11"/>
  <c r="AL73" i="11"/>
  <c r="A86" i="11"/>
  <c r="AW85" i="11"/>
  <c r="AX85" i="11"/>
  <c r="Q85" i="11"/>
  <c r="AH85" i="11"/>
  <c r="D85" i="11"/>
  <c r="AP85" i="11"/>
  <c r="AR85" i="11"/>
  <c r="AD85" i="11"/>
  <c r="AT85" i="11"/>
  <c r="W85" i="11"/>
  <c r="AL85" i="11"/>
  <c r="M85" i="11"/>
  <c r="N85" i="11"/>
  <c r="AF85" i="11"/>
  <c r="AI85" i="11"/>
  <c r="AM85" i="11"/>
  <c r="AQ85" i="11"/>
  <c r="AU85" i="11"/>
  <c r="S85" i="11"/>
  <c r="AS85" i="11"/>
  <c r="AV85" i="11"/>
  <c r="AE85" i="11"/>
  <c r="L85" i="11"/>
  <c r="AK85" i="11"/>
  <c r="P85" i="11"/>
  <c r="AO85" i="11"/>
  <c r="AJ85" i="11"/>
  <c r="AG85" i="11"/>
  <c r="AN85" i="11"/>
  <c r="I85" i="11"/>
  <c r="E85" i="11"/>
  <c r="G85" i="11"/>
  <c r="AB85" i="11"/>
  <c r="V85" i="11"/>
  <c r="H85" i="11"/>
  <c r="AA85" i="11"/>
  <c r="AC85" i="11"/>
  <c r="J85" i="11"/>
  <c r="O85" i="11"/>
  <c r="T85" i="11"/>
  <c r="Y85" i="11"/>
  <c r="K85" i="11"/>
  <c r="Z85" i="11"/>
  <c r="R85" i="11"/>
  <c r="F85" i="11"/>
  <c r="X85" i="11"/>
  <c r="U85" i="11"/>
  <c r="C85" i="11"/>
  <c r="A110" i="11"/>
  <c r="A134" i="11"/>
  <c r="AW133" i="11"/>
  <c r="AP133" i="11"/>
  <c r="D133" i="11"/>
  <c r="AG133" i="11"/>
  <c r="I133" i="11"/>
  <c r="AT133" i="11"/>
  <c r="T133" i="11"/>
  <c r="U133" i="11"/>
  <c r="AK133" i="11"/>
  <c r="M133" i="11"/>
  <c r="AE133" i="11"/>
  <c r="AM133" i="11"/>
  <c r="C133" i="11"/>
  <c r="F133" i="11"/>
  <c r="X133" i="11"/>
  <c r="AN133" i="11"/>
  <c r="L133" i="11"/>
  <c r="P133" i="11"/>
  <c r="AX133" i="11"/>
  <c r="AL133" i="11"/>
  <c r="G133" i="11"/>
  <c r="AO133" i="11"/>
  <c r="AR133" i="11"/>
  <c r="W133" i="11"/>
  <c r="AC133" i="11"/>
  <c r="O133" i="11"/>
  <c r="AI133" i="11"/>
  <c r="AV133" i="11"/>
  <c r="H133" i="11"/>
  <c r="R133" i="11"/>
  <c r="AJ133" i="11"/>
  <c r="AA133" i="11"/>
  <c r="AS133" i="11"/>
  <c r="Q133" i="11"/>
  <c r="AD133" i="11"/>
  <c r="V133" i="11"/>
  <c r="N133" i="11"/>
  <c r="AH133" i="11"/>
  <c r="E133" i="11"/>
  <c r="AQ133" i="11"/>
  <c r="AU133" i="11"/>
  <c r="K133" i="11"/>
  <c r="AF133" i="11"/>
  <c r="Z133" i="11"/>
  <c r="Y133" i="11"/>
  <c r="AB133" i="11"/>
  <c r="J133" i="11"/>
  <c r="S133" i="11"/>
  <c r="V36" i="8"/>
  <c r="V38" i="8" s="1"/>
  <c r="B10" i="10"/>
  <c r="N18" i="8"/>
  <c r="N38" i="8" s="1"/>
  <c r="J52" i="1"/>
  <c r="O3" i="13" s="1"/>
  <c r="O4" i="13" s="1"/>
  <c r="N52" i="1"/>
  <c r="N55" i="1" s="1"/>
  <c r="E3" i="1"/>
  <c r="D11" i="1"/>
  <c r="D35" i="1"/>
  <c r="D18" i="1"/>
  <c r="D13" i="1"/>
  <c r="D23" i="1"/>
  <c r="D38" i="1"/>
  <c r="D42" i="1"/>
  <c r="D46" i="1"/>
  <c r="P18" i="8"/>
  <c r="P38" i="8" s="1"/>
  <c r="D30" i="1"/>
  <c r="D16" i="1"/>
  <c r="D20" i="1"/>
  <c r="D37" i="1"/>
  <c r="D41" i="1"/>
  <c r="D45" i="1"/>
  <c r="D7" i="1"/>
  <c r="D10" i="1"/>
  <c r="D17" i="1"/>
  <c r="T54" i="1"/>
  <c r="T38" i="8"/>
  <c r="B14" i="10"/>
  <c r="D29" i="1"/>
  <c r="D31" i="1"/>
  <c r="D16" i="7"/>
  <c r="F16" i="7" s="1"/>
  <c r="L38" i="8"/>
  <c r="B4" i="15"/>
  <c r="D22" i="1"/>
  <c r="F18" i="8"/>
  <c r="B6" i="10"/>
  <c r="G20" i="10"/>
  <c r="K52" i="1"/>
  <c r="P3" i="13" s="1"/>
  <c r="P4" i="13" s="1"/>
  <c r="D4" i="1"/>
  <c r="D8" i="1"/>
  <c r="D15" i="1"/>
  <c r="D32" i="1"/>
  <c r="D5" i="1"/>
  <c r="D28" i="1"/>
  <c r="D25" i="1"/>
  <c r="D34" i="1"/>
  <c r="D39" i="1"/>
  <c r="D43" i="1"/>
  <c r="D47" i="1"/>
  <c r="H18" i="8"/>
  <c r="H38" i="8" s="1"/>
  <c r="B16" i="15"/>
  <c r="B12" i="15"/>
  <c r="L52" i="1"/>
  <c r="E2" i="1"/>
  <c r="D12" i="1"/>
  <c r="D26" i="1"/>
  <c r="D27" i="1"/>
  <c r="D21" i="1"/>
  <c r="D24" i="1"/>
  <c r="D36" i="1"/>
  <c r="D40" i="1"/>
  <c r="D44" i="1"/>
  <c r="D48" i="1"/>
  <c r="J18" i="8"/>
  <c r="R18" i="8"/>
  <c r="R38" i="8" s="1"/>
  <c r="J36" i="8"/>
  <c r="E20" i="15"/>
  <c r="B15" i="10"/>
  <c r="P52" i="1"/>
  <c r="U3" i="13" s="1"/>
  <c r="U4" i="13" s="1"/>
  <c r="D9" i="1"/>
  <c r="M52" i="1"/>
  <c r="R3" i="13" s="1"/>
  <c r="R4" i="13" s="1"/>
  <c r="U52" i="1"/>
  <c r="D3" i="1"/>
  <c r="D6" i="1"/>
  <c r="D14" i="1"/>
  <c r="D19" i="1"/>
  <c r="D33" i="1"/>
  <c r="D51" i="1"/>
  <c r="Z18" i="8"/>
  <c r="Z38" i="8" s="1"/>
  <c r="B2" i="10"/>
  <c r="K8" i="13"/>
  <c r="S3" i="13"/>
  <c r="S4" i="13" s="1"/>
  <c r="T52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135" i="11" l="1"/>
  <c r="A75" i="11"/>
  <c r="AW74" i="11"/>
  <c r="AL74" i="11"/>
  <c r="W74" i="11"/>
  <c r="AI74" i="11"/>
  <c r="N74" i="11"/>
  <c r="AH74" i="11"/>
  <c r="AR74" i="11"/>
  <c r="AT74" i="11"/>
  <c r="AM74" i="11"/>
  <c r="M74" i="11"/>
  <c r="AQ74" i="11"/>
  <c r="AU74" i="11"/>
  <c r="D74" i="11"/>
  <c r="AD74" i="11"/>
  <c r="E74" i="11"/>
  <c r="S74" i="11"/>
  <c r="AE74" i="11"/>
  <c r="AP74" i="11"/>
  <c r="AV74" i="11"/>
  <c r="Q74" i="11"/>
  <c r="AF74" i="11"/>
  <c r="AK74" i="11"/>
  <c r="L74" i="11"/>
  <c r="P74" i="11"/>
  <c r="AO74" i="11"/>
  <c r="AX74" i="11"/>
  <c r="AJ74" i="11"/>
  <c r="AS74" i="11"/>
  <c r="AG74" i="11"/>
  <c r="AN74" i="11"/>
  <c r="G74" i="11"/>
  <c r="Z74" i="11"/>
  <c r="I74" i="11"/>
  <c r="J74" i="11"/>
  <c r="H74" i="11"/>
  <c r="AB74" i="11"/>
  <c r="V74" i="11"/>
  <c r="K74" i="11"/>
  <c r="AA74" i="11"/>
  <c r="AC74" i="11"/>
  <c r="Y74" i="11"/>
  <c r="R74" i="11"/>
  <c r="O74" i="11"/>
  <c r="T74" i="11"/>
  <c r="U74" i="11"/>
  <c r="F74" i="11"/>
  <c r="X74" i="11"/>
  <c r="C74" i="11"/>
  <c r="C158" i="11"/>
  <c r="AW158" i="11"/>
  <c r="AV158" i="11"/>
  <c r="A171" i="11"/>
  <c r="AP158" i="11"/>
  <c r="AG158" i="11"/>
  <c r="AM158" i="11"/>
  <c r="U158" i="11"/>
  <c r="G158" i="11"/>
  <c r="AL158" i="11"/>
  <c r="E158" i="11"/>
  <c r="AR158" i="11"/>
  <c r="Q158" i="11"/>
  <c r="X158" i="11"/>
  <c r="L158" i="11"/>
  <c r="P158" i="11"/>
  <c r="W158" i="11"/>
  <c r="AX158" i="11"/>
  <c r="AO158" i="11"/>
  <c r="AT158" i="11"/>
  <c r="M158" i="11"/>
  <c r="AA158" i="11"/>
  <c r="V158" i="11"/>
  <c r="T158" i="11"/>
  <c r="O158" i="11"/>
  <c r="F158" i="11"/>
  <c r="AS158" i="11"/>
  <c r="AC158" i="11"/>
  <c r="I158" i="11"/>
  <c r="Y158" i="11"/>
  <c r="AQ158" i="11"/>
  <c r="AB158" i="11"/>
  <c r="AN158" i="11"/>
  <c r="AH158" i="11"/>
  <c r="AI158" i="11"/>
  <c r="S158" i="11"/>
  <c r="AF158" i="11"/>
  <c r="N158" i="11"/>
  <c r="R158" i="11"/>
  <c r="Z158" i="11"/>
  <c r="AJ158" i="11"/>
  <c r="AU158" i="11"/>
  <c r="AD158" i="11"/>
  <c r="D158" i="11"/>
  <c r="J158" i="11"/>
  <c r="H158" i="11"/>
  <c r="A159" i="11"/>
  <c r="AK158" i="11"/>
  <c r="AE158" i="11"/>
  <c r="K158" i="11"/>
  <c r="A123" i="11"/>
  <c r="A147" i="11"/>
  <c r="AW146" i="11"/>
  <c r="AV146" i="11"/>
  <c r="AN146" i="11"/>
  <c r="AO146" i="11"/>
  <c r="AH146" i="11"/>
  <c r="Z146" i="11"/>
  <c r="G146" i="11"/>
  <c r="O146" i="11"/>
  <c r="AU146" i="11"/>
  <c r="AG146" i="11"/>
  <c r="Q146" i="11"/>
  <c r="T146" i="11"/>
  <c r="S146" i="11"/>
  <c r="L146" i="11"/>
  <c r="J146" i="11"/>
  <c r="E146" i="11"/>
  <c r="AI146" i="11"/>
  <c r="X146" i="11"/>
  <c r="U146" i="11"/>
  <c r="AB146" i="11"/>
  <c r="K146" i="11"/>
  <c r="H146" i="11"/>
  <c r="W146" i="11"/>
  <c r="AQ146" i="11"/>
  <c r="F146" i="11"/>
  <c r="AL146" i="11"/>
  <c r="AP146" i="11"/>
  <c r="V146" i="11"/>
  <c r="I146" i="11"/>
  <c r="Y146" i="11"/>
  <c r="AR146" i="11"/>
  <c r="P146" i="11"/>
  <c r="D146" i="11"/>
  <c r="AJ146" i="11"/>
  <c r="AC146" i="11"/>
  <c r="AT146" i="11"/>
  <c r="AM146" i="11"/>
  <c r="AA146" i="11"/>
  <c r="AE146" i="11"/>
  <c r="C146" i="11"/>
  <c r="R146" i="11"/>
  <c r="AX146" i="11"/>
  <c r="AD146" i="11"/>
  <c r="AF146" i="11"/>
  <c r="N146" i="11"/>
  <c r="AK146" i="11"/>
  <c r="AS146" i="11"/>
  <c r="M146" i="11"/>
  <c r="A51" i="11"/>
  <c r="AW50" i="11"/>
  <c r="AN50" i="11"/>
  <c r="AT50" i="11"/>
  <c r="AL50" i="11"/>
  <c r="AF50" i="11"/>
  <c r="AR50" i="11"/>
  <c r="AD50" i="11"/>
  <c r="D50" i="11"/>
  <c r="M50" i="11"/>
  <c r="Q50" i="11"/>
  <c r="AP50" i="11"/>
  <c r="AH50" i="11"/>
  <c r="N50" i="11"/>
  <c r="S50" i="11"/>
  <c r="W50" i="11"/>
  <c r="AI50" i="11"/>
  <c r="AM50" i="11"/>
  <c r="AU50" i="11"/>
  <c r="AQ50" i="11"/>
  <c r="AV50" i="11"/>
  <c r="AO50" i="11"/>
  <c r="AX50" i="11"/>
  <c r="P50" i="11"/>
  <c r="AK50" i="11"/>
  <c r="L50" i="11"/>
  <c r="H50" i="11"/>
  <c r="AS50" i="11"/>
  <c r="AG50" i="11"/>
  <c r="AE50" i="11"/>
  <c r="G50" i="11"/>
  <c r="AA50" i="11"/>
  <c r="R50" i="11"/>
  <c r="T50" i="11"/>
  <c r="AJ50" i="11"/>
  <c r="K50" i="11"/>
  <c r="I50" i="11"/>
  <c r="Z50" i="11"/>
  <c r="AC50" i="11"/>
  <c r="E50" i="11"/>
  <c r="X50" i="11"/>
  <c r="Y50" i="11"/>
  <c r="U50" i="11"/>
  <c r="J50" i="11"/>
  <c r="AB50" i="11"/>
  <c r="O50" i="11"/>
  <c r="V50" i="11"/>
  <c r="F50" i="11"/>
  <c r="C50" i="11"/>
  <c r="A63" i="11"/>
  <c r="AW62" i="11"/>
  <c r="AV62" i="11"/>
  <c r="L62" i="11"/>
  <c r="N62" i="11"/>
  <c r="K62" i="11"/>
  <c r="P62" i="11"/>
  <c r="Y62" i="11"/>
  <c r="AC62" i="11"/>
  <c r="AP62" i="11"/>
  <c r="AR62" i="11"/>
  <c r="AT62" i="11"/>
  <c r="M62" i="11"/>
  <c r="AG62" i="11"/>
  <c r="J62" i="11"/>
  <c r="Z62" i="11"/>
  <c r="I62" i="11"/>
  <c r="S62" i="11"/>
  <c r="AJ62" i="11"/>
  <c r="U62" i="11"/>
  <c r="AK62" i="11"/>
  <c r="F62" i="11"/>
  <c r="AF62" i="11"/>
  <c r="T62" i="11"/>
  <c r="H62" i="11"/>
  <c r="X62" i="11"/>
  <c r="Q62" i="11"/>
  <c r="AQ62" i="11"/>
  <c r="AS62" i="11"/>
  <c r="AX62" i="11"/>
  <c r="AD62" i="11"/>
  <c r="AH62" i="11"/>
  <c r="AL62" i="11"/>
  <c r="O62" i="11"/>
  <c r="G62" i="11"/>
  <c r="AO62" i="11"/>
  <c r="R62" i="11"/>
  <c r="V62" i="11"/>
  <c r="AN62" i="11"/>
  <c r="AB62" i="11"/>
  <c r="D62" i="11"/>
  <c r="W62" i="11"/>
  <c r="AM62" i="11"/>
  <c r="AA62" i="11"/>
  <c r="AE62" i="11"/>
  <c r="C62" i="11"/>
  <c r="AU62" i="11"/>
  <c r="E62" i="11"/>
  <c r="AI62" i="11"/>
  <c r="A111" i="11"/>
  <c r="AW110" i="11"/>
  <c r="AG110" i="11"/>
  <c r="AH110" i="11"/>
  <c r="AR110" i="11"/>
  <c r="AM110" i="11"/>
  <c r="AQ110" i="11"/>
  <c r="AI110" i="11"/>
  <c r="I110" i="11"/>
  <c r="N110" i="11"/>
  <c r="Q110" i="11"/>
  <c r="AJ110" i="11"/>
  <c r="AX110" i="11"/>
  <c r="P110" i="11"/>
  <c r="AV110" i="11"/>
  <c r="AE110" i="11"/>
  <c r="W110" i="11"/>
  <c r="AK110" i="11"/>
  <c r="AN110" i="11"/>
  <c r="M110" i="11"/>
  <c r="D110" i="11"/>
  <c r="AF110" i="11"/>
  <c r="S110" i="11"/>
  <c r="L110" i="11"/>
  <c r="AL110" i="11"/>
  <c r="AU110" i="11"/>
  <c r="AT110" i="11"/>
  <c r="AO110" i="11"/>
  <c r="AP110" i="11"/>
  <c r="AD110" i="11"/>
  <c r="AS110" i="11"/>
  <c r="G110" i="11"/>
  <c r="K110" i="11"/>
  <c r="AA110" i="11"/>
  <c r="AC110" i="11"/>
  <c r="AB110" i="11"/>
  <c r="O110" i="11"/>
  <c r="H110" i="11"/>
  <c r="T110" i="11"/>
  <c r="J110" i="11"/>
  <c r="U110" i="11"/>
  <c r="Z110" i="11"/>
  <c r="V110" i="11"/>
  <c r="R110" i="11"/>
  <c r="E110" i="11"/>
  <c r="Y110" i="11"/>
  <c r="F110" i="11"/>
  <c r="X110" i="11"/>
  <c r="C110" i="11"/>
  <c r="A39" i="11"/>
  <c r="A40" i="11" s="1"/>
  <c r="AW38" i="11"/>
  <c r="AW12" i="11"/>
  <c r="AW25" i="11"/>
  <c r="A87" i="11"/>
  <c r="AW86" i="11"/>
  <c r="AV86" i="11"/>
  <c r="Y86" i="11"/>
  <c r="M86" i="11"/>
  <c r="V86" i="11"/>
  <c r="AA86" i="11"/>
  <c r="I86" i="11"/>
  <c r="F86" i="11"/>
  <c r="U86" i="11"/>
  <c r="AX86" i="11"/>
  <c r="E86" i="11"/>
  <c r="AQ86" i="11"/>
  <c r="C86" i="11"/>
  <c r="L86" i="11"/>
  <c r="AG86" i="11"/>
  <c r="AD86" i="11"/>
  <c r="R86" i="11"/>
  <c r="Z86" i="11"/>
  <c r="S86" i="11"/>
  <c r="P86" i="11"/>
  <c r="AB86" i="11"/>
  <c r="H86" i="11"/>
  <c r="AU86" i="11"/>
  <c r="AE86" i="11"/>
  <c r="K86" i="11"/>
  <c r="AO86" i="11"/>
  <c r="AH86" i="11"/>
  <c r="N86" i="11"/>
  <c r="G86" i="11"/>
  <c r="Q86" i="11"/>
  <c r="AT86" i="11"/>
  <c r="W86" i="11"/>
  <c r="AM86" i="11"/>
  <c r="AR86" i="11"/>
  <c r="AI86" i="11"/>
  <c r="AS86" i="11"/>
  <c r="O86" i="11"/>
  <c r="AL86" i="11"/>
  <c r="D86" i="11"/>
  <c r="AJ86" i="11"/>
  <c r="AC86" i="11"/>
  <c r="J86" i="11"/>
  <c r="T86" i="11"/>
  <c r="AK86" i="11"/>
  <c r="AP86" i="11"/>
  <c r="AF86" i="11"/>
  <c r="X86" i="11"/>
  <c r="AN86" i="11"/>
  <c r="A99" i="11"/>
  <c r="AW98" i="11"/>
  <c r="AG98" i="11"/>
  <c r="Q98" i="11"/>
  <c r="AS98" i="11"/>
  <c r="AL98" i="11"/>
  <c r="AR98" i="11"/>
  <c r="AD98" i="11"/>
  <c r="AF98" i="11"/>
  <c r="AH98" i="11"/>
  <c r="AP98" i="11"/>
  <c r="D98" i="11"/>
  <c r="AT98" i="11"/>
  <c r="N98" i="11"/>
  <c r="AE98" i="11"/>
  <c r="AM98" i="11"/>
  <c r="M98" i="11"/>
  <c r="W98" i="11"/>
  <c r="AU98" i="11"/>
  <c r="AI98" i="11"/>
  <c r="AQ98" i="11"/>
  <c r="S98" i="11"/>
  <c r="AV98" i="11"/>
  <c r="L98" i="11"/>
  <c r="AN98" i="11"/>
  <c r="AK98" i="11"/>
  <c r="AX98" i="11"/>
  <c r="G98" i="11"/>
  <c r="AO98" i="11"/>
  <c r="P98" i="11"/>
  <c r="AJ98" i="11"/>
  <c r="K98" i="11"/>
  <c r="AC98" i="11"/>
  <c r="V98" i="11"/>
  <c r="I98" i="11"/>
  <c r="E98" i="11"/>
  <c r="J98" i="11"/>
  <c r="O98" i="11"/>
  <c r="Z98" i="11"/>
  <c r="T98" i="11"/>
  <c r="Y98" i="11"/>
  <c r="U98" i="11"/>
  <c r="AA98" i="11"/>
  <c r="AB98" i="11"/>
  <c r="H98" i="11"/>
  <c r="X98" i="11"/>
  <c r="F98" i="11"/>
  <c r="R98" i="11"/>
  <c r="C98" i="11"/>
  <c r="F38" i="8"/>
  <c r="AV38" i="11"/>
  <c r="AV51" i="11"/>
  <c r="AV12" i="11"/>
  <c r="AV25" i="11"/>
  <c r="T55" i="1"/>
  <c r="P55" i="1"/>
  <c r="J38" i="8"/>
  <c r="M55" i="1"/>
  <c r="X3" i="1"/>
  <c r="AG38" i="11"/>
  <c r="B18" i="15"/>
  <c r="B21" i="15" s="1"/>
  <c r="B22" i="15" s="1"/>
  <c r="B18" i="10"/>
  <c r="B21" i="10" s="1"/>
  <c r="B22" i="10" s="1"/>
  <c r="M25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X51" i="11"/>
  <c r="AC25" i="11"/>
  <c r="AT38" i="11"/>
  <c r="O25" i="11"/>
  <c r="AE38" i="11"/>
  <c r="AX12" i="11"/>
  <c r="AF38" i="11"/>
  <c r="M51" i="11"/>
  <c r="AG51" i="11"/>
  <c r="J51" i="11"/>
  <c r="AP51" i="11"/>
  <c r="AI51" i="11"/>
  <c r="C36" i="8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Q51" i="11"/>
  <c r="AK51" i="11"/>
  <c r="R51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X25" i="11"/>
  <c r="T38" i="11"/>
  <c r="AR38" i="11"/>
  <c r="P51" i="11"/>
  <c r="AJ51" i="11"/>
  <c r="U51" i="11"/>
  <c r="AS51" i="11"/>
  <c r="Z51" i="11"/>
  <c r="C51" i="11"/>
  <c r="O38" i="8"/>
  <c r="I38" i="8"/>
  <c r="Y12" i="11"/>
  <c r="Y38" i="8"/>
  <c r="Q38" i="8"/>
  <c r="AQ51" i="11"/>
  <c r="AA51" i="11"/>
  <c r="K51" i="11"/>
  <c r="C18" i="8"/>
  <c r="AM51" i="11"/>
  <c r="W51" i="11"/>
  <c r="G51" i="11"/>
  <c r="AT51" i="11"/>
  <c r="AD51" i="11"/>
  <c r="N51" i="11"/>
  <c r="AU51" i="11"/>
  <c r="AE51" i="11"/>
  <c r="O51" i="11"/>
  <c r="AL51" i="11"/>
  <c r="V51" i="11"/>
  <c r="F51" i="11"/>
  <c r="AO51" i="11"/>
  <c r="Y51" i="11"/>
  <c r="I51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X38" i="11"/>
  <c r="T51" i="11"/>
  <c r="AR51" i="11"/>
  <c r="E51" i="11"/>
  <c r="AC51" i="11"/>
  <c r="AH51" i="11"/>
  <c r="S51" i="11"/>
  <c r="D18" i="7"/>
  <c r="F2" i="7"/>
  <c r="F18" i="7" s="1"/>
  <c r="F19" i="7" s="1"/>
  <c r="D52" i="1"/>
  <c r="X2" i="1"/>
  <c r="A100" i="11" l="1"/>
  <c r="AW99" i="11"/>
  <c r="AV99" i="11"/>
  <c r="AI99" i="11"/>
  <c r="R99" i="11"/>
  <c r="S99" i="11"/>
  <c r="AB99" i="11"/>
  <c r="P99" i="11"/>
  <c r="J99" i="11"/>
  <c r="C99" i="11"/>
  <c r="AM99" i="11"/>
  <c r="AA99" i="11"/>
  <c r="F99" i="11"/>
  <c r="X99" i="11"/>
  <c r="AN99" i="11"/>
  <c r="AT99" i="11"/>
  <c r="M99" i="11"/>
  <c r="N99" i="11"/>
  <c r="K99" i="11"/>
  <c r="AG99" i="11"/>
  <c r="AO99" i="11"/>
  <c r="Q99" i="11"/>
  <c r="AF99" i="11"/>
  <c r="AE99" i="11"/>
  <c r="AS99" i="11"/>
  <c r="O99" i="11"/>
  <c r="AX99" i="11"/>
  <c r="D99" i="11"/>
  <c r="G99" i="11"/>
  <c r="T99" i="11"/>
  <c r="E99" i="11"/>
  <c r="AC99" i="11"/>
  <c r="AK99" i="11"/>
  <c r="AP99" i="11"/>
  <c r="AR99" i="11"/>
  <c r="L99" i="11"/>
  <c r="Y99" i="11"/>
  <c r="AH99" i="11"/>
  <c r="AL99" i="11"/>
  <c r="H99" i="11"/>
  <c r="AU99" i="11"/>
  <c r="AQ99" i="11"/>
  <c r="AJ99" i="11"/>
  <c r="AD99" i="11"/>
  <c r="V99" i="11"/>
  <c r="Z99" i="11"/>
  <c r="W99" i="11"/>
  <c r="U99" i="11"/>
  <c r="I99" i="11"/>
  <c r="A112" i="11"/>
  <c r="AW111" i="11"/>
  <c r="D111" i="11"/>
  <c r="AM111" i="11"/>
  <c r="AV111" i="11"/>
  <c r="AU111" i="11"/>
  <c r="AF111" i="11"/>
  <c r="M111" i="11"/>
  <c r="AG111" i="11"/>
  <c r="AD111" i="11"/>
  <c r="AX111" i="11"/>
  <c r="AQ111" i="11"/>
  <c r="AI111" i="11"/>
  <c r="AL111" i="11"/>
  <c r="AT111" i="11"/>
  <c r="AS111" i="11"/>
  <c r="AP111" i="11"/>
  <c r="AH111" i="11"/>
  <c r="AE111" i="11"/>
  <c r="W111" i="11"/>
  <c r="N111" i="11"/>
  <c r="AR111" i="11"/>
  <c r="Q111" i="11"/>
  <c r="S111" i="11"/>
  <c r="AO111" i="11"/>
  <c r="AJ111" i="11"/>
  <c r="P111" i="11"/>
  <c r="L111" i="11"/>
  <c r="AN111" i="11"/>
  <c r="G111" i="11"/>
  <c r="AK111" i="11"/>
  <c r="AA111" i="11"/>
  <c r="H111" i="11"/>
  <c r="K111" i="11"/>
  <c r="AC111" i="11"/>
  <c r="AB111" i="11"/>
  <c r="Z111" i="11"/>
  <c r="E111" i="11"/>
  <c r="R111" i="11"/>
  <c r="T111" i="11"/>
  <c r="Y111" i="11"/>
  <c r="V111" i="11"/>
  <c r="O111" i="11"/>
  <c r="J111" i="11"/>
  <c r="I111" i="11"/>
  <c r="F111" i="11"/>
  <c r="U111" i="11"/>
  <c r="X111" i="11"/>
  <c r="C111" i="11"/>
  <c r="AW171" i="11"/>
  <c r="AV171" i="11"/>
  <c r="A184" i="11"/>
  <c r="G171" i="11"/>
  <c r="AD171" i="11"/>
  <c r="AT171" i="11"/>
  <c r="AU171" i="11"/>
  <c r="AX171" i="11"/>
  <c r="AS171" i="11"/>
  <c r="S171" i="11"/>
  <c r="T171" i="11"/>
  <c r="I171" i="11"/>
  <c r="F171" i="11"/>
  <c r="J171" i="11"/>
  <c r="AH171" i="11"/>
  <c r="M171" i="11"/>
  <c r="Q171" i="11"/>
  <c r="AI171" i="11"/>
  <c r="O171" i="11"/>
  <c r="R171" i="11"/>
  <c r="A172" i="11"/>
  <c r="L171" i="11"/>
  <c r="Z171" i="11"/>
  <c r="AF171" i="11"/>
  <c r="X171" i="11"/>
  <c r="AA171" i="11"/>
  <c r="AJ171" i="11"/>
  <c r="AG171" i="11"/>
  <c r="AL171" i="11"/>
  <c r="W171" i="11"/>
  <c r="N171" i="11"/>
  <c r="D171" i="11"/>
  <c r="AR171" i="11"/>
  <c r="AE171" i="11"/>
  <c r="K171" i="11"/>
  <c r="E171" i="11"/>
  <c r="AB171" i="11"/>
  <c r="U171" i="11"/>
  <c r="AN171" i="11"/>
  <c r="AP171" i="11"/>
  <c r="AO171" i="11"/>
  <c r="V171" i="11"/>
  <c r="AC171" i="11"/>
  <c r="Y171" i="11"/>
  <c r="C171" i="11"/>
  <c r="AK171" i="11"/>
  <c r="AQ171" i="11"/>
  <c r="P171" i="11"/>
  <c r="AM171" i="11"/>
  <c r="H171" i="11"/>
  <c r="A76" i="11"/>
  <c r="AW75" i="11"/>
  <c r="AV75" i="11"/>
  <c r="AN75" i="11"/>
  <c r="AB75" i="11"/>
  <c r="AR75" i="11"/>
  <c r="Y75" i="11"/>
  <c r="AO75" i="11"/>
  <c r="Q75" i="11"/>
  <c r="W75" i="11"/>
  <c r="AG75" i="11"/>
  <c r="D75" i="11"/>
  <c r="R75" i="11"/>
  <c r="V75" i="11"/>
  <c r="U75" i="11"/>
  <c r="J75" i="11"/>
  <c r="AE75" i="11"/>
  <c r="K75" i="11"/>
  <c r="T75" i="11"/>
  <c r="X75" i="11"/>
  <c r="AX75" i="11"/>
  <c r="AH75" i="11"/>
  <c r="M75" i="11"/>
  <c r="I75" i="11"/>
  <c r="O75" i="11"/>
  <c r="AC75" i="11"/>
  <c r="AD75" i="11"/>
  <c r="AA75" i="11"/>
  <c r="AM75" i="11"/>
  <c r="F75" i="11"/>
  <c r="G75" i="11"/>
  <c r="P75" i="11"/>
  <c r="H75" i="11"/>
  <c r="N75" i="11"/>
  <c r="S75" i="11"/>
  <c r="L75" i="11"/>
  <c r="AS75" i="11"/>
  <c r="Z75" i="11"/>
  <c r="E75" i="11"/>
  <c r="AJ75" i="11"/>
  <c r="AT75" i="11"/>
  <c r="AF75" i="11"/>
  <c r="C75" i="11"/>
  <c r="AK75" i="11"/>
  <c r="AU75" i="11"/>
  <c r="AI75" i="11"/>
  <c r="AQ75" i="11"/>
  <c r="AP75" i="11"/>
  <c r="AL75" i="11"/>
  <c r="A64" i="11"/>
  <c r="AW63" i="11"/>
  <c r="P63" i="11"/>
  <c r="AG63" i="11"/>
  <c r="AO63" i="11"/>
  <c r="AS63" i="11"/>
  <c r="AN63" i="11"/>
  <c r="AK63" i="11"/>
  <c r="Q63" i="11"/>
  <c r="AH63" i="11"/>
  <c r="AF63" i="11"/>
  <c r="AR63" i="11"/>
  <c r="AJ63" i="11"/>
  <c r="AX63" i="11"/>
  <c r="M63" i="11"/>
  <c r="AD63" i="11"/>
  <c r="AL63" i="11"/>
  <c r="AT63" i="11"/>
  <c r="D63" i="11"/>
  <c r="S63" i="11"/>
  <c r="AP63" i="11"/>
  <c r="W63" i="11"/>
  <c r="AI63" i="11"/>
  <c r="N63" i="11"/>
  <c r="AM63" i="11"/>
  <c r="AQ63" i="11"/>
  <c r="AU63" i="11"/>
  <c r="AE63" i="11"/>
  <c r="AV63" i="11"/>
  <c r="L63" i="11"/>
  <c r="G63" i="11"/>
  <c r="AC63" i="11"/>
  <c r="K63" i="11"/>
  <c r="AA63" i="11"/>
  <c r="AB63" i="11"/>
  <c r="Z63" i="11"/>
  <c r="U63" i="11"/>
  <c r="I63" i="11"/>
  <c r="O63" i="11"/>
  <c r="R63" i="11"/>
  <c r="H63" i="11"/>
  <c r="E63" i="11"/>
  <c r="Y63" i="11"/>
  <c r="J63" i="11"/>
  <c r="V63" i="11"/>
  <c r="F63" i="11"/>
  <c r="T63" i="11"/>
  <c r="X63" i="11"/>
  <c r="C63" i="11"/>
  <c r="A124" i="11"/>
  <c r="AW123" i="11"/>
  <c r="W123" i="11"/>
  <c r="AQ123" i="11"/>
  <c r="AM123" i="11"/>
  <c r="AU123" i="11"/>
  <c r="S123" i="11"/>
  <c r="D123" i="11"/>
  <c r="AI123" i="11"/>
  <c r="AF123" i="11"/>
  <c r="P123" i="11"/>
  <c r="AK123" i="11"/>
  <c r="L123" i="11"/>
  <c r="AV123" i="11"/>
  <c r="AP123" i="11"/>
  <c r="AA123" i="11"/>
  <c r="AR123" i="11"/>
  <c r="AH123" i="11"/>
  <c r="AT123" i="11"/>
  <c r="AS123" i="11"/>
  <c r="AG123" i="11"/>
  <c r="AX123" i="11"/>
  <c r="AD123" i="11"/>
  <c r="Q123" i="11"/>
  <c r="AN123" i="11"/>
  <c r="AO123" i="11"/>
  <c r="AL123" i="11"/>
  <c r="N123" i="11"/>
  <c r="M123" i="11"/>
  <c r="AJ123" i="11"/>
  <c r="AE123" i="11"/>
  <c r="G123" i="11"/>
  <c r="H123" i="11"/>
  <c r="R123" i="11"/>
  <c r="Y123" i="11"/>
  <c r="AC123" i="11"/>
  <c r="Z123" i="11"/>
  <c r="O123" i="11"/>
  <c r="V123" i="11"/>
  <c r="K123" i="11"/>
  <c r="T123" i="11"/>
  <c r="E123" i="11"/>
  <c r="J123" i="11"/>
  <c r="AB123" i="11"/>
  <c r="I123" i="11"/>
  <c r="U123" i="11"/>
  <c r="X123" i="11"/>
  <c r="F123" i="11"/>
  <c r="C123" i="11"/>
  <c r="A160" i="11"/>
  <c r="AW159" i="11"/>
  <c r="F159" i="11"/>
  <c r="AL159" i="11"/>
  <c r="AT159" i="11"/>
  <c r="AB159" i="11"/>
  <c r="AR159" i="11"/>
  <c r="S159" i="11"/>
  <c r="L159" i="11"/>
  <c r="U159" i="11"/>
  <c r="AH159" i="11"/>
  <c r="M159" i="11"/>
  <c r="AI159" i="11"/>
  <c r="X159" i="11"/>
  <c r="AG159" i="11"/>
  <c r="D159" i="11"/>
  <c r="H159" i="11"/>
  <c r="Y159" i="11"/>
  <c r="AO159" i="11"/>
  <c r="W159" i="11"/>
  <c r="C159" i="11"/>
  <c r="AS159" i="11"/>
  <c r="AD159" i="11"/>
  <c r="K159" i="11"/>
  <c r="AJ159" i="11"/>
  <c r="V159" i="11"/>
  <c r="Q159" i="11"/>
  <c r="R159" i="11"/>
  <c r="AM159" i="11"/>
  <c r="AV159" i="11"/>
  <c r="E159" i="11"/>
  <c r="I159" i="11"/>
  <c r="J159" i="11"/>
  <c r="AF159" i="11"/>
  <c r="Z159" i="11"/>
  <c r="AU159" i="11"/>
  <c r="AA159" i="11"/>
  <c r="P159" i="11"/>
  <c r="T159" i="11"/>
  <c r="AP159" i="11"/>
  <c r="AN159" i="11"/>
  <c r="AC159" i="11"/>
  <c r="AK159" i="11"/>
  <c r="G159" i="11"/>
  <c r="O159" i="11"/>
  <c r="AX159" i="11"/>
  <c r="N159" i="11"/>
  <c r="AQ159" i="11"/>
  <c r="AE159" i="11"/>
  <c r="A88" i="11"/>
  <c r="AW87" i="11"/>
  <c r="AF87" i="11"/>
  <c r="D87" i="11"/>
  <c r="AH87" i="11"/>
  <c r="AT87" i="11"/>
  <c r="M87" i="11"/>
  <c r="AI87" i="11"/>
  <c r="AR87" i="11"/>
  <c r="N87" i="11"/>
  <c r="AA87" i="11"/>
  <c r="AQ87" i="11"/>
  <c r="AL87" i="11"/>
  <c r="AP87" i="11"/>
  <c r="W87" i="11"/>
  <c r="AM87" i="11"/>
  <c r="AU87" i="11"/>
  <c r="Q87" i="11"/>
  <c r="AV87" i="11"/>
  <c r="AD87" i="11"/>
  <c r="AE87" i="11"/>
  <c r="S87" i="11"/>
  <c r="L87" i="11"/>
  <c r="P87" i="11"/>
  <c r="AS87" i="11"/>
  <c r="AK87" i="11"/>
  <c r="AO87" i="11"/>
  <c r="AX87" i="11"/>
  <c r="AN87" i="11"/>
  <c r="AG87" i="11"/>
  <c r="AJ87" i="11"/>
  <c r="K87" i="11"/>
  <c r="J87" i="11"/>
  <c r="O87" i="11"/>
  <c r="U87" i="11"/>
  <c r="H87" i="11"/>
  <c r="V87" i="11"/>
  <c r="T87" i="11"/>
  <c r="I87" i="11"/>
  <c r="G87" i="11"/>
  <c r="AB87" i="11"/>
  <c r="Z87" i="11"/>
  <c r="E87" i="11"/>
  <c r="AC87" i="11"/>
  <c r="Y87" i="11"/>
  <c r="R87" i="11"/>
  <c r="X87" i="11"/>
  <c r="F87" i="11"/>
  <c r="C87" i="11"/>
  <c r="A52" i="11"/>
  <c r="A53" i="11" s="1"/>
  <c r="AW51" i="11"/>
  <c r="A136" i="11"/>
  <c r="A148" i="11"/>
  <c r="Q3" i="13"/>
  <c r="L55" i="1"/>
  <c r="D36" i="8"/>
  <c r="D35" i="8" s="1"/>
  <c r="C35" i="8"/>
  <c r="U54" i="1"/>
  <c r="K3" i="13"/>
  <c r="K4" i="13" s="1"/>
  <c r="D58" i="1"/>
  <c r="D25" i="7"/>
  <c r="C25" i="7" s="1"/>
  <c r="D26" i="7"/>
  <c r="D19" i="7"/>
  <c r="D18" i="8"/>
  <c r="D17" i="8" s="1"/>
  <c r="C17" i="8"/>
  <c r="A149" i="11" l="1"/>
  <c r="A65" i="11"/>
  <c r="A66" i="11" s="1"/>
  <c r="AW64" i="11"/>
  <c r="AV64" i="11"/>
  <c r="D64" i="11"/>
  <c r="AO64" i="11"/>
  <c r="L64" i="11"/>
  <c r="K64" i="11"/>
  <c r="V64" i="11"/>
  <c r="W64" i="11"/>
  <c r="AH64" i="11"/>
  <c r="AK64" i="11"/>
  <c r="O64" i="11"/>
  <c r="Z64" i="11"/>
  <c r="AC64" i="11"/>
  <c r="AN64" i="11"/>
  <c r="AI64" i="11"/>
  <c r="T64" i="11"/>
  <c r="AB64" i="11"/>
  <c r="C64" i="11"/>
  <c r="AF64" i="11"/>
  <c r="S64" i="11"/>
  <c r="F64" i="11"/>
  <c r="G64" i="11"/>
  <c r="R64" i="11"/>
  <c r="J64" i="11"/>
  <c r="M64" i="11"/>
  <c r="X64" i="11"/>
  <c r="E64" i="11"/>
  <c r="Y64" i="11"/>
  <c r="AT64" i="11"/>
  <c r="Q64" i="11"/>
  <c r="N64" i="11"/>
  <c r="AM64" i="11"/>
  <c r="AE64" i="11"/>
  <c r="AP64" i="11"/>
  <c r="AS64" i="11"/>
  <c r="AR64" i="11"/>
  <c r="I64" i="11"/>
  <c r="AX64" i="11"/>
  <c r="AQ64" i="11"/>
  <c r="AU64" i="11"/>
  <c r="H64" i="11"/>
  <c r="U64" i="11"/>
  <c r="AD64" i="11"/>
  <c r="AA64" i="11"/>
  <c r="AJ64" i="11"/>
  <c r="AG64" i="11"/>
  <c r="AL64" i="11"/>
  <c r="P64" i="11"/>
  <c r="A113" i="11"/>
  <c r="AW112" i="11"/>
  <c r="AV112" i="11"/>
  <c r="AM112" i="11"/>
  <c r="AB112" i="11"/>
  <c r="AD112" i="11"/>
  <c r="AR112" i="11"/>
  <c r="M112" i="11"/>
  <c r="F112" i="11"/>
  <c r="AJ112" i="11"/>
  <c r="P112" i="11"/>
  <c r="AH112" i="11"/>
  <c r="AL112" i="11"/>
  <c r="AO112" i="11"/>
  <c r="Q112" i="11"/>
  <c r="T112" i="11"/>
  <c r="AE112" i="11"/>
  <c r="K112" i="11"/>
  <c r="AS112" i="11"/>
  <c r="S112" i="11"/>
  <c r="O112" i="11"/>
  <c r="AF112" i="11"/>
  <c r="D112" i="11"/>
  <c r="H112" i="11"/>
  <c r="AG112" i="11"/>
  <c r="AK112" i="11"/>
  <c r="J112" i="11"/>
  <c r="AQ112" i="11"/>
  <c r="AI112" i="11"/>
  <c r="C112" i="11"/>
  <c r="Z112" i="11"/>
  <c r="L112" i="11"/>
  <c r="U112" i="11"/>
  <c r="Y112" i="11"/>
  <c r="I112" i="11"/>
  <c r="V112" i="11"/>
  <c r="AA112" i="11"/>
  <c r="AU112" i="11"/>
  <c r="W112" i="11"/>
  <c r="AC112" i="11"/>
  <c r="AP112" i="11"/>
  <c r="R112" i="11"/>
  <c r="N112" i="11"/>
  <c r="X112" i="11"/>
  <c r="AN112" i="11"/>
  <c r="G112" i="11"/>
  <c r="AX112" i="11"/>
  <c r="AT112" i="11"/>
  <c r="E112" i="11"/>
  <c r="K136" i="11"/>
  <c r="AW136" i="11"/>
  <c r="AV136" i="11"/>
  <c r="AB136" i="11"/>
  <c r="O136" i="11"/>
  <c r="T136" i="11"/>
  <c r="E136" i="11"/>
  <c r="R136" i="11"/>
  <c r="Y136" i="11"/>
  <c r="I136" i="11"/>
  <c r="J136" i="11"/>
  <c r="V136" i="11"/>
  <c r="H136" i="11"/>
  <c r="U136" i="11"/>
  <c r="F136" i="11"/>
  <c r="X136" i="11"/>
  <c r="AA136" i="11"/>
  <c r="AN136" i="11"/>
  <c r="Q136" i="11"/>
  <c r="L136" i="11"/>
  <c r="AI136" i="11"/>
  <c r="AR136" i="11"/>
  <c r="AP136" i="11"/>
  <c r="W136" i="11"/>
  <c r="C136" i="11"/>
  <c r="AC136" i="11"/>
  <c r="P136" i="11"/>
  <c r="AD136" i="11"/>
  <c r="AX136" i="11"/>
  <c r="AU136" i="11"/>
  <c r="N136" i="11"/>
  <c r="AF136" i="11"/>
  <c r="AE136" i="11"/>
  <c r="A137" i="11"/>
  <c r="AG136" i="11"/>
  <c r="AT136" i="11"/>
  <c r="AH136" i="11"/>
  <c r="G136" i="11"/>
  <c r="AK136" i="11"/>
  <c r="D136" i="11"/>
  <c r="AM136" i="11"/>
  <c r="AJ136" i="11"/>
  <c r="AO136" i="11"/>
  <c r="AQ136" i="11"/>
  <c r="M136" i="11"/>
  <c r="AL136" i="11"/>
  <c r="AS136" i="11"/>
  <c r="S136" i="11"/>
  <c r="Z136" i="11"/>
  <c r="A89" i="11"/>
  <c r="AW88" i="11"/>
  <c r="AV88" i="11"/>
  <c r="AO88" i="11"/>
  <c r="J88" i="11"/>
  <c r="Z88" i="11"/>
  <c r="AG88" i="11"/>
  <c r="AT88" i="11"/>
  <c r="D88" i="11"/>
  <c r="S88" i="11"/>
  <c r="L88" i="11"/>
  <c r="AS88" i="11"/>
  <c r="X88" i="11"/>
  <c r="K88" i="11"/>
  <c r="AK88" i="11"/>
  <c r="AH88" i="11"/>
  <c r="AF88" i="11"/>
  <c r="AD88" i="11"/>
  <c r="AL88" i="11"/>
  <c r="H88" i="11"/>
  <c r="U88" i="11"/>
  <c r="V88" i="11"/>
  <c r="AJ88" i="11"/>
  <c r="AX88" i="11"/>
  <c r="R88" i="11"/>
  <c r="F88" i="11"/>
  <c r="G88" i="11"/>
  <c r="AR88" i="11"/>
  <c r="M88" i="11"/>
  <c r="N88" i="11"/>
  <c r="AQ88" i="11"/>
  <c r="AU88" i="11"/>
  <c r="AN88" i="11"/>
  <c r="Y88" i="11"/>
  <c r="Q88" i="11"/>
  <c r="P88" i="11"/>
  <c r="AC88" i="11"/>
  <c r="O88" i="11"/>
  <c r="AB88" i="11"/>
  <c r="AA88" i="11"/>
  <c r="AI88" i="11"/>
  <c r="C88" i="11"/>
  <c r="T88" i="11"/>
  <c r="AP88" i="11"/>
  <c r="E88" i="11"/>
  <c r="AM88" i="11"/>
  <c r="I88" i="11"/>
  <c r="AE88" i="11"/>
  <c r="W88" i="11"/>
  <c r="A77" i="11"/>
  <c r="AW76" i="11"/>
  <c r="AO76" i="11"/>
  <c r="AS76" i="11"/>
  <c r="AX76" i="11"/>
  <c r="AN76" i="11"/>
  <c r="AK76" i="11"/>
  <c r="P76" i="11"/>
  <c r="AG76" i="11"/>
  <c r="L76" i="11"/>
  <c r="AH76" i="11"/>
  <c r="AJ76" i="11"/>
  <c r="D76" i="11"/>
  <c r="Q76" i="11"/>
  <c r="AF76" i="11"/>
  <c r="N76" i="11"/>
  <c r="AD76" i="11"/>
  <c r="AL76" i="11"/>
  <c r="AP76" i="11"/>
  <c r="AT76" i="11"/>
  <c r="AR76" i="11"/>
  <c r="AI76" i="11"/>
  <c r="AM76" i="11"/>
  <c r="M76" i="11"/>
  <c r="S76" i="11"/>
  <c r="AU76" i="11"/>
  <c r="W76" i="11"/>
  <c r="AE76" i="11"/>
  <c r="AQ76" i="11"/>
  <c r="AV76" i="11"/>
  <c r="G76" i="11"/>
  <c r="K76" i="11"/>
  <c r="AC76" i="11"/>
  <c r="J76" i="11"/>
  <c r="H76" i="11"/>
  <c r="AA76" i="11"/>
  <c r="O76" i="11"/>
  <c r="I76" i="11"/>
  <c r="R76" i="11"/>
  <c r="T76" i="11"/>
  <c r="V76" i="11"/>
  <c r="U76" i="11"/>
  <c r="AB76" i="11"/>
  <c r="Z76" i="11"/>
  <c r="E76" i="11"/>
  <c r="X76" i="11"/>
  <c r="F76" i="11"/>
  <c r="Y76" i="11"/>
  <c r="C76" i="11"/>
  <c r="AW184" i="11"/>
  <c r="AV184" i="11"/>
  <c r="AJ184" i="11"/>
  <c r="AR184" i="11"/>
  <c r="AX184" i="11"/>
  <c r="AF184" i="11"/>
  <c r="AU184" i="11"/>
  <c r="AO184" i="11"/>
  <c r="M184" i="11"/>
  <c r="AQ184" i="11"/>
  <c r="X184" i="11"/>
  <c r="V184" i="11"/>
  <c r="H184" i="11"/>
  <c r="Y184" i="11"/>
  <c r="AN184" i="11"/>
  <c r="G184" i="11"/>
  <c r="AD184" i="11"/>
  <c r="S184" i="11"/>
  <c r="AG184" i="11"/>
  <c r="AH184" i="11"/>
  <c r="AE184" i="11"/>
  <c r="R184" i="11"/>
  <c r="K184" i="11"/>
  <c r="F184" i="11"/>
  <c r="J184" i="11"/>
  <c r="C184" i="11"/>
  <c r="A197" i="11"/>
  <c r="L184" i="11"/>
  <c r="AK184" i="11"/>
  <c r="AL184" i="11"/>
  <c r="W184" i="11"/>
  <c r="Q184" i="11"/>
  <c r="AP184" i="11"/>
  <c r="AM184" i="11"/>
  <c r="U184" i="11"/>
  <c r="AC184" i="11"/>
  <c r="E184" i="11"/>
  <c r="Z184" i="11"/>
  <c r="A185" i="11"/>
  <c r="P184" i="11"/>
  <c r="AS184" i="11"/>
  <c r="AT184" i="11"/>
  <c r="AA184" i="11"/>
  <c r="N184" i="11"/>
  <c r="D184" i="11"/>
  <c r="AI184" i="11"/>
  <c r="I184" i="11"/>
  <c r="AB184" i="11"/>
  <c r="O184" i="11"/>
  <c r="T184" i="11"/>
  <c r="A161" i="11"/>
  <c r="A101" i="11"/>
  <c r="AW100" i="11"/>
  <c r="AD100" i="11"/>
  <c r="AH100" i="11"/>
  <c r="AL100" i="11"/>
  <c r="M100" i="11"/>
  <c r="AP100" i="11"/>
  <c r="N100" i="11"/>
  <c r="AA100" i="11"/>
  <c r="AI100" i="11"/>
  <c r="D100" i="11"/>
  <c r="AM100" i="11"/>
  <c r="AR100" i="11"/>
  <c r="J100" i="11"/>
  <c r="AQ100" i="11"/>
  <c r="AU100" i="11"/>
  <c r="W100" i="11"/>
  <c r="AF100" i="11"/>
  <c r="AV100" i="11"/>
  <c r="AE100" i="11"/>
  <c r="AX100" i="11"/>
  <c r="Q100" i="11"/>
  <c r="S100" i="11"/>
  <c r="AT100" i="11"/>
  <c r="AG100" i="11"/>
  <c r="AK100" i="11"/>
  <c r="AO100" i="11"/>
  <c r="P100" i="11"/>
  <c r="L100" i="11"/>
  <c r="AS100" i="11"/>
  <c r="G100" i="11"/>
  <c r="K100" i="11"/>
  <c r="Z100" i="11"/>
  <c r="AC100" i="11"/>
  <c r="U100" i="11"/>
  <c r="T100" i="11"/>
  <c r="V100" i="11"/>
  <c r="Y100" i="11"/>
  <c r="AJ100" i="11"/>
  <c r="I100" i="11"/>
  <c r="AB100" i="11"/>
  <c r="H100" i="11"/>
  <c r="R100" i="11"/>
  <c r="AN100" i="11"/>
  <c r="O100" i="11"/>
  <c r="E100" i="11"/>
  <c r="X100" i="11"/>
  <c r="F100" i="11"/>
  <c r="C100" i="11"/>
  <c r="A125" i="11"/>
  <c r="AW124" i="11"/>
  <c r="AP124" i="11"/>
  <c r="AT124" i="11"/>
  <c r="AD124" i="11"/>
  <c r="W124" i="11"/>
  <c r="S124" i="11"/>
  <c r="AM124" i="11"/>
  <c r="D124" i="11"/>
  <c r="AU124" i="11"/>
  <c r="AL124" i="11"/>
  <c r="AA124" i="11"/>
  <c r="AR124" i="11"/>
  <c r="N124" i="11"/>
  <c r="Q124" i="11"/>
  <c r="M124" i="11"/>
  <c r="AF124" i="11"/>
  <c r="AH124" i="11"/>
  <c r="AX124" i="11"/>
  <c r="AV124" i="11"/>
  <c r="AI124" i="11"/>
  <c r="AQ124" i="11"/>
  <c r="AE124" i="11"/>
  <c r="P124" i="11"/>
  <c r="AN124" i="11"/>
  <c r="AG124" i="11"/>
  <c r="AS124" i="11"/>
  <c r="AJ124" i="11"/>
  <c r="G124" i="11"/>
  <c r="AO124" i="11"/>
  <c r="AK124" i="11"/>
  <c r="L124" i="11"/>
  <c r="AB124" i="11"/>
  <c r="E124" i="11"/>
  <c r="U124" i="11"/>
  <c r="J124" i="11"/>
  <c r="O124" i="11"/>
  <c r="Z124" i="11"/>
  <c r="H124" i="11"/>
  <c r="K124" i="11"/>
  <c r="AC124" i="11"/>
  <c r="I124" i="11"/>
  <c r="R124" i="11"/>
  <c r="V124" i="11"/>
  <c r="T124" i="11"/>
  <c r="Y124" i="11"/>
  <c r="F124" i="11"/>
  <c r="X124" i="11"/>
  <c r="C124" i="11"/>
  <c r="A173" i="11"/>
  <c r="AW172" i="11"/>
  <c r="AV172" i="11"/>
  <c r="X172" i="11"/>
  <c r="AH172" i="11"/>
  <c r="T172" i="11"/>
  <c r="K172" i="11"/>
  <c r="AF172" i="11"/>
  <c r="Q172" i="11"/>
  <c r="AL172" i="11"/>
  <c r="AM172" i="11"/>
  <c r="AC172" i="11"/>
  <c r="AR172" i="11"/>
  <c r="H172" i="11"/>
  <c r="V172" i="11"/>
  <c r="S172" i="11"/>
  <c r="AA172" i="11"/>
  <c r="P172" i="11"/>
  <c r="Y172" i="11"/>
  <c r="D172" i="11"/>
  <c r="E172" i="11"/>
  <c r="I172" i="11"/>
  <c r="N172" i="11"/>
  <c r="AJ172" i="11"/>
  <c r="AK172" i="11"/>
  <c r="O172" i="11"/>
  <c r="M172" i="11"/>
  <c r="G172" i="11"/>
  <c r="AO172" i="11"/>
  <c r="AS172" i="11"/>
  <c r="AI172" i="11"/>
  <c r="AE172" i="11"/>
  <c r="AQ172" i="11"/>
  <c r="AU172" i="11"/>
  <c r="C172" i="11"/>
  <c r="AN172" i="11"/>
  <c r="L172" i="11"/>
  <c r="AX172" i="11"/>
  <c r="R172" i="11"/>
  <c r="AG172" i="11"/>
  <c r="AT172" i="11"/>
  <c r="J172" i="11"/>
  <c r="F172" i="11"/>
  <c r="U172" i="11"/>
  <c r="AD172" i="11"/>
  <c r="AP172" i="11"/>
  <c r="AB172" i="11"/>
  <c r="Z172" i="11"/>
  <c r="W172" i="11"/>
  <c r="Q4" i="13"/>
  <c r="V3" i="13"/>
  <c r="V4" i="13" s="1"/>
  <c r="K6" i="13" s="1"/>
  <c r="B44" i="8"/>
  <c r="B45" i="8" s="1"/>
  <c r="U55" i="1"/>
  <c r="D27" i="7"/>
  <c r="C27" i="7" s="1"/>
  <c r="C26" i="7"/>
  <c r="A126" i="11" l="1"/>
  <c r="AW125" i="11"/>
  <c r="AV125" i="11"/>
  <c r="L125" i="11"/>
  <c r="S125" i="11"/>
  <c r="X125" i="11"/>
  <c r="AN125" i="11"/>
  <c r="AX125" i="11"/>
  <c r="AP125" i="11"/>
  <c r="J125" i="11"/>
  <c r="AB125" i="11"/>
  <c r="W125" i="11"/>
  <c r="AQ125" i="11"/>
  <c r="P125" i="11"/>
  <c r="AT125" i="11"/>
  <c r="H125" i="11"/>
  <c r="Z125" i="11"/>
  <c r="I125" i="11"/>
  <c r="AO125" i="11"/>
  <c r="C125" i="11"/>
  <c r="AF125" i="11"/>
  <c r="R125" i="11"/>
  <c r="E125" i="11"/>
  <c r="N125" i="11"/>
  <c r="AJ125" i="11"/>
  <c r="AC125" i="11"/>
  <c r="D125" i="11"/>
  <c r="AG125" i="11"/>
  <c r="Q125" i="11"/>
  <c r="T125" i="11"/>
  <c r="O125" i="11"/>
  <c r="AR125" i="11"/>
  <c r="AM125" i="11"/>
  <c r="AI125" i="11"/>
  <c r="AU125" i="11"/>
  <c r="AS125" i="11"/>
  <c r="G125" i="11"/>
  <c r="AD125" i="11"/>
  <c r="M125" i="11"/>
  <c r="V125" i="11"/>
  <c r="K125" i="11"/>
  <c r="U125" i="11"/>
  <c r="AK125" i="11"/>
  <c r="AA125" i="11"/>
  <c r="Y125" i="11"/>
  <c r="AH125" i="11"/>
  <c r="AL125" i="11"/>
  <c r="F125" i="11"/>
  <c r="AE125" i="11"/>
  <c r="A162" i="11"/>
  <c r="A78" i="11"/>
  <c r="A79" i="11" s="1"/>
  <c r="AW77" i="11"/>
  <c r="AV77" i="11"/>
  <c r="U77" i="11"/>
  <c r="AR77" i="11"/>
  <c r="AH77" i="11"/>
  <c r="AX77" i="11"/>
  <c r="E77" i="11"/>
  <c r="AA77" i="11"/>
  <c r="AP77" i="11"/>
  <c r="AM77" i="11"/>
  <c r="AE77" i="11"/>
  <c r="AT77" i="11"/>
  <c r="AS77" i="11"/>
  <c r="C77" i="11"/>
  <c r="AC77" i="11"/>
  <c r="AK77" i="11"/>
  <c r="K77" i="11"/>
  <c r="Z77" i="11"/>
  <c r="W77" i="11"/>
  <c r="AL77" i="11"/>
  <c r="AO77" i="11"/>
  <c r="O77" i="11"/>
  <c r="AD77" i="11"/>
  <c r="AG77" i="11"/>
  <c r="AN77" i="11"/>
  <c r="L77" i="11"/>
  <c r="AF77" i="11"/>
  <c r="T77" i="11"/>
  <c r="F77" i="11"/>
  <c r="P77" i="11"/>
  <c r="S77" i="11"/>
  <c r="D77" i="11"/>
  <c r="AI77" i="11"/>
  <c r="J77" i="11"/>
  <c r="G77" i="11"/>
  <c r="V77" i="11"/>
  <c r="Y77" i="11"/>
  <c r="N77" i="11"/>
  <c r="Q77" i="11"/>
  <c r="X77" i="11"/>
  <c r="AB77" i="11"/>
  <c r="AQ77" i="11"/>
  <c r="I77" i="11"/>
  <c r="AU77" i="11"/>
  <c r="H77" i="11"/>
  <c r="M77" i="11"/>
  <c r="AJ77" i="11"/>
  <c r="R77" i="11"/>
  <c r="A102" i="11"/>
  <c r="AW101" i="11"/>
  <c r="AV101" i="11"/>
  <c r="AH101" i="11"/>
  <c r="V101" i="11"/>
  <c r="F101" i="11"/>
  <c r="G101" i="11"/>
  <c r="AX101" i="11"/>
  <c r="D101" i="11"/>
  <c r="H101" i="11"/>
  <c r="T101" i="11"/>
  <c r="N101" i="11"/>
  <c r="AC101" i="11"/>
  <c r="AS101" i="11"/>
  <c r="AB101" i="11"/>
  <c r="AA101" i="11"/>
  <c r="X101" i="11"/>
  <c r="U101" i="11"/>
  <c r="O101" i="11"/>
  <c r="AP101" i="11"/>
  <c r="P101" i="11"/>
  <c r="AL101" i="11"/>
  <c r="J101" i="11"/>
  <c r="AE101" i="11"/>
  <c r="AI101" i="11"/>
  <c r="AO101" i="11"/>
  <c r="Q101" i="11"/>
  <c r="K101" i="11"/>
  <c r="AD101" i="11"/>
  <c r="R101" i="11"/>
  <c r="S101" i="11"/>
  <c r="AN101" i="11"/>
  <c r="L101" i="11"/>
  <c r="AT101" i="11"/>
  <c r="M101" i="11"/>
  <c r="AK101" i="11"/>
  <c r="E101" i="11"/>
  <c r="AM101" i="11"/>
  <c r="AQ101" i="11"/>
  <c r="AR101" i="11"/>
  <c r="AJ101" i="11"/>
  <c r="Y101" i="11"/>
  <c r="I101" i="11"/>
  <c r="AU101" i="11"/>
  <c r="C101" i="11"/>
  <c r="AF101" i="11"/>
  <c r="AG101" i="11"/>
  <c r="Z101" i="11"/>
  <c r="W101" i="11"/>
  <c r="A186" i="11"/>
  <c r="AW185" i="11"/>
  <c r="Q185" i="11"/>
  <c r="AD185" i="11"/>
  <c r="G185" i="11"/>
  <c r="AK185" i="11"/>
  <c r="S185" i="11"/>
  <c r="AA185" i="11"/>
  <c r="AJ185" i="11"/>
  <c r="AC185" i="11"/>
  <c r="V185" i="11"/>
  <c r="X185" i="11"/>
  <c r="AM185" i="11"/>
  <c r="AQ185" i="11"/>
  <c r="C185" i="11"/>
  <c r="AE185" i="11"/>
  <c r="AU185" i="11"/>
  <c r="AF185" i="11"/>
  <c r="AS185" i="11"/>
  <c r="H185" i="11"/>
  <c r="AP185" i="11"/>
  <c r="M185" i="11"/>
  <c r="AG185" i="11"/>
  <c r="AI185" i="11"/>
  <c r="AV185" i="11"/>
  <c r="L185" i="11"/>
  <c r="Z185" i="11"/>
  <c r="E185" i="11"/>
  <c r="P185" i="11"/>
  <c r="R185" i="11"/>
  <c r="AN185" i="11"/>
  <c r="J185" i="11"/>
  <c r="I185" i="11"/>
  <c r="N185" i="11"/>
  <c r="W185" i="11"/>
  <c r="AX185" i="11"/>
  <c r="AL185" i="11"/>
  <c r="AT185" i="11"/>
  <c r="AB185" i="11"/>
  <c r="AR185" i="11"/>
  <c r="D185" i="11"/>
  <c r="F185" i="11"/>
  <c r="K185" i="11"/>
  <c r="U185" i="11"/>
  <c r="O185" i="11"/>
  <c r="AH185" i="11"/>
  <c r="T185" i="11"/>
  <c r="Y185" i="11"/>
  <c r="AO185" i="11"/>
  <c r="AW197" i="11"/>
  <c r="AV197" i="11"/>
  <c r="AN197" i="11"/>
  <c r="AK197" i="11"/>
  <c r="AL197" i="11"/>
  <c r="AM197" i="11"/>
  <c r="Q197" i="11"/>
  <c r="AS197" i="11"/>
  <c r="AI197" i="11"/>
  <c r="K197" i="11"/>
  <c r="V197" i="11"/>
  <c r="J197" i="11"/>
  <c r="F197" i="11"/>
  <c r="C197" i="11"/>
  <c r="L197" i="11"/>
  <c r="AD197" i="11"/>
  <c r="AT197" i="11"/>
  <c r="S197" i="11"/>
  <c r="D197" i="11"/>
  <c r="AH197" i="11"/>
  <c r="AQ197" i="11"/>
  <c r="Z197" i="11"/>
  <c r="T197" i="11"/>
  <c r="AB197" i="11"/>
  <c r="I197" i="11"/>
  <c r="A198" i="11"/>
  <c r="P197" i="11"/>
  <c r="AF197" i="11"/>
  <c r="AR197" i="11"/>
  <c r="G197" i="11"/>
  <c r="M197" i="11"/>
  <c r="AP197" i="11"/>
  <c r="AA197" i="11"/>
  <c r="O197" i="11"/>
  <c r="Y197" i="11"/>
  <c r="U197" i="11"/>
  <c r="R197" i="11"/>
  <c r="AJ197" i="11"/>
  <c r="AG197" i="11"/>
  <c r="AX197" i="11"/>
  <c r="AE197" i="11"/>
  <c r="AO197" i="11"/>
  <c r="N197" i="11"/>
  <c r="W197" i="11"/>
  <c r="AU197" i="11"/>
  <c r="AC197" i="11"/>
  <c r="X197" i="11"/>
  <c r="E197" i="11"/>
  <c r="H197" i="11"/>
  <c r="A90" i="11"/>
  <c r="AW89" i="11"/>
  <c r="AN89" i="11"/>
  <c r="P89" i="11"/>
  <c r="AJ89" i="11"/>
  <c r="AK89" i="11"/>
  <c r="AO89" i="11"/>
  <c r="AD89" i="11"/>
  <c r="Q89" i="11"/>
  <c r="AF89" i="11"/>
  <c r="AG89" i="11"/>
  <c r="AS89" i="11"/>
  <c r="AX89" i="11"/>
  <c r="AP89" i="11"/>
  <c r="AT89" i="11"/>
  <c r="AR89" i="11"/>
  <c r="AL89" i="11"/>
  <c r="AH89" i="11"/>
  <c r="M89" i="11"/>
  <c r="N89" i="11"/>
  <c r="AI89" i="11"/>
  <c r="D89" i="11"/>
  <c r="S89" i="11"/>
  <c r="AM89" i="11"/>
  <c r="AE89" i="11"/>
  <c r="AU89" i="11"/>
  <c r="W89" i="11"/>
  <c r="AQ89" i="11"/>
  <c r="AV89" i="11"/>
  <c r="L89" i="11"/>
  <c r="K89" i="11"/>
  <c r="G89" i="11"/>
  <c r="AA89" i="11"/>
  <c r="AC89" i="11"/>
  <c r="AB89" i="11"/>
  <c r="Z89" i="11"/>
  <c r="R89" i="11"/>
  <c r="T89" i="11"/>
  <c r="V89" i="11"/>
  <c r="J89" i="11"/>
  <c r="O89" i="11"/>
  <c r="U89" i="11"/>
  <c r="Y89" i="11"/>
  <c r="I89" i="11"/>
  <c r="H89" i="11"/>
  <c r="E89" i="11"/>
  <c r="F89" i="11"/>
  <c r="X89" i="11"/>
  <c r="C89" i="11"/>
  <c r="AW137" i="11"/>
  <c r="AV137" i="11"/>
  <c r="C137" i="11"/>
  <c r="AN137" i="11"/>
  <c r="AR137" i="11"/>
  <c r="H137" i="11"/>
  <c r="AX137" i="11"/>
  <c r="AG137" i="11"/>
  <c r="AB137" i="11"/>
  <c r="AM137" i="11"/>
  <c r="P137" i="11"/>
  <c r="AL137" i="11"/>
  <c r="AK137" i="11"/>
  <c r="N137" i="11"/>
  <c r="L137" i="11"/>
  <c r="AD137" i="11"/>
  <c r="W137" i="11"/>
  <c r="E137" i="11"/>
  <c r="Z137" i="11"/>
  <c r="X137" i="11"/>
  <c r="V137" i="11"/>
  <c r="A138" i="11"/>
  <c r="AJ137" i="11"/>
  <c r="AO137" i="11"/>
  <c r="AP137" i="11"/>
  <c r="AQ137" i="11"/>
  <c r="O137" i="11"/>
  <c r="Y137" i="11"/>
  <c r="D137" i="11"/>
  <c r="AE137" i="11"/>
  <c r="AU137" i="11"/>
  <c r="R137" i="11"/>
  <c r="G137" i="11"/>
  <c r="AT137" i="11"/>
  <c r="U137" i="11"/>
  <c r="T137" i="11"/>
  <c r="AF137" i="11"/>
  <c r="S137" i="11"/>
  <c r="AH137" i="11"/>
  <c r="F137" i="11"/>
  <c r="AC137" i="11"/>
  <c r="AS137" i="11"/>
  <c r="Q137" i="11"/>
  <c r="M137" i="11"/>
  <c r="I137" i="11"/>
  <c r="K137" i="11"/>
  <c r="AA137" i="11"/>
  <c r="AI137" i="11"/>
  <c r="J137" i="11"/>
  <c r="AW149" i="11"/>
  <c r="AV149" i="11"/>
  <c r="C149" i="11"/>
  <c r="AJ149" i="11"/>
  <c r="AR149" i="11"/>
  <c r="AT149" i="11"/>
  <c r="W149" i="11"/>
  <c r="J149" i="11"/>
  <c r="AF149" i="11"/>
  <c r="E149" i="11"/>
  <c r="G149" i="11"/>
  <c r="AQ149" i="11"/>
  <c r="AH149" i="11"/>
  <c r="Q149" i="11"/>
  <c r="V149" i="11"/>
  <c r="T149" i="11"/>
  <c r="A150" i="11"/>
  <c r="AG149" i="11"/>
  <c r="AX149" i="11"/>
  <c r="AI149" i="11"/>
  <c r="AL149" i="11"/>
  <c r="L149" i="11"/>
  <c r="N149" i="11"/>
  <c r="AM149" i="11"/>
  <c r="X149" i="11"/>
  <c r="R149" i="11"/>
  <c r="F149" i="11"/>
  <c r="Y149" i="11"/>
  <c r="AN149" i="11"/>
  <c r="AO149" i="11"/>
  <c r="AD149" i="11"/>
  <c r="AU149" i="11"/>
  <c r="AP149" i="11"/>
  <c r="AK149" i="11"/>
  <c r="S149" i="11"/>
  <c r="AB149" i="11"/>
  <c r="K149" i="11"/>
  <c r="AA149" i="11"/>
  <c r="H149" i="11"/>
  <c r="U149" i="11"/>
  <c r="M149" i="11"/>
  <c r="P149" i="11"/>
  <c r="AS149" i="11"/>
  <c r="I149" i="11"/>
  <c r="AC149" i="11"/>
  <c r="Z149" i="11"/>
  <c r="D149" i="11"/>
  <c r="AE149" i="11"/>
  <c r="O149" i="11"/>
  <c r="A174" i="11"/>
  <c r="A114" i="11"/>
  <c r="AW113" i="11"/>
  <c r="D113" i="11"/>
  <c r="W113" i="11"/>
  <c r="AA113" i="11"/>
  <c r="AM113" i="11"/>
  <c r="AU113" i="11"/>
  <c r="AI113" i="11"/>
  <c r="AV113" i="11"/>
  <c r="AQ113" i="11"/>
  <c r="AD113" i="11"/>
  <c r="S113" i="11"/>
  <c r="AR113" i="11"/>
  <c r="AP113" i="11"/>
  <c r="N113" i="11"/>
  <c r="AF113" i="11"/>
  <c r="Q113" i="11"/>
  <c r="M113" i="11"/>
  <c r="AO113" i="11"/>
  <c r="AT113" i="11"/>
  <c r="AE113" i="11"/>
  <c r="AH113" i="11"/>
  <c r="AL113" i="11"/>
  <c r="AS113" i="11"/>
  <c r="AJ113" i="11"/>
  <c r="P113" i="11"/>
  <c r="AG113" i="11"/>
  <c r="AX113" i="11"/>
  <c r="L113" i="11"/>
  <c r="AK113" i="11"/>
  <c r="J113" i="11"/>
  <c r="O113" i="11"/>
  <c r="I113" i="11"/>
  <c r="V113" i="11"/>
  <c r="E113" i="11"/>
  <c r="T113" i="11"/>
  <c r="AN113" i="11"/>
  <c r="K113" i="11"/>
  <c r="AC113" i="11"/>
  <c r="R113" i="11"/>
  <c r="G113" i="11"/>
  <c r="H113" i="11"/>
  <c r="Z113" i="11"/>
  <c r="AB113" i="11"/>
  <c r="U113" i="11"/>
  <c r="X113" i="11"/>
  <c r="F113" i="11"/>
  <c r="Y113" i="11"/>
  <c r="C113" i="11"/>
  <c r="AW150" i="11" l="1"/>
  <c r="AV150" i="11"/>
  <c r="AJ150" i="11"/>
  <c r="AH150" i="11"/>
  <c r="AI150" i="11"/>
  <c r="AK150" i="11"/>
  <c r="W150" i="11"/>
  <c r="M150" i="11"/>
  <c r="AX150" i="11"/>
  <c r="AC150" i="11"/>
  <c r="T150" i="11"/>
  <c r="K150" i="11"/>
  <c r="AA150" i="11"/>
  <c r="X150" i="11"/>
  <c r="AL150" i="11"/>
  <c r="Q150" i="11"/>
  <c r="AB150" i="11"/>
  <c r="V150" i="11"/>
  <c r="AN150" i="11"/>
  <c r="AS150" i="11"/>
  <c r="G150" i="11"/>
  <c r="C150" i="11"/>
  <c r="P150" i="11"/>
  <c r="N150" i="11"/>
  <c r="AQ150" i="11"/>
  <c r="AF150" i="11"/>
  <c r="AP150" i="11"/>
  <c r="AG150" i="11"/>
  <c r="AE150" i="11"/>
  <c r="I150" i="11"/>
  <c r="O150" i="11"/>
  <c r="E150" i="11"/>
  <c r="Y150" i="11"/>
  <c r="A151" i="11"/>
  <c r="AD150" i="11"/>
  <c r="L150" i="11"/>
  <c r="AR150" i="11"/>
  <c r="AO150" i="11"/>
  <c r="H150" i="11"/>
  <c r="R150" i="11"/>
  <c r="AU150" i="11"/>
  <c r="D150" i="11"/>
  <c r="Z150" i="11"/>
  <c r="S150" i="11"/>
  <c r="AT150" i="11"/>
  <c r="AM150" i="11"/>
  <c r="F150" i="11"/>
  <c r="U150" i="11"/>
  <c r="J150" i="11"/>
  <c r="AW138" i="11"/>
  <c r="AV138" i="11"/>
  <c r="A139" i="11"/>
  <c r="AC138" i="11"/>
  <c r="F138" i="11"/>
  <c r="AI138" i="11"/>
  <c r="AF138" i="11"/>
  <c r="O138" i="11"/>
  <c r="AN138" i="11"/>
  <c r="S138" i="11"/>
  <c r="N138" i="11"/>
  <c r="Q138" i="11"/>
  <c r="AU138" i="11"/>
  <c r="Z138" i="11"/>
  <c r="AK138" i="11"/>
  <c r="C138" i="11"/>
  <c r="D138" i="11"/>
  <c r="AG138" i="11"/>
  <c r="G138" i="11"/>
  <c r="L138" i="11"/>
  <c r="P138" i="11"/>
  <c r="AO138" i="11"/>
  <c r="AL138" i="11"/>
  <c r="AM138" i="11"/>
  <c r="Y138" i="11"/>
  <c r="AX138" i="11"/>
  <c r="AS138" i="11"/>
  <c r="AR138" i="11"/>
  <c r="AQ138" i="11"/>
  <c r="AJ138" i="11"/>
  <c r="H138" i="11"/>
  <c r="T138" i="11"/>
  <c r="U138" i="11"/>
  <c r="AH138" i="11"/>
  <c r="V138" i="11"/>
  <c r="J138" i="11"/>
  <c r="AA138" i="11"/>
  <c r="AT138" i="11"/>
  <c r="AP138" i="11"/>
  <c r="M138" i="11"/>
  <c r="AB138" i="11"/>
  <c r="E138" i="11"/>
  <c r="X138" i="11"/>
  <c r="AD138" i="11"/>
  <c r="R138" i="11"/>
  <c r="K138" i="11"/>
  <c r="I138" i="11"/>
  <c r="AE138" i="11"/>
  <c r="W138" i="11"/>
  <c r="A187" i="11"/>
  <c r="AW162" i="11"/>
  <c r="AV162" i="11"/>
  <c r="G162" i="11"/>
  <c r="AO162" i="11"/>
  <c r="AT162" i="11"/>
  <c r="AE162" i="11"/>
  <c r="AS162" i="11"/>
  <c r="AP162" i="11"/>
  <c r="AM162" i="11"/>
  <c r="AC162" i="11"/>
  <c r="Y162" i="11"/>
  <c r="O162" i="11"/>
  <c r="K162" i="11"/>
  <c r="A163" i="11"/>
  <c r="Q162" i="11"/>
  <c r="P162" i="11"/>
  <c r="AR162" i="11"/>
  <c r="R162" i="11"/>
  <c r="X162" i="11"/>
  <c r="U162" i="11"/>
  <c r="AX162" i="11"/>
  <c r="AF162" i="11"/>
  <c r="N162" i="11"/>
  <c r="AU162" i="11"/>
  <c r="H162" i="11"/>
  <c r="AN162" i="11"/>
  <c r="M162" i="11"/>
  <c r="AD162" i="11"/>
  <c r="D162" i="11"/>
  <c r="AG162" i="11"/>
  <c r="L162" i="11"/>
  <c r="W162" i="11"/>
  <c r="AA162" i="11"/>
  <c r="T162" i="11"/>
  <c r="F162" i="11"/>
  <c r="V162" i="11"/>
  <c r="I162" i="11"/>
  <c r="AJ162" i="11"/>
  <c r="AQ162" i="11"/>
  <c r="AL162" i="11"/>
  <c r="S162" i="11"/>
  <c r="AK162" i="11"/>
  <c r="AH162" i="11"/>
  <c r="AI162" i="11"/>
  <c r="Z162" i="11"/>
  <c r="AB162" i="11"/>
  <c r="J162" i="11"/>
  <c r="E162" i="11"/>
  <c r="C162" i="11"/>
  <c r="A115" i="11"/>
  <c r="AW114" i="11"/>
  <c r="AV114" i="11"/>
  <c r="H114" i="11"/>
  <c r="M114" i="11"/>
  <c r="AN114" i="11"/>
  <c r="AF114" i="11"/>
  <c r="V114" i="11"/>
  <c r="Z114" i="11"/>
  <c r="AJ114" i="11"/>
  <c r="AC114" i="11"/>
  <c r="AP114" i="11"/>
  <c r="F114" i="11"/>
  <c r="AS114" i="11"/>
  <c r="L114" i="11"/>
  <c r="P114" i="11"/>
  <c r="AD114" i="11"/>
  <c r="R114" i="11"/>
  <c r="E114" i="11"/>
  <c r="S114" i="11"/>
  <c r="W114" i="11"/>
  <c r="D114" i="11"/>
  <c r="AG114" i="11"/>
  <c r="AE114" i="11"/>
  <c r="AM114" i="11"/>
  <c r="O114" i="11"/>
  <c r="AB114" i="11"/>
  <c r="AR114" i="11"/>
  <c r="G114" i="11"/>
  <c r="AT114" i="11"/>
  <c r="N114" i="11"/>
  <c r="X114" i="11"/>
  <c r="K114" i="11"/>
  <c r="U114" i="11"/>
  <c r="AK114" i="11"/>
  <c r="AX114" i="11"/>
  <c r="AH114" i="11"/>
  <c r="I114" i="11"/>
  <c r="AO114" i="11"/>
  <c r="T114" i="11"/>
  <c r="AU114" i="11"/>
  <c r="C114" i="11"/>
  <c r="J114" i="11"/>
  <c r="AQ114" i="11"/>
  <c r="Y114" i="11"/>
  <c r="Q114" i="11"/>
  <c r="AA114" i="11"/>
  <c r="AI114" i="11"/>
  <c r="AL114" i="11"/>
  <c r="A175" i="11"/>
  <c r="A103" i="11"/>
  <c r="AW102" i="11"/>
  <c r="AO102" i="11"/>
  <c r="AS102" i="11"/>
  <c r="P102" i="11"/>
  <c r="AX102" i="11"/>
  <c r="AK102" i="11"/>
  <c r="AD102" i="11"/>
  <c r="AJ102" i="11"/>
  <c r="AN102" i="11"/>
  <c r="AG102" i="11"/>
  <c r="AT102" i="11"/>
  <c r="AF102" i="11"/>
  <c r="AH102" i="11"/>
  <c r="AP102" i="11"/>
  <c r="D102" i="11"/>
  <c r="AR102" i="11"/>
  <c r="M102" i="11"/>
  <c r="N102" i="11"/>
  <c r="AI102" i="11"/>
  <c r="AM102" i="11"/>
  <c r="Q102" i="11"/>
  <c r="AL102" i="11"/>
  <c r="W102" i="11"/>
  <c r="AQ102" i="11"/>
  <c r="AU102" i="11"/>
  <c r="O102" i="11"/>
  <c r="AV102" i="11"/>
  <c r="S102" i="11"/>
  <c r="L102" i="11"/>
  <c r="AE102" i="11"/>
  <c r="AC102" i="11"/>
  <c r="R102" i="11"/>
  <c r="G102" i="11"/>
  <c r="I102" i="11"/>
  <c r="Y102" i="11"/>
  <c r="F102" i="11"/>
  <c r="U102" i="11"/>
  <c r="K102" i="11"/>
  <c r="AB102" i="11"/>
  <c r="H102" i="11"/>
  <c r="E102" i="11"/>
  <c r="V102" i="11"/>
  <c r="AA102" i="11"/>
  <c r="Z102" i="11"/>
  <c r="J102" i="11"/>
  <c r="T102" i="11"/>
  <c r="X102" i="11"/>
  <c r="C102" i="11"/>
  <c r="A127" i="11"/>
  <c r="AW126" i="11"/>
  <c r="AD126" i="11"/>
  <c r="AP126" i="11"/>
  <c r="D126" i="11"/>
  <c r="AE126" i="11"/>
  <c r="AQ126" i="11"/>
  <c r="AA126" i="11"/>
  <c r="AM126" i="11"/>
  <c r="S126" i="11"/>
  <c r="AV126" i="11"/>
  <c r="AI126" i="11"/>
  <c r="N126" i="11"/>
  <c r="W126" i="11"/>
  <c r="Q126" i="11"/>
  <c r="AU126" i="11"/>
  <c r="AH126" i="11"/>
  <c r="M126" i="11"/>
  <c r="H126" i="11"/>
  <c r="AR126" i="11"/>
  <c r="AT126" i="11"/>
  <c r="AF126" i="11"/>
  <c r="AL126" i="11"/>
  <c r="AO126" i="11"/>
  <c r="AX126" i="11"/>
  <c r="AJ126" i="11"/>
  <c r="G126" i="11"/>
  <c r="L126" i="11"/>
  <c r="AK126" i="11"/>
  <c r="AS126" i="11"/>
  <c r="AG126" i="11"/>
  <c r="AN126" i="11"/>
  <c r="P126" i="11"/>
  <c r="K126" i="11"/>
  <c r="AC126" i="11"/>
  <c r="I126" i="11"/>
  <c r="Z126" i="11"/>
  <c r="O126" i="11"/>
  <c r="E126" i="11"/>
  <c r="R126" i="11"/>
  <c r="J126" i="11"/>
  <c r="V126" i="11"/>
  <c r="AB126" i="11"/>
  <c r="T126" i="11"/>
  <c r="U126" i="11"/>
  <c r="X126" i="11"/>
  <c r="Y126" i="11"/>
  <c r="F126" i="11"/>
  <c r="C126" i="11"/>
  <c r="A91" i="11"/>
  <c r="A92" i="11" s="1"/>
  <c r="AW90" i="11"/>
  <c r="O90" i="11"/>
  <c r="I90" i="11"/>
  <c r="X90" i="11"/>
  <c r="AM90" i="11"/>
  <c r="AT90" i="11"/>
  <c r="U90" i="11"/>
  <c r="AJ90" i="11"/>
  <c r="M90" i="11"/>
  <c r="AB90" i="11"/>
  <c r="AQ90" i="11"/>
  <c r="AE90" i="11"/>
  <c r="H90" i="11"/>
  <c r="W90" i="11"/>
  <c r="AD90" i="11"/>
  <c r="E90" i="11"/>
  <c r="T90" i="11"/>
  <c r="AI90" i="11"/>
  <c r="AP90" i="11"/>
  <c r="AG90" i="11"/>
  <c r="AX90" i="11"/>
  <c r="L90" i="11"/>
  <c r="AA90" i="11"/>
  <c r="AH90" i="11"/>
  <c r="F90" i="11"/>
  <c r="AL90" i="11"/>
  <c r="AV90" i="11"/>
  <c r="AU90" i="11"/>
  <c r="V90" i="11"/>
  <c r="AO90" i="11"/>
  <c r="G90" i="11"/>
  <c r="N90" i="11"/>
  <c r="D90" i="11"/>
  <c r="S90" i="11"/>
  <c r="Z90" i="11"/>
  <c r="Q90" i="11"/>
  <c r="AF90" i="11"/>
  <c r="AS90" i="11"/>
  <c r="K90" i="11"/>
  <c r="R90" i="11"/>
  <c r="Y90" i="11"/>
  <c r="AN90" i="11"/>
  <c r="P90" i="11"/>
  <c r="AC90" i="11"/>
  <c r="AR90" i="11"/>
  <c r="AK90" i="11"/>
  <c r="C90" i="11"/>
  <c r="J90" i="11"/>
  <c r="AW198" i="11"/>
  <c r="AV198" i="11"/>
  <c r="A199" i="11"/>
  <c r="Z198" i="11"/>
  <c r="AG198" i="11"/>
  <c r="W198" i="11"/>
  <c r="J198" i="11"/>
  <c r="S198" i="11"/>
  <c r="AO198" i="11"/>
  <c r="T198" i="11"/>
  <c r="G198" i="11"/>
  <c r="AD198" i="11"/>
  <c r="AI198" i="11"/>
  <c r="AE198" i="11"/>
  <c r="AJ198" i="11"/>
  <c r="N198" i="11"/>
  <c r="Y198" i="11"/>
  <c r="AU198" i="11"/>
  <c r="E198" i="11"/>
  <c r="L198" i="11"/>
  <c r="AS198" i="11"/>
  <c r="AA198" i="11"/>
  <c r="I198" i="11"/>
  <c r="R198" i="11"/>
  <c r="AR198" i="11"/>
  <c r="AQ198" i="11"/>
  <c r="U198" i="11"/>
  <c r="F198" i="11"/>
  <c r="Q198" i="11"/>
  <c r="AN198" i="11"/>
  <c r="X198" i="11"/>
  <c r="AX198" i="11"/>
  <c r="D198" i="11"/>
  <c r="AH198" i="11"/>
  <c r="AM198" i="11"/>
  <c r="AT198" i="11"/>
  <c r="P198" i="11"/>
  <c r="C198" i="11"/>
  <c r="AK198" i="11"/>
  <c r="H198" i="11"/>
  <c r="O198" i="11"/>
  <c r="M198" i="11"/>
  <c r="V198" i="11"/>
  <c r="AC198" i="11"/>
  <c r="AL198" i="11"/>
  <c r="AP198" i="11"/>
  <c r="K198" i="11"/>
  <c r="AB198" i="11"/>
  <c r="AF198" i="11"/>
  <c r="A104" i="11" l="1"/>
  <c r="A105" i="11" s="1"/>
  <c r="AW103" i="11"/>
  <c r="AC103" i="11"/>
  <c r="AN103" i="11"/>
  <c r="AO103" i="11"/>
  <c r="C103" i="11"/>
  <c r="N103" i="11"/>
  <c r="E103" i="11"/>
  <c r="P103" i="11"/>
  <c r="AE103" i="11"/>
  <c r="AG103" i="11"/>
  <c r="AR103" i="11"/>
  <c r="F103" i="11"/>
  <c r="AV103" i="11"/>
  <c r="M103" i="11"/>
  <c r="X103" i="11"/>
  <c r="AM103" i="11"/>
  <c r="Y103" i="11"/>
  <c r="AJ103" i="11"/>
  <c r="O103" i="11"/>
  <c r="Q103" i="11"/>
  <c r="AB103" i="11"/>
  <c r="AQ103" i="11"/>
  <c r="Z103" i="11"/>
  <c r="S103" i="11"/>
  <c r="AD103" i="11"/>
  <c r="H103" i="11"/>
  <c r="W103" i="11"/>
  <c r="AH103" i="11"/>
  <c r="I103" i="11"/>
  <c r="T103" i="11"/>
  <c r="AI103" i="11"/>
  <c r="AT103" i="11"/>
  <c r="AK103" i="11"/>
  <c r="AX103" i="11"/>
  <c r="L103" i="11"/>
  <c r="AA103" i="11"/>
  <c r="AL103" i="11"/>
  <c r="J103" i="11"/>
  <c r="AS103" i="11"/>
  <c r="G103" i="11"/>
  <c r="R103" i="11"/>
  <c r="U103" i="11"/>
  <c r="AF103" i="11"/>
  <c r="AU103" i="11"/>
  <c r="K103" i="11"/>
  <c r="V103" i="11"/>
  <c r="AP103" i="11"/>
  <c r="D103" i="11"/>
  <c r="AW151" i="11"/>
  <c r="AV151" i="11"/>
  <c r="AG151" i="11"/>
  <c r="U151" i="11"/>
  <c r="X151" i="11"/>
  <c r="G151" i="11"/>
  <c r="AI151" i="11"/>
  <c r="AS151" i="11"/>
  <c r="AF151" i="11"/>
  <c r="L151" i="11"/>
  <c r="AK151" i="11"/>
  <c r="R151" i="11"/>
  <c r="AT151" i="11"/>
  <c r="AU151" i="11"/>
  <c r="D151" i="11"/>
  <c r="T151" i="11"/>
  <c r="Q151" i="11"/>
  <c r="AO151" i="11"/>
  <c r="C151" i="11"/>
  <c r="I151" i="11"/>
  <c r="N151" i="11"/>
  <c r="AP151" i="11"/>
  <c r="H151" i="11"/>
  <c r="F151" i="11"/>
  <c r="AR151" i="11"/>
  <c r="A152" i="11"/>
  <c r="K151" i="11"/>
  <c r="AB151" i="11"/>
  <c r="E151" i="11"/>
  <c r="Z151" i="11"/>
  <c r="AA151" i="11"/>
  <c r="Y151" i="11"/>
  <c r="W151" i="11"/>
  <c r="AM151" i="11"/>
  <c r="V151" i="11"/>
  <c r="P151" i="11"/>
  <c r="M151" i="11"/>
  <c r="AN151" i="11"/>
  <c r="O151" i="11"/>
  <c r="AQ151" i="11"/>
  <c r="S151" i="11"/>
  <c r="AE151" i="11"/>
  <c r="AJ151" i="11"/>
  <c r="AX151" i="11"/>
  <c r="AL151" i="11"/>
  <c r="AC151" i="11"/>
  <c r="J151" i="11"/>
  <c r="AD151" i="11"/>
  <c r="AH151" i="11"/>
  <c r="AW139" i="11"/>
  <c r="AV139" i="11"/>
  <c r="AJ139" i="11"/>
  <c r="P139" i="11"/>
  <c r="AE139" i="11"/>
  <c r="AL139" i="11"/>
  <c r="AA139" i="11"/>
  <c r="Q139" i="11"/>
  <c r="AI139" i="11"/>
  <c r="AQ139" i="11"/>
  <c r="AB139" i="11"/>
  <c r="I139" i="11"/>
  <c r="O139" i="11"/>
  <c r="V139" i="11"/>
  <c r="AN139" i="11"/>
  <c r="AX139" i="11"/>
  <c r="AK139" i="11"/>
  <c r="AP139" i="11"/>
  <c r="AF139" i="11"/>
  <c r="AD139" i="11"/>
  <c r="AM139" i="11"/>
  <c r="K139" i="11"/>
  <c r="Z139" i="11"/>
  <c r="H139" i="11"/>
  <c r="U139" i="11"/>
  <c r="C139" i="11"/>
  <c r="G139" i="11"/>
  <c r="AR139" i="11"/>
  <c r="AS139" i="11"/>
  <c r="N139" i="11"/>
  <c r="AG139" i="11"/>
  <c r="AT139" i="11"/>
  <c r="W139" i="11"/>
  <c r="R139" i="11"/>
  <c r="T139" i="11"/>
  <c r="X139" i="11"/>
  <c r="E139" i="11"/>
  <c r="A140" i="11"/>
  <c r="L139" i="11"/>
  <c r="D139" i="11"/>
  <c r="AH139" i="11"/>
  <c r="S139" i="11"/>
  <c r="AO139" i="11"/>
  <c r="M139" i="11"/>
  <c r="AU139" i="11"/>
  <c r="J139" i="11"/>
  <c r="AC139" i="11"/>
  <c r="F139" i="11"/>
  <c r="Y139" i="11"/>
  <c r="A200" i="11"/>
  <c r="AW175" i="11"/>
  <c r="AV175" i="11"/>
  <c r="G175" i="11"/>
  <c r="M175" i="11"/>
  <c r="Q175" i="11"/>
  <c r="AM175" i="11"/>
  <c r="AH175" i="11"/>
  <c r="AK175" i="11"/>
  <c r="AQ175" i="11"/>
  <c r="U175" i="11"/>
  <c r="AC175" i="11"/>
  <c r="J175" i="11"/>
  <c r="H175" i="11"/>
  <c r="A176" i="11"/>
  <c r="L175" i="11"/>
  <c r="AA175" i="11"/>
  <c r="AF175" i="11"/>
  <c r="S175" i="11"/>
  <c r="AL175" i="11"/>
  <c r="AX175" i="11"/>
  <c r="AU175" i="11"/>
  <c r="F175" i="11"/>
  <c r="R175" i="11"/>
  <c r="AB175" i="11"/>
  <c r="Y175" i="11"/>
  <c r="AJ175" i="11"/>
  <c r="AG175" i="11"/>
  <c r="P175" i="11"/>
  <c r="AR175" i="11"/>
  <c r="AS175" i="11"/>
  <c r="AP175" i="11"/>
  <c r="N175" i="11"/>
  <c r="AI175" i="11"/>
  <c r="K175" i="11"/>
  <c r="E175" i="11"/>
  <c r="I175" i="11"/>
  <c r="V175" i="11"/>
  <c r="AN175" i="11"/>
  <c r="D175" i="11"/>
  <c r="AO175" i="11"/>
  <c r="AE175" i="11"/>
  <c r="AD175" i="11"/>
  <c r="AT175" i="11"/>
  <c r="W175" i="11"/>
  <c r="X175" i="11"/>
  <c r="O175" i="11"/>
  <c r="T175" i="11"/>
  <c r="Z175" i="11"/>
  <c r="C175" i="11"/>
  <c r="A188" i="11"/>
  <c r="A128" i="11"/>
  <c r="AW127" i="11"/>
  <c r="AV127" i="11"/>
  <c r="K127" i="11"/>
  <c r="AC127" i="11"/>
  <c r="AP127" i="11"/>
  <c r="G127" i="11"/>
  <c r="U127" i="11"/>
  <c r="AX127" i="11"/>
  <c r="J127" i="11"/>
  <c r="AF127" i="11"/>
  <c r="AJ127" i="11"/>
  <c r="AS127" i="11"/>
  <c r="AT127" i="11"/>
  <c r="AB127" i="11"/>
  <c r="X127" i="11"/>
  <c r="AN127" i="11"/>
  <c r="L127" i="11"/>
  <c r="O127" i="11"/>
  <c r="AR127" i="11"/>
  <c r="AH127" i="11"/>
  <c r="S127" i="11"/>
  <c r="Z127" i="11"/>
  <c r="P127" i="11"/>
  <c r="AK127" i="11"/>
  <c r="V127" i="11"/>
  <c r="AL127" i="11"/>
  <c r="D127" i="11"/>
  <c r="H127" i="11"/>
  <c r="M127" i="11"/>
  <c r="Y127" i="11"/>
  <c r="AG127" i="11"/>
  <c r="I127" i="11"/>
  <c r="N127" i="11"/>
  <c r="F127" i="11"/>
  <c r="AD127" i="11"/>
  <c r="AU127" i="11"/>
  <c r="Q127" i="11"/>
  <c r="AA127" i="11"/>
  <c r="C127" i="11"/>
  <c r="AI127" i="11"/>
  <c r="AQ127" i="11"/>
  <c r="E127" i="11"/>
  <c r="W127" i="11"/>
  <c r="AE127" i="11"/>
  <c r="AM127" i="11"/>
  <c r="AO127" i="11"/>
  <c r="T127" i="11"/>
  <c r="R127" i="11"/>
  <c r="A116" i="11"/>
  <c r="AW115" i="11"/>
  <c r="AR115" i="11"/>
  <c r="N115" i="11"/>
  <c r="W115" i="11"/>
  <c r="AQ115" i="11"/>
  <c r="AU115" i="11"/>
  <c r="AV115" i="11"/>
  <c r="S115" i="11"/>
  <c r="D115" i="11"/>
  <c r="AI115" i="11"/>
  <c r="AE115" i="11"/>
  <c r="AP115" i="11"/>
  <c r="AX115" i="11"/>
  <c r="M115" i="11"/>
  <c r="P115" i="11"/>
  <c r="AM115" i="11"/>
  <c r="AH115" i="11"/>
  <c r="Q115" i="11"/>
  <c r="AS115" i="11"/>
  <c r="AG115" i="11"/>
  <c r="AL115" i="11"/>
  <c r="AD115" i="11"/>
  <c r="AO115" i="11"/>
  <c r="AF115" i="11"/>
  <c r="AK115" i="11"/>
  <c r="L115" i="11"/>
  <c r="AT115" i="11"/>
  <c r="AC115" i="11"/>
  <c r="J115" i="11"/>
  <c r="G115" i="11"/>
  <c r="AJ115" i="11"/>
  <c r="Z115" i="11"/>
  <c r="O115" i="11"/>
  <c r="I115" i="11"/>
  <c r="V115" i="11"/>
  <c r="R115" i="11"/>
  <c r="T115" i="11"/>
  <c r="Y115" i="11"/>
  <c r="U115" i="11"/>
  <c r="K115" i="11"/>
  <c r="AB115" i="11"/>
  <c r="E115" i="11"/>
  <c r="AN115" i="11"/>
  <c r="AA115" i="11"/>
  <c r="H115" i="11"/>
  <c r="F115" i="11"/>
  <c r="X115" i="11"/>
  <c r="C115" i="11"/>
  <c r="AW163" i="11"/>
  <c r="AV163" i="11"/>
  <c r="A164" i="11"/>
  <c r="L163" i="11"/>
  <c r="AF163" i="11"/>
  <c r="AD163" i="11"/>
  <c r="AA163" i="11"/>
  <c r="AH163" i="11"/>
  <c r="AX163" i="11"/>
  <c r="AE163" i="11"/>
  <c r="V163" i="11"/>
  <c r="U163" i="11"/>
  <c r="T163" i="11"/>
  <c r="O163" i="11"/>
  <c r="AN163" i="11"/>
  <c r="AG163" i="11"/>
  <c r="S163" i="11"/>
  <c r="D163" i="11"/>
  <c r="AU163" i="11"/>
  <c r="AT163" i="11"/>
  <c r="AL163" i="11"/>
  <c r="AI163" i="11"/>
  <c r="X163" i="11"/>
  <c r="H163" i="11"/>
  <c r="E163" i="11"/>
  <c r="R163" i="11"/>
  <c r="P163" i="11"/>
  <c r="AK163" i="11"/>
  <c r="AM163" i="11"/>
  <c r="Z163" i="11"/>
  <c r="AO163" i="11"/>
  <c r="AR163" i="11"/>
  <c r="AP163" i="11"/>
  <c r="AQ163" i="11"/>
  <c r="F163" i="11"/>
  <c r="AB163" i="11"/>
  <c r="AC163" i="11"/>
  <c r="C163" i="11"/>
  <c r="AJ163" i="11"/>
  <c r="AS163" i="11"/>
  <c r="G163" i="11"/>
  <c r="W163" i="11"/>
  <c r="Q163" i="11"/>
  <c r="M163" i="11"/>
  <c r="N163" i="11"/>
  <c r="K163" i="11"/>
  <c r="Y163" i="11"/>
  <c r="I163" i="11"/>
  <c r="J163" i="11"/>
  <c r="AW164" i="11" l="1"/>
  <c r="AV164" i="11"/>
  <c r="A165" i="11"/>
  <c r="M164" i="11"/>
  <c r="S164" i="11"/>
  <c r="N164" i="11"/>
  <c r="AD164" i="11"/>
  <c r="AC164" i="11"/>
  <c r="D164" i="11"/>
  <c r="W164" i="11"/>
  <c r="K164" i="11"/>
  <c r="AF164" i="11"/>
  <c r="AN164" i="11"/>
  <c r="AH164" i="11"/>
  <c r="G164" i="11"/>
  <c r="AL164" i="11"/>
  <c r="P164" i="11"/>
  <c r="F164" i="11"/>
  <c r="T164" i="11"/>
  <c r="O164" i="11"/>
  <c r="V164" i="11"/>
  <c r="AU164" i="11"/>
  <c r="AX164" i="11"/>
  <c r="U164" i="11"/>
  <c r="L164" i="11"/>
  <c r="R164" i="11"/>
  <c r="AO164" i="11"/>
  <c r="I164" i="11"/>
  <c r="C164" i="11"/>
  <c r="Y164" i="11"/>
  <c r="Q164" i="11"/>
  <c r="AP164" i="11"/>
  <c r="AI164" i="11"/>
  <c r="AM164" i="11"/>
  <c r="Z164" i="11"/>
  <c r="AK164" i="11"/>
  <c r="AS164" i="11"/>
  <c r="AQ164" i="11"/>
  <c r="H164" i="11"/>
  <c r="AA164" i="11"/>
  <c r="AB164" i="11"/>
  <c r="AG164" i="11"/>
  <c r="E164" i="11"/>
  <c r="J164" i="11"/>
  <c r="AE164" i="11"/>
  <c r="X164" i="11"/>
  <c r="AT164" i="11"/>
  <c r="AJ164" i="11"/>
  <c r="AR164" i="11"/>
  <c r="A201" i="11"/>
  <c r="A141" i="11"/>
  <c r="AW140" i="11"/>
  <c r="AV140" i="11"/>
  <c r="AS140" i="11"/>
  <c r="AT140" i="11"/>
  <c r="F140" i="11"/>
  <c r="AJ140" i="11"/>
  <c r="O140" i="11"/>
  <c r="AD140" i="11"/>
  <c r="N140" i="11"/>
  <c r="AH140" i="11"/>
  <c r="E140" i="11"/>
  <c r="S140" i="11"/>
  <c r="R140" i="11"/>
  <c r="X140" i="11"/>
  <c r="G140" i="11"/>
  <c r="L140" i="11"/>
  <c r="Q140" i="11"/>
  <c r="AB140" i="11"/>
  <c r="AK140" i="11"/>
  <c r="M140" i="11"/>
  <c r="K140" i="11"/>
  <c r="AN140" i="11"/>
  <c r="AX140" i="11"/>
  <c r="AF140" i="11"/>
  <c r="W140" i="11"/>
  <c r="AA140" i="11"/>
  <c r="AC140" i="11"/>
  <c r="V140" i="11"/>
  <c r="U140" i="11"/>
  <c r="J140" i="11"/>
  <c r="T140" i="11"/>
  <c r="AL140" i="11"/>
  <c r="P140" i="11"/>
  <c r="Y140" i="11"/>
  <c r="AO140" i="11"/>
  <c r="I140" i="11"/>
  <c r="AQ140" i="11"/>
  <c r="AE140" i="11"/>
  <c r="AG140" i="11"/>
  <c r="AR140" i="11"/>
  <c r="C140" i="11"/>
  <c r="AP140" i="11"/>
  <c r="H140" i="11"/>
  <c r="AI140" i="11"/>
  <c r="AM140" i="11"/>
  <c r="AU140" i="11"/>
  <c r="Z140" i="11"/>
  <c r="D140" i="11"/>
  <c r="AW188" i="11"/>
  <c r="AV188" i="11"/>
  <c r="AJ188" i="11"/>
  <c r="P188" i="11"/>
  <c r="Q188" i="11"/>
  <c r="S188" i="11"/>
  <c r="AQ188" i="11"/>
  <c r="M188" i="11"/>
  <c r="AR188" i="11"/>
  <c r="E188" i="11"/>
  <c r="K188" i="11"/>
  <c r="X188" i="11"/>
  <c r="Y188" i="11"/>
  <c r="F188" i="11"/>
  <c r="G188" i="11"/>
  <c r="AK188" i="11"/>
  <c r="AD188" i="11"/>
  <c r="AE188" i="11"/>
  <c r="N188" i="11"/>
  <c r="AG188" i="11"/>
  <c r="D188" i="11"/>
  <c r="AB188" i="11"/>
  <c r="AA188" i="11"/>
  <c r="J188" i="11"/>
  <c r="R188" i="11"/>
  <c r="C188" i="11"/>
  <c r="AN188" i="11"/>
  <c r="AO188" i="11"/>
  <c r="AL188" i="11"/>
  <c r="AI188" i="11"/>
  <c r="AH188" i="11"/>
  <c r="AX188" i="11"/>
  <c r="W188" i="11"/>
  <c r="O188" i="11"/>
  <c r="AC188" i="11"/>
  <c r="I188" i="11"/>
  <c r="V188" i="11"/>
  <c r="A189" i="11"/>
  <c r="L188" i="11"/>
  <c r="AS188" i="11"/>
  <c r="AT188" i="11"/>
  <c r="AM188" i="11"/>
  <c r="AP188" i="11"/>
  <c r="AF188" i="11"/>
  <c r="AU188" i="11"/>
  <c r="H188" i="11"/>
  <c r="Z188" i="11"/>
  <c r="T188" i="11"/>
  <c r="U188" i="11"/>
  <c r="AW176" i="11"/>
  <c r="AV176" i="11"/>
  <c r="AJ176" i="11"/>
  <c r="AA176" i="11"/>
  <c r="Q176" i="11"/>
  <c r="AF176" i="11"/>
  <c r="AG176" i="11"/>
  <c r="AS176" i="11"/>
  <c r="AI176" i="11"/>
  <c r="U176" i="11"/>
  <c r="F176" i="11"/>
  <c r="Y176" i="11"/>
  <c r="AC176" i="11"/>
  <c r="A177" i="11"/>
  <c r="G176" i="11"/>
  <c r="AU176" i="11"/>
  <c r="AD176" i="11"/>
  <c r="D176" i="11"/>
  <c r="AL176" i="11"/>
  <c r="AR176" i="11"/>
  <c r="AQ176" i="11"/>
  <c r="H176" i="11"/>
  <c r="X176" i="11"/>
  <c r="E176" i="11"/>
  <c r="J176" i="11"/>
  <c r="AN176" i="11"/>
  <c r="AX176" i="11"/>
  <c r="L176" i="11"/>
  <c r="AH176" i="11"/>
  <c r="M176" i="11"/>
  <c r="AT176" i="11"/>
  <c r="N176" i="11"/>
  <c r="AE176" i="11"/>
  <c r="I176" i="11"/>
  <c r="Z176" i="11"/>
  <c r="V176" i="11"/>
  <c r="AB176" i="11"/>
  <c r="P176" i="11"/>
  <c r="S176" i="11"/>
  <c r="AO176" i="11"/>
  <c r="AP176" i="11"/>
  <c r="W176" i="11"/>
  <c r="AK176" i="11"/>
  <c r="AM176" i="11"/>
  <c r="O176" i="11"/>
  <c r="R176" i="11"/>
  <c r="T176" i="11"/>
  <c r="K176" i="11"/>
  <c r="C176" i="11"/>
  <c r="A117" i="11"/>
  <c r="A118" i="11" s="1"/>
  <c r="AW116" i="11"/>
  <c r="N116" i="11"/>
  <c r="AD116" i="11"/>
  <c r="G116" i="11"/>
  <c r="V116" i="11"/>
  <c r="D116" i="11"/>
  <c r="S116" i="11"/>
  <c r="AH116" i="11"/>
  <c r="Y116" i="11"/>
  <c r="AF116" i="11"/>
  <c r="AU116" i="11"/>
  <c r="K116" i="11"/>
  <c r="Z116" i="11"/>
  <c r="AV116" i="11"/>
  <c r="AG116" i="11"/>
  <c r="AN116" i="11"/>
  <c r="F116" i="11"/>
  <c r="AS116" i="11"/>
  <c r="C116" i="11"/>
  <c r="R116" i="11"/>
  <c r="I116" i="11"/>
  <c r="P116" i="11"/>
  <c r="AE116" i="11"/>
  <c r="AK116" i="11"/>
  <c r="AR116" i="11"/>
  <c r="J116" i="11"/>
  <c r="T116" i="11"/>
  <c r="AP116" i="11"/>
  <c r="Q116" i="11"/>
  <c r="X116" i="11"/>
  <c r="AM116" i="11"/>
  <c r="AC116" i="11"/>
  <c r="AJ116" i="11"/>
  <c r="O116" i="11"/>
  <c r="U116" i="11"/>
  <c r="AB116" i="11"/>
  <c r="AQ116" i="11"/>
  <c r="H116" i="11"/>
  <c r="W116" i="11"/>
  <c r="AL116" i="11"/>
  <c r="AO116" i="11"/>
  <c r="AX116" i="11"/>
  <c r="E116" i="11"/>
  <c r="L116" i="11"/>
  <c r="AA116" i="11"/>
  <c r="AT116" i="11"/>
  <c r="M116" i="11"/>
  <c r="AI116" i="11"/>
  <c r="AW152" i="11"/>
  <c r="AV152" i="11"/>
  <c r="AN152" i="11"/>
  <c r="AX152" i="11"/>
  <c r="L152" i="11"/>
  <c r="S152" i="11"/>
  <c r="N152" i="11"/>
  <c r="AH152" i="11"/>
  <c r="AI152" i="11"/>
  <c r="AA152" i="11"/>
  <c r="E152" i="11"/>
  <c r="V152" i="11"/>
  <c r="T152" i="11"/>
  <c r="F152" i="11"/>
  <c r="G152" i="11"/>
  <c r="AL152" i="11"/>
  <c r="AK152" i="11"/>
  <c r="AM152" i="11"/>
  <c r="P152" i="11"/>
  <c r="AT152" i="11"/>
  <c r="AQ152" i="11"/>
  <c r="J152" i="11"/>
  <c r="Y152" i="11"/>
  <c r="R152" i="11"/>
  <c r="AC152" i="11"/>
  <c r="C152" i="11"/>
  <c r="AJ152" i="11"/>
  <c r="AF152" i="11"/>
  <c r="AS152" i="11"/>
  <c r="AD152" i="11"/>
  <c r="AO152" i="11"/>
  <c r="AR152" i="11"/>
  <c r="AU152" i="11"/>
  <c r="Z152" i="11"/>
  <c r="H152" i="11"/>
  <c r="K152" i="11"/>
  <c r="AB152" i="11"/>
  <c r="A153" i="11"/>
  <c r="AG152" i="11"/>
  <c r="AE152" i="11"/>
  <c r="AP152" i="11"/>
  <c r="D152" i="11"/>
  <c r="Q152" i="11"/>
  <c r="M152" i="11"/>
  <c r="W152" i="11"/>
  <c r="O152" i="11"/>
  <c r="X152" i="11"/>
  <c r="I152" i="11"/>
  <c r="U152" i="11"/>
  <c r="A129" i="11"/>
  <c r="AW128" i="11"/>
  <c r="N128" i="11"/>
  <c r="AQ128" i="11"/>
  <c r="AI128" i="11"/>
  <c r="AU128" i="11"/>
  <c r="AT128" i="11"/>
  <c r="AR128" i="11"/>
  <c r="AL128" i="11"/>
  <c r="AO128" i="11"/>
  <c r="AX128" i="11"/>
  <c r="AG128" i="11"/>
  <c r="AN128" i="11"/>
  <c r="AV128" i="11"/>
  <c r="AM128" i="11"/>
  <c r="AP128" i="11"/>
  <c r="W128" i="11"/>
  <c r="S128" i="11"/>
  <c r="M128" i="11"/>
  <c r="AJ128" i="11"/>
  <c r="P128" i="11"/>
  <c r="AK128" i="11"/>
  <c r="Q128" i="11"/>
  <c r="AD128" i="11"/>
  <c r="AF128" i="11"/>
  <c r="AS128" i="11"/>
  <c r="L128" i="11"/>
  <c r="AE128" i="11"/>
  <c r="D128" i="11"/>
  <c r="AH128" i="11"/>
  <c r="G128" i="11"/>
  <c r="I128" i="11"/>
  <c r="Z128" i="11"/>
  <c r="E128" i="11"/>
  <c r="AA128" i="11"/>
  <c r="U128" i="11"/>
  <c r="O128" i="11"/>
  <c r="H128" i="11"/>
  <c r="K128" i="11"/>
  <c r="AC128" i="11"/>
  <c r="J128" i="11"/>
  <c r="AB128" i="11"/>
  <c r="V128" i="11"/>
  <c r="T128" i="11"/>
  <c r="Y128" i="11"/>
  <c r="R128" i="11"/>
  <c r="X128" i="11"/>
  <c r="F128" i="11"/>
  <c r="C128" i="11"/>
  <c r="AW141" i="11" l="1"/>
  <c r="AV141" i="11"/>
  <c r="L141" i="11"/>
  <c r="Q141" i="11"/>
  <c r="AE141" i="11"/>
  <c r="AP141" i="11"/>
  <c r="AH141" i="11"/>
  <c r="AL141" i="11"/>
  <c r="AA141" i="11"/>
  <c r="AC141" i="11"/>
  <c r="R141" i="11"/>
  <c r="Y141" i="11"/>
  <c r="E141" i="11"/>
  <c r="C141" i="11"/>
  <c r="AN141" i="11"/>
  <c r="AT141" i="11"/>
  <c r="AM141" i="11"/>
  <c r="W141" i="11"/>
  <c r="AR141" i="11"/>
  <c r="AF141" i="11"/>
  <c r="AQ141" i="11"/>
  <c r="O141" i="11"/>
  <c r="K141" i="11"/>
  <c r="V141" i="11"/>
  <c r="T141" i="11"/>
  <c r="A142" i="11"/>
  <c r="AG141" i="11"/>
  <c r="N141" i="11"/>
  <c r="P141" i="11"/>
  <c r="AO141" i="11"/>
  <c r="G141" i="11"/>
  <c r="D141" i="11"/>
  <c r="AU141" i="11"/>
  <c r="X141" i="11"/>
  <c r="AB141" i="11"/>
  <c r="F141" i="11"/>
  <c r="I141" i="11"/>
  <c r="AJ141" i="11"/>
  <c r="AK141" i="11"/>
  <c r="S141" i="11"/>
  <c r="AS141" i="11"/>
  <c r="AD141" i="11"/>
  <c r="AX141" i="11"/>
  <c r="M141" i="11"/>
  <c r="AI141" i="11"/>
  <c r="U141" i="11"/>
  <c r="Z141" i="11"/>
  <c r="J141" i="11"/>
  <c r="H141" i="11"/>
  <c r="AW177" i="11"/>
  <c r="AV177" i="11"/>
  <c r="AM177" i="11"/>
  <c r="G177" i="11"/>
  <c r="W177" i="11"/>
  <c r="AD177" i="11"/>
  <c r="C177" i="11"/>
  <c r="U177" i="11"/>
  <c r="AT177" i="11"/>
  <c r="AR177" i="11"/>
  <c r="AJ177" i="11"/>
  <c r="AG177" i="11"/>
  <c r="Z177" i="11"/>
  <c r="AF177" i="11"/>
  <c r="Q177" i="11"/>
  <c r="T177" i="11"/>
  <c r="AN177" i="11"/>
  <c r="D177" i="11"/>
  <c r="AC177" i="11"/>
  <c r="Y177" i="11"/>
  <c r="I177" i="11"/>
  <c r="L177" i="11"/>
  <c r="AU177" i="11"/>
  <c r="AO177" i="11"/>
  <c r="V177" i="11"/>
  <c r="S177" i="11"/>
  <c r="AB177" i="11"/>
  <c r="AH177" i="11"/>
  <c r="AS177" i="11"/>
  <c r="AE177" i="11"/>
  <c r="H177" i="11"/>
  <c r="AK177" i="11"/>
  <c r="AQ177" i="11"/>
  <c r="K177" i="11"/>
  <c r="AI177" i="11"/>
  <c r="AX177" i="11"/>
  <c r="X177" i="11"/>
  <c r="E177" i="11"/>
  <c r="AA177" i="11"/>
  <c r="AL177" i="11"/>
  <c r="N177" i="11"/>
  <c r="M177" i="11"/>
  <c r="AP177" i="11"/>
  <c r="A178" i="11"/>
  <c r="R177" i="11"/>
  <c r="O177" i="11"/>
  <c r="F177" i="11"/>
  <c r="J177" i="11"/>
  <c r="P177" i="11"/>
  <c r="AW165" i="11"/>
  <c r="AV165" i="11"/>
  <c r="G165" i="11"/>
  <c r="AR165" i="11"/>
  <c r="AQ165" i="11"/>
  <c r="M165" i="11"/>
  <c r="AH165" i="11"/>
  <c r="AG165" i="11"/>
  <c r="AT165" i="11"/>
  <c r="I165" i="11"/>
  <c r="AB165" i="11"/>
  <c r="AA165" i="11"/>
  <c r="Y165" i="11"/>
  <c r="C165" i="11"/>
  <c r="L165" i="11"/>
  <c r="N165" i="11"/>
  <c r="AO165" i="11"/>
  <c r="AM165" i="11"/>
  <c r="AP165" i="11"/>
  <c r="AK165" i="11"/>
  <c r="W165" i="11"/>
  <c r="R165" i="11"/>
  <c r="J165" i="11"/>
  <c r="Z165" i="11"/>
  <c r="O165" i="11"/>
  <c r="A166" i="11"/>
  <c r="AJ165" i="11"/>
  <c r="AE165" i="11"/>
  <c r="AX165" i="11"/>
  <c r="S165" i="11"/>
  <c r="AF165" i="11"/>
  <c r="AS165" i="11"/>
  <c r="AU165" i="11"/>
  <c r="F165" i="11"/>
  <c r="H165" i="11"/>
  <c r="V165" i="11"/>
  <c r="E165" i="11"/>
  <c r="P165" i="11"/>
  <c r="Q165" i="11"/>
  <c r="D165" i="11"/>
  <c r="AC165" i="11"/>
  <c r="U165" i="11"/>
  <c r="X165" i="11"/>
  <c r="AN165" i="11"/>
  <c r="AI165" i="11"/>
  <c r="AD165" i="11"/>
  <c r="AL165" i="11"/>
  <c r="K165" i="11"/>
  <c r="T165" i="11"/>
  <c r="A130" i="11"/>
  <c r="A131" i="11" s="1"/>
  <c r="AW129" i="11"/>
  <c r="F129" i="11"/>
  <c r="D129" i="11"/>
  <c r="K129" i="11"/>
  <c r="R129" i="11"/>
  <c r="Y129" i="11"/>
  <c r="AF129" i="11"/>
  <c r="AM129" i="11"/>
  <c r="AT129" i="11"/>
  <c r="C129" i="11"/>
  <c r="J129" i="11"/>
  <c r="AV129" i="11"/>
  <c r="AG129" i="11"/>
  <c r="AN129" i="11"/>
  <c r="AU129" i="11"/>
  <c r="AS129" i="11"/>
  <c r="I129" i="11"/>
  <c r="P129" i="11"/>
  <c r="W129" i="11"/>
  <c r="AD129" i="11"/>
  <c r="AK129" i="11"/>
  <c r="AR129" i="11"/>
  <c r="Q129" i="11"/>
  <c r="X129" i="11"/>
  <c r="AE129" i="11"/>
  <c r="AL129" i="11"/>
  <c r="AC129" i="11"/>
  <c r="AJ129" i="11"/>
  <c r="AQ129" i="11"/>
  <c r="G129" i="11"/>
  <c r="N129" i="11"/>
  <c r="U129" i="11"/>
  <c r="AB129" i="11"/>
  <c r="AI129" i="11"/>
  <c r="AP129" i="11"/>
  <c r="H129" i="11"/>
  <c r="O129" i="11"/>
  <c r="V129" i="11"/>
  <c r="AO129" i="11"/>
  <c r="AX129" i="11"/>
  <c r="E129" i="11"/>
  <c r="L129" i="11"/>
  <c r="S129" i="11"/>
  <c r="Z129" i="11"/>
  <c r="M129" i="11"/>
  <c r="T129" i="11"/>
  <c r="AA129" i="11"/>
  <c r="AH129" i="11"/>
  <c r="A154" i="11"/>
  <c r="AW153" i="11"/>
  <c r="AV153" i="11"/>
  <c r="AK153" i="11"/>
  <c r="D153" i="11"/>
  <c r="R153" i="11"/>
  <c r="X153" i="11"/>
  <c r="AR153" i="11"/>
  <c r="Z153" i="11"/>
  <c r="AE153" i="11"/>
  <c r="U153" i="11"/>
  <c r="AX153" i="11"/>
  <c r="AB153" i="11"/>
  <c r="M153" i="11"/>
  <c r="AD153" i="11"/>
  <c r="P153" i="11"/>
  <c r="AC153" i="11"/>
  <c r="O153" i="11"/>
  <c r="V153" i="11"/>
  <c r="K153" i="11"/>
  <c r="AT153" i="11"/>
  <c r="H153" i="11"/>
  <c r="N153" i="11"/>
  <c r="AN153" i="11"/>
  <c r="G153" i="11"/>
  <c r="L153" i="11"/>
  <c r="Y153" i="11"/>
  <c r="AG153" i="11"/>
  <c r="AO153" i="11"/>
  <c r="AL153" i="11"/>
  <c r="I153" i="11"/>
  <c r="AH153" i="11"/>
  <c r="E153" i="11"/>
  <c r="AM153" i="11"/>
  <c r="C153" i="11"/>
  <c r="AS153" i="11"/>
  <c r="J153" i="11"/>
  <c r="AJ153" i="11"/>
  <c r="W153" i="11"/>
  <c r="F153" i="11"/>
  <c r="AP153" i="11"/>
  <c r="T153" i="11"/>
  <c r="Q153" i="11"/>
  <c r="S153" i="11"/>
  <c r="AU153" i="11"/>
  <c r="AI153" i="11"/>
  <c r="AQ153" i="11"/>
  <c r="AF153" i="11"/>
  <c r="AA153" i="11"/>
  <c r="AW189" i="11"/>
  <c r="AV189" i="11"/>
  <c r="AJ189" i="11"/>
  <c r="M189" i="11"/>
  <c r="AM189" i="11"/>
  <c r="AD189" i="11"/>
  <c r="AS189" i="11"/>
  <c r="I189" i="11"/>
  <c r="N189" i="11"/>
  <c r="AA189" i="11"/>
  <c r="AB189" i="11"/>
  <c r="T189" i="11"/>
  <c r="H189" i="11"/>
  <c r="A190" i="11"/>
  <c r="Q189" i="11"/>
  <c r="S189" i="11"/>
  <c r="AQ189" i="11"/>
  <c r="AF189" i="11"/>
  <c r="AX189" i="11"/>
  <c r="L189" i="11"/>
  <c r="AU189" i="11"/>
  <c r="AC189" i="11"/>
  <c r="Z189" i="11"/>
  <c r="K189" i="11"/>
  <c r="E189" i="11"/>
  <c r="AN189" i="11"/>
  <c r="AR189" i="11"/>
  <c r="AE189" i="11"/>
  <c r="AG189" i="11"/>
  <c r="P189" i="11"/>
  <c r="AL189" i="11"/>
  <c r="AH189" i="11"/>
  <c r="W189" i="11"/>
  <c r="O189" i="11"/>
  <c r="V189" i="11"/>
  <c r="J189" i="11"/>
  <c r="U189" i="11"/>
  <c r="G189" i="11"/>
  <c r="AI189" i="11"/>
  <c r="AT189" i="11"/>
  <c r="R189" i="11"/>
  <c r="Y189" i="11"/>
  <c r="AO189" i="11"/>
  <c r="F189" i="11"/>
  <c r="C189" i="11"/>
  <c r="D189" i="11"/>
  <c r="AK189" i="11"/>
  <c r="AP189" i="11"/>
  <c r="X189" i="11"/>
  <c r="AW201" i="11"/>
  <c r="AV201" i="11"/>
  <c r="G201" i="11"/>
  <c r="AS201" i="11"/>
  <c r="AM201" i="11"/>
  <c r="AP201" i="11"/>
  <c r="AA201" i="11"/>
  <c r="AX201" i="11"/>
  <c r="AD201" i="11"/>
  <c r="W201" i="11"/>
  <c r="H201" i="11"/>
  <c r="Y201" i="11"/>
  <c r="F201" i="11"/>
  <c r="E201" i="11"/>
  <c r="AJ201" i="11"/>
  <c r="AL201" i="11"/>
  <c r="AU201" i="11"/>
  <c r="D201" i="11"/>
  <c r="AQ201" i="11"/>
  <c r="AH201" i="11"/>
  <c r="AT201" i="11"/>
  <c r="R201" i="11"/>
  <c r="J201" i="11"/>
  <c r="U201" i="11"/>
  <c r="X201" i="11"/>
  <c r="C201" i="11"/>
  <c r="AN201" i="11"/>
  <c r="N201" i="11"/>
  <c r="AO201" i="11"/>
  <c r="M201" i="11"/>
  <c r="L201" i="11"/>
  <c r="AR201" i="11"/>
  <c r="AF201" i="11"/>
  <c r="AC201" i="11"/>
  <c r="I201" i="11"/>
  <c r="K201" i="11"/>
  <c r="O201" i="11"/>
  <c r="A202" i="11"/>
  <c r="P201" i="11"/>
  <c r="AE201" i="11"/>
  <c r="Q201" i="11"/>
  <c r="S201" i="11"/>
  <c r="AG201" i="11"/>
  <c r="AK201" i="11"/>
  <c r="AI201" i="11"/>
  <c r="Z201" i="11"/>
  <c r="T201" i="11"/>
  <c r="AB201" i="11"/>
  <c r="V201" i="11"/>
  <c r="AW190" i="11" l="1"/>
  <c r="AV190" i="11"/>
  <c r="X190" i="11"/>
  <c r="AO190" i="11"/>
  <c r="Q190" i="11"/>
  <c r="AU190" i="11"/>
  <c r="AB190" i="11"/>
  <c r="AT190" i="11"/>
  <c r="S190" i="11"/>
  <c r="H190" i="11"/>
  <c r="N190" i="11"/>
  <c r="O190" i="11"/>
  <c r="K190" i="11"/>
  <c r="AM190" i="11"/>
  <c r="U190" i="11"/>
  <c r="AD190" i="11"/>
  <c r="V190" i="11"/>
  <c r="I190" i="11"/>
  <c r="L190" i="11"/>
  <c r="J190" i="11"/>
  <c r="AQ190" i="11"/>
  <c r="AR190" i="11"/>
  <c r="AA190" i="11"/>
  <c r="T190" i="11"/>
  <c r="P190" i="11"/>
  <c r="C190" i="11"/>
  <c r="Y190" i="11"/>
  <c r="Z190" i="11"/>
  <c r="G190" i="11"/>
  <c r="AX190" i="11"/>
  <c r="AC190" i="11"/>
  <c r="AF190" i="11"/>
  <c r="W190" i="11"/>
  <c r="R190" i="11"/>
  <c r="AE190" i="11"/>
  <c r="AK190" i="11"/>
  <c r="D190" i="11"/>
  <c r="A191" i="11"/>
  <c r="AG190" i="11"/>
  <c r="AS190" i="11"/>
  <c r="M190" i="11"/>
  <c r="AH190" i="11"/>
  <c r="AL190" i="11"/>
  <c r="AJ190" i="11"/>
  <c r="F190" i="11"/>
  <c r="AP190" i="11"/>
  <c r="AN190" i="11"/>
  <c r="E190" i="11"/>
  <c r="AI190" i="11"/>
  <c r="A143" i="11"/>
  <c r="A144" i="11" s="1"/>
  <c r="AW142" i="11"/>
  <c r="AT142" i="11"/>
  <c r="E142" i="11"/>
  <c r="AN142" i="11"/>
  <c r="K142" i="11"/>
  <c r="W142" i="11"/>
  <c r="J142" i="11"/>
  <c r="AG142" i="11"/>
  <c r="AL142" i="11"/>
  <c r="AF142" i="11"/>
  <c r="I142" i="11"/>
  <c r="AR142" i="11"/>
  <c r="AA142" i="11"/>
  <c r="AM142" i="11"/>
  <c r="AD142" i="11"/>
  <c r="X142" i="11"/>
  <c r="AE142" i="11"/>
  <c r="Q142" i="11"/>
  <c r="AJ142" i="11"/>
  <c r="G142" i="11"/>
  <c r="AI142" i="11"/>
  <c r="V142" i="11"/>
  <c r="AS142" i="11"/>
  <c r="P142" i="11"/>
  <c r="AH142" i="11"/>
  <c r="AB142" i="11"/>
  <c r="C142" i="11"/>
  <c r="AU142" i="11"/>
  <c r="N142" i="11"/>
  <c r="AK142" i="11"/>
  <c r="H142" i="11"/>
  <c r="AP142" i="11"/>
  <c r="T142" i="11"/>
  <c r="O142" i="11"/>
  <c r="F142" i="11"/>
  <c r="AC142" i="11"/>
  <c r="AQ142" i="11"/>
  <c r="R142" i="11"/>
  <c r="AO142" i="11"/>
  <c r="L142" i="11"/>
  <c r="U142" i="11"/>
  <c r="M142" i="11"/>
  <c r="AX142" i="11"/>
  <c r="S142" i="11"/>
  <c r="Y142" i="11"/>
  <c r="AV142" i="11"/>
  <c r="Z142" i="11"/>
  <c r="D142" i="11"/>
  <c r="AW202" i="11"/>
  <c r="AV202" i="11"/>
  <c r="A203" i="11"/>
  <c r="G202" i="11"/>
  <c r="AU202" i="11"/>
  <c r="AD202" i="11"/>
  <c r="AM202" i="11"/>
  <c r="AX202" i="11"/>
  <c r="AT202" i="11"/>
  <c r="W202" i="11"/>
  <c r="U202" i="11"/>
  <c r="Z202" i="11"/>
  <c r="O202" i="11"/>
  <c r="F202" i="11"/>
  <c r="AJ202" i="11"/>
  <c r="AP202" i="11"/>
  <c r="AK202" i="11"/>
  <c r="AR202" i="11"/>
  <c r="S202" i="11"/>
  <c r="AL202" i="11"/>
  <c r="AF202" i="11"/>
  <c r="AI202" i="11"/>
  <c r="V202" i="11"/>
  <c r="J202" i="11"/>
  <c r="R202" i="11"/>
  <c r="X202" i="11"/>
  <c r="AN202" i="11"/>
  <c r="AS202" i="11"/>
  <c r="P202" i="11"/>
  <c r="D202" i="11"/>
  <c r="H202" i="11"/>
  <c r="E202" i="11"/>
  <c r="Q202" i="11"/>
  <c r="AO202" i="11"/>
  <c r="M202" i="11"/>
  <c r="I202" i="11"/>
  <c r="Y202" i="11"/>
  <c r="AA202" i="11"/>
  <c r="N202" i="11"/>
  <c r="L202" i="11"/>
  <c r="AC202" i="11"/>
  <c r="K202" i="11"/>
  <c r="C202" i="11"/>
  <c r="AG202" i="11"/>
  <c r="AQ202" i="11"/>
  <c r="AE202" i="11"/>
  <c r="AH202" i="11"/>
  <c r="T202" i="11"/>
  <c r="AB202" i="11"/>
  <c r="AW154" i="11"/>
  <c r="AV154" i="11"/>
  <c r="A155" i="11"/>
  <c r="P154" i="11"/>
  <c r="AS154" i="11"/>
  <c r="AH154" i="11"/>
  <c r="S154" i="11"/>
  <c r="AX154" i="11"/>
  <c r="M154" i="11"/>
  <c r="W154" i="11"/>
  <c r="H154" i="11"/>
  <c r="T154" i="11"/>
  <c r="V154" i="11"/>
  <c r="E154" i="11"/>
  <c r="AJ154" i="11"/>
  <c r="AG154" i="11"/>
  <c r="AR154" i="11"/>
  <c r="AP154" i="11"/>
  <c r="G154" i="11"/>
  <c r="Q154" i="11"/>
  <c r="AD154" i="11"/>
  <c r="AI154" i="11"/>
  <c r="Y154" i="11"/>
  <c r="X154" i="11"/>
  <c r="R154" i="11"/>
  <c r="F154" i="11"/>
  <c r="AN154" i="11"/>
  <c r="K154" i="11"/>
  <c r="N154" i="11"/>
  <c r="AE154" i="11"/>
  <c r="AC154" i="11"/>
  <c r="AF154" i="11"/>
  <c r="AL154" i="11"/>
  <c r="AU154" i="11"/>
  <c r="AA154" i="11"/>
  <c r="U154" i="11"/>
  <c r="I154" i="11"/>
  <c r="C154" i="11"/>
  <c r="L154" i="11"/>
  <c r="AM154" i="11"/>
  <c r="AO154" i="11"/>
  <c r="J154" i="11"/>
  <c r="AB154" i="11"/>
  <c r="AQ154" i="11"/>
  <c r="D154" i="11"/>
  <c r="Z154" i="11"/>
  <c r="AK154" i="11"/>
  <c r="AT154" i="11"/>
  <c r="O154" i="11"/>
  <c r="AW178" i="11"/>
  <c r="AV178" i="11"/>
  <c r="AO178" i="11"/>
  <c r="M178" i="11"/>
  <c r="G178" i="11"/>
  <c r="AE178" i="11"/>
  <c r="AS178" i="11"/>
  <c r="AT178" i="11"/>
  <c r="AA178" i="11"/>
  <c r="V178" i="11"/>
  <c r="O178" i="11"/>
  <c r="U178" i="11"/>
  <c r="H178" i="11"/>
  <c r="A179" i="11"/>
  <c r="Q178" i="11"/>
  <c r="N178" i="11"/>
  <c r="P178" i="11"/>
  <c r="AI178" i="11"/>
  <c r="AX178" i="11"/>
  <c r="AF178" i="11"/>
  <c r="AQ178" i="11"/>
  <c r="Y178" i="11"/>
  <c r="I178" i="11"/>
  <c r="AC178" i="11"/>
  <c r="K178" i="11"/>
  <c r="AJ178" i="11"/>
  <c r="AH178" i="11"/>
  <c r="W178" i="11"/>
  <c r="AG178" i="11"/>
  <c r="L178" i="11"/>
  <c r="AD178" i="11"/>
  <c r="D178" i="11"/>
  <c r="AM178" i="11"/>
  <c r="X178" i="11"/>
  <c r="T178" i="11"/>
  <c r="AB178" i="11"/>
  <c r="Z178" i="11"/>
  <c r="AN178" i="11"/>
  <c r="AP178" i="11"/>
  <c r="AU178" i="11"/>
  <c r="AR178" i="11"/>
  <c r="AK178" i="11"/>
  <c r="AL178" i="11"/>
  <c r="S178" i="11"/>
  <c r="E178" i="11"/>
  <c r="F178" i="11"/>
  <c r="R178" i="11"/>
  <c r="J178" i="11"/>
  <c r="C178" i="11"/>
  <c r="AW166" i="11"/>
  <c r="AV166" i="11"/>
  <c r="A167" i="11"/>
  <c r="AT166" i="11"/>
  <c r="AR166" i="11"/>
  <c r="Y166" i="11"/>
  <c r="AX166" i="11"/>
  <c r="P166" i="11"/>
  <c r="AB166" i="11"/>
  <c r="J166" i="11"/>
  <c r="AU166" i="11"/>
  <c r="AJ166" i="11"/>
  <c r="AD166" i="11"/>
  <c r="S166" i="11"/>
  <c r="AC166" i="11"/>
  <c r="M166" i="11"/>
  <c r="Z166" i="11"/>
  <c r="D166" i="11"/>
  <c r="AF166" i="11"/>
  <c r="U166" i="11"/>
  <c r="X166" i="11"/>
  <c r="R166" i="11"/>
  <c r="AS166" i="11"/>
  <c r="AH166" i="11"/>
  <c r="H166" i="11"/>
  <c r="W166" i="11"/>
  <c r="AG166" i="11"/>
  <c r="N166" i="11"/>
  <c r="AQ166" i="11"/>
  <c r="V166" i="11"/>
  <c r="E166" i="11"/>
  <c r="AK166" i="11"/>
  <c r="AN166" i="11"/>
  <c r="AA166" i="11"/>
  <c r="O166" i="11"/>
  <c r="AP166" i="11"/>
  <c r="L166" i="11"/>
  <c r="AE166" i="11"/>
  <c r="AO166" i="11"/>
  <c r="K166" i="11"/>
  <c r="C166" i="11"/>
  <c r="F166" i="11"/>
  <c r="AI166" i="11"/>
  <c r="Q166" i="11"/>
  <c r="AL166" i="11"/>
  <c r="AM166" i="11"/>
  <c r="I166" i="11"/>
  <c r="G166" i="11"/>
  <c r="T166" i="11"/>
  <c r="AW179" i="11" l="1"/>
  <c r="AV179" i="11"/>
  <c r="P179" i="11"/>
  <c r="O179" i="11"/>
  <c r="C179" i="11"/>
  <c r="AB179" i="11"/>
  <c r="G179" i="11"/>
  <c r="T179" i="11"/>
  <c r="AK179" i="11"/>
  <c r="AI179" i="11"/>
  <c r="AS179" i="11"/>
  <c r="AC179" i="11"/>
  <c r="AF179" i="11"/>
  <c r="AU179" i="11"/>
  <c r="AH179" i="11"/>
  <c r="AL179" i="11"/>
  <c r="AX179" i="11"/>
  <c r="Z179" i="11"/>
  <c r="L179" i="11"/>
  <c r="U179" i="11"/>
  <c r="D179" i="11"/>
  <c r="AG179" i="11"/>
  <c r="Q179" i="11"/>
  <c r="AT179" i="11"/>
  <c r="AR179" i="11"/>
  <c r="A180" i="11"/>
  <c r="H179" i="11"/>
  <c r="E179" i="11"/>
  <c r="Y179" i="11"/>
  <c r="AN179" i="11"/>
  <c r="AE179" i="11"/>
  <c r="R179" i="11"/>
  <c r="I179" i="11"/>
  <c r="J179" i="11"/>
  <c r="AM179" i="11"/>
  <c r="AJ179" i="11"/>
  <c r="X179" i="11"/>
  <c r="K179" i="11"/>
  <c r="AP179" i="11"/>
  <c r="AA179" i="11"/>
  <c r="N179" i="11"/>
  <c r="V179" i="11"/>
  <c r="M179" i="11"/>
  <c r="W179" i="11"/>
  <c r="AD179" i="11"/>
  <c r="AO179" i="11"/>
  <c r="S179" i="11"/>
  <c r="F179" i="11"/>
  <c r="AQ179" i="11"/>
  <c r="A156" i="11"/>
  <c r="A157" i="11" s="1"/>
  <c r="AW155" i="11"/>
  <c r="Y155" i="11"/>
  <c r="G155" i="11"/>
  <c r="AI155" i="11"/>
  <c r="AD155" i="11"/>
  <c r="D155" i="11"/>
  <c r="O155" i="11"/>
  <c r="AA155" i="11"/>
  <c r="Q155" i="11"/>
  <c r="AX155" i="11"/>
  <c r="F155" i="11"/>
  <c r="AC155" i="11"/>
  <c r="W155" i="11"/>
  <c r="I155" i="11"/>
  <c r="AN155" i="11"/>
  <c r="N155" i="11"/>
  <c r="AK155" i="11"/>
  <c r="S155" i="11"/>
  <c r="AP155" i="11"/>
  <c r="AF155" i="11"/>
  <c r="M155" i="11"/>
  <c r="AR155" i="11"/>
  <c r="AV155" i="11"/>
  <c r="AH155" i="11"/>
  <c r="X155" i="11"/>
  <c r="U155" i="11"/>
  <c r="AJ155" i="11"/>
  <c r="Z155" i="11"/>
  <c r="P155" i="11"/>
  <c r="K155" i="11"/>
  <c r="AM155" i="11"/>
  <c r="AL155" i="11"/>
  <c r="AB155" i="11"/>
  <c r="R155" i="11"/>
  <c r="AO155" i="11"/>
  <c r="H155" i="11"/>
  <c r="AE155" i="11"/>
  <c r="AQ155" i="11"/>
  <c r="J155" i="11"/>
  <c r="AG155" i="11"/>
  <c r="C155" i="11"/>
  <c r="V155" i="11"/>
  <c r="AS155" i="11"/>
  <c r="L155" i="11"/>
  <c r="AU155" i="11"/>
  <c r="AT155" i="11"/>
  <c r="E155" i="11"/>
  <c r="T155" i="11"/>
  <c r="AW191" i="11"/>
  <c r="AV191" i="11"/>
  <c r="AN191" i="11"/>
  <c r="L191" i="11"/>
  <c r="AH191" i="11"/>
  <c r="AL191" i="11"/>
  <c r="AU191" i="11"/>
  <c r="M191" i="11"/>
  <c r="S191" i="11"/>
  <c r="AC191" i="11"/>
  <c r="R191" i="11"/>
  <c r="J191" i="11"/>
  <c r="H191" i="11"/>
  <c r="X191" i="11"/>
  <c r="AJ191" i="11"/>
  <c r="AG191" i="11"/>
  <c r="AR191" i="11"/>
  <c r="AP191" i="11"/>
  <c r="AK191" i="11"/>
  <c r="Q191" i="11"/>
  <c r="AE191" i="11"/>
  <c r="AB191" i="11"/>
  <c r="T191" i="11"/>
  <c r="E191" i="11"/>
  <c r="Y191" i="11"/>
  <c r="C191" i="11"/>
  <c r="G191" i="11"/>
  <c r="W191" i="11"/>
  <c r="AT191" i="11"/>
  <c r="AM191" i="11"/>
  <c r="U191" i="11"/>
  <c r="V191" i="11"/>
  <c r="AS191" i="11"/>
  <c r="AI191" i="11"/>
  <c r="D191" i="11"/>
  <c r="Z191" i="11"/>
  <c r="F191" i="11"/>
  <c r="AO191" i="11"/>
  <c r="N191" i="11"/>
  <c r="AD191" i="11"/>
  <c r="O191" i="11"/>
  <c r="AA191" i="11"/>
  <c r="A192" i="11"/>
  <c r="P191" i="11"/>
  <c r="AX191" i="11"/>
  <c r="AF191" i="11"/>
  <c r="AQ191" i="11"/>
  <c r="K191" i="11"/>
  <c r="I191" i="11"/>
  <c r="AW203" i="11"/>
  <c r="AV203" i="11"/>
  <c r="I203" i="11"/>
  <c r="AF203" i="11"/>
  <c r="AM203" i="11"/>
  <c r="H203" i="11"/>
  <c r="K203" i="11"/>
  <c r="AG203" i="11"/>
  <c r="F203" i="11"/>
  <c r="AH203" i="11"/>
  <c r="P203" i="11"/>
  <c r="AB203" i="11"/>
  <c r="M203" i="11"/>
  <c r="AI203" i="11"/>
  <c r="AP203" i="11"/>
  <c r="T203" i="11"/>
  <c r="Z203" i="11"/>
  <c r="AK203" i="11"/>
  <c r="AQ203" i="11"/>
  <c r="AU203" i="11"/>
  <c r="AT203" i="11"/>
  <c r="AC203" i="11"/>
  <c r="J203" i="11"/>
  <c r="W203" i="11"/>
  <c r="Q203" i="11"/>
  <c r="S203" i="11"/>
  <c r="X203" i="11"/>
  <c r="C203" i="11"/>
  <c r="A204" i="11"/>
  <c r="AX203" i="11"/>
  <c r="AL203" i="11"/>
  <c r="Y203" i="11"/>
  <c r="L203" i="11"/>
  <c r="O203" i="11"/>
  <c r="AO203" i="11"/>
  <c r="AJ203" i="11"/>
  <c r="D203" i="11"/>
  <c r="R203" i="11"/>
  <c r="G203" i="11"/>
  <c r="AA203" i="11"/>
  <c r="AE203" i="11"/>
  <c r="N203" i="11"/>
  <c r="V203" i="11"/>
  <c r="E203" i="11"/>
  <c r="U203" i="11"/>
  <c r="AR203" i="11"/>
  <c r="AN203" i="11"/>
  <c r="AD203" i="11"/>
  <c r="AS203" i="11"/>
  <c r="AW167" i="11"/>
  <c r="AV167" i="11"/>
  <c r="AN167" i="11"/>
  <c r="AL167" i="11"/>
  <c r="M167" i="11"/>
  <c r="AH167" i="11"/>
  <c r="AU167" i="11"/>
  <c r="AS167" i="11"/>
  <c r="AD167" i="11"/>
  <c r="K167" i="11"/>
  <c r="Z167" i="11"/>
  <c r="U167" i="11"/>
  <c r="AC167" i="11"/>
  <c r="A168" i="11"/>
  <c r="L167" i="11"/>
  <c r="AT167" i="11"/>
  <c r="AI167" i="11"/>
  <c r="AP167" i="11"/>
  <c r="S167" i="11"/>
  <c r="AR167" i="11"/>
  <c r="AA167" i="11"/>
  <c r="I167" i="11"/>
  <c r="Y167" i="11"/>
  <c r="J167" i="11"/>
  <c r="R167" i="11"/>
  <c r="AJ167" i="11"/>
  <c r="AF167" i="11"/>
  <c r="N167" i="11"/>
  <c r="G167" i="11"/>
  <c r="E167" i="11"/>
  <c r="O167" i="11"/>
  <c r="AO167" i="11"/>
  <c r="AM167" i="11"/>
  <c r="AG167" i="11"/>
  <c r="AE167" i="11"/>
  <c r="H167" i="11"/>
  <c r="T167" i="11"/>
  <c r="P167" i="11"/>
  <c r="Q167" i="11"/>
  <c r="D167" i="11"/>
  <c r="AQ167" i="11"/>
  <c r="W167" i="11"/>
  <c r="AK167" i="11"/>
  <c r="AX167" i="11"/>
  <c r="AB167" i="11"/>
  <c r="F167" i="11"/>
  <c r="X167" i="11"/>
  <c r="V167" i="11"/>
  <c r="C167" i="11"/>
  <c r="AU64" i="5"/>
  <c r="AM19" i="5"/>
  <c r="AL82" i="5"/>
  <c r="AD67" i="6"/>
  <c r="AE76" i="5"/>
  <c r="AI52" i="6"/>
  <c r="AM85" i="5"/>
  <c r="X52" i="6"/>
  <c r="AW37" i="5"/>
  <c r="AQ73" i="6"/>
  <c r="P28" i="6"/>
  <c r="AK55" i="6"/>
  <c r="AB7" i="5"/>
  <c r="AA85" i="6"/>
  <c r="AM73" i="6"/>
  <c r="AG40" i="6"/>
  <c r="AP64" i="5"/>
  <c r="AV13" i="5"/>
  <c r="I31" i="6"/>
  <c r="AY40" i="6"/>
  <c r="M13" i="5"/>
  <c r="AX91" i="6"/>
  <c r="AE31" i="6"/>
  <c r="AC46" i="6"/>
  <c r="AE22" i="5"/>
  <c r="AM46" i="5"/>
  <c r="AS94" i="6"/>
  <c r="X91" i="5"/>
  <c r="T19" i="6"/>
  <c r="U52" i="6"/>
  <c r="AS49" i="5"/>
  <c r="Q91" i="6"/>
  <c r="N49" i="6"/>
  <c r="Q4" i="6"/>
  <c r="AJ25" i="6"/>
  <c r="E67" i="5"/>
  <c r="O34" i="6"/>
  <c r="AL70" i="5"/>
  <c r="AB22" i="5"/>
  <c r="AT67" i="5"/>
  <c r="AI19" i="6"/>
  <c r="Y37" i="5"/>
  <c r="AK70" i="6"/>
  <c r="Z70" i="5"/>
  <c r="AZ70" i="5"/>
  <c r="F49" i="6"/>
  <c r="Y73" i="5"/>
  <c r="AS43" i="6"/>
  <c r="AS46" i="5"/>
  <c r="AQ85" i="6"/>
  <c r="AE58" i="6"/>
  <c r="AA52" i="5"/>
  <c r="AC40" i="6"/>
  <c r="AK28" i="6"/>
  <c r="AB34" i="6"/>
  <c r="R37" i="5"/>
  <c r="AB85" i="5"/>
  <c r="AE25" i="6"/>
  <c r="AU25" i="6"/>
  <c r="AF4" i="5"/>
  <c r="W76" i="6"/>
  <c r="W34" i="6"/>
  <c r="AG70" i="6"/>
  <c r="J97" i="6"/>
  <c r="AF19" i="5"/>
  <c r="AX67" i="5"/>
  <c r="W7" i="5"/>
  <c r="AN16" i="5"/>
  <c r="O61" i="6"/>
  <c r="AZ61" i="5"/>
  <c r="AU88" i="6"/>
  <c r="P97" i="5"/>
  <c r="AI25" i="5"/>
  <c r="AS76" i="5"/>
  <c r="AG70" i="5"/>
  <c r="O97" i="5"/>
  <c r="AT16" i="6"/>
  <c r="AS82" i="5"/>
  <c r="R31" i="6"/>
  <c r="O13" i="5"/>
  <c r="AC13" i="6"/>
  <c r="AZ52" i="5"/>
  <c r="N25" i="5"/>
  <c r="AC79" i="6"/>
  <c r="AI85" i="6"/>
  <c r="L40" i="5"/>
  <c r="AN31" i="6"/>
  <c r="AF31" i="5"/>
  <c r="AD52" i="5"/>
  <c r="T55" i="5"/>
  <c r="N85" i="5"/>
  <c r="V25" i="5"/>
  <c r="K70" i="5"/>
  <c r="AX88" i="5"/>
  <c r="AT85" i="6"/>
  <c r="C22" i="6"/>
  <c r="R10" i="6"/>
  <c r="Q19" i="6"/>
  <c r="M46" i="5"/>
  <c r="AP55" i="6"/>
  <c r="AB91" i="6"/>
  <c r="K34" i="5"/>
  <c r="AW91" i="6"/>
  <c r="AZ43" i="5"/>
  <c r="G4" i="6"/>
  <c r="W61" i="5"/>
  <c r="K70" i="6"/>
  <c r="AG13" i="6"/>
  <c r="AL94" i="5"/>
  <c r="T10" i="5"/>
  <c r="AU40" i="5"/>
  <c r="AB40" i="5"/>
  <c r="AP91" i="6"/>
  <c r="M4" i="5"/>
  <c r="AU37" i="6"/>
  <c r="P73" i="5"/>
  <c r="H49" i="5"/>
  <c r="AI40" i="5"/>
  <c r="W37" i="6"/>
  <c r="X82" i="5"/>
  <c r="Z4" i="6"/>
  <c r="AN73" i="5"/>
  <c r="U61" i="5"/>
  <c r="T22" i="5"/>
  <c r="S19" i="6"/>
  <c r="AT31" i="6"/>
  <c r="AI28" i="5"/>
  <c r="AI64" i="6"/>
  <c r="AY10" i="5"/>
  <c r="G46" i="5"/>
  <c r="AX31" i="6"/>
  <c r="AY46" i="5"/>
  <c r="AT25" i="6"/>
  <c r="Y31" i="5"/>
  <c r="E37" i="6"/>
  <c r="H13" i="5"/>
  <c r="AZ58" i="6"/>
  <c r="U55" i="6"/>
  <c r="Q31" i="5"/>
  <c r="O40" i="6"/>
  <c r="AF67" i="5"/>
  <c r="AO34" i="5"/>
  <c r="P40" i="6"/>
  <c r="AL31" i="5"/>
  <c r="O76" i="5"/>
  <c r="AF34" i="5"/>
  <c r="AA34" i="5"/>
  <c r="I67" i="6"/>
  <c r="AE4" i="6"/>
  <c r="O58" i="5"/>
  <c r="AU19" i="5"/>
  <c r="AV70" i="5"/>
  <c r="AT19" i="5"/>
  <c r="G22" i="6"/>
  <c r="X52" i="5"/>
  <c r="AR4" i="5"/>
  <c r="AT91" i="6"/>
  <c r="E19" i="6"/>
  <c r="AE82" i="6"/>
  <c r="N67" i="5"/>
  <c r="S43" i="5"/>
  <c r="R25" i="6"/>
  <c r="AD13" i="5"/>
  <c r="AM43" i="6"/>
  <c r="AW16" i="5"/>
  <c r="R82" i="5"/>
  <c r="AY49" i="6"/>
  <c r="O70" i="5"/>
  <c r="AY10" i="6"/>
  <c r="AB61" i="6"/>
  <c r="Y7" i="6"/>
  <c r="AX97" i="5"/>
  <c r="G4" i="5"/>
  <c r="V13" i="5"/>
  <c r="AF10" i="5"/>
  <c r="AK13" i="5"/>
  <c r="AP13" i="6"/>
  <c r="AB85" i="6"/>
  <c r="AW28" i="5"/>
  <c r="E85" i="5"/>
  <c r="AD61" i="5"/>
  <c r="K37" i="5"/>
  <c r="L97" i="5"/>
  <c r="AD70" i="5"/>
  <c r="U4" i="6"/>
  <c r="O28" i="6"/>
  <c r="U55" i="5"/>
  <c r="AT91" i="5"/>
  <c r="AU10" i="6"/>
  <c r="AM31" i="6"/>
  <c r="AT16" i="5"/>
  <c r="Z43" i="6"/>
  <c r="AA58" i="6"/>
  <c r="AF91" i="6"/>
  <c r="E19" i="5"/>
  <c r="AC19" i="5"/>
  <c r="AD4" i="5"/>
  <c r="AF25" i="6"/>
  <c r="T43" i="5"/>
  <c r="R22" i="5"/>
  <c r="AM10" i="6"/>
  <c r="T52" i="5"/>
  <c r="AU64" i="6"/>
  <c r="AR16" i="6"/>
  <c r="V10" i="5"/>
  <c r="W85" i="5"/>
  <c r="J97" i="5"/>
  <c r="AW55" i="5"/>
  <c r="AF82" i="5"/>
  <c r="R94" i="5"/>
  <c r="S64" i="5"/>
  <c r="Q82" i="6"/>
  <c r="AW94" i="5"/>
  <c r="W94" i="5"/>
  <c r="S46" i="5"/>
  <c r="P16" i="5"/>
  <c r="C52" i="5"/>
  <c r="C58" i="5"/>
  <c r="AT31" i="5"/>
  <c r="T7" i="6"/>
  <c r="J64" i="6"/>
  <c r="M37" i="6"/>
  <c r="H31" i="5"/>
  <c r="U82" i="5"/>
  <c r="R55" i="5"/>
  <c r="AV85" i="5"/>
  <c r="M49" i="5"/>
  <c r="AS22" i="6"/>
  <c r="M82" i="6"/>
  <c r="AR19" i="6"/>
  <c r="E28" i="5"/>
  <c r="AG52" i="5"/>
  <c r="H10" i="5"/>
  <c r="AE52" i="6"/>
  <c r="O97" i="6"/>
  <c r="AI22" i="5"/>
  <c r="R64" i="6"/>
  <c r="M88" i="5"/>
  <c r="Q31" i="6"/>
  <c r="AK79" i="6"/>
  <c r="F94" i="5"/>
  <c r="AE55" i="5"/>
  <c r="AW34" i="5"/>
  <c r="AN43" i="6"/>
  <c r="J25" i="5"/>
  <c r="Q61" i="5"/>
  <c r="Q76" i="5"/>
  <c r="AS46" i="6"/>
  <c r="W22" i="6"/>
  <c r="E52" i="6"/>
  <c r="L43" i="6"/>
  <c r="C64" i="5"/>
  <c r="Z31" i="6"/>
  <c r="AZ25" i="5"/>
  <c r="G37" i="6"/>
  <c r="W37" i="5"/>
  <c r="AR79" i="5"/>
  <c r="Y4" i="5"/>
  <c r="AA7" i="5"/>
  <c r="AA70" i="6"/>
  <c r="I4" i="6"/>
  <c r="J10" i="6"/>
  <c r="AQ64" i="5"/>
  <c r="AK4" i="6"/>
  <c r="S37" i="5"/>
  <c r="F4" i="5"/>
  <c r="W28" i="5"/>
  <c r="AV34" i="6"/>
  <c r="AV40" i="5"/>
  <c r="Q13" i="5"/>
  <c r="AR94" i="6"/>
  <c r="AP82" i="5"/>
  <c r="X4" i="6"/>
  <c r="AF40" i="5"/>
  <c r="AV49" i="6"/>
  <c r="AA28" i="5"/>
  <c r="E43" i="5"/>
  <c r="AV7" i="6"/>
  <c r="T91" i="5"/>
  <c r="G7" i="6"/>
  <c r="AJ22" i="6"/>
  <c r="AY13" i="5"/>
  <c r="AB10" i="6"/>
  <c r="AY37" i="6"/>
  <c r="AQ70" i="5"/>
  <c r="I22" i="6"/>
  <c r="AF61" i="6"/>
  <c r="AD49" i="6"/>
  <c r="C25" i="5"/>
  <c r="AH7" i="6"/>
  <c r="AM28" i="5"/>
  <c r="P97" i="6"/>
  <c r="J31" i="6"/>
  <c r="AH34" i="6"/>
  <c r="AL76" i="6"/>
  <c r="AV70" i="6"/>
  <c r="J79" i="6"/>
  <c r="AM82" i="5"/>
  <c r="AW70" i="6"/>
  <c r="R19" i="6"/>
  <c r="AK61" i="5"/>
  <c r="X22" i="5"/>
  <c r="H4" i="6"/>
  <c r="AY28" i="5"/>
  <c r="AF58" i="6"/>
  <c r="H97" i="5"/>
  <c r="AW7" i="5"/>
  <c r="AD79" i="5"/>
  <c r="AC25" i="5"/>
  <c r="L64" i="5"/>
  <c r="AX40" i="6"/>
  <c r="J52" i="5"/>
  <c r="AA37" i="5"/>
  <c r="AT55" i="6"/>
  <c r="F10" i="6"/>
  <c r="AW67" i="5"/>
  <c r="P25" i="5"/>
  <c r="T97" i="6"/>
  <c r="T31" i="6"/>
  <c r="AI10" i="6"/>
  <c r="F73" i="5"/>
  <c r="AZ4" i="6"/>
  <c r="F34" i="5"/>
  <c r="Y10" i="5"/>
  <c r="AC37" i="5"/>
  <c r="AR79" i="6"/>
  <c r="AP28" i="5"/>
  <c r="G82" i="5"/>
  <c r="AP7" i="6"/>
  <c r="AL25" i="5"/>
  <c r="AY4" i="6"/>
  <c r="T97" i="5"/>
  <c r="P94" i="6"/>
  <c r="AL49" i="6"/>
  <c r="S79" i="5"/>
  <c r="S58" i="5"/>
  <c r="AO76" i="6"/>
  <c r="AR58" i="5"/>
  <c r="P85" i="6"/>
  <c r="F19" i="6"/>
  <c r="Z58" i="5"/>
  <c r="AW73" i="5"/>
  <c r="AA70" i="5"/>
  <c r="E16" i="6"/>
  <c r="AU52" i="6"/>
  <c r="AH64" i="5"/>
  <c r="AX79" i="6"/>
  <c r="I97" i="5"/>
  <c r="AK49" i="6"/>
  <c r="AT37" i="5"/>
  <c r="AV67" i="6"/>
  <c r="K82" i="6"/>
  <c r="N22" i="6"/>
  <c r="U76" i="6"/>
  <c r="Q67" i="5"/>
  <c r="R97" i="5"/>
  <c r="E7" i="6"/>
  <c r="AU67" i="5"/>
  <c r="K85" i="5"/>
  <c r="AO28" i="6"/>
  <c r="J94" i="5"/>
  <c r="N13" i="5"/>
  <c r="Y22" i="5"/>
  <c r="C94" i="6"/>
  <c r="K97" i="6"/>
  <c r="K28" i="6"/>
  <c r="AJ16" i="5"/>
  <c r="E4" i="5"/>
  <c r="T85" i="6"/>
  <c r="AO25" i="6"/>
  <c r="G13" i="5"/>
  <c r="E37" i="5"/>
  <c r="AR34" i="5"/>
  <c r="AE67" i="5"/>
  <c r="C82" i="6"/>
  <c r="AY16" i="6"/>
  <c r="E76" i="6"/>
  <c r="AE37" i="5"/>
  <c r="G97" i="6"/>
  <c r="AO28" i="5"/>
  <c r="AF22" i="6"/>
  <c r="U10" i="5"/>
  <c r="I10" i="6"/>
  <c r="V97" i="5"/>
  <c r="R88" i="6"/>
  <c r="AQ97" i="6"/>
  <c r="L10" i="6"/>
  <c r="K7" i="5"/>
  <c r="AA61" i="6"/>
  <c r="U37" i="6"/>
  <c r="AS13" i="6"/>
  <c r="AC22" i="5"/>
  <c r="AS31" i="6"/>
  <c r="Y49" i="6"/>
  <c r="G58" i="5"/>
  <c r="AE94" i="5"/>
  <c r="AC22" i="6"/>
  <c r="I34" i="6"/>
  <c r="J49" i="6"/>
  <c r="T46" i="5"/>
  <c r="AN10" i="6"/>
  <c r="V94" i="5"/>
  <c r="AQ19" i="6"/>
  <c r="AQ13" i="6"/>
  <c r="P79" i="5"/>
  <c r="AA79" i="5"/>
  <c r="AW55" i="6"/>
  <c r="H22" i="5"/>
  <c r="O49" i="6"/>
  <c r="AC94" i="5"/>
  <c r="AL40" i="6"/>
  <c r="AD10" i="5"/>
  <c r="H73" i="6"/>
  <c r="T28" i="5"/>
  <c r="AQ88" i="6"/>
  <c r="J67" i="5"/>
  <c r="AJ37" i="5"/>
  <c r="AE19" i="5"/>
  <c r="AY22" i="6"/>
  <c r="C37" i="6"/>
  <c r="Z31" i="5"/>
  <c r="W52" i="6"/>
  <c r="Z10" i="6"/>
  <c r="AY94" i="5"/>
  <c r="X28" i="5"/>
  <c r="AN76" i="5"/>
  <c r="K73" i="6"/>
  <c r="AS22" i="5"/>
  <c r="O94" i="6"/>
  <c r="I37" i="5"/>
  <c r="M73" i="5"/>
  <c r="C79" i="5"/>
  <c r="AJ43" i="6"/>
  <c r="X73" i="6"/>
  <c r="AK76" i="5"/>
  <c r="AT52" i="5"/>
  <c r="H67" i="5"/>
  <c r="R85" i="5"/>
  <c r="T79" i="5"/>
  <c r="Y43" i="6"/>
  <c r="H19" i="6"/>
  <c r="AC64" i="6"/>
  <c r="AX88" i="6"/>
  <c r="AJ46" i="6"/>
  <c r="AF67" i="6"/>
  <c r="J34" i="6"/>
  <c r="O52" i="6"/>
  <c r="M88" i="6"/>
  <c r="Z85" i="6"/>
  <c r="G13" i="6"/>
  <c r="U7" i="6"/>
  <c r="W25" i="5"/>
  <c r="AU94" i="5"/>
  <c r="AS25" i="5"/>
  <c r="L4" i="5"/>
  <c r="T49" i="6"/>
  <c r="AP28" i="6"/>
  <c r="N97" i="6"/>
  <c r="AX61" i="6"/>
  <c r="AG91" i="6"/>
  <c r="AL46" i="5"/>
  <c r="AC70" i="5"/>
  <c r="AO61" i="5"/>
  <c r="N73" i="5"/>
  <c r="J4" i="5"/>
  <c r="M19" i="6"/>
  <c r="I7" i="5"/>
  <c r="AV4" i="6"/>
  <c r="X85" i="5"/>
  <c r="AN16" i="6"/>
  <c r="O40" i="5"/>
  <c r="AK25" i="6"/>
  <c r="Q64" i="6"/>
  <c r="G64" i="6"/>
  <c r="AL34" i="5"/>
  <c r="AO13" i="6"/>
  <c r="O7" i="6"/>
  <c r="Q10" i="6"/>
  <c r="M28" i="6"/>
  <c r="T73" i="6"/>
  <c r="AT46" i="5"/>
  <c r="AN19" i="5"/>
  <c r="AD34" i="6"/>
  <c r="AK49" i="5"/>
  <c r="K64" i="5"/>
  <c r="AV10" i="5"/>
  <c r="AE19" i="6"/>
  <c r="C4" i="5"/>
  <c r="N55" i="5"/>
  <c r="R28" i="6"/>
  <c r="AJ55" i="6"/>
  <c r="U25" i="6"/>
  <c r="U7" i="5"/>
  <c r="AE49" i="6"/>
  <c r="Z94" i="5"/>
  <c r="G28" i="5"/>
  <c r="AS79" i="5"/>
  <c r="T61" i="6"/>
  <c r="AU7" i="5"/>
  <c r="I22" i="5"/>
  <c r="H7" i="5"/>
  <c r="AR85" i="5"/>
  <c r="AA94" i="6"/>
  <c r="U13" i="6"/>
  <c r="AD13" i="6"/>
  <c r="U94" i="5"/>
  <c r="G58" i="6"/>
  <c r="AL88" i="5"/>
  <c r="AR67" i="5"/>
  <c r="AI7" i="5"/>
  <c r="AN91" i="5"/>
  <c r="AP64" i="6"/>
  <c r="AG7" i="6"/>
  <c r="J4" i="6"/>
  <c r="C7" i="5"/>
  <c r="U16" i="5"/>
  <c r="AK91" i="5"/>
  <c r="F31" i="6"/>
  <c r="AL4" i="5"/>
  <c r="E88" i="6"/>
  <c r="G85" i="6"/>
  <c r="AA13" i="5"/>
  <c r="AJ91" i="5"/>
  <c r="K22" i="5"/>
  <c r="F28" i="6"/>
  <c r="W88" i="6"/>
  <c r="AO4" i="6"/>
  <c r="X19" i="6"/>
  <c r="E97" i="5"/>
  <c r="AN52" i="6"/>
  <c r="G22" i="5"/>
  <c r="AM52" i="5"/>
  <c r="F67" i="6"/>
  <c r="AZ19" i="5"/>
  <c r="AE82" i="5"/>
  <c r="Z49" i="6"/>
  <c r="AL43" i="5"/>
  <c r="AX55" i="5"/>
  <c r="C40" i="6"/>
  <c r="AZ82" i="6"/>
  <c r="AB73" i="6"/>
  <c r="AM55" i="5"/>
  <c r="AK70" i="5"/>
  <c r="AZ19" i="6"/>
  <c r="E25" i="5"/>
  <c r="AE22" i="6"/>
  <c r="AU46" i="5"/>
  <c r="J19" i="6"/>
  <c r="P52" i="5"/>
  <c r="AW13" i="5"/>
  <c r="AV10" i="6"/>
  <c r="T34" i="6"/>
  <c r="H88" i="5"/>
  <c r="AT7" i="5"/>
  <c r="AY85" i="5"/>
  <c r="E13" i="6"/>
  <c r="M49" i="6"/>
  <c r="AO19" i="5"/>
  <c r="AL22" i="5"/>
  <c r="AE13" i="6"/>
  <c r="H25" i="6"/>
  <c r="AG37" i="6"/>
  <c r="AN40" i="6"/>
  <c r="AG22" i="5"/>
  <c r="AN52" i="5"/>
  <c r="AC19" i="6"/>
  <c r="Q4" i="5"/>
  <c r="AP70" i="5"/>
  <c r="AJ22" i="5"/>
  <c r="AF70" i="5"/>
  <c r="AU16" i="6"/>
  <c r="AW19" i="6"/>
  <c r="AG67" i="6"/>
  <c r="AE43" i="5"/>
  <c r="J55" i="5"/>
  <c r="AP22" i="6"/>
  <c r="AA16" i="5"/>
  <c r="L58" i="6"/>
  <c r="L31" i="5"/>
  <c r="AD91" i="6"/>
  <c r="AJ52" i="5"/>
  <c r="U64" i="5"/>
  <c r="H43" i="5"/>
  <c r="AZ34" i="5"/>
  <c r="E79" i="6"/>
  <c r="V19" i="6"/>
  <c r="AD19" i="5"/>
  <c r="AQ64" i="6"/>
  <c r="F40" i="5"/>
  <c r="AN40" i="5"/>
  <c r="AW85" i="5"/>
  <c r="AR43" i="6"/>
  <c r="AR58" i="6"/>
  <c r="N79" i="5"/>
  <c r="AE97" i="5"/>
  <c r="AS19" i="6"/>
  <c r="AD82" i="5"/>
  <c r="L91" i="5"/>
  <c r="R16" i="5"/>
  <c r="AI25" i="6"/>
  <c r="AN70" i="6"/>
  <c r="K40" i="6"/>
  <c r="AL52" i="6"/>
  <c r="X25" i="6"/>
  <c r="V79" i="5"/>
  <c r="AP31" i="5"/>
  <c r="Y58" i="5"/>
  <c r="AC16" i="6"/>
  <c r="AG88" i="5"/>
  <c r="W43" i="6"/>
  <c r="AD37" i="6"/>
  <c r="AP67" i="6"/>
  <c r="AP73" i="5"/>
  <c r="S31" i="6"/>
  <c r="AS67" i="6"/>
  <c r="Y16" i="5"/>
  <c r="U34" i="5"/>
  <c r="AH73" i="6"/>
  <c r="L4" i="6"/>
  <c r="Z64" i="5"/>
  <c r="C97" i="6"/>
  <c r="O85" i="5"/>
  <c r="AT94" i="5"/>
  <c r="I70" i="5"/>
  <c r="AL58" i="5"/>
  <c r="AW97" i="5"/>
  <c r="U10" i="6"/>
  <c r="W55" i="5"/>
  <c r="G43" i="6"/>
  <c r="AS40" i="5"/>
  <c r="Y16" i="6"/>
  <c r="AA40" i="6"/>
  <c r="F22" i="6"/>
  <c r="AP49" i="5"/>
  <c r="J73" i="5"/>
  <c r="AZ55" i="6"/>
  <c r="AT7" i="6"/>
  <c r="L94" i="6"/>
  <c r="H4" i="5"/>
  <c r="AX13" i="6"/>
  <c r="J19" i="5"/>
  <c r="AB28" i="6"/>
  <c r="N61" i="6"/>
  <c r="L67" i="6"/>
  <c r="AL55" i="5"/>
  <c r="L28" i="6"/>
  <c r="I49" i="6"/>
  <c r="C70" i="6"/>
  <c r="AD28" i="6"/>
  <c r="I55" i="6"/>
  <c r="AH58" i="5"/>
  <c r="AG55" i="5"/>
  <c r="AH64" i="6"/>
  <c r="T73" i="5"/>
  <c r="V55" i="6"/>
  <c r="N28" i="5"/>
  <c r="C43" i="6"/>
  <c r="W73" i="5"/>
  <c r="V37" i="6"/>
  <c r="R7" i="6"/>
  <c r="E10" i="5"/>
  <c r="AW82" i="6"/>
  <c r="L49" i="6"/>
  <c r="AQ43" i="5"/>
  <c r="AZ52" i="6"/>
  <c r="AE40" i="5"/>
  <c r="AV46" i="6"/>
  <c r="AG16" i="6"/>
  <c r="F61" i="5"/>
  <c r="AR46" i="6"/>
  <c r="AV61" i="5"/>
  <c r="V28" i="5"/>
  <c r="I82" i="6"/>
  <c r="AF43" i="5"/>
  <c r="U88" i="5"/>
  <c r="L70" i="6"/>
  <c r="J55" i="6"/>
  <c r="H34" i="6"/>
  <c r="AG43" i="6"/>
  <c r="AR82" i="5"/>
  <c r="V34" i="6"/>
  <c r="C61" i="5"/>
  <c r="T61" i="5"/>
  <c r="AY61" i="5"/>
  <c r="AO94" i="5"/>
  <c r="AL88" i="6"/>
  <c r="AZ28" i="5"/>
  <c r="T58" i="6"/>
  <c r="AQ22" i="6"/>
  <c r="AL97" i="5"/>
  <c r="AG67" i="5"/>
  <c r="N37" i="6"/>
  <c r="AP88" i="6"/>
  <c r="E70" i="6"/>
  <c r="AC25" i="6"/>
  <c r="T7" i="5"/>
  <c r="Y61" i="5"/>
  <c r="AC58" i="6"/>
  <c r="Y64" i="6"/>
  <c r="AH40" i="5"/>
  <c r="P76" i="5"/>
  <c r="AS88" i="5"/>
  <c r="AD55" i="5"/>
  <c r="J73" i="6"/>
  <c r="M22" i="6"/>
  <c r="AI7" i="6"/>
  <c r="O22" i="5"/>
  <c r="T67" i="6"/>
  <c r="X67" i="5"/>
  <c r="M13" i="6"/>
  <c r="X4" i="5"/>
  <c r="AP85" i="6"/>
  <c r="J85" i="6"/>
  <c r="V7" i="5"/>
  <c r="AA76" i="5"/>
  <c r="F91" i="6"/>
  <c r="AZ73" i="5"/>
  <c r="AM7" i="6"/>
  <c r="C70" i="5"/>
  <c r="G61" i="6"/>
  <c r="AN85" i="6"/>
  <c r="S76" i="5"/>
  <c r="X31" i="6"/>
  <c r="AO91" i="5"/>
  <c r="AB94" i="5"/>
  <c r="AR43" i="5"/>
  <c r="AX46" i="6"/>
  <c r="AF49" i="5"/>
  <c r="AG79" i="6"/>
  <c r="AS28" i="5"/>
  <c r="Q10" i="5"/>
  <c r="AT88" i="5"/>
  <c r="V76" i="5"/>
  <c r="N40" i="5"/>
  <c r="AE88" i="6"/>
  <c r="M76" i="5"/>
  <c r="C88" i="6"/>
  <c r="AY82" i="5"/>
  <c r="AC4" i="5"/>
  <c r="W94" i="6"/>
  <c r="R4" i="6"/>
  <c r="F25" i="5"/>
  <c r="T67" i="5"/>
  <c r="H91" i="6"/>
  <c r="AY13" i="6"/>
  <c r="AP34" i="5"/>
  <c r="S85" i="6"/>
  <c r="E82" i="6"/>
  <c r="AN58" i="5"/>
  <c r="AP46" i="6"/>
  <c r="J25" i="6"/>
  <c r="AM28" i="6"/>
  <c r="AW4" i="5"/>
  <c r="AJ73" i="6"/>
  <c r="AN82" i="5"/>
  <c r="V85" i="6"/>
  <c r="AQ61" i="5"/>
  <c r="AW31" i="6"/>
  <c r="J76" i="5"/>
  <c r="S25" i="6"/>
  <c r="J46" i="6"/>
  <c r="W40" i="6"/>
  <c r="F25" i="6"/>
  <c r="T13" i="6"/>
  <c r="N64" i="6"/>
  <c r="AE4" i="5"/>
  <c r="AK76" i="6"/>
  <c r="K88" i="5"/>
  <c r="AC28" i="5"/>
  <c r="AC67" i="5"/>
  <c r="AN73" i="6"/>
  <c r="P43" i="5"/>
  <c r="AB22" i="6"/>
  <c r="AY34" i="6"/>
  <c r="AW46" i="6"/>
  <c r="I16" i="6"/>
  <c r="AG25" i="5"/>
  <c r="AQ94" i="5"/>
  <c r="AI70" i="5"/>
  <c r="AF94" i="6"/>
  <c r="AZ37" i="6"/>
  <c r="AJ31" i="5"/>
  <c r="AN79" i="6"/>
  <c r="P46" i="6"/>
  <c r="AC52" i="6"/>
  <c r="R19" i="5"/>
  <c r="S16" i="5"/>
  <c r="AH52" i="5"/>
  <c r="W31" i="6"/>
  <c r="AH46" i="6"/>
  <c r="R91" i="6"/>
  <c r="S67" i="5"/>
  <c r="J64" i="5"/>
  <c r="AZ7" i="5"/>
  <c r="Z67" i="5"/>
  <c r="Q94" i="5"/>
  <c r="G79" i="5"/>
  <c r="M7" i="5"/>
  <c r="M46" i="6"/>
  <c r="V58" i="5"/>
  <c r="AV28" i="5"/>
  <c r="AC34" i="5"/>
  <c r="AH28" i="6"/>
  <c r="AX46" i="5"/>
  <c r="H58" i="5"/>
  <c r="R40" i="6"/>
  <c r="P55" i="6"/>
  <c r="AS82" i="6"/>
  <c r="P37" i="5"/>
  <c r="AA40" i="5"/>
  <c r="AU31" i="6"/>
  <c r="P85" i="5"/>
  <c r="K79" i="5"/>
  <c r="AL19" i="6"/>
  <c r="Q37" i="5"/>
  <c r="H37" i="5"/>
  <c r="M94" i="5"/>
  <c r="F34" i="6"/>
  <c r="X61" i="6"/>
  <c r="V97" i="6"/>
  <c r="AJ73" i="5"/>
  <c r="AF82" i="6"/>
  <c r="AX22" i="6"/>
  <c r="E13" i="5"/>
  <c r="X91" i="6"/>
  <c r="AX22" i="5"/>
  <c r="AM19" i="6"/>
  <c r="V79" i="6"/>
  <c r="L19" i="6"/>
  <c r="AY31" i="5"/>
  <c r="AX25" i="6"/>
  <c r="AX7" i="6"/>
  <c r="Y43" i="5"/>
  <c r="AO34" i="6"/>
  <c r="AI82" i="5"/>
  <c r="AO13" i="5"/>
  <c r="AE88" i="5"/>
  <c r="AR31" i="6"/>
  <c r="AE10" i="5"/>
  <c r="K22" i="6"/>
  <c r="AP97" i="5"/>
  <c r="AH88" i="5"/>
  <c r="L73" i="5"/>
  <c r="K94" i="5"/>
  <c r="AV34" i="5"/>
  <c r="AB82" i="6"/>
  <c r="AW52" i="6"/>
  <c r="AB31" i="6"/>
  <c r="H16" i="6"/>
  <c r="AI97" i="6"/>
  <c r="F61" i="6"/>
  <c r="W61" i="6"/>
  <c r="AM49" i="6"/>
  <c r="AM73" i="5"/>
  <c r="Z82" i="5"/>
  <c r="AK19" i="5"/>
  <c r="V64" i="6"/>
  <c r="AY79" i="5"/>
  <c r="AY52" i="5"/>
  <c r="Y79" i="5"/>
  <c r="N76" i="6"/>
  <c r="O79" i="5"/>
  <c r="L7" i="5"/>
  <c r="AW22" i="5"/>
  <c r="AO85" i="5"/>
  <c r="AI16" i="6"/>
  <c r="K88" i="6"/>
  <c r="N34" i="6"/>
  <c r="Q85" i="5"/>
  <c r="J16" i="5"/>
  <c r="AO64" i="6"/>
  <c r="AU97" i="6"/>
  <c r="AC73" i="5"/>
  <c r="S28" i="6"/>
  <c r="AN79" i="5"/>
  <c r="AZ16" i="6"/>
  <c r="AG88" i="6"/>
  <c r="H43" i="6"/>
  <c r="L94" i="5"/>
  <c r="N91" i="5"/>
  <c r="AB49" i="5"/>
  <c r="F82" i="5"/>
  <c r="AJ19" i="6"/>
  <c r="Y4" i="6"/>
  <c r="AC76" i="6"/>
  <c r="U58" i="6"/>
  <c r="AE16" i="5"/>
  <c r="AE64" i="6"/>
  <c r="AN49" i="6"/>
  <c r="H82" i="5"/>
  <c r="AA82" i="5"/>
  <c r="AA61" i="5"/>
  <c r="Y46" i="5"/>
  <c r="AL64" i="5"/>
  <c r="Q52" i="6"/>
  <c r="AU61" i="5"/>
  <c r="H22" i="6"/>
  <c r="U67" i="6"/>
  <c r="AJ13" i="6"/>
  <c r="AS16" i="6"/>
  <c r="K61" i="6"/>
  <c r="E40" i="6"/>
  <c r="AC91" i="5"/>
  <c r="O19" i="6"/>
  <c r="Z19" i="6"/>
  <c r="Q37" i="6"/>
  <c r="AM22" i="6"/>
  <c r="X70" i="5"/>
  <c r="E22" i="5"/>
  <c r="E61" i="5"/>
  <c r="Z73" i="6"/>
  <c r="T25" i="6"/>
  <c r="X58" i="6"/>
  <c r="T70" i="6"/>
  <c r="AA4" i="5"/>
  <c r="AF43" i="6"/>
  <c r="AH25" i="5"/>
  <c r="AS37" i="5"/>
  <c r="AR85" i="6"/>
  <c r="AW34" i="6"/>
  <c r="AN58" i="6"/>
  <c r="AB25" i="6"/>
  <c r="S70" i="5"/>
  <c r="AH25" i="6"/>
  <c r="AE16" i="6"/>
  <c r="M91" i="6"/>
  <c r="AP34" i="6"/>
  <c r="K52" i="5"/>
  <c r="O25" i="6"/>
  <c r="AO88" i="6"/>
  <c r="U25" i="5"/>
  <c r="AF88" i="5"/>
  <c r="V37" i="5"/>
  <c r="AE73" i="5"/>
  <c r="Y94" i="6"/>
  <c r="AV58" i="6"/>
  <c r="AT82" i="5"/>
  <c r="AQ13" i="5"/>
  <c r="AO37" i="5"/>
  <c r="AH49" i="6"/>
  <c r="P31" i="5"/>
  <c r="I46" i="5"/>
  <c r="L76" i="5"/>
  <c r="H61" i="5"/>
  <c r="AK37" i="5"/>
  <c r="O10" i="6"/>
  <c r="AJ67" i="5"/>
  <c r="AG43" i="5"/>
  <c r="AS31" i="5"/>
  <c r="AC10" i="5"/>
  <c r="AP49" i="6"/>
  <c r="AM40" i="5"/>
  <c r="H85" i="6"/>
  <c r="T76" i="5"/>
  <c r="AY31" i="6"/>
  <c r="E58" i="5"/>
  <c r="P91" i="6"/>
  <c r="Q52" i="5"/>
  <c r="S97" i="5"/>
  <c r="AG76" i="6"/>
  <c r="AT61" i="6"/>
  <c r="AX49" i="6"/>
  <c r="AP7" i="5"/>
  <c r="AN28" i="6"/>
  <c r="N43" i="6"/>
  <c r="AI52" i="5"/>
  <c r="C88" i="5"/>
  <c r="AI28" i="6"/>
  <c r="E64" i="6"/>
  <c r="W43" i="5"/>
  <c r="AU73" i="6"/>
  <c r="E46" i="6"/>
  <c r="AM79" i="5"/>
  <c r="S49" i="5"/>
  <c r="AZ31" i="5"/>
  <c r="G40" i="6"/>
  <c r="AW94" i="6"/>
  <c r="O16" i="5"/>
  <c r="T94" i="5"/>
  <c r="AK28" i="5"/>
  <c r="AN61" i="5"/>
  <c r="O10" i="5"/>
  <c r="Z97" i="5"/>
  <c r="AN4" i="6"/>
  <c r="AX37" i="5"/>
  <c r="G88" i="5"/>
  <c r="AC55" i="5"/>
  <c r="AY73" i="6"/>
  <c r="AW31" i="5"/>
  <c r="J70" i="5"/>
  <c r="AC49" i="5"/>
  <c r="H82" i="6"/>
  <c r="W34" i="5"/>
  <c r="AK25" i="5"/>
  <c r="Q34" i="5"/>
  <c r="AP97" i="6"/>
  <c r="AH46" i="5"/>
  <c r="AV25" i="6"/>
  <c r="X40" i="5"/>
  <c r="K49" i="6"/>
  <c r="AW61" i="5"/>
  <c r="AW76" i="5"/>
  <c r="AO67" i="5"/>
  <c r="AQ49" i="5"/>
  <c r="Y70" i="5"/>
  <c r="AS73" i="5"/>
  <c r="AH10" i="6"/>
  <c r="AP61" i="5"/>
  <c r="AU58" i="5"/>
  <c r="W58" i="5"/>
  <c r="R64" i="5"/>
  <c r="K49" i="5"/>
  <c r="T37" i="6"/>
  <c r="X10" i="6"/>
  <c r="F58" i="5"/>
  <c r="AT97" i="5"/>
  <c r="J58" i="5"/>
  <c r="N61" i="5"/>
  <c r="L40" i="6"/>
  <c r="AQ7" i="6"/>
  <c r="AB10" i="5"/>
  <c r="E4" i="6"/>
  <c r="AX10" i="5"/>
  <c r="Q25" i="5"/>
  <c r="AN34" i="6"/>
  <c r="I19" i="6"/>
  <c r="AL91" i="6"/>
  <c r="C7" i="6"/>
  <c r="AS10" i="6"/>
  <c r="AK82" i="6"/>
  <c r="M55" i="6"/>
  <c r="C19" i="5"/>
  <c r="Z46" i="6"/>
  <c r="AS7" i="5"/>
  <c r="L82" i="6"/>
  <c r="AL85" i="5"/>
  <c r="AU61" i="6"/>
  <c r="W46" i="6"/>
  <c r="AK94" i="6"/>
  <c r="G49" i="6"/>
  <c r="AD58" i="5"/>
  <c r="AQ40" i="6"/>
  <c r="K82" i="5"/>
  <c r="N73" i="6"/>
  <c r="C25" i="6"/>
  <c r="T94" i="6"/>
  <c r="AG94" i="6"/>
  <c r="AZ94" i="5"/>
  <c r="AO49" i="6"/>
  <c r="Q28" i="6"/>
  <c r="AQ28" i="5"/>
  <c r="AP16" i="6"/>
  <c r="S13" i="5"/>
  <c r="S10" i="5"/>
  <c r="AA31" i="6"/>
  <c r="M31" i="5"/>
  <c r="J13" i="5"/>
  <c r="AT76" i="5"/>
  <c r="AT22" i="6"/>
  <c r="AZ91" i="6"/>
  <c r="G94" i="5"/>
  <c r="AQ79" i="5"/>
  <c r="AR28" i="6"/>
  <c r="AT58" i="5"/>
  <c r="S4" i="6"/>
  <c r="AP19" i="6"/>
  <c r="AI88" i="5"/>
  <c r="AG19" i="6"/>
  <c r="M58" i="6"/>
  <c r="AM16" i="5"/>
  <c r="AV55" i="5"/>
  <c r="AY40" i="5"/>
  <c r="AU40" i="6"/>
  <c r="P10" i="6"/>
  <c r="AA67" i="5"/>
  <c r="AS19" i="5"/>
  <c r="AG19" i="5"/>
  <c r="Y31" i="6"/>
  <c r="Z19" i="5"/>
  <c r="AM64" i="6"/>
  <c r="N7" i="6"/>
  <c r="AV13" i="6"/>
  <c r="AC91" i="6"/>
  <c r="I88" i="5"/>
  <c r="O37" i="5"/>
  <c r="AI79" i="5"/>
  <c r="AP58" i="5"/>
  <c r="N85" i="6"/>
  <c r="AX58" i="5"/>
  <c r="AO16" i="5"/>
  <c r="Q94" i="6"/>
  <c r="K4" i="5"/>
  <c r="E31" i="6"/>
  <c r="AN43" i="5"/>
  <c r="AY94" i="6"/>
  <c r="AN13" i="6"/>
  <c r="AG79" i="5"/>
  <c r="T40" i="6"/>
  <c r="Q34" i="6"/>
  <c r="K91" i="5"/>
  <c r="R61" i="5"/>
  <c r="AZ40" i="6"/>
  <c r="S34" i="5"/>
  <c r="Q88" i="5"/>
  <c r="AJ7" i="5"/>
  <c r="AG82" i="6"/>
  <c r="E91" i="6"/>
  <c r="AE70" i="5"/>
  <c r="AZ82" i="5"/>
  <c r="K13" i="6"/>
  <c r="F7" i="5"/>
  <c r="K46" i="5"/>
  <c r="AA49" i="6"/>
  <c r="AA4" i="6"/>
  <c r="AZ49" i="5"/>
  <c r="AC82" i="5"/>
  <c r="H91" i="5"/>
  <c r="E43" i="6"/>
  <c r="AK13" i="6"/>
  <c r="AE46" i="5"/>
  <c r="AL79" i="5"/>
  <c r="G70" i="5"/>
  <c r="P4" i="5"/>
  <c r="U73" i="5"/>
  <c r="F37" i="6"/>
  <c r="AM76" i="5"/>
  <c r="S49" i="6"/>
  <c r="H61" i="6"/>
  <c r="AH76" i="5"/>
  <c r="R52" i="6"/>
  <c r="P73" i="6"/>
  <c r="AD25" i="5"/>
  <c r="R46" i="5"/>
  <c r="AN88" i="5"/>
  <c r="E28" i="6"/>
  <c r="AO82" i="6"/>
  <c r="AN85" i="5"/>
  <c r="AN25" i="6"/>
  <c r="Z52" i="5"/>
  <c r="P4" i="6"/>
  <c r="M4" i="6"/>
  <c r="AT73" i="5"/>
  <c r="AH19" i="6"/>
  <c r="AK34" i="5"/>
  <c r="J85" i="5"/>
  <c r="W88" i="5"/>
  <c r="Y64" i="5"/>
  <c r="AB16" i="5"/>
  <c r="H70" i="6"/>
  <c r="AH22" i="6"/>
  <c r="AW76" i="6"/>
  <c r="Y34" i="5"/>
  <c r="P49" i="6"/>
  <c r="AC85" i="5"/>
  <c r="Z46" i="5"/>
  <c r="P61" i="5"/>
  <c r="AH16" i="5"/>
  <c r="K61" i="5"/>
  <c r="R52" i="5"/>
  <c r="U49" i="5"/>
  <c r="AU82" i="5"/>
  <c r="AH97" i="6"/>
  <c r="AH97" i="5"/>
  <c r="W73" i="6"/>
  <c r="AX19" i="6"/>
  <c r="I16" i="5"/>
  <c r="AD46" i="5"/>
  <c r="U49" i="6"/>
  <c r="AP46" i="5"/>
  <c r="AY76" i="5"/>
  <c r="I76" i="6"/>
  <c r="J28" i="6"/>
  <c r="P94" i="5"/>
  <c r="C13" i="6"/>
  <c r="N76" i="5"/>
  <c r="AR10" i="6"/>
  <c r="AO76" i="5"/>
  <c r="K10" i="6"/>
  <c r="AA58" i="5"/>
  <c r="AF37" i="6"/>
  <c r="K16" i="5"/>
  <c r="Y34" i="6"/>
  <c r="M61" i="5"/>
  <c r="T13" i="5"/>
  <c r="O37" i="6"/>
  <c r="AK10" i="5"/>
  <c r="AX25" i="5"/>
  <c r="P25" i="6"/>
  <c r="N19" i="6"/>
  <c r="AD73" i="6"/>
  <c r="J40" i="5"/>
  <c r="AP76" i="6"/>
  <c r="AB88" i="5"/>
  <c r="AZ67" i="6"/>
  <c r="M52" i="6"/>
  <c r="F79" i="5"/>
  <c r="N40" i="6"/>
  <c r="S73" i="6"/>
  <c r="V31" i="5"/>
  <c r="AM76" i="6"/>
  <c r="G94" i="6"/>
  <c r="O28" i="5"/>
  <c r="P61" i="6"/>
  <c r="Z28" i="5"/>
  <c r="K31" i="5"/>
  <c r="AM82" i="6"/>
  <c r="W64" i="5"/>
  <c r="AL73" i="5"/>
  <c r="X43" i="6"/>
  <c r="AF10" i="6"/>
  <c r="H67" i="6"/>
  <c r="AJ4" i="5"/>
  <c r="AF97" i="6"/>
  <c r="K43" i="6"/>
  <c r="AP88" i="5"/>
  <c r="AO52" i="5"/>
  <c r="AQ28" i="6"/>
  <c r="K25" i="6"/>
  <c r="E40" i="5"/>
  <c r="AI94" i="5"/>
  <c r="AC16" i="5"/>
  <c r="AX76" i="6"/>
  <c r="I88" i="6"/>
  <c r="AD76" i="5"/>
  <c r="AN34" i="5"/>
  <c r="AV40" i="6"/>
  <c r="AM67" i="5"/>
  <c r="AR31" i="5"/>
  <c r="AX52" i="5"/>
  <c r="G46" i="6"/>
  <c r="C73" i="5"/>
  <c r="S7" i="6"/>
  <c r="AZ97" i="5"/>
  <c r="N34" i="5"/>
  <c r="AE37" i="6"/>
  <c r="Y55" i="6"/>
  <c r="H49" i="6"/>
  <c r="F37" i="5"/>
  <c r="P34" i="6"/>
  <c r="N64" i="5"/>
  <c r="AO40" i="6"/>
  <c r="AA43" i="6"/>
  <c r="U94" i="6"/>
  <c r="AO31" i="6"/>
  <c r="AA37" i="6"/>
  <c r="I79" i="6"/>
  <c r="AI88" i="6"/>
  <c r="AY91" i="5"/>
  <c r="AR28" i="5"/>
  <c r="Y91" i="6"/>
  <c r="AX94" i="5"/>
  <c r="AV97" i="6"/>
  <c r="AO7" i="5"/>
  <c r="F52" i="5"/>
  <c r="AC79" i="5"/>
  <c r="Z97" i="6"/>
  <c r="S25" i="5"/>
  <c r="F16" i="5"/>
  <c r="Y82" i="5"/>
  <c r="AK97" i="5"/>
  <c r="R67" i="5"/>
  <c r="AT10" i="5"/>
  <c r="AE7" i="5"/>
  <c r="AY7" i="5"/>
  <c r="AV52" i="6"/>
  <c r="AN70" i="5"/>
  <c r="AB61" i="5"/>
  <c r="V46" i="5"/>
  <c r="J10" i="5"/>
  <c r="J13" i="6"/>
  <c r="AR34" i="6"/>
  <c r="AO31" i="5"/>
  <c r="AS58" i="5"/>
  <c r="AP91" i="5"/>
  <c r="N52" i="6"/>
  <c r="V52" i="5"/>
  <c r="W25" i="6"/>
  <c r="I52" i="5"/>
  <c r="G34" i="5"/>
  <c r="N67" i="6"/>
  <c r="G37" i="5"/>
  <c r="O43" i="5"/>
  <c r="AW46" i="5"/>
  <c r="AC52" i="5"/>
  <c r="Q73" i="5"/>
  <c r="AT76" i="6"/>
  <c r="AW40" i="5"/>
  <c r="AB4" i="6"/>
  <c r="N31" i="5"/>
  <c r="AU13" i="6"/>
  <c r="I94" i="5"/>
  <c r="AC7" i="6"/>
  <c r="N91" i="6"/>
  <c r="Y7" i="5"/>
  <c r="V7" i="6"/>
  <c r="AO58" i="5"/>
  <c r="S52" i="6"/>
  <c r="AR13" i="5"/>
  <c r="AB46" i="6"/>
  <c r="AW43" i="6"/>
  <c r="P67" i="6"/>
  <c r="AY34" i="5"/>
  <c r="C85" i="6"/>
  <c r="AN91" i="6"/>
  <c r="AO67" i="6"/>
  <c r="H19" i="5"/>
  <c r="AW64" i="5"/>
  <c r="G52" i="5"/>
  <c r="AK88" i="6"/>
  <c r="AZ10" i="5"/>
  <c r="Q16" i="6"/>
  <c r="AX79" i="5"/>
  <c r="W70" i="5"/>
  <c r="Q7" i="6"/>
  <c r="F88" i="5"/>
  <c r="AS97" i="5"/>
  <c r="F43" i="5"/>
  <c r="U31" i="5"/>
  <c r="E79" i="5"/>
  <c r="AQ25" i="5"/>
  <c r="X70" i="6"/>
  <c r="I58" i="5"/>
  <c r="AC97" i="5"/>
  <c r="W16" i="5"/>
  <c r="AU79" i="5"/>
  <c r="AL40" i="5"/>
  <c r="U34" i="6"/>
  <c r="AS13" i="5"/>
  <c r="W7" i="6"/>
  <c r="AZ85" i="6"/>
  <c r="N43" i="5"/>
  <c r="AW88" i="6"/>
  <c r="AK94" i="5"/>
  <c r="I67" i="5"/>
  <c r="U91" i="5"/>
  <c r="AJ61" i="5"/>
  <c r="AK43" i="6"/>
  <c r="I52" i="6"/>
  <c r="AC4" i="6"/>
  <c r="AO43" i="6"/>
  <c r="AL55" i="6"/>
  <c r="Y49" i="5"/>
  <c r="AY19" i="5"/>
  <c r="AN67" i="6"/>
  <c r="W31" i="5"/>
  <c r="AV85" i="6"/>
  <c r="AI34" i="5"/>
  <c r="AU70" i="6"/>
  <c r="AT40" i="5"/>
  <c r="O7" i="5"/>
  <c r="AS34" i="6"/>
  <c r="Q22" i="5"/>
  <c r="R46" i="6"/>
  <c r="C49" i="6"/>
  <c r="X55" i="5"/>
  <c r="T10" i="6"/>
  <c r="AE28" i="5"/>
  <c r="S97" i="6"/>
  <c r="AD61" i="6"/>
  <c r="AK22" i="6"/>
  <c r="AM88" i="5"/>
  <c r="AD40" i="6"/>
  <c r="AJ28" i="5"/>
  <c r="P88" i="5"/>
  <c r="X79" i="5"/>
  <c r="M37" i="5"/>
  <c r="AV94" i="5"/>
  <c r="AN94" i="5"/>
  <c r="AH61" i="6"/>
  <c r="N4" i="5"/>
  <c r="J34" i="5"/>
  <c r="P22" i="6"/>
  <c r="AH28" i="5"/>
  <c r="AM34" i="6"/>
  <c r="X46" i="5"/>
  <c r="AF31" i="6"/>
  <c r="F40" i="6"/>
  <c r="T82" i="6"/>
  <c r="AL73" i="6"/>
  <c r="AM70" i="5"/>
  <c r="AO10" i="5"/>
  <c r="AN94" i="6"/>
  <c r="AW70" i="5"/>
  <c r="H40" i="5"/>
  <c r="I19" i="5"/>
  <c r="AG4" i="5"/>
  <c r="AI37" i="6"/>
  <c r="AJ76" i="5"/>
  <c r="AZ61" i="6"/>
  <c r="AS37" i="6"/>
  <c r="AT88" i="6"/>
  <c r="V61" i="6"/>
  <c r="C40" i="5"/>
  <c r="AY55" i="5"/>
  <c r="C43" i="5"/>
  <c r="AW79" i="6"/>
  <c r="U46" i="5"/>
  <c r="AM10" i="5"/>
  <c r="J52" i="6"/>
  <c r="V22" i="5"/>
  <c r="S73" i="5"/>
  <c r="G7" i="5"/>
  <c r="AT28" i="5"/>
  <c r="AI97" i="5"/>
  <c r="L13" i="5"/>
  <c r="AP85" i="5"/>
  <c r="F55" i="5"/>
  <c r="AW58" i="5"/>
  <c r="K76" i="6"/>
  <c r="AZ31" i="6"/>
  <c r="W28" i="6"/>
  <c r="E64" i="5"/>
  <c r="AK91" i="6"/>
  <c r="AS52" i="6"/>
  <c r="H28" i="6"/>
  <c r="AR94" i="5"/>
  <c r="AY88" i="5"/>
  <c r="Q43" i="6"/>
  <c r="AB49" i="6"/>
  <c r="AT79" i="6"/>
  <c r="AM46" i="6"/>
  <c r="AC70" i="6"/>
  <c r="H70" i="5"/>
  <c r="AE76" i="6"/>
  <c r="J79" i="5"/>
  <c r="P13" i="5"/>
  <c r="AH85" i="5"/>
  <c r="AJ94" i="6"/>
  <c r="AU70" i="5"/>
  <c r="AR88" i="5"/>
  <c r="AZ97" i="6"/>
  <c r="X46" i="6"/>
  <c r="I31" i="5"/>
  <c r="T31" i="5"/>
  <c r="C67" i="5"/>
  <c r="Z25" i="6"/>
  <c r="AT28" i="6"/>
  <c r="N10" i="5"/>
  <c r="AY64" i="6"/>
  <c r="AD22" i="6"/>
  <c r="AO7" i="6"/>
  <c r="I40" i="6"/>
  <c r="X79" i="6"/>
  <c r="J49" i="5"/>
  <c r="AS70" i="6"/>
  <c r="AN13" i="5"/>
  <c r="E67" i="6"/>
  <c r="AL91" i="5"/>
  <c r="M70" i="6"/>
  <c r="X94" i="5"/>
  <c r="I13" i="5"/>
  <c r="O19" i="5"/>
  <c r="AC58" i="5"/>
  <c r="AG28" i="6"/>
  <c r="H76" i="5"/>
  <c r="X25" i="5"/>
  <c r="AT34" i="5"/>
  <c r="AH82" i="5"/>
  <c r="K64" i="6"/>
  <c r="S52" i="5"/>
  <c r="AB37" i="6"/>
  <c r="T70" i="5"/>
  <c r="AD73" i="5"/>
  <c r="X19" i="5"/>
  <c r="AM97" i="6"/>
  <c r="J91" i="5"/>
  <c r="AN4" i="5"/>
  <c r="AV97" i="5"/>
  <c r="AS4" i="6"/>
  <c r="AJ10" i="6"/>
  <c r="AG55" i="6"/>
  <c r="U70" i="5"/>
  <c r="S46" i="6"/>
  <c r="H40" i="6"/>
  <c r="AG10" i="5"/>
  <c r="AS85" i="5"/>
  <c r="AI43" i="6"/>
  <c r="AJ79" i="6"/>
  <c r="AH67" i="5"/>
  <c r="AC43" i="6"/>
  <c r="AK37" i="6"/>
  <c r="T46" i="6"/>
  <c r="AI46" i="6"/>
  <c r="AO49" i="5"/>
  <c r="AM97" i="5"/>
  <c r="AE28" i="6"/>
  <c r="G31" i="6"/>
  <c r="AL16" i="6"/>
  <c r="I82" i="5"/>
  <c r="AO55" i="6"/>
  <c r="V16" i="5"/>
  <c r="AM22" i="5"/>
  <c r="U46" i="6"/>
  <c r="AH85" i="6"/>
  <c r="AK10" i="6"/>
  <c r="AV91" i="6"/>
  <c r="AT49" i="6"/>
  <c r="O82" i="6"/>
  <c r="S40" i="6"/>
  <c r="Y67" i="5"/>
  <c r="AB76" i="5"/>
  <c r="V76" i="6"/>
  <c r="AA55" i="5"/>
  <c r="AU16" i="5"/>
  <c r="AZ76" i="5"/>
  <c r="X94" i="6"/>
  <c r="Y10" i="6"/>
  <c r="G10" i="5"/>
  <c r="AY22" i="5"/>
  <c r="AZ94" i="6"/>
  <c r="AN10" i="5"/>
  <c r="L97" i="6"/>
  <c r="AW82" i="5"/>
  <c r="Z79" i="5"/>
  <c r="AZ70" i="6"/>
  <c r="AS40" i="6"/>
  <c r="AR91" i="6"/>
  <c r="J22" i="6"/>
  <c r="H46" i="5"/>
  <c r="I7" i="6"/>
  <c r="Y97" i="5"/>
  <c r="AS58" i="6"/>
  <c r="N46" i="6"/>
  <c r="O88" i="6"/>
  <c r="K97" i="5"/>
  <c r="AT97" i="6"/>
  <c r="AS91" i="6"/>
  <c r="Z91" i="5"/>
  <c r="K58" i="5"/>
  <c r="AZ13" i="5"/>
  <c r="AH70" i="5"/>
  <c r="AW88" i="5"/>
  <c r="U28" i="6"/>
  <c r="AN61" i="6"/>
  <c r="AC88" i="6"/>
  <c r="AR16" i="5"/>
  <c r="AE70" i="6"/>
  <c r="I4" i="5"/>
  <c r="M67" i="5"/>
  <c r="U43" i="5"/>
  <c r="G49" i="5"/>
  <c r="C55" i="5"/>
  <c r="AS70" i="5"/>
  <c r="Q70" i="6"/>
  <c r="Q55" i="6"/>
  <c r="AA31" i="5"/>
  <c r="I37" i="6"/>
  <c r="S19" i="5"/>
  <c r="AA73" i="6"/>
  <c r="L61" i="5"/>
  <c r="AS25" i="6"/>
  <c r="I64" i="5"/>
  <c r="P28" i="5"/>
  <c r="AI70" i="6"/>
  <c r="AX10" i="6"/>
  <c r="AU28" i="6"/>
  <c r="R7" i="5"/>
  <c r="AG31" i="6"/>
  <c r="S22" i="5"/>
  <c r="AK31" i="5"/>
  <c r="Z7" i="5"/>
  <c r="AR73" i="5"/>
  <c r="X82" i="6"/>
  <c r="AR37" i="5"/>
  <c r="AU49" i="5"/>
  <c r="AU55" i="5"/>
  <c r="AP43" i="6"/>
  <c r="Y22" i="6"/>
  <c r="AY25" i="5"/>
  <c r="K13" i="5"/>
  <c r="AV22" i="5"/>
  <c r="AQ82" i="6"/>
  <c r="AB64" i="5"/>
  <c r="S43" i="6"/>
  <c r="AM4" i="6"/>
  <c r="H55" i="6"/>
  <c r="AP13" i="5"/>
  <c r="AR46" i="5"/>
  <c r="AS10" i="5"/>
  <c r="AJ58" i="6"/>
  <c r="AJ94" i="5"/>
  <c r="Y13" i="5"/>
  <c r="V25" i="6"/>
  <c r="AQ52" i="6"/>
  <c r="E94" i="6"/>
  <c r="AH76" i="6"/>
  <c r="AO82" i="5"/>
  <c r="AA28" i="6"/>
  <c r="N58" i="5"/>
  <c r="E49" i="6"/>
  <c r="AS7" i="6"/>
  <c r="AS4" i="5"/>
  <c r="Z88" i="6"/>
  <c r="Y94" i="5"/>
  <c r="T52" i="6"/>
  <c r="AN55" i="5"/>
  <c r="AY85" i="6"/>
  <c r="AU76" i="6"/>
  <c r="C97" i="5"/>
  <c r="P19" i="6"/>
  <c r="AO46" i="5"/>
  <c r="K94" i="6"/>
  <c r="U67" i="5"/>
  <c r="AH4" i="5"/>
  <c r="AO79" i="5"/>
  <c r="AB16" i="6"/>
  <c r="AI55" i="5"/>
  <c r="AW25" i="6"/>
  <c r="AT43" i="5"/>
  <c r="M40" i="6"/>
  <c r="AV43" i="6"/>
  <c r="AZ85" i="5"/>
  <c r="AB55" i="6"/>
  <c r="O43" i="6"/>
  <c r="N22" i="5"/>
  <c r="P49" i="5"/>
  <c r="Z22" i="6"/>
  <c r="AG52" i="6"/>
  <c r="AD94" i="5"/>
  <c r="K16" i="6"/>
  <c r="AI31" i="5"/>
  <c r="Z16" i="6"/>
  <c r="AV73" i="5"/>
  <c r="AX40" i="5"/>
  <c r="AO19" i="6"/>
  <c r="AB58" i="5"/>
  <c r="T16" i="6"/>
  <c r="AE34" i="5"/>
  <c r="AM70" i="6"/>
  <c r="AJ82" i="5"/>
  <c r="AX85" i="6"/>
  <c r="E34" i="6"/>
  <c r="AR40" i="6"/>
  <c r="AP79" i="5"/>
  <c r="V85" i="5"/>
  <c r="I13" i="6"/>
  <c r="AA16" i="6"/>
  <c r="AA13" i="6"/>
  <c r="L22" i="5"/>
  <c r="AV16" i="5"/>
  <c r="M31" i="6"/>
  <c r="AF49" i="6"/>
  <c r="F76" i="6"/>
  <c r="Y25" i="5"/>
  <c r="AG25" i="6"/>
  <c r="AI40" i="6"/>
  <c r="R25" i="5"/>
  <c r="AL4" i="6"/>
  <c r="U79" i="6"/>
  <c r="W70" i="6"/>
  <c r="AY67" i="5"/>
  <c r="G31" i="5"/>
  <c r="AY16" i="5"/>
  <c r="AD31" i="6"/>
  <c r="AJ49" i="6"/>
  <c r="N55" i="6"/>
  <c r="AQ76" i="5"/>
  <c r="AO52" i="6"/>
  <c r="AI10" i="5"/>
  <c r="Z22" i="5"/>
  <c r="AY43" i="6"/>
  <c r="AC76" i="5"/>
  <c r="AC55" i="6"/>
  <c r="O67" i="5"/>
  <c r="N19" i="5"/>
  <c r="AV79" i="6"/>
  <c r="AC94" i="6"/>
  <c r="R10" i="5"/>
  <c r="T55" i="6"/>
  <c r="AT22" i="5"/>
  <c r="AJ70" i="5"/>
  <c r="AS67" i="5"/>
  <c r="AE94" i="6"/>
  <c r="AU43" i="5"/>
  <c r="N7" i="5"/>
  <c r="AB67" i="6"/>
  <c r="R58" i="5"/>
  <c r="AA19" i="6"/>
  <c r="V4" i="5"/>
  <c r="K25" i="5"/>
  <c r="AF61" i="5"/>
  <c r="P67" i="5"/>
  <c r="AX43" i="5"/>
  <c r="AJ88" i="5"/>
  <c r="AE64" i="5"/>
  <c r="AN46" i="6"/>
  <c r="H94" i="5"/>
  <c r="U28" i="5"/>
  <c r="L52" i="5"/>
  <c r="T34" i="5"/>
  <c r="V28" i="6"/>
  <c r="E46" i="5"/>
  <c r="Q49" i="5"/>
  <c r="R13" i="6"/>
  <c r="X67" i="6"/>
  <c r="AZ10" i="6"/>
  <c r="AK46" i="6"/>
  <c r="AS94" i="5"/>
  <c r="M22" i="5"/>
  <c r="AT40" i="6"/>
  <c r="I76" i="5"/>
  <c r="U64" i="6"/>
  <c r="I28" i="5"/>
  <c r="Z34" i="6"/>
  <c r="L91" i="6"/>
  <c r="S94" i="5"/>
  <c r="W22" i="5"/>
  <c r="E31" i="5"/>
  <c r="AQ58" i="6"/>
  <c r="H85" i="5"/>
  <c r="AI73" i="6"/>
  <c r="AA76" i="6"/>
  <c r="AW13" i="6"/>
  <c r="X85" i="6"/>
  <c r="M79" i="5"/>
  <c r="AV58" i="5"/>
  <c r="AE97" i="6"/>
  <c r="AW43" i="5"/>
  <c r="K31" i="6"/>
  <c r="AG64" i="5"/>
  <c r="N82" i="5"/>
  <c r="L58" i="5"/>
  <c r="Y82" i="6"/>
  <c r="AK31" i="6"/>
  <c r="O76" i="6"/>
  <c r="P70" i="5"/>
  <c r="AF58" i="5"/>
  <c r="AJ4" i="6"/>
  <c r="Z25" i="5"/>
  <c r="AL52" i="5"/>
  <c r="AD52" i="6"/>
  <c r="AE85" i="5"/>
  <c r="AW79" i="5"/>
  <c r="W85" i="6"/>
  <c r="S7" i="5"/>
  <c r="AM13" i="5"/>
  <c r="Q76" i="6"/>
  <c r="AA64" i="6"/>
  <c r="AE25" i="5"/>
  <c r="AT67" i="6"/>
  <c r="AC82" i="6"/>
  <c r="AV22" i="6"/>
  <c r="Z34" i="5"/>
  <c r="AX34" i="6"/>
  <c r="AD7" i="5"/>
  <c r="Q19" i="5"/>
  <c r="X43" i="5"/>
  <c r="K85" i="6"/>
  <c r="J61" i="6"/>
  <c r="P79" i="6"/>
  <c r="C61" i="6"/>
  <c r="AF52" i="6"/>
  <c r="S76" i="6"/>
  <c r="AG28" i="5"/>
  <c r="Q28" i="5"/>
  <c r="AT64" i="6"/>
  <c r="N88" i="5"/>
  <c r="AX73" i="5"/>
  <c r="AF46" i="6"/>
  <c r="AP61" i="6"/>
  <c r="P91" i="5"/>
  <c r="X22" i="6"/>
  <c r="AD37" i="5"/>
  <c r="V61" i="5"/>
  <c r="AF46" i="5"/>
  <c r="F16" i="6"/>
  <c r="AY97" i="6"/>
  <c r="AX49" i="5"/>
  <c r="AJ91" i="6"/>
  <c r="AB52" i="6"/>
  <c r="AU22" i="6"/>
  <c r="AS64" i="6"/>
  <c r="T82" i="5"/>
  <c r="AJ70" i="6"/>
  <c r="Y55" i="5"/>
  <c r="AD4" i="6"/>
  <c r="I46" i="6"/>
  <c r="AQ46" i="6"/>
  <c r="O52" i="5"/>
  <c r="C73" i="6"/>
  <c r="AN7" i="5"/>
  <c r="F97" i="6"/>
  <c r="AM40" i="6"/>
  <c r="AH94" i="5"/>
  <c r="AK40" i="5"/>
  <c r="AB52" i="5"/>
  <c r="Z4" i="5"/>
  <c r="K46" i="6"/>
  <c r="V70" i="5"/>
  <c r="AO70" i="6"/>
  <c r="C4" i="6"/>
  <c r="AP19" i="5"/>
  <c r="AR7" i="5"/>
  <c r="AA43" i="5"/>
  <c r="J37" i="5"/>
  <c r="AJ34" i="5"/>
  <c r="R28" i="5"/>
  <c r="W4" i="6"/>
  <c r="AU88" i="5"/>
  <c r="G73" i="5"/>
  <c r="AT13" i="6"/>
  <c r="W19" i="6"/>
  <c r="AL10" i="6"/>
  <c r="AD43" i="6"/>
  <c r="AX67" i="6"/>
  <c r="G10" i="6"/>
  <c r="X13" i="5"/>
  <c r="AK52" i="6"/>
  <c r="X16" i="5"/>
  <c r="AD76" i="6"/>
  <c r="AI82" i="6"/>
  <c r="AM61" i="6"/>
  <c r="AA97" i="6"/>
  <c r="AX31" i="5"/>
  <c r="M34" i="5"/>
  <c r="S88" i="5"/>
  <c r="AQ70" i="6"/>
  <c r="AE34" i="6"/>
  <c r="AT79" i="5"/>
  <c r="AJ49" i="5"/>
  <c r="AR40" i="5"/>
  <c r="AH34" i="5"/>
  <c r="Q40" i="6"/>
  <c r="AG76" i="5"/>
  <c r="AF37" i="5"/>
  <c r="AH37" i="6"/>
  <c r="AO43" i="5"/>
  <c r="AQ82" i="5"/>
  <c r="J7" i="5"/>
  <c r="W82" i="5"/>
  <c r="AM25" i="5"/>
  <c r="H58" i="6"/>
  <c r="AQ91" i="5"/>
  <c r="AH73" i="5"/>
  <c r="R34" i="5"/>
  <c r="AG7" i="5"/>
  <c r="AQ97" i="5"/>
  <c r="J16" i="6"/>
  <c r="AB70" i="5"/>
  <c r="Q79" i="6"/>
  <c r="AO58" i="6"/>
  <c r="AL76" i="5"/>
  <c r="R73" i="6"/>
  <c r="AD22" i="5"/>
  <c r="AE43" i="6"/>
  <c r="AF22" i="5"/>
  <c r="AZ55" i="5"/>
  <c r="AR91" i="5"/>
  <c r="I64" i="6"/>
  <c r="AV76" i="5"/>
  <c r="AB58" i="6"/>
  <c r="P70" i="6"/>
  <c r="AZ67" i="5"/>
  <c r="E49" i="5"/>
  <c r="AA85" i="5"/>
  <c r="W13" i="6"/>
  <c r="M91" i="5"/>
  <c r="AR25" i="5"/>
  <c r="J31" i="5"/>
  <c r="AX82" i="5"/>
  <c r="AY70" i="6"/>
  <c r="U79" i="5"/>
  <c r="G40" i="5"/>
  <c r="N37" i="5"/>
  <c r="E7" i="5"/>
  <c r="C22" i="5"/>
  <c r="O91" i="5"/>
  <c r="T64" i="5"/>
  <c r="H10" i="6"/>
  <c r="AS52" i="5"/>
  <c r="AS61" i="5"/>
  <c r="AG40" i="5"/>
  <c r="M43" i="6"/>
  <c r="AO37" i="6"/>
  <c r="AI37" i="5"/>
  <c r="AK52" i="5"/>
  <c r="AQ73" i="5"/>
  <c r="AP31" i="6"/>
  <c r="J28" i="5"/>
  <c r="O58" i="6"/>
  <c r="Z13" i="6"/>
  <c r="U13" i="5"/>
  <c r="AX70" i="5"/>
  <c r="R70" i="5"/>
  <c r="M40" i="5"/>
  <c r="I10" i="5"/>
  <c r="AA88" i="6"/>
  <c r="AQ58" i="5"/>
  <c r="C46" i="6"/>
  <c r="AR61" i="5"/>
  <c r="AH79" i="6"/>
  <c r="AV16" i="6"/>
  <c r="AZ49" i="6"/>
  <c r="AW7" i="6"/>
  <c r="AA91" i="5"/>
  <c r="Z37" i="6"/>
  <c r="AR55" i="6"/>
  <c r="AQ88" i="5"/>
  <c r="M43" i="5"/>
  <c r="O13" i="6"/>
  <c r="E94" i="5"/>
  <c r="AJ85" i="6"/>
  <c r="AD88" i="5"/>
  <c r="O94" i="5"/>
  <c r="AM43" i="5"/>
  <c r="Z67" i="6"/>
  <c r="AQ25" i="6"/>
  <c r="L46" i="6"/>
  <c r="AT13" i="5"/>
  <c r="AQ22" i="5"/>
  <c r="P31" i="6"/>
  <c r="AM94" i="6"/>
  <c r="J37" i="6"/>
  <c r="AD16" i="5"/>
  <c r="C16" i="5"/>
  <c r="Z7" i="6"/>
  <c r="R67" i="6"/>
  <c r="AH31" i="6"/>
  <c r="Z37" i="5"/>
  <c r="AD67" i="5"/>
  <c r="K73" i="5"/>
  <c r="AB28" i="5"/>
  <c r="AV49" i="5"/>
  <c r="AH43" i="6"/>
  <c r="F85" i="5"/>
  <c r="P10" i="5"/>
  <c r="AY49" i="5"/>
  <c r="T4" i="6"/>
  <c r="AP25" i="5"/>
  <c r="C85" i="5"/>
  <c r="AW22" i="6"/>
  <c r="AP4" i="5"/>
  <c r="AU34" i="6"/>
  <c r="H55" i="5"/>
  <c r="AM34" i="5"/>
  <c r="AV46" i="5"/>
  <c r="AU58" i="6"/>
  <c r="U58" i="5"/>
  <c r="AX64" i="5"/>
  <c r="K37" i="6"/>
  <c r="AX28" i="6"/>
  <c r="S94" i="6"/>
  <c r="AS55" i="6"/>
  <c r="AJ43" i="5"/>
  <c r="K67" i="5"/>
  <c r="G76" i="6"/>
  <c r="AW67" i="6"/>
  <c r="AK19" i="6"/>
  <c r="AA82" i="6"/>
  <c r="N16" i="6"/>
  <c r="AE61" i="6"/>
  <c r="AB34" i="5"/>
  <c r="AJ31" i="6"/>
  <c r="W40" i="5"/>
  <c r="AF28" i="6"/>
  <c r="AE91" i="5"/>
  <c r="AM94" i="5"/>
  <c r="Z88" i="5"/>
  <c r="AA22" i="6"/>
  <c r="AV4" i="5"/>
  <c r="AP4" i="6"/>
  <c r="AV19" i="6"/>
  <c r="AC31" i="6"/>
  <c r="AZ46" i="6"/>
  <c r="AP37" i="6"/>
  <c r="G70" i="6"/>
  <c r="AC40" i="5"/>
  <c r="AB43" i="6"/>
  <c r="AD55" i="6"/>
  <c r="X28" i="6"/>
  <c r="X58" i="5"/>
  <c r="AJ37" i="6"/>
  <c r="AV55" i="6"/>
  <c r="S82" i="5"/>
  <c r="AH91" i="6"/>
  <c r="AO70" i="5"/>
  <c r="AW52" i="5"/>
  <c r="AW37" i="6"/>
  <c r="AL13" i="6"/>
  <c r="AR13" i="6"/>
  <c r="AJ52" i="6"/>
  <c r="AQ85" i="5"/>
  <c r="Y91" i="5"/>
  <c r="P82" i="5"/>
  <c r="AI4" i="5"/>
  <c r="AJ34" i="6"/>
  <c r="AF73" i="6"/>
  <c r="AP76" i="5"/>
  <c r="M64" i="5"/>
  <c r="X61" i="5"/>
  <c r="X55" i="6"/>
  <c r="G52" i="6"/>
  <c r="AI58" i="5"/>
  <c r="R91" i="5"/>
  <c r="AZ22" i="5"/>
  <c r="C10" i="5"/>
  <c r="AJ82" i="6"/>
  <c r="AG97" i="5"/>
  <c r="W10" i="6"/>
  <c r="O55" i="5"/>
  <c r="AU7" i="6"/>
  <c r="AG13" i="5"/>
  <c r="AI73" i="5"/>
  <c r="AV31" i="6"/>
  <c r="AT10" i="6"/>
  <c r="AU85" i="6"/>
  <c r="AI19" i="5"/>
  <c r="G34" i="6"/>
  <c r="AU19" i="6"/>
  <c r="R76" i="6"/>
  <c r="R88" i="5"/>
  <c r="AR64" i="5"/>
  <c r="AH52" i="6"/>
  <c r="AF28" i="5"/>
  <c r="AX73" i="6"/>
  <c r="Y19" i="6"/>
  <c r="AL13" i="5"/>
  <c r="AQ55" i="5"/>
  <c r="O70" i="6"/>
  <c r="AR22" i="6"/>
  <c r="V88" i="5"/>
  <c r="AQ31" i="5"/>
  <c r="AV25" i="5"/>
  <c r="AG49" i="5"/>
  <c r="O4" i="5"/>
  <c r="W46" i="5"/>
  <c r="AG58" i="5"/>
  <c r="AX91" i="5"/>
  <c r="I43" i="5"/>
  <c r="AB4" i="5"/>
  <c r="N4" i="6"/>
  <c r="AM64" i="5"/>
  <c r="AW49" i="6"/>
  <c r="AF19" i="6"/>
  <c r="AZ13" i="6"/>
  <c r="K40" i="5"/>
  <c r="AY88" i="6"/>
  <c r="AB40" i="6"/>
  <c r="Y28" i="5"/>
  <c r="I91" i="5"/>
  <c r="Y13" i="6"/>
  <c r="AY82" i="6"/>
  <c r="AB94" i="6"/>
  <c r="G64" i="5"/>
  <c r="AP10" i="6"/>
  <c r="AB82" i="5"/>
  <c r="P7" i="5"/>
  <c r="AG37" i="5"/>
  <c r="AL64" i="6"/>
  <c r="Q13" i="6"/>
  <c r="K19" i="6"/>
  <c r="R79" i="5"/>
  <c r="AQ10" i="6"/>
  <c r="AX19" i="5"/>
  <c r="AK7" i="5"/>
  <c r="J43" i="5"/>
  <c r="L67" i="5"/>
  <c r="J88" i="6"/>
  <c r="AA7" i="6"/>
  <c r="G19" i="5"/>
  <c r="E55" i="5"/>
  <c r="Y25" i="6"/>
  <c r="V49" i="5"/>
  <c r="AJ64" i="5"/>
  <c r="W58" i="6"/>
  <c r="H79" i="5"/>
  <c r="K76" i="5"/>
  <c r="F79" i="6"/>
  <c r="AI94" i="6"/>
  <c r="T43" i="6"/>
  <c r="T49" i="5"/>
  <c r="AF4" i="6"/>
  <c r="AW58" i="6"/>
  <c r="K34" i="6"/>
  <c r="AI22" i="6"/>
  <c r="R31" i="5"/>
  <c r="F7" i="6"/>
  <c r="AO64" i="5"/>
  <c r="AD28" i="5"/>
  <c r="C28" i="5"/>
  <c r="Z61" i="6"/>
  <c r="AN97" i="5"/>
  <c r="I49" i="5"/>
  <c r="AD91" i="5"/>
  <c r="L25" i="5"/>
  <c r="AM4" i="5"/>
  <c r="S4" i="5"/>
  <c r="AF55" i="5"/>
  <c r="AU43" i="6"/>
  <c r="R85" i="6"/>
  <c r="AJ13" i="5"/>
  <c r="T85" i="5"/>
  <c r="AF73" i="5"/>
  <c r="AH67" i="6"/>
  <c r="Z76" i="6"/>
  <c r="O34" i="5"/>
  <c r="V67" i="6"/>
  <c r="AI91" i="5"/>
  <c r="AV82" i="5"/>
  <c r="AF16" i="5"/>
  <c r="AI58" i="6"/>
  <c r="AG31" i="5"/>
  <c r="AM58" i="6"/>
  <c r="AD46" i="6"/>
  <c r="V46" i="6"/>
  <c r="E76" i="5"/>
  <c r="AM61" i="5"/>
  <c r="AQ37" i="6"/>
  <c r="AU13" i="5"/>
  <c r="U70" i="6"/>
  <c r="AY61" i="6"/>
  <c r="AI64" i="5"/>
  <c r="AL10" i="5"/>
  <c r="Z49" i="5"/>
  <c r="AP16" i="5"/>
  <c r="U19" i="5"/>
  <c r="C64" i="6"/>
  <c r="AW49" i="5"/>
  <c r="AL22" i="6"/>
  <c r="L79" i="5"/>
  <c r="P22" i="5"/>
  <c r="AF79" i="5"/>
  <c r="O73" i="6"/>
  <c r="AG85" i="5"/>
  <c r="L61" i="6"/>
  <c r="AR7" i="6"/>
  <c r="R40" i="5"/>
  <c r="AH91" i="5"/>
  <c r="AK85" i="5"/>
  <c r="Y40" i="6"/>
  <c r="AU73" i="5"/>
  <c r="U76" i="5"/>
  <c r="V91" i="6"/>
  <c r="L28" i="5"/>
  <c r="AG34" i="6"/>
  <c r="U40" i="6"/>
  <c r="AH7" i="5"/>
  <c r="AQ37" i="5"/>
  <c r="AQ10" i="5"/>
  <c r="P46" i="5"/>
  <c r="AH13" i="6"/>
  <c r="AL7" i="6"/>
  <c r="AM85" i="6"/>
  <c r="E82" i="5"/>
  <c r="AO46" i="6"/>
  <c r="AA22" i="5"/>
  <c r="U43" i="6"/>
  <c r="AY25" i="6"/>
  <c r="X10" i="5"/>
  <c r="R13" i="5"/>
  <c r="U22" i="5"/>
  <c r="V73" i="5"/>
  <c r="AO10" i="6"/>
  <c r="AY4" i="5"/>
  <c r="H13" i="6"/>
  <c r="F55" i="6"/>
  <c r="C10" i="6"/>
  <c r="H34" i="5"/>
  <c r="AT61" i="5"/>
  <c r="L7" i="6"/>
  <c r="AV79" i="5"/>
  <c r="Z76" i="5"/>
  <c r="AX43" i="6"/>
  <c r="AV67" i="5"/>
  <c r="W13" i="5"/>
  <c r="AR52" i="6"/>
  <c r="Y40" i="5"/>
  <c r="Y19" i="5"/>
  <c r="Z55" i="5"/>
  <c r="P7" i="6"/>
  <c r="F46" i="5"/>
  <c r="AG10" i="6"/>
  <c r="T58" i="5"/>
  <c r="F64" i="6"/>
  <c r="AD10" i="6"/>
  <c r="P34" i="5"/>
  <c r="AR10" i="5"/>
  <c r="Q25" i="6"/>
  <c r="AC28" i="6"/>
  <c r="S61" i="6"/>
  <c r="V34" i="5"/>
  <c r="AH19" i="5"/>
  <c r="G97" i="5"/>
  <c r="AU82" i="6"/>
  <c r="G88" i="6"/>
  <c r="H31" i="6"/>
  <c r="G82" i="6"/>
  <c r="AH49" i="5"/>
  <c r="K7" i="6"/>
  <c r="AN37" i="5"/>
  <c r="I58" i="6"/>
  <c r="X34" i="6"/>
  <c r="AR97" i="5"/>
  <c r="AF79" i="6"/>
  <c r="AA19" i="5"/>
  <c r="AJ55" i="5"/>
  <c r="AP52" i="6"/>
  <c r="P16" i="6"/>
  <c r="N52" i="5"/>
  <c r="V43" i="6"/>
  <c r="G16" i="5"/>
  <c r="J76" i="6"/>
  <c r="AG94" i="5"/>
  <c r="M25" i="5"/>
  <c r="Y88" i="5"/>
  <c r="AG58" i="6"/>
  <c r="W49" i="6"/>
  <c r="AR49" i="5"/>
  <c r="S13" i="6"/>
  <c r="AO88" i="5"/>
  <c r="AR22" i="5"/>
  <c r="AQ16" i="6"/>
  <c r="N25" i="6"/>
  <c r="AF52" i="5"/>
  <c r="AQ7" i="5"/>
  <c r="O82" i="5"/>
  <c r="AR55" i="5"/>
  <c r="AZ28" i="6"/>
  <c r="S16" i="6"/>
  <c r="V22" i="6"/>
  <c r="AZ7" i="6"/>
  <c r="AQ4" i="6"/>
  <c r="AK22" i="5"/>
  <c r="AF94" i="5"/>
  <c r="S88" i="6"/>
  <c r="Z61" i="5"/>
  <c r="AS43" i="5"/>
  <c r="R73" i="5"/>
  <c r="Y76" i="6"/>
  <c r="AX55" i="6"/>
  <c r="O88" i="5"/>
  <c r="AI31" i="6"/>
  <c r="AQ4" i="5"/>
  <c r="M64" i="6"/>
  <c r="AQ16" i="5"/>
  <c r="AI34" i="6"/>
  <c r="AS64" i="5"/>
  <c r="AQ67" i="5"/>
  <c r="J43" i="6"/>
  <c r="AF85" i="6"/>
  <c r="AM91" i="5"/>
  <c r="K19" i="5"/>
  <c r="G43" i="5"/>
  <c r="Z79" i="6"/>
  <c r="AE7" i="6"/>
  <c r="F52" i="6"/>
  <c r="R43" i="5"/>
  <c r="AY19" i="6"/>
  <c r="Q58" i="5"/>
  <c r="AB55" i="5"/>
  <c r="E16" i="5"/>
  <c r="X31" i="5"/>
  <c r="Z40" i="6"/>
  <c r="F31" i="5"/>
  <c r="R55" i="6"/>
  <c r="C94" i="5"/>
  <c r="W76" i="5"/>
  <c r="AK88" i="5"/>
  <c r="W10" i="5"/>
  <c r="AH79" i="5"/>
  <c r="AT64" i="5"/>
  <c r="M85" i="5"/>
  <c r="AI76" i="6"/>
  <c r="O25" i="5"/>
  <c r="Z91" i="6"/>
  <c r="Y85" i="5"/>
  <c r="AV31" i="5"/>
  <c r="AJ67" i="6"/>
  <c r="AZ25" i="6"/>
  <c r="AF64" i="5"/>
  <c r="C16" i="6"/>
  <c r="AB73" i="5"/>
  <c r="AN55" i="6"/>
  <c r="AH61" i="5"/>
  <c r="AY7" i="6"/>
  <c r="AZ43" i="6"/>
  <c r="Y70" i="6"/>
  <c r="V55" i="5"/>
  <c r="AD79" i="6"/>
  <c r="F88" i="6"/>
  <c r="X34" i="5"/>
  <c r="AU76" i="5"/>
  <c r="E10" i="6"/>
  <c r="J82" i="5"/>
  <c r="L19" i="5"/>
  <c r="AX16" i="5"/>
  <c r="L52" i="6"/>
  <c r="X16" i="6"/>
  <c r="AZ79" i="6"/>
  <c r="AR82" i="6"/>
  <c r="AS34" i="5"/>
  <c r="AN67" i="5"/>
  <c r="N79" i="6"/>
  <c r="AV43" i="5"/>
  <c r="AF25" i="5"/>
  <c r="R16" i="6"/>
  <c r="F13" i="6"/>
  <c r="H52" i="6"/>
  <c r="G61" i="5"/>
  <c r="AH55" i="5"/>
  <c r="AI76" i="5"/>
  <c r="M55" i="5"/>
  <c r="Q67" i="6"/>
  <c r="AX16" i="6"/>
  <c r="S58" i="6"/>
  <c r="P58" i="6"/>
  <c r="N13" i="6"/>
  <c r="O46" i="6"/>
  <c r="AQ76" i="6"/>
  <c r="Y67" i="6"/>
  <c r="S10" i="6"/>
  <c r="C76" i="5"/>
  <c r="AA25" i="5"/>
  <c r="AB13" i="6"/>
  <c r="AS88" i="6"/>
  <c r="C31" i="6"/>
  <c r="W97" i="6"/>
  <c r="AL85" i="6"/>
  <c r="E88" i="5"/>
  <c r="AU85" i="5"/>
  <c r="N70" i="5"/>
  <c r="AE46" i="6"/>
  <c r="G85" i="5"/>
  <c r="V82" i="5"/>
  <c r="AK67" i="5"/>
  <c r="AR73" i="6"/>
  <c r="AY37" i="5"/>
  <c r="AU94" i="6"/>
  <c r="AV82" i="6"/>
  <c r="F73" i="6"/>
  <c r="T4" i="5"/>
  <c r="AU28" i="5"/>
  <c r="AJ25" i="5"/>
  <c r="AK58" i="6"/>
  <c r="I43" i="6"/>
  <c r="AL7" i="5"/>
  <c r="J7" i="6"/>
  <c r="L34" i="6"/>
  <c r="V64" i="5"/>
  <c r="L85" i="5"/>
  <c r="AN28" i="5"/>
  <c r="AV73" i="6"/>
  <c r="U52" i="5"/>
  <c r="AS28" i="6"/>
  <c r="AK82" i="5"/>
  <c r="L73" i="6"/>
  <c r="Z85" i="5"/>
  <c r="AM37" i="6"/>
  <c r="T28" i="6"/>
  <c r="C58" i="6"/>
  <c r="AD31" i="5"/>
  <c r="K58" i="6"/>
  <c r="AC7" i="5"/>
  <c r="AF7" i="6"/>
  <c r="AB7" i="6"/>
  <c r="S82" i="6"/>
  <c r="AC49" i="6"/>
  <c r="AJ58" i="5"/>
  <c r="Q7" i="5"/>
  <c r="AP40" i="6"/>
  <c r="M7" i="6"/>
  <c r="AF70" i="6"/>
  <c r="AD19" i="6"/>
  <c r="F91" i="5"/>
  <c r="AE40" i="6"/>
  <c r="AU97" i="5"/>
  <c r="AN37" i="6"/>
  <c r="AN46" i="5"/>
  <c r="AC43" i="5"/>
  <c r="G55" i="5"/>
  <c r="AU22" i="5"/>
  <c r="AY46" i="6"/>
  <c r="X37" i="5"/>
  <c r="AP43" i="5"/>
  <c r="AX61" i="5"/>
  <c r="H79" i="6"/>
  <c r="T37" i="5"/>
  <c r="X7" i="5"/>
  <c r="AK55" i="5"/>
  <c r="H97" i="6"/>
  <c r="AK34" i="6"/>
  <c r="AD7" i="6"/>
  <c r="AA97" i="5"/>
  <c r="AV37" i="6"/>
  <c r="C34" i="5"/>
  <c r="AZ46" i="5"/>
  <c r="T16" i="5"/>
  <c r="AF16" i="6"/>
  <c r="AU34" i="5"/>
  <c r="AY58" i="6"/>
  <c r="AR67" i="6"/>
  <c r="W19" i="5"/>
  <c r="Z10" i="5"/>
  <c r="S37" i="6"/>
  <c r="AX4" i="5"/>
  <c r="AF40" i="6"/>
  <c r="AG22" i="6"/>
  <c r="M82" i="5"/>
  <c r="AN25" i="5"/>
  <c r="AL31" i="6"/>
  <c r="M52" i="5"/>
  <c r="AY70" i="5"/>
  <c r="AD49" i="5"/>
  <c r="R49" i="5"/>
  <c r="N88" i="6"/>
  <c r="I25" i="5"/>
  <c r="I28" i="6"/>
  <c r="P43" i="6"/>
  <c r="AJ97" i="6"/>
  <c r="H73" i="5"/>
  <c r="R43" i="6"/>
  <c r="AG16" i="5"/>
  <c r="X73" i="5"/>
  <c r="AL61" i="5"/>
  <c r="AG64" i="6"/>
  <c r="AM7" i="5"/>
  <c r="G16" i="6"/>
  <c r="S64" i="6"/>
  <c r="W4" i="5"/>
  <c r="AX7" i="5"/>
  <c r="AY28" i="6"/>
  <c r="AO16" i="6"/>
  <c r="AI4" i="6"/>
  <c r="O22" i="6"/>
  <c r="P55" i="5"/>
  <c r="AG49" i="6"/>
  <c r="AZ16" i="5"/>
  <c r="AD43" i="5"/>
  <c r="AA25" i="6"/>
  <c r="N94" i="5"/>
  <c r="V49" i="6"/>
  <c r="R97" i="6"/>
  <c r="AI61" i="5"/>
  <c r="AZ22" i="6"/>
  <c r="AJ16" i="6"/>
  <c r="Y76" i="5"/>
  <c r="Q97" i="5"/>
  <c r="AP55" i="5"/>
  <c r="AJ46" i="5"/>
  <c r="M70" i="5"/>
  <c r="AZ37" i="5"/>
  <c r="AH16" i="6"/>
  <c r="W91" i="5"/>
  <c r="X49" i="6"/>
  <c r="AX97" i="6"/>
  <c r="AP10" i="5"/>
  <c r="Q70" i="5"/>
  <c r="AZ64" i="5"/>
  <c r="Q16" i="5"/>
  <c r="AT37" i="6"/>
  <c r="I79" i="5"/>
  <c r="AO22" i="6"/>
  <c r="AS49" i="6"/>
  <c r="F43" i="6"/>
  <c r="P64" i="5"/>
  <c r="Z16" i="5"/>
  <c r="M79" i="6"/>
  <c r="AT25" i="5"/>
  <c r="L13" i="6"/>
  <c r="AA46" i="5"/>
  <c r="AV52" i="5"/>
  <c r="C76" i="6"/>
  <c r="AT43" i="6"/>
  <c r="AW28" i="6"/>
  <c r="AU10" i="5"/>
  <c r="AY97" i="5"/>
  <c r="AV61" i="6"/>
  <c r="AI13" i="5"/>
  <c r="AM16" i="6"/>
  <c r="V91" i="5"/>
  <c r="V88" i="6"/>
  <c r="L70" i="5"/>
  <c r="AM25" i="6"/>
  <c r="AU4" i="6"/>
  <c r="AA52" i="6"/>
  <c r="N49" i="5"/>
  <c r="AK46" i="5"/>
  <c r="AY52" i="6"/>
  <c r="AW25" i="5"/>
  <c r="AL46" i="6"/>
  <c r="R37" i="6"/>
  <c r="AA94" i="5"/>
  <c r="K10" i="5"/>
  <c r="AL28" i="5"/>
  <c r="W67" i="5"/>
  <c r="AX13" i="5"/>
  <c r="O61" i="5"/>
  <c r="L37" i="5"/>
  <c r="AC10" i="6"/>
  <c r="S34" i="6"/>
  <c r="U22" i="6"/>
  <c r="G91" i="5"/>
  <c r="AV91" i="5"/>
  <c r="AT4" i="6"/>
  <c r="AI46" i="5"/>
  <c r="L46" i="5"/>
  <c r="AJ85" i="5"/>
  <c r="AJ40" i="6"/>
  <c r="AY73" i="5"/>
  <c r="AD97" i="6"/>
  <c r="F85" i="6"/>
  <c r="AU49" i="6"/>
  <c r="K4" i="6"/>
  <c r="AW10" i="5"/>
  <c r="U16" i="6"/>
  <c r="Z28" i="6"/>
  <c r="P40" i="5"/>
  <c r="M76" i="6"/>
  <c r="AL37" i="6"/>
  <c r="AY64" i="5"/>
  <c r="AN22" i="6"/>
  <c r="L10" i="5"/>
  <c r="N16" i="5"/>
  <c r="AH22" i="5"/>
  <c r="AG82" i="5"/>
  <c r="N31" i="6"/>
  <c r="AC13" i="5"/>
  <c r="T22" i="6"/>
  <c r="X49" i="5"/>
  <c r="F28" i="5"/>
  <c r="AE31" i="5"/>
  <c r="M67" i="6"/>
  <c r="S91" i="5"/>
  <c r="O64" i="5"/>
  <c r="AN31" i="5"/>
  <c r="AB91" i="5"/>
  <c r="AR52" i="5"/>
  <c r="AX52" i="6"/>
  <c r="X97" i="6"/>
  <c r="AT70" i="5"/>
  <c r="AR4" i="6"/>
  <c r="AB13" i="5"/>
  <c r="AJ97" i="5"/>
  <c r="AI43" i="5"/>
  <c r="U88" i="6"/>
  <c r="AV7" i="5"/>
  <c r="H7" i="6"/>
  <c r="P58" i="5"/>
  <c r="V31" i="6"/>
  <c r="AJ10" i="5"/>
  <c r="AT34" i="6"/>
  <c r="AU25" i="5"/>
  <c r="O31" i="6"/>
  <c r="E55" i="6"/>
  <c r="Q88" i="6"/>
  <c r="AN22" i="5"/>
  <c r="AR97" i="6"/>
  <c r="AG73" i="5"/>
  <c r="X76" i="5"/>
  <c r="AS55" i="5"/>
  <c r="J88" i="5"/>
  <c r="AF76" i="5"/>
  <c r="AZ88" i="5"/>
  <c r="AM37" i="5"/>
  <c r="AW64" i="6"/>
  <c r="T91" i="6"/>
  <c r="W97" i="5"/>
  <c r="AU52" i="5"/>
  <c r="AC64" i="5"/>
  <c r="Y52" i="6"/>
  <c r="AE79" i="5"/>
  <c r="AX76" i="5"/>
  <c r="L43" i="5"/>
  <c r="AL19" i="5"/>
  <c r="Y28" i="6"/>
  <c r="AZ40" i="5"/>
  <c r="F67" i="5"/>
  <c r="AH13" i="5"/>
  <c r="F70" i="5"/>
  <c r="AG46" i="5"/>
  <c r="R4" i="5"/>
  <c r="AQ94" i="6"/>
  <c r="AL43" i="6"/>
  <c r="AZ34" i="6"/>
  <c r="AJ40" i="5"/>
  <c r="AW16" i="6"/>
  <c r="E73" i="5"/>
  <c r="I34" i="5"/>
  <c r="Z43" i="5"/>
  <c r="Q40" i="5"/>
  <c r="AZ91" i="5"/>
  <c r="AQ61" i="6"/>
  <c r="P19" i="5"/>
  <c r="X97" i="5"/>
  <c r="E70" i="5"/>
  <c r="AS91" i="5"/>
  <c r="L31" i="6"/>
  <c r="AO22" i="5"/>
  <c r="X13" i="6"/>
  <c r="Q64" i="5"/>
  <c r="AE10" i="6"/>
  <c r="AV28" i="6"/>
  <c r="AR70" i="5"/>
  <c r="AL49" i="5"/>
  <c r="AJ19" i="5"/>
  <c r="AH43" i="5"/>
  <c r="AM31" i="5"/>
  <c r="C46" i="5"/>
  <c r="L16" i="6"/>
  <c r="AQ34" i="5"/>
  <c r="L22" i="6"/>
  <c r="AD64" i="6"/>
  <c r="I40" i="5"/>
  <c r="J40" i="6"/>
  <c r="Q79" i="5"/>
  <c r="V13" i="6"/>
  <c r="I55" i="5"/>
  <c r="H64" i="5"/>
  <c r="P52" i="6"/>
  <c r="I70" i="6"/>
  <c r="AB19" i="5"/>
  <c r="AP25" i="6"/>
  <c r="AC34" i="6"/>
  <c r="AO97" i="5"/>
  <c r="AZ73" i="6"/>
  <c r="AH37" i="5"/>
  <c r="AS16" i="5"/>
  <c r="S40" i="5"/>
  <c r="AK73" i="5"/>
  <c r="E52" i="5"/>
  <c r="AT4" i="5"/>
  <c r="Q43" i="5"/>
  <c r="AF13" i="5"/>
  <c r="X37" i="6"/>
  <c r="AH10" i="5"/>
  <c r="AF7" i="5"/>
  <c r="AA88" i="5"/>
  <c r="W82" i="6"/>
  <c r="F19" i="5"/>
  <c r="E22" i="6"/>
  <c r="AC46" i="5"/>
  <c r="J61" i="5"/>
  <c r="AX37" i="6"/>
  <c r="AQ46" i="5"/>
  <c r="M25" i="6"/>
  <c r="H37" i="6"/>
  <c r="AL79" i="6"/>
  <c r="AD64" i="5"/>
  <c r="W64" i="6"/>
  <c r="AA73" i="5"/>
  <c r="Z73" i="5"/>
  <c r="V40" i="6"/>
  <c r="Y79" i="6"/>
  <c r="AR25" i="6"/>
  <c r="M19" i="5"/>
  <c r="AD85" i="6"/>
  <c r="AM58" i="5"/>
  <c r="AU46" i="6"/>
  <c r="AI13" i="6"/>
  <c r="AG46" i="6"/>
  <c r="U82" i="6"/>
  <c r="I91" i="6"/>
  <c r="AT73" i="6"/>
  <c r="AC31" i="5"/>
  <c r="P37" i="6"/>
  <c r="AZ58" i="5"/>
  <c r="Q46" i="5"/>
  <c r="H28" i="5"/>
  <c r="AT19" i="6"/>
  <c r="AK43" i="5"/>
  <c r="AG4" i="6"/>
  <c r="AE13" i="5"/>
  <c r="U97" i="5"/>
  <c r="L49" i="5"/>
  <c r="AB70" i="6"/>
  <c r="C52" i="6"/>
  <c r="AQ31" i="6"/>
  <c r="F13" i="5"/>
  <c r="AN7" i="6"/>
  <c r="AD16" i="6"/>
  <c r="AC88" i="5"/>
  <c r="AR37" i="6"/>
  <c r="L16" i="5"/>
  <c r="AY58" i="5"/>
  <c r="G73" i="6"/>
  <c r="G28" i="6"/>
  <c r="AO4" i="5"/>
  <c r="AX34" i="5"/>
  <c r="O49" i="5"/>
  <c r="AK16" i="5"/>
  <c r="P13" i="6"/>
  <c r="Z64" i="6"/>
  <c r="AU4" i="5"/>
  <c r="C91" i="5"/>
  <c r="AR49" i="6"/>
  <c r="L82" i="5"/>
  <c r="AB46" i="5"/>
  <c r="AL37" i="5"/>
  <c r="S31" i="5"/>
  <c r="AP40" i="5"/>
  <c r="K55" i="5"/>
  <c r="R49" i="6"/>
  <c r="R76" i="5"/>
  <c r="Q46" i="6"/>
  <c r="AL61" i="6"/>
  <c r="C49" i="5"/>
  <c r="AP79" i="6"/>
  <c r="AI67" i="5"/>
  <c r="AI61" i="6"/>
  <c r="AF34" i="6"/>
  <c r="Z52" i="6"/>
  <c r="AX4" i="6"/>
  <c r="AM13" i="6"/>
  <c r="AE61" i="5"/>
  <c r="V43" i="5"/>
  <c r="V16" i="6"/>
  <c r="C34" i="6"/>
  <c r="AF55" i="6"/>
  <c r="Y46" i="6"/>
  <c r="AI85" i="5"/>
  <c r="AB37" i="5"/>
  <c r="Q82" i="5"/>
  <c r="AK58" i="5"/>
  <c r="I61" i="5"/>
  <c r="I25" i="6"/>
  <c r="AL97" i="6"/>
  <c r="M16" i="6"/>
  <c r="X88" i="5"/>
  <c r="M10" i="5"/>
  <c r="AP94" i="5"/>
  <c r="R34" i="6"/>
  <c r="AR19" i="5"/>
  <c r="AQ40" i="5"/>
  <c r="V19" i="5"/>
  <c r="M94" i="6"/>
  <c r="F97" i="5"/>
  <c r="AF97" i="5"/>
  <c r="K43" i="5"/>
  <c r="M34" i="6"/>
  <c r="AE73" i="6"/>
  <c r="AK64" i="6"/>
  <c r="C31" i="5"/>
  <c r="AB67" i="5"/>
  <c r="AB19" i="6"/>
  <c r="AL34" i="6"/>
  <c r="AW19" i="5"/>
  <c r="H52" i="5"/>
  <c r="L85" i="6"/>
  <c r="AM49" i="5"/>
  <c r="AO79" i="6"/>
  <c r="AJ79" i="5"/>
  <c r="AB43" i="5"/>
  <c r="U40" i="5"/>
  <c r="S85" i="5"/>
  <c r="AJ61" i="6"/>
  <c r="Q49" i="6"/>
  <c r="O46" i="5"/>
  <c r="AG34" i="5"/>
  <c r="N97" i="5"/>
  <c r="AB79" i="6"/>
  <c r="AA64" i="5"/>
  <c r="V67" i="5"/>
  <c r="C37" i="5"/>
  <c r="AA46" i="6"/>
  <c r="AK40" i="6"/>
  <c r="J46" i="5"/>
  <c r="AP52" i="5"/>
  <c r="L55" i="5"/>
  <c r="S22" i="6"/>
  <c r="L79" i="6"/>
  <c r="L55" i="6"/>
  <c r="K28" i="5"/>
  <c r="Z40" i="5"/>
  <c r="H94" i="6"/>
  <c r="P82" i="6"/>
  <c r="AR76" i="5"/>
  <c r="F76" i="5"/>
  <c r="AN19" i="6"/>
  <c r="AE49" i="5"/>
  <c r="AW91" i="5"/>
  <c r="U4" i="5"/>
  <c r="AL28" i="6"/>
  <c r="AR61" i="6"/>
  <c r="S55" i="5"/>
  <c r="X64" i="5"/>
  <c r="AH88" i="6"/>
  <c r="U85" i="5"/>
  <c r="AE52" i="5"/>
  <c r="AQ52" i="5"/>
  <c r="AT49" i="5"/>
  <c r="E58" i="6"/>
  <c r="AC67" i="6"/>
  <c r="AX64" i="6"/>
  <c r="AQ19" i="5"/>
  <c r="AI49" i="6"/>
  <c r="AF91" i="5"/>
  <c r="G25" i="5"/>
  <c r="AV88" i="5"/>
  <c r="AD40" i="5"/>
  <c r="C13" i="5"/>
  <c r="L37" i="6"/>
  <c r="AN82" i="6"/>
  <c r="H46" i="6"/>
  <c r="AG91" i="5"/>
  <c r="W16" i="6"/>
  <c r="AL16" i="5"/>
  <c r="F46" i="6"/>
  <c r="R61" i="6"/>
  <c r="AW40" i="6"/>
  <c r="AA10" i="6"/>
  <c r="T79" i="6"/>
  <c r="AL67" i="6"/>
  <c r="Q22" i="6"/>
  <c r="AD85" i="5"/>
  <c r="R79" i="6"/>
  <c r="Y52" i="5"/>
  <c r="H16" i="5"/>
  <c r="W52" i="5"/>
  <c r="T40" i="5"/>
  <c r="O16" i="6"/>
  <c r="AT52" i="6"/>
  <c r="I94" i="6"/>
  <c r="C19" i="6"/>
  <c r="AV19" i="5"/>
  <c r="AO91" i="6"/>
  <c r="AK4" i="5"/>
  <c r="O85" i="6"/>
  <c r="S70" i="6"/>
  <c r="C28" i="6"/>
  <c r="AO55" i="5"/>
  <c r="J22" i="5"/>
  <c r="S61" i="5"/>
  <c r="AX28" i="5"/>
  <c r="I73" i="5"/>
  <c r="AL67" i="5"/>
  <c r="AM88" i="6"/>
  <c r="AH4" i="6"/>
  <c r="AH55" i="6"/>
  <c r="N28" i="6"/>
  <c r="AO73" i="5"/>
  <c r="AC61" i="5"/>
  <c r="T19" i="5"/>
  <c r="AX85" i="5"/>
  <c r="Y88" i="6"/>
  <c r="AM52" i="6"/>
  <c r="AP22" i="5"/>
  <c r="AG61" i="5"/>
  <c r="AB31" i="5"/>
  <c r="V40" i="5"/>
  <c r="F64" i="5"/>
  <c r="W49" i="5"/>
  <c r="G19" i="6"/>
  <c r="AK67" i="6"/>
  <c r="AA34" i="6"/>
  <c r="AB25" i="5"/>
  <c r="AY76" i="6"/>
  <c r="AF13" i="6"/>
  <c r="AN49" i="5"/>
  <c r="O4" i="6"/>
  <c r="AY43" i="5"/>
  <c r="AV37" i="5"/>
  <c r="AZ4" i="5"/>
  <c r="AN97" i="6"/>
  <c r="F4" i="6"/>
  <c r="AN64" i="5"/>
  <c r="AH40" i="6"/>
  <c r="U37" i="5"/>
  <c r="AA49" i="5"/>
  <c r="AQ43" i="6"/>
  <c r="G25" i="6"/>
  <c r="U19" i="6"/>
  <c r="L34" i="5"/>
  <c r="AD97" i="5"/>
  <c r="U31" i="6"/>
  <c r="C82" i="5"/>
  <c r="AS76" i="6"/>
  <c r="AT46" i="6"/>
  <c r="AK16" i="6"/>
  <c r="L88" i="5"/>
  <c r="AW4" i="6"/>
  <c r="AD34" i="5"/>
  <c r="AO25" i="5"/>
  <c r="AV64" i="5"/>
  <c r="M10" i="6"/>
  <c r="AK79" i="5"/>
  <c r="AE58" i="5"/>
  <c r="AB97" i="6"/>
  <c r="AU37" i="5"/>
  <c r="N10" i="6"/>
  <c r="M58" i="5"/>
  <c r="H25" i="5"/>
  <c r="AO40" i="5"/>
  <c r="X7" i="6"/>
  <c r="J91" i="6"/>
  <c r="AT55" i="5"/>
  <c r="AW10" i="6"/>
  <c r="AO94" i="6"/>
  <c r="AK64" i="5"/>
  <c r="M16" i="5"/>
  <c r="AL25" i="6"/>
  <c r="F10" i="5"/>
  <c r="AU91" i="5"/>
  <c r="M97" i="5"/>
  <c r="AH31" i="5"/>
  <c r="AQ34" i="6"/>
  <c r="AU31" i="5"/>
  <c r="AB97" i="5"/>
  <c r="AZ79" i="5"/>
  <c r="AI49" i="5"/>
  <c r="O31" i="5"/>
  <c r="AI16" i="5"/>
  <c r="Z13" i="5"/>
  <c r="Q55" i="5"/>
  <c r="Q91" i="5"/>
  <c r="F49" i="5"/>
  <c r="AR70" i="6"/>
  <c r="O73" i="5"/>
  <c r="AJ28" i="6"/>
  <c r="O64" i="6"/>
  <c r="AA10" i="5"/>
  <c r="L25" i="6"/>
  <c r="AF85" i="5"/>
  <c r="T25" i="5"/>
  <c r="R22" i="6"/>
  <c r="G76" i="5"/>
  <c r="E34" i="5"/>
  <c r="Y37" i="6"/>
  <c r="AJ7" i="6"/>
  <c r="AE85" i="6"/>
  <c r="K52" i="6"/>
  <c r="N46" i="5"/>
  <c r="AK7" i="6"/>
  <c r="J67" i="6"/>
  <c r="W79" i="5"/>
  <c r="AS79" i="6"/>
  <c r="T88" i="5"/>
  <c r="V10" i="6"/>
  <c r="V73" i="6"/>
  <c r="Q58" i="6"/>
  <c r="G67" i="5"/>
  <c r="AD88" i="6"/>
  <c r="Z55" i="6"/>
  <c r="M28" i="5"/>
  <c r="AV94" i="6"/>
  <c r="U91" i="6"/>
  <c r="V52" i="6"/>
  <c r="I85" i="5"/>
  <c r="F22" i="5"/>
  <c r="V4" i="6"/>
  <c r="Y58" i="6"/>
  <c r="AD25" i="6"/>
  <c r="AP67" i="5"/>
  <c r="X40" i="6"/>
  <c r="E25" i="6"/>
  <c r="AP73" i="6"/>
  <c r="AQ49" i="6"/>
  <c r="AC37" i="6"/>
  <c r="AP37" i="5"/>
  <c r="AT85" i="5"/>
  <c r="S28" i="5"/>
  <c r="E91" i="5"/>
  <c r="AB79" i="5"/>
  <c r="V99" i="6" l="1"/>
  <c r="AW99" i="6"/>
  <c r="D82" i="5"/>
  <c r="F99" i="6"/>
  <c r="AZ99" i="5"/>
  <c r="O99" i="6"/>
  <c r="AH99" i="6"/>
  <c r="D28" i="6"/>
  <c r="AK99" i="5"/>
  <c r="D19" i="6"/>
  <c r="D13" i="5"/>
  <c r="U99" i="5"/>
  <c r="D37" i="5"/>
  <c r="D31" i="5"/>
  <c r="D34" i="6"/>
  <c r="AX99" i="6"/>
  <c r="D49" i="5"/>
  <c r="D91" i="5"/>
  <c r="AU99" i="5"/>
  <c r="AO99" i="5"/>
  <c r="D52" i="6"/>
  <c r="AG99" i="6"/>
  <c r="AT99" i="5"/>
  <c r="D46" i="5"/>
  <c r="R99" i="5"/>
  <c r="D55" i="6"/>
  <c r="AR99" i="6"/>
  <c r="K99" i="6"/>
  <c r="AT99" i="6"/>
  <c r="AU99" i="6"/>
  <c r="D76" i="6"/>
  <c r="AI99" i="6"/>
  <c r="W99" i="5"/>
  <c r="AX99" i="5"/>
  <c r="D34" i="5"/>
  <c r="D58" i="6"/>
  <c r="T99" i="5"/>
  <c r="D31" i="6"/>
  <c r="D76" i="5"/>
  <c r="D16" i="6"/>
  <c r="D94" i="5"/>
  <c r="AQ99" i="5"/>
  <c r="AQ99" i="6"/>
  <c r="D10" i="6"/>
  <c r="AY99" i="5"/>
  <c r="D64" i="6"/>
  <c r="S99" i="5"/>
  <c r="AM99" i="5"/>
  <c r="D28" i="5"/>
  <c r="AF99" i="6"/>
  <c r="N99" i="6"/>
  <c r="AB99" i="5"/>
  <c r="O99" i="5"/>
  <c r="D10" i="5"/>
  <c r="AI99" i="5"/>
  <c r="AP99" i="6"/>
  <c r="AV99" i="5"/>
  <c r="AP99" i="5"/>
  <c r="D85" i="5"/>
  <c r="T99" i="6"/>
  <c r="D16" i="5"/>
  <c r="D46" i="6"/>
  <c r="D22" i="5"/>
  <c r="W99" i="6"/>
  <c r="C100" i="6"/>
  <c r="D100" i="6" s="1"/>
  <c r="D4" i="6"/>
  <c r="Z99" i="5"/>
  <c r="D73" i="6"/>
  <c r="AD99" i="6"/>
  <c r="D61" i="6"/>
  <c r="AJ99" i="6"/>
  <c r="V99" i="5"/>
  <c r="AL99" i="6"/>
  <c r="AH99" i="5"/>
  <c r="D97" i="5"/>
  <c r="AS99" i="5"/>
  <c r="AM99" i="6"/>
  <c r="D55" i="5"/>
  <c r="I99" i="5"/>
  <c r="AS99" i="6"/>
  <c r="AN99" i="5"/>
  <c r="D67" i="6"/>
  <c r="D67" i="5"/>
  <c r="D43" i="5"/>
  <c r="D40" i="5"/>
  <c r="AG99" i="5"/>
  <c r="N99" i="5"/>
  <c r="D49" i="6"/>
  <c r="AC99" i="6"/>
  <c r="D85" i="6"/>
  <c r="AB99" i="6"/>
  <c r="D73" i="5"/>
  <c r="AJ99" i="5"/>
  <c r="D13" i="6"/>
  <c r="M99" i="6"/>
  <c r="P99" i="6"/>
  <c r="P99" i="5"/>
  <c r="AA99" i="6"/>
  <c r="D91" i="6"/>
  <c r="K99" i="5"/>
  <c r="S99" i="6"/>
  <c r="D25" i="6"/>
  <c r="D19" i="5"/>
  <c r="D7" i="6"/>
  <c r="AW109" i="11"/>
  <c r="AW122" i="11"/>
  <c r="AW135" i="11"/>
  <c r="AW148" i="11"/>
  <c r="AW161" i="11"/>
  <c r="AW174" i="11"/>
  <c r="AW187" i="11"/>
  <c r="AW200" i="11"/>
  <c r="AW5" i="11"/>
  <c r="AW18" i="11"/>
  <c r="AW31" i="11"/>
  <c r="AW44" i="11"/>
  <c r="AW57" i="11"/>
  <c r="AW70" i="11"/>
  <c r="AW83" i="11"/>
  <c r="AW96" i="11"/>
  <c r="AV57" i="11"/>
  <c r="AV122" i="11"/>
  <c r="AV18" i="11"/>
  <c r="AV174" i="11"/>
  <c r="AP174" i="11"/>
  <c r="C70" i="11"/>
  <c r="K174" i="11"/>
  <c r="AH161" i="11"/>
  <c r="AE57" i="11"/>
  <c r="H96" i="11"/>
  <c r="H44" i="11"/>
  <c r="Q18" i="11"/>
  <c r="J18" i="11"/>
  <c r="AN148" i="11"/>
  <c r="AK148" i="11"/>
  <c r="Q44" i="11"/>
  <c r="AA200" i="11"/>
  <c r="Z70" i="11"/>
  <c r="X122" i="11"/>
  <c r="Q174" i="11"/>
  <c r="X70" i="11"/>
  <c r="AU174" i="11"/>
  <c r="AT83" i="11"/>
  <c r="AU148" i="11"/>
  <c r="J57" i="11"/>
  <c r="M122" i="11"/>
  <c r="F187" i="11"/>
  <c r="AB174" i="11"/>
  <c r="AC122" i="11"/>
  <c r="AL96" i="11"/>
  <c r="AP135" i="11"/>
  <c r="AC187" i="11"/>
  <c r="I31" i="11"/>
  <c r="I135" i="11"/>
  <c r="J109" i="11"/>
  <c r="N31" i="11"/>
  <c r="AI109" i="11"/>
  <c r="U135" i="11"/>
  <c r="E174" i="11"/>
  <c r="M109" i="11"/>
  <c r="T174" i="11"/>
  <c r="R83" i="11"/>
  <c r="Y148" i="11"/>
  <c r="U57" i="11"/>
  <c r="AR57" i="11"/>
  <c r="AF83" i="11"/>
  <c r="P96" i="11"/>
  <c r="AX70" i="11"/>
  <c r="AH148" i="11"/>
  <c r="AB109" i="11"/>
  <c r="F161" i="11"/>
  <c r="AJ5" i="11"/>
  <c r="U18" i="11"/>
  <c r="X96" i="11"/>
  <c r="S200" i="11"/>
  <c r="AE135" i="11"/>
  <c r="AJ18" i="11"/>
  <c r="AI5" i="11"/>
  <c r="AR83" i="11"/>
  <c r="G57" i="11"/>
  <c r="J187" i="11"/>
  <c r="AT148" i="11"/>
  <c r="M96" i="11"/>
  <c r="N5" i="11"/>
  <c r="AG57" i="11"/>
  <c r="T135" i="11"/>
  <c r="U83" i="11"/>
  <c r="AX148" i="11"/>
  <c r="AS187" i="11"/>
  <c r="AX174" i="11"/>
  <c r="F148" i="11"/>
  <c r="L135" i="11"/>
  <c r="AT31" i="11"/>
  <c r="N174" i="11"/>
  <c r="R5" i="11"/>
  <c r="W161" i="11"/>
  <c r="L31" i="11"/>
  <c r="P109" i="11"/>
  <c r="Z161" i="11"/>
  <c r="AQ109" i="11"/>
  <c r="O109" i="11"/>
  <c r="S44" i="11"/>
  <c r="L96" i="11"/>
  <c r="C161" i="11"/>
  <c r="F18" i="11"/>
  <c r="AL174" i="11"/>
  <c r="D187" i="11"/>
  <c r="P187" i="11"/>
  <c r="AR5" i="11"/>
  <c r="AR161" i="11"/>
  <c r="AG174" i="11"/>
  <c r="AU83" i="11"/>
  <c r="AS135" i="11"/>
  <c r="Y122" i="11"/>
  <c r="J96" i="11"/>
  <c r="AO187" i="11"/>
  <c r="AC44" i="11"/>
  <c r="AT109" i="11"/>
  <c r="AJ135" i="11"/>
  <c r="AF96" i="11"/>
  <c r="J174" i="11"/>
  <c r="N18" i="11"/>
  <c r="AV70" i="11"/>
  <c r="AV135" i="11"/>
  <c r="AV31" i="11"/>
  <c r="AV109" i="11"/>
  <c r="I18" i="11"/>
  <c r="AQ18" i="11"/>
  <c r="AJ187" i="11"/>
  <c r="AA31" i="11"/>
  <c r="AI96" i="11"/>
  <c r="AO174" i="11"/>
  <c r="AQ174" i="11"/>
  <c r="O83" i="11"/>
  <c r="P70" i="11"/>
  <c r="K83" i="11"/>
  <c r="J122" i="11"/>
  <c r="S135" i="11"/>
  <c r="M18" i="11"/>
  <c r="Q57" i="11"/>
  <c r="P18" i="11"/>
  <c r="AJ70" i="11"/>
  <c r="AA187" i="11"/>
  <c r="G122" i="11"/>
  <c r="T70" i="11"/>
  <c r="D70" i="11"/>
  <c r="AJ83" i="11"/>
  <c r="V122" i="11"/>
  <c r="E200" i="11"/>
  <c r="AC161" i="11"/>
  <c r="AD148" i="11"/>
  <c r="G148" i="11"/>
  <c r="O161" i="11"/>
  <c r="V18" i="11"/>
  <c r="M83" i="11"/>
  <c r="X31" i="11"/>
  <c r="W200" i="11"/>
  <c r="AO83" i="11"/>
  <c r="R44" i="11"/>
  <c r="U161" i="11"/>
  <c r="AQ70" i="11"/>
  <c r="AS5" i="11"/>
  <c r="AD174" i="11"/>
  <c r="P135" i="11"/>
  <c r="G5" i="11"/>
  <c r="AX122" i="11"/>
  <c r="P44" i="11"/>
  <c r="AA44" i="11"/>
  <c r="Z187" i="11"/>
  <c r="AI18" i="11"/>
  <c r="C83" i="11"/>
  <c r="S161" i="11"/>
  <c r="S96" i="11"/>
  <c r="AA96" i="11"/>
  <c r="T44" i="11"/>
  <c r="AC70" i="11"/>
  <c r="AE187" i="11"/>
  <c r="AN18" i="11"/>
  <c r="W31" i="11"/>
  <c r="S70" i="11"/>
  <c r="G83" i="11"/>
  <c r="AF135" i="11"/>
  <c r="AQ161" i="11"/>
  <c r="AE70" i="11"/>
  <c r="AH174" i="11"/>
  <c r="AR18" i="11"/>
  <c r="AN57" i="11"/>
  <c r="AQ122" i="11"/>
  <c r="G96" i="11"/>
  <c r="AE109" i="11"/>
  <c r="X161" i="11"/>
  <c r="AX161" i="11"/>
  <c r="Y57" i="11"/>
  <c r="D83" i="11"/>
  <c r="AU109" i="11"/>
  <c r="AF161" i="11"/>
  <c r="AQ200" i="11"/>
  <c r="E135" i="11"/>
  <c r="AL18" i="11"/>
  <c r="M135" i="11"/>
  <c r="AP5" i="11"/>
  <c r="X57" i="11"/>
  <c r="G200" i="11"/>
  <c r="Y135" i="11"/>
  <c r="Z148" i="11"/>
  <c r="H148" i="11"/>
  <c r="D148" i="11"/>
  <c r="AS200" i="11"/>
  <c r="AI148" i="11"/>
  <c r="AE161" i="11"/>
  <c r="AO135" i="11"/>
  <c r="D200" i="11"/>
  <c r="M70" i="11"/>
  <c r="AH70" i="11"/>
  <c r="U148" i="11"/>
  <c r="AM96" i="11"/>
  <c r="C109" i="11"/>
  <c r="K31" i="11"/>
  <c r="S83" i="11"/>
  <c r="AI57" i="11"/>
  <c r="AT18" i="11"/>
  <c r="AB135" i="11"/>
  <c r="I44" i="11"/>
  <c r="AV187" i="11"/>
  <c r="AV83" i="11"/>
  <c r="AV148" i="11"/>
  <c r="AV44" i="11"/>
  <c r="AS148" i="11"/>
  <c r="AJ31" i="11"/>
  <c r="I161" i="11"/>
  <c r="AS96" i="11"/>
  <c r="G109" i="11"/>
  <c r="AP18" i="11"/>
  <c r="D57" i="11"/>
  <c r="AU161" i="11"/>
  <c r="AM187" i="11"/>
  <c r="U122" i="11"/>
  <c r="AG18" i="11"/>
  <c r="AR200" i="11"/>
  <c r="AU31" i="11"/>
  <c r="F174" i="11"/>
  <c r="Z31" i="11"/>
  <c r="H70" i="11"/>
  <c r="Y83" i="11"/>
  <c r="AT161" i="11"/>
  <c r="X148" i="11"/>
  <c r="AH5" i="11"/>
  <c r="R70" i="11"/>
  <c r="AO109" i="11"/>
  <c r="AX109" i="11"/>
  <c r="AL148" i="11"/>
  <c r="D122" i="11"/>
  <c r="E57" i="11"/>
  <c r="N57" i="11"/>
  <c r="C135" i="11"/>
  <c r="W18" i="11"/>
  <c r="AE174" i="11"/>
  <c r="AF5" i="11"/>
  <c r="AB83" i="11"/>
  <c r="C174" i="11"/>
  <c r="AK109" i="11"/>
  <c r="AB70" i="11"/>
  <c r="U70" i="11"/>
  <c r="V148" i="11"/>
  <c r="AG122" i="11"/>
  <c r="Z200" i="11"/>
  <c r="AD161" i="11"/>
  <c r="T109" i="11"/>
  <c r="N44" i="11"/>
  <c r="AD83" i="11"/>
  <c r="D31" i="11"/>
  <c r="Z96" i="11"/>
  <c r="Y96" i="11"/>
  <c r="AB148" i="11"/>
  <c r="R96" i="11"/>
  <c r="AX187" i="11"/>
  <c r="K96" i="11"/>
  <c r="Q70" i="11"/>
  <c r="J83" i="11"/>
  <c r="V70" i="11"/>
  <c r="AU57" i="11"/>
  <c r="N148" i="11"/>
  <c r="N83" i="11"/>
  <c r="AU96" i="11"/>
  <c r="E83" i="11"/>
  <c r="AM5" i="11"/>
  <c r="T187" i="11"/>
  <c r="W109" i="11"/>
  <c r="C96" i="11"/>
  <c r="AO96" i="11"/>
  <c r="H83" i="11"/>
  <c r="E109" i="11"/>
  <c r="AO122" i="11"/>
  <c r="F70" i="11"/>
  <c r="F44" i="11"/>
  <c r="N200" i="11"/>
  <c r="AG96" i="11"/>
  <c r="L109" i="11"/>
  <c r="AF122" i="11"/>
  <c r="AO57" i="11"/>
  <c r="G70" i="11"/>
  <c r="AF200" i="11"/>
  <c r="C18" i="11"/>
  <c r="AM18" i="11"/>
  <c r="AK18" i="11"/>
  <c r="U5" i="11"/>
  <c r="E70" i="11"/>
  <c r="K109" i="11"/>
  <c r="S187" i="11"/>
  <c r="AS83" i="11"/>
  <c r="J44" i="11"/>
  <c r="E122" i="11"/>
  <c r="W70" i="11"/>
  <c r="AM70" i="11"/>
  <c r="T148" i="11"/>
  <c r="AK70" i="11"/>
  <c r="O5" i="11"/>
  <c r="AP70" i="11"/>
  <c r="AF57" i="11"/>
  <c r="AV5" i="11"/>
  <c r="AV200" i="11"/>
  <c r="AV96" i="11"/>
  <c r="AV161" i="11"/>
  <c r="AM122" i="11"/>
  <c r="S109" i="11"/>
  <c r="AA161" i="11"/>
  <c r="AF187" i="11"/>
  <c r="AH31" i="11"/>
  <c r="R200" i="11"/>
  <c r="R122" i="11"/>
  <c r="AM57" i="11"/>
  <c r="AE122" i="11"/>
  <c r="X83" i="11"/>
  <c r="D44" i="11"/>
  <c r="AQ44" i="11"/>
  <c r="AA135" i="11"/>
  <c r="AT135" i="11"/>
  <c r="AS122" i="11"/>
  <c r="V187" i="11"/>
  <c r="R57" i="11"/>
  <c r="AT96" i="11"/>
  <c r="AG83" i="11"/>
  <c r="AH18" i="11"/>
  <c r="AC5" i="11"/>
  <c r="Q187" i="11"/>
  <c r="AR187" i="11"/>
  <c r="Q161" i="11"/>
  <c r="L187" i="11"/>
  <c r="M200" i="11"/>
  <c r="AD187" i="11"/>
  <c r="AG44" i="11"/>
  <c r="H31" i="11"/>
  <c r="E5" i="11"/>
  <c r="C187" i="11"/>
  <c r="F122" i="11"/>
  <c r="AG187" i="11"/>
  <c r="V174" i="11"/>
  <c r="AN109" i="11"/>
  <c r="AU70" i="11"/>
  <c r="AC148" i="11"/>
  <c r="R18" i="11"/>
  <c r="AJ122" i="11"/>
  <c r="AR148" i="11"/>
  <c r="Z18" i="11"/>
  <c r="Y161" i="11"/>
  <c r="AK5" i="11"/>
  <c r="AX18" i="11"/>
  <c r="M148" i="11"/>
  <c r="Z5" i="11"/>
  <c r="R135" i="11"/>
  <c r="AP44" i="11"/>
  <c r="P161" i="11"/>
  <c r="AJ161" i="11"/>
  <c r="AH44" i="11"/>
  <c r="U174" i="11"/>
  <c r="T96" i="11"/>
  <c r="Z135" i="11"/>
  <c r="N135" i="11"/>
  <c r="AG70" i="11"/>
  <c r="AE31" i="11"/>
  <c r="K70" i="11"/>
  <c r="V44" i="11"/>
  <c r="AX31" i="11"/>
  <c r="AL187" i="11"/>
  <c r="AJ109" i="11"/>
  <c r="AN187" i="11"/>
  <c r="O18" i="11"/>
  <c r="AU18" i="11"/>
  <c r="Y70" i="11"/>
  <c r="K135" i="11"/>
  <c r="M5" i="11"/>
  <c r="X109" i="11"/>
  <c r="Q109" i="11"/>
  <c r="D109" i="11"/>
  <c r="E18" i="11"/>
  <c r="AC135" i="11"/>
  <c r="E44" i="11"/>
  <c r="AT57" i="11"/>
  <c r="O187" i="11"/>
  <c r="R174" i="11"/>
  <c r="AS161" i="11"/>
  <c r="AI44" i="11"/>
  <c r="V57" i="11"/>
  <c r="O96" i="11"/>
  <c r="AH109" i="11"/>
  <c r="AT5" i="11"/>
  <c r="AO70" i="11"/>
  <c r="T18" i="11"/>
  <c r="M161" i="11"/>
  <c r="AD122" i="11"/>
  <c r="Z83" i="11"/>
  <c r="U31" i="11"/>
  <c r="AI200" i="11"/>
  <c r="AD44" i="11"/>
  <c r="L70" i="11"/>
  <c r="Q31" i="11"/>
  <c r="AS109" i="11"/>
  <c r="G18" i="11"/>
  <c r="V5" i="11"/>
  <c r="K57" i="11"/>
  <c r="AP161" i="11"/>
  <c r="AL70" i="11"/>
  <c r="D5" i="11"/>
  <c r="G174" i="11"/>
  <c r="R161" i="11"/>
  <c r="AE96" i="11"/>
  <c r="AM44" i="11"/>
  <c r="O135" i="11"/>
  <c r="AI31" i="11"/>
  <c r="AR174" i="11"/>
  <c r="AJ57" i="11"/>
  <c r="C148" i="11"/>
  <c r="AD70" i="11"/>
  <c r="AL161" i="11"/>
  <c r="Z109" i="11"/>
  <c r="AJ200" i="11"/>
  <c r="H161" i="11"/>
  <c r="I83" i="11"/>
  <c r="AS31" i="11"/>
  <c r="AA148" i="11"/>
  <c r="AM200" i="11"/>
  <c r="AG200" i="11"/>
  <c r="AQ57" i="11"/>
  <c r="X18" i="11"/>
  <c r="V109" i="11"/>
  <c r="AI135" i="11"/>
  <c r="AP83" i="11"/>
  <c r="AE5" i="11"/>
  <c r="O70" i="11"/>
  <c r="N122" i="11"/>
  <c r="Q135" i="11"/>
  <c r="AI122" i="11"/>
  <c r="AN122" i="11"/>
  <c r="AL109" i="11"/>
  <c r="J70" i="11"/>
  <c r="AD200" i="11"/>
  <c r="K161" i="11"/>
  <c r="AP187" i="11"/>
  <c r="AF18" i="11"/>
  <c r="P174" i="11"/>
  <c r="H109" i="11"/>
  <c r="S174" i="11"/>
  <c r="E31" i="11"/>
  <c r="S31" i="11"/>
  <c r="Q122" i="11"/>
  <c r="AA174" i="11"/>
  <c r="V96" i="11"/>
  <c r="G187" i="11"/>
  <c r="K44" i="11"/>
  <c r="F96" i="11"/>
  <c r="AK135" i="11"/>
  <c r="AK174" i="11"/>
  <c r="AD18" i="11"/>
  <c r="AQ135" i="11"/>
  <c r="P83" i="11"/>
  <c r="AP148" i="11"/>
  <c r="F31" i="11"/>
  <c r="T57" i="11"/>
  <c r="L161" i="11"/>
  <c r="AB31" i="11"/>
  <c r="E148" i="11"/>
  <c r="AH200" i="11"/>
  <c r="F83" i="11"/>
  <c r="AF44" i="11"/>
  <c r="Q83" i="11"/>
  <c r="AL122" i="11"/>
  <c r="S148" i="11"/>
  <c r="AQ187" i="11"/>
  <c r="I200" i="11"/>
  <c r="AJ148" i="11"/>
  <c r="T5" i="11"/>
  <c r="S18" i="11"/>
  <c r="AG148" i="11"/>
  <c r="L148" i="11"/>
  <c r="G161" i="11"/>
  <c r="AL200" i="11"/>
  <c r="N187" i="11"/>
  <c r="AC31" i="11"/>
  <c r="C122" i="11"/>
  <c r="AX5" i="11"/>
  <c r="W122" i="11"/>
  <c r="AT44" i="11"/>
  <c r="X135" i="11"/>
  <c r="V31" i="11"/>
  <c r="AO18" i="11"/>
  <c r="H187" i="11"/>
  <c r="H18" i="11"/>
  <c r="Y109" i="11"/>
  <c r="J161" i="11"/>
  <c r="AL31" i="11"/>
  <c r="AO200" i="11"/>
  <c r="G135" i="11"/>
  <c r="AF109" i="11"/>
  <c r="K187" i="11"/>
  <c r="AX135" i="11"/>
  <c r="AN44" i="11"/>
  <c r="AU122" i="11"/>
  <c r="W83" i="11"/>
  <c r="U109" i="11"/>
  <c r="AC200" i="11"/>
  <c r="T31" i="11"/>
  <c r="AK83" i="11"/>
  <c r="Z57" i="11"/>
  <c r="AC18" i="11"/>
  <c r="AL57" i="11"/>
  <c r="AS44" i="11"/>
  <c r="AM31" i="11"/>
  <c r="V83" i="11"/>
  <c r="AU44" i="11"/>
  <c r="K5" i="11"/>
  <c r="AE200" i="11"/>
  <c r="AO44" i="11"/>
  <c r="AQ83" i="11"/>
  <c r="G44" i="11"/>
  <c r="D174" i="11"/>
  <c r="AP31" i="11"/>
  <c r="AD135" i="11"/>
  <c r="U200" i="11"/>
  <c r="V135" i="11"/>
  <c r="K148" i="11"/>
  <c r="AK96" i="11"/>
  <c r="R109" i="11"/>
  <c r="AX96" i="11"/>
  <c r="AP122" i="11"/>
  <c r="AK122" i="11"/>
  <c r="Z174" i="11"/>
  <c r="AO148" i="11"/>
  <c r="AS70" i="11"/>
  <c r="AF70" i="11"/>
  <c r="AM161" i="11"/>
  <c r="S122" i="11"/>
  <c r="D96" i="11"/>
  <c r="Q148" i="11"/>
  <c r="N70" i="11"/>
  <c r="F57" i="11"/>
  <c r="O57" i="11"/>
  <c r="AC96" i="11"/>
  <c r="W96" i="11"/>
  <c r="I109" i="11"/>
  <c r="L174" i="11"/>
  <c r="AI187" i="11"/>
  <c r="D161" i="11"/>
  <c r="AI161" i="11"/>
  <c r="Y5" i="11"/>
  <c r="H122" i="11"/>
  <c r="F5" i="11"/>
  <c r="AR44" i="11"/>
  <c r="AQ148" i="11"/>
  <c r="AB44" i="11"/>
  <c r="AB187" i="11"/>
  <c r="D135" i="11"/>
  <c r="G31" i="11"/>
  <c r="T200" i="11"/>
  <c r="O174" i="11"/>
  <c r="AK44" i="11"/>
  <c r="J135" i="11"/>
  <c r="AD57" i="11"/>
  <c r="AD109" i="11"/>
  <c r="AT174" i="11"/>
  <c r="AM83" i="11"/>
  <c r="Y18" i="11"/>
  <c r="AR122" i="11"/>
  <c r="AR135" i="11"/>
  <c r="J200" i="11"/>
  <c r="L122" i="11"/>
  <c r="U44" i="11"/>
  <c r="D18" i="11"/>
  <c r="I148" i="11"/>
  <c r="P57" i="11"/>
  <c r="K200" i="11"/>
  <c r="I5" i="11"/>
  <c r="R31" i="11"/>
  <c r="AL44" i="11"/>
  <c r="AK57" i="11"/>
  <c r="W44" i="11"/>
  <c r="AR109" i="11"/>
  <c r="AA57" i="11"/>
  <c r="AF148" i="11"/>
  <c r="AT200" i="11"/>
  <c r="AK200" i="11"/>
  <c r="AC83" i="11"/>
  <c r="AJ174" i="11"/>
  <c r="AC109" i="11"/>
  <c r="AB161" i="11"/>
  <c r="K122" i="11"/>
  <c r="AK187" i="11"/>
  <c r="AN200" i="11"/>
  <c r="AD31" i="11"/>
  <c r="AB5" i="11"/>
  <c r="AN161" i="11"/>
  <c r="O148" i="11"/>
  <c r="AL83" i="11"/>
  <c r="P31" i="11"/>
  <c r="AI70" i="11"/>
  <c r="N161" i="11"/>
  <c r="AM135" i="11"/>
  <c r="O44" i="11"/>
  <c r="I70" i="11"/>
  <c r="O122" i="11"/>
  <c r="V200" i="11"/>
  <c r="W57" i="11"/>
  <c r="Y44" i="11"/>
  <c r="Z44" i="11"/>
  <c r="AN174" i="11"/>
  <c r="AA122" i="11"/>
  <c r="AP109" i="11"/>
  <c r="N96" i="11"/>
  <c r="AT122" i="11"/>
  <c r="AA83" i="11"/>
  <c r="H5" i="11"/>
  <c r="I174" i="11"/>
  <c r="S5" i="11"/>
  <c r="X5" i="11"/>
  <c r="AH57" i="11"/>
  <c r="I187" i="11"/>
  <c r="AI174" i="11"/>
  <c r="X44" i="11"/>
  <c r="C31" i="11"/>
  <c r="K18" i="11"/>
  <c r="AR96" i="11"/>
  <c r="W5" i="11"/>
  <c r="AB57" i="11"/>
  <c r="AE44" i="11"/>
  <c r="L18" i="11"/>
  <c r="AU187" i="11"/>
  <c r="AR70" i="11"/>
  <c r="Z122" i="11"/>
  <c r="F109" i="11"/>
  <c r="AU5" i="11"/>
  <c r="Y174" i="11"/>
  <c r="AE148" i="11"/>
  <c r="X200" i="11"/>
  <c r="H135" i="11"/>
  <c r="AS57" i="11"/>
  <c r="AG161" i="11"/>
  <c r="L57" i="11"/>
  <c r="C5" i="11"/>
  <c r="AL5" i="11"/>
  <c r="L200" i="11"/>
  <c r="AK161" i="11"/>
  <c r="M174" i="11"/>
  <c r="N109" i="11"/>
  <c r="M31" i="11"/>
  <c r="AP200" i="11"/>
  <c r="AP57" i="11"/>
  <c r="Q5" i="11"/>
  <c r="AN96" i="11"/>
  <c r="AE18" i="11"/>
  <c r="AS174" i="11"/>
  <c r="AX200" i="11"/>
  <c r="I57" i="11"/>
  <c r="H200" i="11"/>
  <c r="AX83" i="11"/>
  <c r="AA109" i="11"/>
  <c r="J148" i="11"/>
  <c r="AS18" i="11"/>
  <c r="AJ44" i="11"/>
  <c r="AT70" i="11"/>
  <c r="AG109" i="11"/>
  <c r="AG31" i="11"/>
  <c r="AB96" i="11"/>
  <c r="AF31" i="11"/>
  <c r="AN5" i="11"/>
  <c r="E99" i="6"/>
  <c r="M44" i="11"/>
  <c r="AU200" i="11"/>
  <c r="W135" i="11"/>
  <c r="R148" i="11"/>
  <c r="P148" i="11"/>
  <c r="I96" i="11"/>
  <c r="P122" i="11"/>
  <c r="AB122" i="11"/>
  <c r="H174" i="11"/>
  <c r="Y31" i="11"/>
  <c r="AR31" i="11"/>
  <c r="AN31" i="11"/>
  <c r="Y187" i="11"/>
  <c r="W187" i="11"/>
  <c r="AQ96" i="11"/>
  <c r="AC57" i="11"/>
  <c r="Q96" i="11"/>
  <c r="L44" i="11"/>
  <c r="AM109" i="11"/>
  <c r="AX44" i="11"/>
  <c r="L83" i="11"/>
  <c r="T83" i="11"/>
  <c r="X174" i="11"/>
  <c r="AN70" i="11"/>
  <c r="J31" i="11"/>
  <c r="AL135" i="11"/>
  <c r="AE83" i="11"/>
  <c r="AQ31" i="11"/>
  <c r="AI83" i="11"/>
  <c r="AG135" i="11"/>
  <c r="C57" i="11"/>
  <c r="F200" i="11"/>
  <c r="AH83" i="11"/>
  <c r="H57" i="11"/>
  <c r="AN135" i="11"/>
  <c r="AJ96" i="11"/>
  <c r="J5" i="11"/>
  <c r="AK31" i="11"/>
  <c r="M57" i="11"/>
  <c r="AM174" i="11"/>
  <c r="AH135" i="11"/>
  <c r="M187" i="11"/>
  <c r="P5" i="11"/>
  <c r="E187" i="11"/>
  <c r="AN83" i="11"/>
  <c r="AO161" i="11"/>
  <c r="L5" i="11"/>
  <c r="W148" i="11"/>
  <c r="W174" i="11"/>
  <c r="S57" i="11"/>
  <c r="AB200" i="11"/>
  <c r="AH187" i="11"/>
  <c r="O200" i="11"/>
  <c r="F135" i="11"/>
  <c r="Y200" i="11"/>
  <c r="AM148" i="11"/>
  <c r="AD5" i="11"/>
  <c r="C44" i="11"/>
  <c r="AC174" i="11"/>
  <c r="AD96" i="11"/>
  <c r="T161" i="11"/>
  <c r="AO31" i="11"/>
  <c r="E161" i="11"/>
  <c r="AO5" i="11"/>
  <c r="AU135" i="11"/>
  <c r="U187" i="11"/>
  <c r="O31" i="11"/>
  <c r="AP96" i="11"/>
  <c r="V161" i="11"/>
  <c r="T122" i="11"/>
  <c r="AH122" i="11"/>
  <c r="AG5" i="11"/>
  <c r="R187" i="11"/>
  <c r="AA70" i="11"/>
  <c r="AH96" i="11"/>
  <c r="AT187" i="11"/>
  <c r="X187" i="11"/>
  <c r="P200" i="11"/>
  <c r="AA5" i="11"/>
  <c r="I122" i="11"/>
  <c r="AQ5" i="11"/>
  <c r="AA18" i="11"/>
  <c r="C200" i="11"/>
  <c r="U96" i="11"/>
  <c r="AF174" i="11"/>
  <c r="AB18" i="11"/>
  <c r="AX57" i="11"/>
  <c r="E96" i="11"/>
  <c r="Q200" i="11"/>
  <c r="AN99" i="6"/>
  <c r="D88" i="5"/>
  <c r="AA99" i="5"/>
  <c r="Y99" i="6"/>
  <c r="AE99" i="5"/>
  <c r="AW99" i="5"/>
  <c r="R99" i="6"/>
  <c r="AC99" i="5"/>
  <c r="D88" i="6"/>
  <c r="D70" i="5"/>
  <c r="X99" i="5"/>
  <c r="D61" i="5"/>
  <c r="D43" i="6"/>
  <c r="D70" i="6"/>
  <c r="H99" i="5"/>
  <c r="D97" i="6"/>
  <c r="L99" i="6"/>
  <c r="D79" i="6"/>
  <c r="Q99" i="5"/>
  <c r="D40" i="6"/>
  <c r="AO99" i="6"/>
  <c r="AL99" i="5"/>
  <c r="D7" i="5"/>
  <c r="J99" i="6"/>
  <c r="C100" i="5"/>
  <c r="D100" i="5" s="1"/>
  <c r="D4" i="5"/>
  <c r="AV99" i="6"/>
  <c r="J99" i="5"/>
  <c r="L99" i="5"/>
  <c r="D79" i="5"/>
  <c r="D37" i="6"/>
  <c r="D82" i="6"/>
  <c r="AW108" i="11"/>
  <c r="AW121" i="11"/>
  <c r="AW134" i="11"/>
  <c r="AW147" i="11"/>
  <c r="AV199" i="11"/>
  <c r="AV173" i="11"/>
  <c r="AV160" i="11"/>
  <c r="AV82" i="11"/>
  <c r="N173" i="11"/>
  <c r="AQ108" i="11"/>
  <c r="X4" i="11"/>
  <c r="D95" i="11"/>
  <c r="G199" i="11"/>
  <c r="H134" i="11"/>
  <c r="AA30" i="11"/>
  <c r="M121" i="11"/>
  <c r="AQ56" i="11"/>
  <c r="AM4" i="11"/>
  <c r="AU95" i="11"/>
  <c r="AE17" i="11"/>
  <c r="L121" i="11"/>
  <c r="M186" i="11"/>
  <c r="AP134" i="11"/>
  <c r="E95" i="11"/>
  <c r="AG43" i="11"/>
  <c r="AQ160" i="11"/>
  <c r="L69" i="11"/>
  <c r="X82" i="11"/>
  <c r="C4" i="11"/>
  <c r="AR82" i="11"/>
  <c r="AU30" i="11"/>
  <c r="AQ30" i="11"/>
  <c r="AA160" i="11"/>
  <c r="AA82" i="11"/>
  <c r="V121" i="11"/>
  <c r="Q30" i="11"/>
  <c r="K108" i="11"/>
  <c r="F173" i="11"/>
  <c r="AU199" i="11"/>
  <c r="AL199" i="11"/>
  <c r="AF121" i="11"/>
  <c r="AD134" i="11"/>
  <c r="AR134" i="11"/>
  <c r="G69" i="11"/>
  <c r="M30" i="11"/>
  <c r="AI186" i="11"/>
  <c r="AJ199" i="11"/>
  <c r="Q17" i="11"/>
  <c r="C199" i="11"/>
  <c r="O17" i="11"/>
  <c r="AT108" i="11"/>
  <c r="AQ69" i="11"/>
  <c r="J160" i="11"/>
  <c r="Z147" i="11"/>
  <c r="AC160" i="11"/>
  <c r="D134" i="11"/>
  <c r="M199" i="11"/>
  <c r="W30" i="11"/>
  <c r="AR147" i="11"/>
  <c r="W95" i="11"/>
  <c r="AS134" i="11"/>
  <c r="AR95" i="11"/>
  <c r="G30" i="11"/>
  <c r="C186" i="11"/>
  <c r="P30" i="11"/>
  <c r="L147" i="11"/>
  <c r="AS186" i="11"/>
  <c r="AH82" i="11"/>
  <c r="Q82" i="11"/>
  <c r="Y69" i="11"/>
  <c r="AH43" i="11"/>
  <c r="AT56" i="11"/>
  <c r="T4" i="11"/>
  <c r="J147" i="11"/>
  <c r="E82" i="11"/>
  <c r="AF173" i="11"/>
  <c r="AO17" i="11"/>
  <c r="AN160" i="11"/>
  <c r="AT121" i="11"/>
  <c r="AJ173" i="11"/>
  <c r="J82" i="11"/>
  <c r="AH108" i="11"/>
  <c r="G95" i="11"/>
  <c r="AX121" i="11"/>
  <c r="C69" i="11"/>
  <c r="V160" i="11"/>
  <c r="AB43" i="11"/>
  <c r="W186" i="11"/>
  <c r="AJ82" i="11"/>
  <c r="K56" i="11"/>
  <c r="X95" i="11"/>
  <c r="E56" i="11"/>
  <c r="AR43" i="11"/>
  <c r="L43" i="11"/>
  <c r="AA4" i="11"/>
  <c r="L199" i="11"/>
  <c r="AM69" i="11"/>
  <c r="AH30" i="11"/>
  <c r="V147" i="11"/>
  <c r="T186" i="11"/>
  <c r="AB186" i="11"/>
  <c r="AS108" i="11"/>
  <c r="AA173" i="11"/>
  <c r="AR121" i="11"/>
  <c r="AC17" i="11"/>
  <c r="N134" i="11"/>
  <c r="AH121" i="11"/>
  <c r="W147" i="11"/>
  <c r="AG69" i="11"/>
  <c r="E43" i="11"/>
  <c r="AE186" i="11"/>
  <c r="AG121" i="11"/>
  <c r="F95" i="11"/>
  <c r="Y17" i="11"/>
  <c r="F199" i="11"/>
  <c r="AD56" i="11"/>
  <c r="O56" i="11"/>
  <c r="V4" i="11"/>
  <c r="AQ121" i="11"/>
  <c r="K160" i="11"/>
  <c r="S186" i="11"/>
  <c r="AJ43" i="11"/>
  <c r="F56" i="11"/>
  <c r="E147" i="11"/>
  <c r="AM95" i="11"/>
  <c r="AO95" i="11"/>
  <c r="S69" i="11"/>
  <c r="AB173" i="11"/>
  <c r="AC56" i="11"/>
  <c r="AW160" i="11"/>
  <c r="AW173" i="11"/>
  <c r="AW186" i="11"/>
  <c r="AW199" i="11"/>
  <c r="E99" i="5"/>
  <c r="AV108" i="11"/>
  <c r="AV17" i="11"/>
  <c r="AV30" i="11"/>
  <c r="AV186" i="11"/>
  <c r="AE121" i="11"/>
  <c r="N160" i="11"/>
  <c r="K147" i="11"/>
  <c r="Q160" i="11"/>
  <c r="AP30" i="11"/>
  <c r="Z108" i="11"/>
  <c r="V43" i="11"/>
  <c r="J4" i="11"/>
  <c r="AS173" i="11"/>
  <c r="AS4" i="11"/>
  <c r="AT95" i="11"/>
  <c r="X121" i="11"/>
  <c r="AO160" i="11"/>
  <c r="AS56" i="11"/>
  <c r="U30" i="11"/>
  <c r="AS95" i="11"/>
  <c r="AE160" i="11"/>
  <c r="N147" i="11"/>
  <c r="X186" i="11"/>
  <c r="U82" i="11"/>
  <c r="T69" i="11"/>
  <c r="X134" i="11"/>
  <c r="U69" i="11"/>
  <c r="O30" i="11"/>
  <c r="E108" i="11"/>
  <c r="AS69" i="11"/>
  <c r="F30" i="11"/>
  <c r="L30" i="11"/>
  <c r="AJ121" i="11"/>
  <c r="S173" i="11"/>
  <c r="AX134" i="11"/>
  <c r="AM43" i="11"/>
  <c r="T56" i="11"/>
  <c r="I173" i="11"/>
  <c r="W17" i="11"/>
  <c r="AB199" i="11"/>
  <c r="AC108" i="11"/>
  <c r="AN4" i="11"/>
  <c r="AG134" i="11"/>
  <c r="AB56" i="11"/>
  <c r="U43" i="11"/>
  <c r="AH199" i="11"/>
  <c r="S147" i="11"/>
  <c r="H108" i="11"/>
  <c r="G121" i="11"/>
  <c r="AM160" i="11"/>
  <c r="I199" i="11"/>
  <c r="AO186" i="11"/>
  <c r="R160" i="11"/>
  <c r="AK134" i="11"/>
  <c r="AG95" i="11"/>
  <c r="U199" i="11"/>
  <c r="AH56" i="11"/>
  <c r="AO121" i="11"/>
  <c r="X43" i="11"/>
  <c r="H147" i="11"/>
  <c r="AO199" i="11"/>
  <c r="AC69" i="11"/>
  <c r="U17" i="11"/>
  <c r="AL95" i="11"/>
  <c r="AC95" i="11"/>
  <c r="AP4" i="11"/>
  <c r="D56" i="11"/>
  <c r="R186" i="11"/>
  <c r="L173" i="11"/>
  <c r="AD199" i="11"/>
  <c r="R147" i="11"/>
  <c r="O134" i="11"/>
  <c r="AB69" i="11"/>
  <c r="I30" i="11"/>
  <c r="AT30" i="11"/>
  <c r="Y82" i="11"/>
  <c r="AK173" i="11"/>
  <c r="AQ95" i="11"/>
  <c r="AP82" i="11"/>
  <c r="AI69" i="11"/>
  <c r="AA147" i="11"/>
  <c r="D82" i="11"/>
  <c r="I82" i="11"/>
  <c r="AH134" i="11"/>
  <c r="S134" i="11"/>
  <c r="I186" i="11"/>
  <c r="T134" i="11"/>
  <c r="K17" i="11"/>
  <c r="AA56" i="11"/>
  <c r="Y199" i="11"/>
  <c r="U186" i="11"/>
  <c r="AO82" i="11"/>
  <c r="H95" i="11"/>
  <c r="AF160" i="11"/>
  <c r="Q43" i="11"/>
  <c r="AD17" i="11"/>
  <c r="AG186" i="11"/>
  <c r="R108" i="11"/>
  <c r="AX4" i="11"/>
  <c r="E69" i="11"/>
  <c r="AN95" i="11"/>
  <c r="AC4" i="11"/>
  <c r="Z17" i="11"/>
  <c r="AG82" i="11"/>
  <c r="AC147" i="11"/>
  <c r="S17" i="11"/>
  <c r="AK30" i="11"/>
  <c r="AC186" i="11"/>
  <c r="AE30" i="11"/>
  <c r="AA108" i="11"/>
  <c r="AG17" i="11"/>
  <c r="G173" i="11"/>
  <c r="D160" i="11"/>
  <c r="AK82" i="11"/>
  <c r="Q199" i="11"/>
  <c r="AO173" i="11"/>
  <c r="AL160" i="11"/>
  <c r="AS199" i="11"/>
  <c r="C43" i="11"/>
  <c r="P147" i="11"/>
  <c r="AA186" i="11"/>
  <c r="AC43" i="11"/>
  <c r="AB17" i="11"/>
  <c r="AD95" i="11"/>
  <c r="AU17" i="11"/>
  <c r="AW4" i="11"/>
  <c r="AW17" i="11"/>
  <c r="AW30" i="11"/>
  <c r="AW43" i="11"/>
  <c r="AV43" i="11"/>
  <c r="AV134" i="11"/>
  <c r="AV95" i="11"/>
  <c r="AV4" i="11"/>
  <c r="M134" i="11"/>
  <c r="AP160" i="11"/>
  <c r="AH69" i="11"/>
  <c r="I17" i="11"/>
  <c r="Q108" i="11"/>
  <c r="AU173" i="11"/>
  <c r="AB30" i="11"/>
  <c r="T43" i="11"/>
  <c r="Z43" i="11"/>
  <c r="T108" i="11"/>
  <c r="AQ4" i="11"/>
  <c r="Z134" i="11"/>
  <c r="AF134" i="11"/>
  <c r="AP186" i="11"/>
  <c r="Z30" i="11"/>
  <c r="C108" i="11"/>
  <c r="P108" i="11"/>
  <c r="AG147" i="11"/>
  <c r="T82" i="11"/>
  <c r="E186" i="11"/>
  <c r="AF108" i="11"/>
  <c r="D173" i="11"/>
  <c r="AG108" i="11"/>
  <c r="R199" i="11"/>
  <c r="T160" i="11"/>
  <c r="AS43" i="11"/>
  <c r="AU69" i="11"/>
  <c r="I121" i="11"/>
  <c r="Z56" i="11"/>
  <c r="F82" i="11"/>
  <c r="M43" i="11"/>
  <c r="M108" i="11"/>
  <c r="AD108" i="11"/>
  <c r="G43" i="11"/>
  <c r="N43" i="11"/>
  <c r="R17" i="11"/>
  <c r="AU4" i="11"/>
  <c r="M173" i="11"/>
  <c r="AU147" i="11"/>
  <c r="W134" i="11"/>
  <c r="E4" i="11"/>
  <c r="AX108" i="11"/>
  <c r="AE43" i="11"/>
  <c r="AK43" i="11"/>
  <c r="H186" i="11"/>
  <c r="AQ43" i="11"/>
  <c r="V82" i="11"/>
  <c r="AL30" i="11"/>
  <c r="R69" i="11"/>
  <c r="U160" i="11"/>
  <c r="AJ4" i="11"/>
  <c r="E160" i="11"/>
  <c r="O147" i="11"/>
  <c r="J121" i="11"/>
  <c r="Z160" i="11"/>
  <c r="H173" i="11"/>
  <c r="AJ95" i="11"/>
  <c r="AX56" i="11"/>
  <c r="V186" i="11"/>
  <c r="F121" i="11"/>
  <c r="V69" i="11"/>
  <c r="AX43" i="11"/>
  <c r="N186" i="11"/>
  <c r="F69" i="11"/>
  <c r="AF82" i="11"/>
  <c r="H56" i="11"/>
  <c r="Y147" i="11"/>
  <c r="J56" i="11"/>
  <c r="AP69" i="11"/>
  <c r="AE173" i="11"/>
  <c r="AR56" i="11"/>
  <c r="AE82" i="11"/>
  <c r="M4" i="11"/>
  <c r="AR173" i="11"/>
  <c r="AF199" i="11"/>
  <c r="Y108" i="11"/>
  <c r="X173" i="11"/>
  <c r="AD43" i="11"/>
  <c r="M82" i="11"/>
  <c r="N17" i="11"/>
  <c r="AO4" i="11"/>
  <c r="X160" i="11"/>
  <c r="N4" i="11"/>
  <c r="L108" i="11"/>
  <c r="F108" i="11"/>
  <c r="C95" i="11"/>
  <c r="O108" i="11"/>
  <c r="Z82" i="11"/>
  <c r="AG4" i="11"/>
  <c r="AK108" i="11"/>
  <c r="K4" i="11"/>
  <c r="Y43" i="11"/>
  <c r="AS160" i="11"/>
  <c r="AM108" i="11"/>
  <c r="AO108" i="11"/>
  <c r="U173" i="11"/>
  <c r="N30" i="11"/>
  <c r="AB95" i="11"/>
  <c r="AP108" i="11"/>
  <c r="M95" i="11"/>
  <c r="F134" i="11"/>
  <c r="AD173" i="11"/>
  <c r="L95" i="11"/>
  <c r="AI4" i="11"/>
  <c r="AC134" i="11"/>
  <c r="AD30" i="11"/>
  <c r="AL43" i="11"/>
  <c r="AM121" i="11"/>
  <c r="AM147" i="11"/>
  <c r="P121" i="11"/>
  <c r="AP173" i="11"/>
  <c r="I4" i="11"/>
  <c r="K173" i="11"/>
  <c r="X56" i="11"/>
  <c r="F160" i="11"/>
  <c r="P199" i="11"/>
  <c r="G134" i="11"/>
  <c r="AN108" i="11"/>
  <c r="AW56" i="11"/>
  <c r="AW69" i="11"/>
  <c r="AW82" i="11"/>
  <c r="AW95" i="11"/>
  <c r="AV147" i="11"/>
  <c r="AV56" i="11"/>
  <c r="AV121" i="11"/>
  <c r="AV69" i="11"/>
  <c r="AM30" i="11"/>
  <c r="H30" i="11"/>
  <c r="AN17" i="11"/>
  <c r="P56" i="11"/>
  <c r="AL17" i="11"/>
  <c r="P69" i="11"/>
  <c r="AI17" i="11"/>
  <c r="O4" i="11"/>
  <c r="O199" i="11"/>
  <c r="AL56" i="11"/>
  <c r="Z121" i="11"/>
  <c r="R56" i="11"/>
  <c r="E134" i="11"/>
  <c r="AP43" i="11"/>
  <c r="AT69" i="11"/>
  <c r="AC30" i="11"/>
  <c r="Z4" i="11"/>
  <c r="J134" i="11"/>
  <c r="U147" i="11"/>
  <c r="AL121" i="11"/>
  <c r="AE69" i="11"/>
  <c r="E121" i="11"/>
  <c r="AS82" i="11"/>
  <c r="F17" i="11"/>
  <c r="AK56" i="11"/>
  <c r="AO147" i="11"/>
  <c r="W108" i="11"/>
  <c r="AE147" i="11"/>
  <c r="J186" i="11"/>
  <c r="AT82" i="11"/>
  <c r="Y4" i="11"/>
  <c r="AO30" i="11"/>
  <c r="AK121" i="11"/>
  <c r="H17" i="11"/>
  <c r="D121" i="11"/>
  <c r="K43" i="11"/>
  <c r="AC82" i="11"/>
  <c r="L17" i="11"/>
  <c r="V134" i="11"/>
  <c r="AD69" i="11"/>
  <c r="X69" i="11"/>
  <c r="N69" i="11"/>
  <c r="I134" i="11"/>
  <c r="O186" i="11"/>
  <c r="AB82" i="11"/>
  <c r="W121" i="11"/>
  <c r="S121" i="11"/>
  <c r="AU186" i="11"/>
  <c r="R43" i="11"/>
  <c r="K30" i="11"/>
  <c r="C56" i="11"/>
  <c r="R121" i="11"/>
  <c r="AK95" i="11"/>
  <c r="AR160" i="11"/>
  <c r="K82" i="11"/>
  <c r="X30" i="11"/>
  <c r="AQ186" i="11"/>
  <c r="AE4" i="11"/>
  <c r="AF69" i="11"/>
  <c r="AK4" i="11"/>
  <c r="O43" i="11"/>
  <c r="AG199" i="11"/>
  <c r="D108" i="11"/>
  <c r="AT173" i="11"/>
  <c r="AG173" i="11"/>
  <c r="U134" i="11"/>
  <c r="P173" i="11"/>
  <c r="AI199" i="11"/>
  <c r="AI147" i="11"/>
  <c r="V108" i="11"/>
  <c r="AO43" i="11"/>
  <c r="L82" i="11"/>
  <c r="AT43" i="11"/>
  <c r="E17" i="11"/>
  <c r="AI95" i="11"/>
  <c r="O82" i="11"/>
  <c r="AT4" i="11"/>
  <c r="G160" i="11"/>
  <c r="K95" i="11"/>
  <c r="AJ17" i="11"/>
  <c r="AE199" i="11"/>
  <c r="AC173" i="11"/>
  <c r="AD121" i="11"/>
  <c r="Q121" i="11"/>
  <c r="D4" i="11"/>
  <c r="U95" i="11"/>
  <c r="T147" i="11"/>
  <c r="Y134" i="11"/>
  <c r="Y30" i="11"/>
  <c r="R82" i="11"/>
  <c r="AJ134" i="11"/>
  <c r="AH173" i="11"/>
  <c r="O160" i="11"/>
  <c r="I69" i="11"/>
  <c r="L186" i="11"/>
  <c r="S108" i="11"/>
  <c r="R134" i="11"/>
  <c r="Y56" i="11"/>
  <c r="O173" i="11"/>
  <c r="I108" i="11"/>
  <c r="H121" i="11"/>
  <c r="AE108" i="11"/>
  <c r="P17" i="11"/>
  <c r="W69" i="11"/>
  <c r="F147" i="11"/>
  <c r="AM186" i="11"/>
  <c r="AM56" i="11"/>
  <c r="V56" i="11"/>
  <c r="W4" i="11"/>
  <c r="K121" i="11"/>
  <c r="AU108" i="11"/>
  <c r="AH95" i="11"/>
  <c r="AH160" i="11"/>
  <c r="T173" i="11"/>
  <c r="AI30" i="11"/>
  <c r="M56" i="11"/>
  <c r="R95" i="11"/>
  <c r="F186" i="11"/>
  <c r="N199" i="11"/>
  <c r="G17" i="11"/>
  <c r="Y173" i="11"/>
  <c r="G56" i="11"/>
  <c r="AJ69" i="11"/>
  <c r="AK69" i="11"/>
  <c r="E30" i="11"/>
  <c r="AP56" i="11"/>
  <c r="AI56" i="11"/>
  <c r="Y121" i="11"/>
  <c r="AK186" i="11"/>
  <c r="AB108" i="11"/>
  <c r="M69" i="11"/>
  <c r="P43" i="11"/>
  <c r="AR199" i="11"/>
  <c r="AD160" i="11"/>
  <c r="AQ17" i="11"/>
  <c r="AG30" i="11"/>
  <c r="AE134" i="11"/>
  <c r="AA17" i="11"/>
  <c r="R4" i="11"/>
  <c r="G186" i="11"/>
  <c r="AB147" i="11"/>
  <c r="S95" i="11"/>
  <c r="AU121" i="11"/>
  <c r="AP95" i="11"/>
  <c r="AL108" i="11"/>
  <c r="C30" i="11"/>
  <c r="AM199" i="11"/>
  <c r="Q186" i="11"/>
  <c r="M147" i="11"/>
  <c r="K134" i="11"/>
  <c r="AN43" i="11"/>
  <c r="S160" i="11"/>
  <c r="AE56" i="11"/>
  <c r="AJ147" i="11"/>
  <c r="AA121" i="11"/>
  <c r="G82" i="11"/>
  <c r="AL134" i="11"/>
  <c r="L134" i="11"/>
  <c r="AQ199" i="11"/>
  <c r="AO56" i="11"/>
  <c r="AF186" i="11"/>
  <c r="V95" i="11"/>
  <c r="AM173" i="11"/>
  <c r="Z69" i="11"/>
  <c r="S56" i="11"/>
  <c r="J69" i="11"/>
  <c r="AT186" i="11"/>
  <c r="U4" i="11"/>
  <c r="J43" i="11"/>
  <c r="AD82" i="11"/>
  <c r="AR186" i="11"/>
  <c r="AT199" i="11"/>
  <c r="AM134" i="11"/>
  <c r="AD147" i="11"/>
  <c r="P4" i="11"/>
  <c r="Q173" i="11"/>
  <c r="AN199" i="11"/>
  <c r="AR108" i="11"/>
  <c r="J108" i="11"/>
  <c r="AF30" i="11"/>
  <c r="AI134" i="11"/>
  <c r="W160" i="11"/>
  <c r="AR17" i="11"/>
  <c r="P134" i="11"/>
  <c r="N121" i="11"/>
  <c r="AJ30" i="11"/>
  <c r="K186" i="11"/>
  <c r="T30" i="11"/>
  <c r="AX82" i="11"/>
  <c r="G4" i="11"/>
  <c r="K199" i="11"/>
  <c r="AU134" i="11"/>
  <c r="S82" i="11"/>
  <c r="AA199" i="11"/>
  <c r="H199" i="11"/>
  <c r="AK199" i="11"/>
  <c r="X17" i="11"/>
  <c r="AI43" i="11"/>
  <c r="Q134" i="11"/>
  <c r="AU56" i="11"/>
  <c r="AP199" i="11"/>
  <c r="AG160" i="11"/>
  <c r="AI82" i="11"/>
  <c r="D147" i="11"/>
  <c r="U56" i="11"/>
  <c r="Y160" i="11"/>
  <c r="J95" i="11"/>
  <c r="C17" i="11"/>
  <c r="AL82" i="11"/>
  <c r="AX186" i="11"/>
  <c r="Z95" i="11"/>
  <c r="I147" i="11"/>
  <c r="AO69" i="11"/>
  <c r="AD186" i="11"/>
  <c r="Q56" i="11"/>
  <c r="U108" i="11"/>
  <c r="AJ56" i="11"/>
  <c r="AL69" i="11"/>
  <c r="AP147" i="11"/>
  <c r="AE95" i="11"/>
  <c r="AL147" i="11"/>
  <c r="AA69" i="11"/>
  <c r="AU43" i="11"/>
  <c r="AH186" i="11"/>
  <c r="AA95" i="11"/>
  <c r="J199" i="11"/>
  <c r="AF43" i="11"/>
  <c r="L56" i="11"/>
  <c r="AN173" i="11"/>
  <c r="AN30" i="11"/>
  <c r="AT17" i="11"/>
  <c r="O69" i="11"/>
  <c r="V30" i="11"/>
  <c r="AX30" i="11"/>
  <c r="D30" i="11"/>
  <c r="N95" i="11"/>
  <c r="AX173" i="11"/>
  <c r="C160" i="11"/>
  <c r="C169" i="11" s="1"/>
  <c r="C170" i="11" s="1"/>
  <c r="AI173" i="11"/>
  <c r="L4" i="11"/>
  <c r="AK160" i="11"/>
  <c r="Q4" i="11"/>
  <c r="AI160" i="11"/>
  <c r="J17" i="11"/>
  <c r="AT134" i="11"/>
  <c r="Q147" i="11"/>
  <c r="AQ173" i="11"/>
  <c r="W199" i="11"/>
  <c r="AL186" i="11"/>
  <c r="C147" i="11"/>
  <c r="C156" i="11" s="1"/>
  <c r="C157" i="11" s="1"/>
  <c r="AB4" i="11"/>
  <c r="R173" i="11"/>
  <c r="R30" i="11"/>
  <c r="W82" i="11"/>
  <c r="F43" i="11"/>
  <c r="AA134" i="11"/>
  <c r="P82" i="11"/>
  <c r="C82" i="11"/>
  <c r="Y95" i="11"/>
  <c r="AF4" i="11"/>
  <c r="AR4" i="11"/>
  <c r="AB121" i="11"/>
  <c r="D43" i="11"/>
  <c r="T121" i="11"/>
  <c r="AI121" i="11"/>
  <c r="N82" i="11"/>
  <c r="AO134" i="11"/>
  <c r="AR69" i="11"/>
  <c r="H4" i="11"/>
  <c r="AM82" i="11"/>
  <c r="AF95" i="11"/>
  <c r="AL4" i="11"/>
  <c r="AR30" i="11"/>
  <c r="Q69" i="11"/>
  <c r="AA43" i="11"/>
  <c r="H69" i="11"/>
  <c r="AS147" i="11"/>
  <c r="W43" i="11"/>
  <c r="AK17" i="11"/>
  <c r="O95" i="11"/>
  <c r="E199" i="11"/>
  <c r="AQ82" i="11"/>
  <c r="AQ91" i="11" s="1"/>
  <c r="AQ92" i="11" s="1"/>
  <c r="D69" i="11"/>
  <c r="W173" i="11"/>
  <c r="J30" i="11"/>
  <c r="D199" i="11"/>
  <c r="AU160" i="11"/>
  <c r="H43" i="11"/>
  <c r="AC199" i="11"/>
  <c r="AX147" i="11"/>
  <c r="V199" i="11"/>
  <c r="C173" i="11"/>
  <c r="AX160" i="11"/>
  <c r="AS17" i="11"/>
  <c r="N108" i="11"/>
  <c r="AB134" i="11"/>
  <c r="AH147" i="11"/>
  <c r="Q95" i="11"/>
  <c r="S199" i="11"/>
  <c r="AC121" i="11"/>
  <c r="AD4" i="11"/>
  <c r="N56" i="11"/>
  <c r="N65" i="11" s="1"/>
  <c r="N66" i="11" s="1"/>
  <c r="AJ186" i="11"/>
  <c r="AX199" i="11"/>
  <c r="AX17" i="11"/>
  <c r="H160" i="11"/>
  <c r="H169" i="11" s="1"/>
  <c r="H170" i="11" s="1"/>
  <c r="P160" i="11"/>
  <c r="G147" i="11"/>
  <c r="AN134" i="11"/>
  <c r="C134" i="11"/>
  <c r="C143" i="11" s="1"/>
  <c r="C144" i="11" s="1"/>
  <c r="I160" i="11"/>
  <c r="Z186" i="11"/>
  <c r="Y186" i="11"/>
  <c r="AL173" i="11"/>
  <c r="X199" i="11"/>
  <c r="AM17" i="11"/>
  <c r="V17" i="11"/>
  <c r="T17" i="11"/>
  <c r="T26" i="11" s="1"/>
  <c r="T27" i="11" s="1"/>
  <c r="H82" i="11"/>
  <c r="AQ134" i="11"/>
  <c r="O121" i="11"/>
  <c r="X147" i="11"/>
  <c r="X156" i="11" s="1"/>
  <c r="X157" i="11" s="1"/>
  <c r="AF17" i="11"/>
  <c r="I56" i="11"/>
  <c r="AP121" i="11"/>
  <c r="AJ160" i="11"/>
  <c r="AJ169" i="11" s="1"/>
  <c r="AJ170" i="11" s="1"/>
  <c r="AN147" i="11"/>
  <c r="G108" i="11"/>
  <c r="C121" i="11"/>
  <c r="L160" i="11"/>
  <c r="L169" i="11" s="1"/>
  <c r="L170" i="11" s="1"/>
  <c r="AH17" i="11"/>
  <c r="AU82" i="11"/>
  <c r="S30" i="11"/>
  <c r="P95" i="11"/>
  <c r="P104" i="11" s="1"/>
  <c r="P105" i="11" s="1"/>
  <c r="P186" i="11"/>
  <c r="E173" i="11"/>
  <c r="AF147" i="11"/>
  <c r="U121" i="11"/>
  <c r="U130" i="11" s="1"/>
  <c r="U131" i="11" s="1"/>
  <c r="AX69" i="11"/>
  <c r="AB160" i="11"/>
  <c r="AX95" i="11"/>
  <c r="V173" i="11"/>
  <c r="AK147" i="11"/>
  <c r="D17" i="11"/>
  <c r="AN56" i="11"/>
  <c r="AS30" i="11"/>
  <c r="D186" i="11"/>
  <c r="J173" i="11"/>
  <c r="S4" i="11"/>
  <c r="AT160" i="11"/>
  <c r="AT169" i="11" s="1"/>
  <c r="AT170" i="11" s="1"/>
  <c r="W56" i="11"/>
  <c r="AG56" i="11"/>
  <c r="AG65" i="11" s="1"/>
  <c r="AG66" i="11" s="1"/>
  <c r="AN69" i="11"/>
  <c r="AN82" i="11"/>
  <c r="AN91" i="11" s="1"/>
  <c r="AN92" i="11" s="1"/>
  <c r="M160" i="11"/>
  <c r="AS121" i="11"/>
  <c r="AS130" i="11" s="1"/>
  <c r="AS131" i="11" s="1"/>
  <c r="K69" i="11"/>
  <c r="T199" i="11"/>
  <c r="Z199" i="11"/>
  <c r="AJ108" i="11"/>
  <c r="Z173" i="11"/>
  <c r="AQ147" i="11"/>
  <c r="AN121" i="11"/>
  <c r="F4" i="11"/>
  <c r="AP17" i="11"/>
  <c r="AN186" i="11"/>
  <c r="X108" i="11"/>
  <c r="AF56" i="11"/>
  <c r="AF65" i="11" s="1"/>
  <c r="AF66" i="11" s="1"/>
  <c r="I95" i="11"/>
  <c r="I43" i="11"/>
  <c r="I52" i="11" s="1"/>
  <c r="I53" i="11" s="1"/>
  <c r="AT147" i="11"/>
  <c r="S43" i="11"/>
  <c r="S52" i="11" s="1"/>
  <c r="S53" i="11" s="1"/>
  <c r="M17" i="11"/>
  <c r="AI108" i="11"/>
  <c r="AI117" i="11" s="1"/>
  <c r="AI118" i="11" s="1"/>
  <c r="AH4" i="11"/>
  <c r="T95" i="11"/>
  <c r="T104" i="11" s="1"/>
  <c r="T105" i="11" s="1"/>
  <c r="D94" i="6"/>
  <c r="AY99" i="6"/>
  <c r="AZ99" i="6"/>
  <c r="H99" i="6"/>
  <c r="D25" i="5"/>
  <c r="X99" i="6"/>
  <c r="D99" i="6" s="1"/>
  <c r="F99" i="5"/>
  <c r="AK99" i="6"/>
  <c r="I99" i="6"/>
  <c r="Y99" i="5"/>
  <c r="D64" i="5"/>
  <c r="D58" i="5"/>
  <c r="D52" i="5"/>
  <c r="AD99" i="5"/>
  <c r="U99" i="6"/>
  <c r="G99" i="5"/>
  <c r="C101" i="5" s="1"/>
  <c r="D101" i="5" s="1"/>
  <c r="C103" i="5" s="1"/>
  <c r="AR99" i="5"/>
  <c r="AE99" i="6"/>
  <c r="Z99" i="6"/>
  <c r="M99" i="5"/>
  <c r="G99" i="6"/>
  <c r="D22" i="6"/>
  <c r="AF99" i="5"/>
  <c r="Q99" i="6"/>
  <c r="AW156" i="11"/>
  <c r="AW157" i="11" s="1"/>
  <c r="C101" i="6"/>
  <c r="D101" i="6" s="1"/>
  <c r="C103" i="6" s="1"/>
  <c r="AW130" i="11"/>
  <c r="AW131" i="11" s="1"/>
  <c r="AW117" i="11"/>
  <c r="AW118" i="11" s="1"/>
  <c r="AW104" i="11"/>
  <c r="AW105" i="11" s="1"/>
  <c r="AW91" i="11"/>
  <c r="AW92" i="11" s="1"/>
  <c r="AW78" i="11"/>
  <c r="AW79" i="11" s="1"/>
  <c r="AW65" i="11"/>
  <c r="AW66" i="11" s="1"/>
  <c r="AW52" i="11"/>
  <c r="AW53" i="11" s="1"/>
  <c r="AW39" i="11"/>
  <c r="AW40" i="11" s="1"/>
  <c r="AW26" i="11"/>
  <c r="AW27" i="11" s="1"/>
  <c r="AW13" i="11"/>
  <c r="AW14" i="11" s="1"/>
  <c r="AW168" i="11"/>
  <c r="AW169" i="11" s="1"/>
  <c r="AW170" i="11" s="1"/>
  <c r="AV168" i="11"/>
  <c r="AS168" i="11"/>
  <c r="AS169" i="11" s="1"/>
  <c r="AS170" i="11" s="1"/>
  <c r="AM168" i="11"/>
  <c r="AP168" i="11"/>
  <c r="AP169" i="11" s="1"/>
  <c r="AP170" i="11" s="1"/>
  <c r="AB168" i="11"/>
  <c r="AJ168" i="11"/>
  <c r="W168" i="11"/>
  <c r="S168" i="11"/>
  <c r="S169" i="11" s="1"/>
  <c r="S170" i="11" s="1"/>
  <c r="AN168" i="11"/>
  <c r="R168" i="11"/>
  <c r="N168" i="11"/>
  <c r="X168" i="11"/>
  <c r="K168" i="11"/>
  <c r="AT168" i="11"/>
  <c r="AE168" i="11"/>
  <c r="AQ168" i="11"/>
  <c r="AQ169" i="11" s="1"/>
  <c r="AQ170" i="11" s="1"/>
  <c r="Q168" i="11"/>
  <c r="I168" i="11"/>
  <c r="V168" i="11"/>
  <c r="AO168" i="11"/>
  <c r="AO169" i="11" s="1"/>
  <c r="AO170" i="11" s="1"/>
  <c r="AL168" i="11"/>
  <c r="Z168" i="11"/>
  <c r="O168" i="11"/>
  <c r="D168" i="11"/>
  <c r="M168" i="11"/>
  <c r="F168" i="11"/>
  <c r="F169" i="11" s="1"/>
  <c r="F170" i="11" s="1"/>
  <c r="AR168" i="11"/>
  <c r="AC168" i="11"/>
  <c r="AC169" i="11" s="1"/>
  <c r="AC170" i="11" s="1"/>
  <c r="U168" i="11"/>
  <c r="AD168" i="11"/>
  <c r="G168" i="11"/>
  <c r="H168" i="11"/>
  <c r="AU168" i="11"/>
  <c r="AA168" i="11"/>
  <c r="AA169" i="11" s="1"/>
  <c r="AA170" i="11" s="1"/>
  <c r="AF168" i="11"/>
  <c r="AH168" i="11"/>
  <c r="E168" i="11"/>
  <c r="E169" i="11" s="1"/>
  <c r="E170" i="11" s="1"/>
  <c r="A169" i="11"/>
  <c r="A170" i="11" s="1"/>
  <c r="AK168" i="11"/>
  <c r="L168" i="11"/>
  <c r="AI168" i="11"/>
  <c r="AI169" i="11" s="1"/>
  <c r="AI170" i="11" s="1"/>
  <c r="Y168" i="11"/>
  <c r="Y169" i="11" s="1"/>
  <c r="Y170" i="11" s="1"/>
  <c r="C168" i="11"/>
  <c r="AX168" i="11"/>
  <c r="AX169" i="11" s="1"/>
  <c r="AX170" i="11" s="1"/>
  <c r="P168" i="11"/>
  <c r="T168" i="11"/>
  <c r="AG168" i="11"/>
  <c r="J168" i="11"/>
  <c r="J169" i="11" s="1"/>
  <c r="J170" i="11" s="1"/>
  <c r="AW180" i="11"/>
  <c r="AV180" i="11"/>
  <c r="AJ180" i="11"/>
  <c r="AD180" i="11"/>
  <c r="D180" i="11"/>
  <c r="AS180" i="11"/>
  <c r="AR180" i="11"/>
  <c r="AX180" i="11"/>
  <c r="AE180" i="11"/>
  <c r="AA180" i="11"/>
  <c r="I180" i="11"/>
  <c r="Y180" i="11"/>
  <c r="AC180" i="11"/>
  <c r="V180" i="11"/>
  <c r="G180" i="11"/>
  <c r="AG180" i="11"/>
  <c r="P180" i="11"/>
  <c r="AQ180" i="11"/>
  <c r="U180" i="11"/>
  <c r="O180" i="11"/>
  <c r="AI180" i="11"/>
  <c r="S180" i="11"/>
  <c r="AB180" i="11"/>
  <c r="K180" i="11"/>
  <c r="AN180" i="11"/>
  <c r="AH180" i="11"/>
  <c r="W180" i="11"/>
  <c r="AL180" i="11"/>
  <c r="N180" i="11"/>
  <c r="Q180" i="11"/>
  <c r="AM180" i="11"/>
  <c r="Z180" i="11"/>
  <c r="E180" i="11"/>
  <c r="X180" i="11"/>
  <c r="J180" i="11"/>
  <c r="C180" i="11"/>
  <c r="AP180" i="11"/>
  <c r="AT180" i="11"/>
  <c r="M180" i="11"/>
  <c r="T180" i="11"/>
  <c r="R180" i="11"/>
  <c r="A181" i="11"/>
  <c r="L180" i="11"/>
  <c r="AF180" i="11"/>
  <c r="AK180" i="11"/>
  <c r="AO180" i="11"/>
  <c r="AU180" i="11"/>
  <c r="H180" i="11"/>
  <c r="F180" i="11"/>
  <c r="AW192" i="11"/>
  <c r="AV192" i="11"/>
  <c r="A193" i="11"/>
  <c r="AD192" i="11"/>
  <c r="AA192" i="11"/>
  <c r="P192" i="11"/>
  <c r="D192" i="11"/>
  <c r="AK192" i="11"/>
  <c r="O192" i="11"/>
  <c r="AP192" i="11"/>
  <c r="K192" i="11"/>
  <c r="AE192" i="11"/>
  <c r="R192" i="11"/>
  <c r="Q192" i="11"/>
  <c r="AF192" i="11"/>
  <c r="AN192" i="11"/>
  <c r="S192" i="11"/>
  <c r="AC192" i="11"/>
  <c r="AT192" i="11"/>
  <c r="AG192" i="11"/>
  <c r="E192" i="11"/>
  <c r="Y192" i="11"/>
  <c r="AM192" i="11"/>
  <c r="G192" i="11"/>
  <c r="H192" i="11"/>
  <c r="AO192" i="11"/>
  <c r="AX192" i="11"/>
  <c r="T192" i="11"/>
  <c r="AQ192" i="11"/>
  <c r="AH192" i="11"/>
  <c r="X192" i="11"/>
  <c r="AS192" i="11"/>
  <c r="AB192" i="11"/>
  <c r="J192" i="11"/>
  <c r="N192" i="11"/>
  <c r="F192" i="11"/>
  <c r="Z192" i="11"/>
  <c r="M192" i="11"/>
  <c r="AL192" i="11"/>
  <c r="AU192" i="11"/>
  <c r="AJ192" i="11"/>
  <c r="AR192" i="11"/>
  <c r="W192" i="11"/>
  <c r="C192" i="11"/>
  <c r="I192" i="11"/>
  <c r="L192" i="11"/>
  <c r="U192" i="11"/>
  <c r="V192" i="11"/>
  <c r="AI192" i="11"/>
  <c r="AW204" i="11"/>
  <c r="AV204" i="11"/>
  <c r="AN204" i="11"/>
  <c r="AX204" i="11"/>
  <c r="G204" i="11"/>
  <c r="AI204" i="11"/>
  <c r="AL204" i="11"/>
  <c r="M204" i="11"/>
  <c r="AM204" i="11"/>
  <c r="J204" i="11"/>
  <c r="F204" i="11"/>
  <c r="AA204" i="11"/>
  <c r="T204" i="11"/>
  <c r="A205" i="11"/>
  <c r="AG204" i="11"/>
  <c r="P204" i="11"/>
  <c r="AT204" i="11"/>
  <c r="AU204" i="11"/>
  <c r="H204" i="11"/>
  <c r="V204" i="11"/>
  <c r="AS204" i="11"/>
  <c r="W204" i="11"/>
  <c r="D204" i="11"/>
  <c r="K204" i="11"/>
  <c r="U204" i="11"/>
  <c r="C204" i="11"/>
  <c r="AH204" i="11"/>
  <c r="AO204" i="11"/>
  <c r="Z204" i="11"/>
  <c r="AB204" i="11"/>
  <c r="AC204" i="11"/>
  <c r="AK204" i="11"/>
  <c r="AP204" i="11"/>
  <c r="AR204" i="11"/>
  <c r="Q204" i="11"/>
  <c r="N204" i="11"/>
  <c r="AQ204" i="11"/>
  <c r="O204" i="11"/>
  <c r="I204" i="11"/>
  <c r="L204" i="11"/>
  <c r="S204" i="11"/>
  <c r="AD204" i="11"/>
  <c r="AE204" i="11"/>
  <c r="Y204" i="11"/>
  <c r="E204" i="11"/>
  <c r="AJ204" i="11"/>
  <c r="AF204" i="11"/>
  <c r="X204" i="11"/>
  <c r="R204" i="11"/>
  <c r="D99" i="5"/>
  <c r="AH13" i="11"/>
  <c r="AH14" i="11" s="1"/>
  <c r="M26" i="11"/>
  <c r="M27" i="11" s="1"/>
  <c r="AT156" i="11"/>
  <c r="AT157" i="11" s="1"/>
  <c r="I104" i="11"/>
  <c r="I105" i="11" s="1"/>
  <c r="X117" i="11"/>
  <c r="X118" i="11" s="1"/>
  <c r="AP26" i="11"/>
  <c r="AP27" i="11" s="1"/>
  <c r="F13" i="11"/>
  <c r="F14" i="11" s="1"/>
  <c r="AN130" i="11"/>
  <c r="AN131" i="11" s="1"/>
  <c r="AQ156" i="11"/>
  <c r="AQ157" i="11" s="1"/>
  <c r="AJ117" i="11"/>
  <c r="AJ118" i="11" s="1"/>
  <c r="K78" i="11"/>
  <c r="K79" i="11" s="1"/>
  <c r="M169" i="11"/>
  <c r="M170" i="11" s="1"/>
  <c r="AN78" i="11"/>
  <c r="AN79" i="11" s="1"/>
  <c r="W65" i="11"/>
  <c r="W66" i="11" s="1"/>
  <c r="I169" i="11"/>
  <c r="I170" i="11" s="1"/>
  <c r="AN143" i="11"/>
  <c r="AN144" i="11" s="1"/>
  <c r="G156" i="11"/>
  <c r="G157" i="11" s="1"/>
  <c r="P169" i="11"/>
  <c r="P170" i="11" s="1"/>
  <c r="AX26" i="11"/>
  <c r="AX27" i="11" s="1"/>
  <c r="AD13" i="11"/>
  <c r="AD14" i="11" s="1"/>
  <c r="AC130" i="11"/>
  <c r="AC131" i="11" s="1"/>
  <c r="Q104" i="11"/>
  <c r="Q105" i="11" s="1"/>
  <c r="AH156" i="11"/>
  <c r="AH157" i="11" s="1"/>
  <c r="AB143" i="11"/>
  <c r="AB144" i="11" s="1"/>
  <c r="N117" i="11"/>
  <c r="N118" i="11" s="1"/>
  <c r="AS26" i="11"/>
  <c r="AS27" i="11" s="1"/>
  <c r="AT143" i="11"/>
  <c r="AT144" i="11" s="1"/>
  <c r="J26" i="11"/>
  <c r="J27" i="11" s="1"/>
  <c r="Q13" i="11"/>
  <c r="Q14" i="11" s="1"/>
  <c r="AK169" i="11"/>
  <c r="AK170" i="11" s="1"/>
  <c r="L13" i="11"/>
  <c r="L14" i="11" s="1"/>
  <c r="N104" i="11"/>
  <c r="N105" i="11" s="1"/>
  <c r="D39" i="11"/>
  <c r="D40" i="11" s="1"/>
  <c r="AX39" i="11"/>
  <c r="AX40" i="11" s="1"/>
  <c r="V39" i="11"/>
  <c r="V40" i="11" s="1"/>
  <c r="O78" i="11"/>
  <c r="O79" i="11" s="1"/>
  <c r="AT26" i="11"/>
  <c r="AT27" i="11" s="1"/>
  <c r="AN39" i="11"/>
  <c r="AN40" i="11" s="1"/>
  <c r="L65" i="11"/>
  <c r="L66" i="11" s="1"/>
  <c r="J117" i="11"/>
  <c r="J118" i="11" s="1"/>
  <c r="AR117" i="11"/>
  <c r="AR118" i="11" s="1"/>
  <c r="P13" i="11"/>
  <c r="P14" i="11" s="1"/>
  <c r="AD156" i="11"/>
  <c r="AD157" i="11" s="1"/>
  <c r="AM143" i="11"/>
  <c r="AM144" i="11" s="1"/>
  <c r="AD91" i="11"/>
  <c r="AD92" i="11" s="1"/>
  <c r="J52" i="11"/>
  <c r="J53" i="11" s="1"/>
  <c r="U13" i="11"/>
  <c r="U14" i="11" s="1"/>
  <c r="J78" i="11"/>
  <c r="J79" i="11" s="1"/>
  <c r="S65" i="11"/>
  <c r="S66" i="11" s="1"/>
  <c r="Z78" i="11"/>
  <c r="Z79" i="11" s="1"/>
  <c r="V104" i="11"/>
  <c r="V105" i="11" s="1"/>
  <c r="AO65" i="11"/>
  <c r="AO66" i="11" s="1"/>
  <c r="L143" i="11"/>
  <c r="L144" i="11" s="1"/>
  <c r="AL143" i="11"/>
  <c r="AL144" i="11" s="1"/>
  <c r="G91" i="11"/>
  <c r="G92" i="11" s="1"/>
  <c r="AA130" i="11"/>
  <c r="AA131" i="11" s="1"/>
  <c r="AJ156" i="11"/>
  <c r="AJ157" i="11" s="1"/>
  <c r="AE65" i="11"/>
  <c r="AE66" i="11" s="1"/>
  <c r="AN52" i="11"/>
  <c r="AN53" i="11" s="1"/>
  <c r="K143" i="11"/>
  <c r="K144" i="11" s="1"/>
  <c r="M156" i="11"/>
  <c r="M157" i="11" s="1"/>
  <c r="S13" i="11"/>
  <c r="S14" i="11" s="1"/>
  <c r="AS39" i="11"/>
  <c r="AS40" i="11" s="1"/>
  <c r="AN65" i="11"/>
  <c r="AN66" i="11" s="1"/>
  <c r="D26" i="11"/>
  <c r="D27" i="11" s="1"/>
  <c r="AK156" i="11"/>
  <c r="AK157" i="11" s="1"/>
  <c r="AX104" i="11"/>
  <c r="AX105" i="11" s="1"/>
  <c r="AB169" i="11"/>
  <c r="AB170" i="11" s="1"/>
  <c r="AX78" i="11"/>
  <c r="AX79" i="11" s="1"/>
  <c r="AF156" i="11"/>
  <c r="AF157" i="11" s="1"/>
  <c r="S39" i="11"/>
  <c r="S40" i="11" s="1"/>
  <c r="AU91" i="11"/>
  <c r="AU92" i="11" s="1"/>
  <c r="AH26" i="11"/>
  <c r="AH27" i="11" s="1"/>
  <c r="C130" i="11"/>
  <c r="C131" i="11" s="1"/>
  <c r="G117" i="11"/>
  <c r="G118" i="11" s="1"/>
  <c r="AN156" i="11"/>
  <c r="AN157" i="11" s="1"/>
  <c r="AP130" i="11"/>
  <c r="AP131" i="11" s="1"/>
  <c r="I65" i="11"/>
  <c r="I66" i="11" s="1"/>
  <c r="AF26" i="11"/>
  <c r="AF27" i="11" s="1"/>
  <c r="O130" i="11"/>
  <c r="O131" i="11" s="1"/>
  <c r="AQ143" i="11"/>
  <c r="AQ144" i="11" s="1"/>
  <c r="H91" i="11"/>
  <c r="H92" i="11" s="1"/>
  <c r="V26" i="11"/>
  <c r="V27" i="11" s="1"/>
  <c r="AM26" i="11"/>
  <c r="AM27" i="11" s="1"/>
  <c r="M65" i="11"/>
  <c r="M66" i="11" s="1"/>
  <c r="AN117" i="11"/>
  <c r="AN118" i="11" s="1"/>
  <c r="G143" i="11"/>
  <c r="G144" i="11" s="1"/>
  <c r="X65" i="11"/>
  <c r="X66" i="11" s="1"/>
  <c r="I13" i="11"/>
  <c r="I14" i="11" s="1"/>
  <c r="P130" i="11"/>
  <c r="P131" i="11" s="1"/>
  <c r="AM156" i="11"/>
  <c r="AM157" i="11" s="1"/>
  <c r="AM130" i="11"/>
  <c r="AM131" i="11" s="1"/>
  <c r="AL52" i="11"/>
  <c r="AL53" i="11" s="1"/>
  <c r="AD39" i="11"/>
  <c r="AD40" i="11" s="1"/>
  <c r="AC143" i="11"/>
  <c r="AC144" i="11" s="1"/>
  <c r="AI13" i="11"/>
  <c r="AI14" i="11" s="1"/>
  <c r="L104" i="11"/>
  <c r="L105" i="11" s="1"/>
  <c r="F143" i="11"/>
  <c r="F144" i="11" s="1"/>
  <c r="M104" i="11"/>
  <c r="M105" i="11" s="1"/>
  <c r="AP117" i="11"/>
  <c r="AP118" i="11" s="1"/>
  <c r="AB104" i="11"/>
  <c r="AB105" i="11" s="1"/>
  <c r="N39" i="11"/>
  <c r="N40" i="11" s="1"/>
  <c r="AO117" i="11"/>
  <c r="AO118" i="11" s="1"/>
  <c r="AM117" i="11"/>
  <c r="AM118" i="11" s="1"/>
  <c r="Y52" i="11"/>
  <c r="Y53" i="11" s="1"/>
  <c r="K13" i="11"/>
  <c r="K14" i="11" s="1"/>
  <c r="AK117" i="11"/>
  <c r="AK118" i="11" s="1"/>
  <c r="AG13" i="11"/>
  <c r="AG14" i="11" s="1"/>
  <c r="Z91" i="11"/>
  <c r="Z92" i="11" s="1"/>
  <c r="O117" i="11"/>
  <c r="O118" i="11" s="1"/>
  <c r="C104" i="11"/>
  <c r="C105" i="11" s="1"/>
  <c r="F117" i="11"/>
  <c r="F118" i="11" s="1"/>
  <c r="L117" i="11"/>
  <c r="L118" i="11" s="1"/>
  <c r="N13" i="11"/>
  <c r="N14" i="11" s="1"/>
  <c r="X169" i="11"/>
  <c r="X170" i="11" s="1"/>
  <c r="AO13" i="11"/>
  <c r="AO14" i="11" s="1"/>
  <c r="N26" i="11"/>
  <c r="N27" i="11" s="1"/>
  <c r="M91" i="11"/>
  <c r="M92" i="11" s="1"/>
  <c r="AD52" i="11"/>
  <c r="AD53" i="11" s="1"/>
  <c r="Y117" i="11"/>
  <c r="Y118" i="11" s="1"/>
  <c r="M13" i="11"/>
  <c r="M14" i="11" s="1"/>
  <c r="AE91" i="11"/>
  <c r="AE92" i="11" s="1"/>
  <c r="AR65" i="11"/>
  <c r="AR66" i="11" s="1"/>
  <c r="AP78" i="11"/>
  <c r="AP79" i="11" s="1"/>
  <c r="J65" i="11"/>
  <c r="J66" i="11" s="1"/>
  <c r="Y156" i="11"/>
  <c r="Y157" i="11" s="1"/>
  <c r="H65" i="11"/>
  <c r="H66" i="11" s="1"/>
  <c r="AF91" i="11"/>
  <c r="AF92" i="11" s="1"/>
  <c r="F78" i="11"/>
  <c r="F79" i="11" s="1"/>
  <c r="AX52" i="11"/>
  <c r="AX53" i="11" s="1"/>
  <c r="V78" i="11"/>
  <c r="V79" i="11" s="1"/>
  <c r="F130" i="11"/>
  <c r="F131" i="11" s="1"/>
  <c r="AX65" i="11"/>
  <c r="AX66" i="11" s="1"/>
  <c r="AJ104" i="11"/>
  <c r="AJ105" i="11" s="1"/>
  <c r="Z169" i="11"/>
  <c r="Z170" i="11" s="1"/>
  <c r="J130" i="11"/>
  <c r="J131" i="11" s="1"/>
  <c r="O156" i="11"/>
  <c r="O157" i="11" s="1"/>
  <c r="AJ13" i="11"/>
  <c r="AJ14" i="11" s="1"/>
  <c r="U169" i="11"/>
  <c r="U170" i="11" s="1"/>
  <c r="R78" i="11"/>
  <c r="R79" i="11" s="1"/>
  <c r="AL39" i="11"/>
  <c r="AL40" i="11" s="1"/>
  <c r="V91" i="11"/>
  <c r="V92" i="11" s="1"/>
  <c r="AQ52" i="11"/>
  <c r="AQ53" i="11" s="1"/>
  <c r="AK52" i="11"/>
  <c r="AK53" i="11" s="1"/>
  <c r="AE52" i="11"/>
  <c r="AE53" i="11" s="1"/>
  <c r="AX117" i="11"/>
  <c r="AX118" i="11" s="1"/>
  <c r="E13" i="11"/>
  <c r="E14" i="11" s="1"/>
  <c r="W143" i="11"/>
  <c r="W144" i="11" s="1"/>
  <c r="AU156" i="11"/>
  <c r="AU157" i="11" s="1"/>
  <c r="AU13" i="11"/>
  <c r="AU14" i="11" s="1"/>
  <c r="R26" i="11"/>
  <c r="R27" i="11" s="1"/>
  <c r="N52" i="11"/>
  <c r="N53" i="11" s="1"/>
  <c r="G52" i="11"/>
  <c r="G53" i="11" s="1"/>
  <c r="AD117" i="11"/>
  <c r="AD118" i="11" s="1"/>
  <c r="M117" i="11"/>
  <c r="M118" i="11" s="1"/>
  <c r="M52" i="11"/>
  <c r="M53" i="11" s="1"/>
  <c r="F91" i="11"/>
  <c r="F92" i="11" s="1"/>
  <c r="Z65" i="11"/>
  <c r="Z66" i="11" s="1"/>
  <c r="I130" i="11"/>
  <c r="I131" i="11" s="1"/>
  <c r="AU78" i="11"/>
  <c r="AU79" i="11" s="1"/>
  <c r="AS52" i="11"/>
  <c r="AS53" i="11" s="1"/>
  <c r="T169" i="11"/>
  <c r="T170" i="11" s="1"/>
  <c r="AG117" i="11"/>
  <c r="AG118" i="11" s="1"/>
  <c r="AF117" i="11"/>
  <c r="AF118" i="11" s="1"/>
  <c r="T91" i="11"/>
  <c r="T92" i="11" s="1"/>
  <c r="AG156" i="11"/>
  <c r="AG157" i="11" s="1"/>
  <c r="P117" i="11"/>
  <c r="P118" i="11" s="1"/>
  <c r="C117" i="11"/>
  <c r="C118" i="11" s="1"/>
  <c r="Z39" i="11"/>
  <c r="Z40" i="11" s="1"/>
  <c r="AF143" i="11"/>
  <c r="AF144" i="11" s="1"/>
  <c r="Z143" i="11"/>
  <c r="Z144" i="11" s="1"/>
  <c r="AQ13" i="11"/>
  <c r="AQ14" i="11" s="1"/>
  <c r="T117" i="11"/>
  <c r="T118" i="11" s="1"/>
  <c r="Z52" i="11"/>
  <c r="Z53" i="11" s="1"/>
  <c r="T52" i="11"/>
  <c r="T53" i="11" s="1"/>
  <c r="AB39" i="11"/>
  <c r="AB40" i="11" s="1"/>
  <c r="Q117" i="11"/>
  <c r="Q118" i="11" s="1"/>
  <c r="I26" i="11"/>
  <c r="I27" i="11" s="1"/>
  <c r="AH78" i="11"/>
  <c r="AH79" i="11" s="1"/>
  <c r="M143" i="11"/>
  <c r="M144" i="11" s="1"/>
  <c r="AV13" i="11"/>
  <c r="AV14" i="11" s="1"/>
  <c r="AV104" i="11"/>
  <c r="AV105" i="11" s="1"/>
  <c r="AV143" i="11"/>
  <c r="AV144" i="11" s="1"/>
  <c r="AV52" i="11"/>
  <c r="AV53" i="11" s="1"/>
  <c r="AX156" i="11"/>
  <c r="AX157" i="11" s="1"/>
  <c r="H52" i="11"/>
  <c r="H53" i="11" s="1"/>
  <c r="AU169" i="11"/>
  <c r="AU170" i="11" s="1"/>
  <c r="J39" i="11"/>
  <c r="J40" i="11" s="1"/>
  <c r="D78" i="11"/>
  <c r="D79" i="11" s="1"/>
  <c r="O104" i="11"/>
  <c r="O105" i="11" s="1"/>
  <c r="AK26" i="11"/>
  <c r="AK27" i="11" s="1"/>
  <c r="W52" i="11"/>
  <c r="W53" i="11" s="1"/>
  <c r="AS156" i="11"/>
  <c r="AS157" i="11" s="1"/>
  <c r="H78" i="11"/>
  <c r="H79" i="11" s="1"/>
  <c r="AA52" i="11"/>
  <c r="AA53" i="11" s="1"/>
  <c r="Q78" i="11"/>
  <c r="Q79" i="11" s="1"/>
  <c r="AR39" i="11"/>
  <c r="AR40" i="11" s="1"/>
  <c r="AL13" i="11"/>
  <c r="AL14" i="11" s="1"/>
  <c r="AF104" i="11"/>
  <c r="AF105" i="11" s="1"/>
  <c r="AM91" i="11"/>
  <c r="AM92" i="11" s="1"/>
  <c r="H13" i="11"/>
  <c r="H14" i="11" s="1"/>
  <c r="AR78" i="11"/>
  <c r="AR79" i="11" s="1"/>
  <c r="AO143" i="11"/>
  <c r="AO144" i="11" s="1"/>
  <c r="N91" i="11"/>
  <c r="N92" i="11" s="1"/>
  <c r="AI130" i="11"/>
  <c r="AI131" i="11" s="1"/>
  <c r="T130" i="11"/>
  <c r="T131" i="11" s="1"/>
  <c r="D52" i="11"/>
  <c r="D53" i="11" s="1"/>
  <c r="AB130" i="11"/>
  <c r="AB131" i="11" s="1"/>
  <c r="AR13" i="11"/>
  <c r="AR14" i="11" s="1"/>
  <c r="AF13" i="11"/>
  <c r="AF14" i="11" s="1"/>
  <c r="Y104" i="11"/>
  <c r="Y105" i="11" s="1"/>
  <c r="C91" i="11"/>
  <c r="C92" i="11" s="1"/>
  <c r="P91" i="11"/>
  <c r="P92" i="11" s="1"/>
  <c r="AA143" i="11"/>
  <c r="AA144" i="11" s="1"/>
  <c r="F52" i="11"/>
  <c r="F53" i="11" s="1"/>
  <c r="W91" i="11"/>
  <c r="W92" i="11" s="1"/>
  <c r="R39" i="11"/>
  <c r="R40" i="11" s="1"/>
  <c r="AB13" i="11"/>
  <c r="AB14" i="11" s="1"/>
  <c r="AU26" i="11"/>
  <c r="AU27" i="11" s="1"/>
  <c r="AD104" i="11"/>
  <c r="AD105" i="11" s="1"/>
  <c r="AB26" i="11"/>
  <c r="AB27" i="11" s="1"/>
  <c r="AC52" i="11"/>
  <c r="AC53" i="11" s="1"/>
  <c r="P156" i="11"/>
  <c r="P157" i="11" s="1"/>
  <c r="C52" i="11"/>
  <c r="C53" i="11" s="1"/>
  <c r="AL169" i="11"/>
  <c r="AL170" i="11" s="1"/>
  <c r="AK91" i="11"/>
  <c r="AK92" i="11" s="1"/>
  <c r="D169" i="11"/>
  <c r="D170" i="11" s="1"/>
  <c r="AG26" i="11"/>
  <c r="AG27" i="11" s="1"/>
  <c r="AA117" i="11"/>
  <c r="AA118" i="11" s="1"/>
  <c r="AE39" i="11"/>
  <c r="AE40" i="11" s="1"/>
  <c r="AK39" i="11"/>
  <c r="AK40" i="11" s="1"/>
  <c r="S26" i="11"/>
  <c r="S27" i="11" s="1"/>
  <c r="AC156" i="11"/>
  <c r="AC157" i="11" s="1"/>
  <c r="AG91" i="11"/>
  <c r="AG92" i="11" s="1"/>
  <c r="Z26" i="11"/>
  <c r="Z27" i="11" s="1"/>
  <c r="AC13" i="11"/>
  <c r="AC14" i="11" s="1"/>
  <c r="AN104" i="11"/>
  <c r="AN105" i="11" s="1"/>
  <c r="E78" i="11"/>
  <c r="E79" i="11" s="1"/>
  <c r="AX13" i="11"/>
  <c r="AX14" i="11" s="1"/>
  <c r="R117" i="11"/>
  <c r="R118" i="11" s="1"/>
  <c r="AD26" i="11"/>
  <c r="AD27" i="11" s="1"/>
  <c r="Q52" i="11"/>
  <c r="Q53" i="11" s="1"/>
  <c r="AF169" i="11"/>
  <c r="AF170" i="11" s="1"/>
  <c r="H104" i="11"/>
  <c r="H105" i="11" s="1"/>
  <c r="AO91" i="11"/>
  <c r="AO92" i="11" s="1"/>
  <c r="AA65" i="11"/>
  <c r="AA66" i="11" s="1"/>
  <c r="K26" i="11"/>
  <c r="K27" i="11" s="1"/>
  <c r="T143" i="11"/>
  <c r="T144" i="11" s="1"/>
  <c r="S143" i="11"/>
  <c r="S144" i="11" s="1"/>
  <c r="AH143" i="11"/>
  <c r="AH144" i="11" s="1"/>
  <c r="I91" i="11"/>
  <c r="I92" i="11" s="1"/>
  <c r="D91" i="11"/>
  <c r="D92" i="11" s="1"/>
  <c r="AA156" i="11"/>
  <c r="AA157" i="11" s="1"/>
  <c r="AI78" i="11"/>
  <c r="AI79" i="11" s="1"/>
  <c r="AP91" i="11"/>
  <c r="AP92" i="11" s="1"/>
  <c r="AQ104" i="11"/>
  <c r="AQ105" i="11" s="1"/>
  <c r="Y91" i="11"/>
  <c r="Y92" i="11" s="1"/>
  <c r="AT39" i="11"/>
  <c r="AT40" i="11" s="1"/>
  <c r="I39" i="11"/>
  <c r="I40" i="11" s="1"/>
  <c r="AB78" i="11"/>
  <c r="AB79" i="11" s="1"/>
  <c r="O143" i="11"/>
  <c r="O144" i="11" s="1"/>
  <c r="R156" i="11"/>
  <c r="R157" i="11" s="1"/>
  <c r="D65" i="11"/>
  <c r="D66" i="11" s="1"/>
  <c r="AP13" i="11"/>
  <c r="AP14" i="11" s="1"/>
  <c r="AC104" i="11"/>
  <c r="AC105" i="11" s="1"/>
  <c r="AL104" i="11"/>
  <c r="AL105" i="11" s="1"/>
  <c r="U26" i="11"/>
  <c r="U27" i="11" s="1"/>
  <c r="AC78" i="11"/>
  <c r="AC79" i="11" s="1"/>
  <c r="H156" i="11"/>
  <c r="H157" i="11" s="1"/>
  <c r="X52" i="11"/>
  <c r="X53" i="11" s="1"/>
  <c r="AO130" i="11"/>
  <c r="AO131" i="11" s="1"/>
  <c r="AH65" i="11"/>
  <c r="AH66" i="11" s="1"/>
  <c r="AG104" i="11"/>
  <c r="AG105" i="11" s="1"/>
  <c r="AK143" i="11"/>
  <c r="AK144" i="11" s="1"/>
  <c r="R169" i="11"/>
  <c r="R170" i="11" s="1"/>
  <c r="AM169" i="11"/>
  <c r="AM170" i="11" s="1"/>
  <c r="G130" i="11"/>
  <c r="G131" i="11" s="1"/>
  <c r="H117" i="11"/>
  <c r="H118" i="11" s="1"/>
  <c r="S156" i="11"/>
  <c r="S157" i="11" s="1"/>
  <c r="U52" i="11"/>
  <c r="U53" i="11" s="1"/>
  <c r="AB65" i="11"/>
  <c r="AB66" i="11" s="1"/>
  <c r="AG143" i="11"/>
  <c r="AG144" i="11" s="1"/>
  <c r="AN13" i="11"/>
  <c r="AN14" i="11" s="1"/>
  <c r="AC117" i="11"/>
  <c r="AC118" i="11" s="1"/>
  <c r="W26" i="11"/>
  <c r="W27" i="11" s="1"/>
  <c r="T65" i="11"/>
  <c r="T66" i="11" s="1"/>
  <c r="AM52" i="11"/>
  <c r="AM53" i="11" s="1"/>
  <c r="AX143" i="11"/>
  <c r="AX144" i="11" s="1"/>
  <c r="AJ130" i="11"/>
  <c r="AJ131" i="11" s="1"/>
  <c r="L39" i="11"/>
  <c r="L40" i="11" s="1"/>
  <c r="F39" i="11"/>
  <c r="F40" i="11" s="1"/>
  <c r="AS78" i="11"/>
  <c r="AS79" i="11" s="1"/>
  <c r="E117" i="11"/>
  <c r="E118" i="11" s="1"/>
  <c r="O39" i="11"/>
  <c r="O40" i="11" s="1"/>
  <c r="U78" i="11"/>
  <c r="U79" i="11" s="1"/>
  <c r="X143" i="11"/>
  <c r="X144" i="11" s="1"/>
  <c r="T78" i="11"/>
  <c r="T79" i="11" s="1"/>
  <c r="U91" i="11"/>
  <c r="U92" i="11" s="1"/>
  <c r="N156" i="11"/>
  <c r="N157" i="11" s="1"/>
  <c r="AE169" i="11"/>
  <c r="AE170" i="11" s="1"/>
  <c r="AS104" i="11"/>
  <c r="AS105" i="11" s="1"/>
  <c r="U39" i="11"/>
  <c r="U40" i="11" s="1"/>
  <c r="AS65" i="11"/>
  <c r="AS66" i="11" s="1"/>
  <c r="X130" i="11"/>
  <c r="X131" i="11" s="1"/>
  <c r="AT104" i="11"/>
  <c r="AT105" i="11" s="1"/>
  <c r="AS13" i="11"/>
  <c r="AS14" i="11" s="1"/>
  <c r="J13" i="11"/>
  <c r="J14" i="11" s="1"/>
  <c r="V52" i="11"/>
  <c r="V53" i="11" s="1"/>
  <c r="Z117" i="11"/>
  <c r="Z118" i="11" s="1"/>
  <c r="AP39" i="11"/>
  <c r="AP40" i="11" s="1"/>
  <c r="Q169" i="11"/>
  <c r="Q170" i="11" s="1"/>
  <c r="K156" i="11"/>
  <c r="K157" i="11" s="1"/>
  <c r="N169" i="11"/>
  <c r="N170" i="11" s="1"/>
  <c r="AE130" i="11"/>
  <c r="AE131" i="11" s="1"/>
  <c r="AV39" i="11"/>
  <c r="AV40" i="11" s="1"/>
  <c r="AV26" i="11"/>
  <c r="AV27" i="11" s="1"/>
  <c r="AV117" i="11"/>
  <c r="AV118" i="11" s="1"/>
  <c r="AF52" i="11"/>
  <c r="AF53" i="11" s="1"/>
  <c r="AA104" i="11"/>
  <c r="AA105" i="11" s="1"/>
  <c r="AU52" i="11"/>
  <c r="AU53" i="11" s="1"/>
  <c r="AA78" i="11"/>
  <c r="AA79" i="11" s="1"/>
  <c r="AL156" i="11"/>
  <c r="AL157" i="11" s="1"/>
  <c r="AE104" i="11"/>
  <c r="AE105" i="11" s="1"/>
  <c r="AP156" i="11"/>
  <c r="AP157" i="11" s="1"/>
  <c r="AL78" i="11"/>
  <c r="AL79" i="11" s="1"/>
  <c r="AJ65" i="11"/>
  <c r="AJ66" i="11" s="1"/>
  <c r="U117" i="11"/>
  <c r="U118" i="11" s="1"/>
  <c r="Q65" i="11"/>
  <c r="Q66" i="11" s="1"/>
  <c r="AO78" i="11"/>
  <c r="AO79" i="11" s="1"/>
  <c r="I156" i="11"/>
  <c r="I157" i="11" s="1"/>
  <c r="Z104" i="11"/>
  <c r="Z105" i="11" s="1"/>
  <c r="AL91" i="11"/>
  <c r="AL92" i="11" s="1"/>
  <c r="C26" i="11"/>
  <c r="C27" i="11" s="1"/>
  <c r="J104" i="11"/>
  <c r="J105" i="11" s="1"/>
  <c r="U65" i="11"/>
  <c r="U66" i="11" s="1"/>
  <c r="D156" i="11"/>
  <c r="D157" i="11" s="1"/>
  <c r="AI91" i="11"/>
  <c r="AI92" i="11" s="1"/>
  <c r="AG169" i="11"/>
  <c r="AG170" i="11" s="1"/>
  <c r="AU65" i="11"/>
  <c r="AU66" i="11" s="1"/>
  <c r="Q143" i="11"/>
  <c r="Q144" i="11" s="1"/>
  <c r="AI52" i="11"/>
  <c r="AI53" i="11" s="1"/>
  <c r="X26" i="11"/>
  <c r="X27" i="11" s="1"/>
  <c r="S91" i="11"/>
  <c r="S92" i="11" s="1"/>
  <c r="AU143" i="11"/>
  <c r="AU144" i="11" s="1"/>
  <c r="G13" i="11"/>
  <c r="G14" i="11" s="1"/>
  <c r="AX91" i="11"/>
  <c r="AX92" i="11" s="1"/>
  <c r="T39" i="11"/>
  <c r="T40" i="11" s="1"/>
  <c r="AJ39" i="11"/>
  <c r="AJ40" i="11" s="1"/>
  <c r="N130" i="11"/>
  <c r="N131" i="11" s="1"/>
  <c r="P143" i="11"/>
  <c r="P144" i="11" s="1"/>
  <c r="AR26" i="11"/>
  <c r="AR27" i="11" s="1"/>
  <c r="AC65" i="11"/>
  <c r="AC66" i="11" s="1"/>
  <c r="S78" i="11"/>
  <c r="S79" i="11" s="1"/>
  <c r="AO104" i="11"/>
  <c r="AO105" i="11" s="1"/>
  <c r="AM104" i="11"/>
  <c r="AM105" i="11" s="1"/>
  <c r="E156" i="11"/>
  <c r="E157" i="11" s="1"/>
  <c r="F65" i="11"/>
  <c r="F66" i="11" s="1"/>
  <c r="AJ52" i="11"/>
  <c r="AJ53" i="11" s="1"/>
  <c r="K169" i="11"/>
  <c r="K170" i="11" s="1"/>
  <c r="AQ130" i="11"/>
  <c r="AQ131" i="11" s="1"/>
  <c r="V13" i="11"/>
  <c r="V14" i="11" s="1"/>
  <c r="O65" i="11"/>
  <c r="O66" i="11" s="1"/>
  <c r="AD65" i="11"/>
  <c r="AD66" i="11" s="1"/>
  <c r="Y26" i="11"/>
  <c r="Y27" i="11" s="1"/>
  <c r="F104" i="11"/>
  <c r="F105" i="11" s="1"/>
  <c r="AG130" i="11"/>
  <c r="AG131" i="11" s="1"/>
  <c r="E52" i="11"/>
  <c r="E53" i="11" s="1"/>
  <c r="AG78" i="11"/>
  <c r="AG79" i="11" s="1"/>
  <c r="W156" i="11"/>
  <c r="W157" i="11" s="1"/>
  <c r="AH130" i="11"/>
  <c r="AH131" i="11" s="1"/>
  <c r="N143" i="11"/>
  <c r="N144" i="11" s="1"/>
  <c r="AC26" i="11"/>
  <c r="AC27" i="11" s="1"/>
  <c r="AR130" i="11"/>
  <c r="AR131" i="11" s="1"/>
  <c r="AS117" i="11"/>
  <c r="AS118" i="11" s="1"/>
  <c r="V156" i="11"/>
  <c r="V157" i="11" s="1"/>
  <c r="AH39" i="11"/>
  <c r="AH40" i="11" s="1"/>
  <c r="AM78" i="11"/>
  <c r="AM79" i="11" s="1"/>
  <c r="AA13" i="11"/>
  <c r="AA14" i="11" s="1"/>
  <c r="L52" i="11"/>
  <c r="L53" i="11" s="1"/>
  <c r="AR52" i="11"/>
  <c r="AR53" i="11" s="1"/>
  <c r="E65" i="11"/>
  <c r="E66" i="11" s="1"/>
  <c r="X104" i="11"/>
  <c r="X105" i="11" s="1"/>
  <c r="K65" i="11"/>
  <c r="K66" i="11" s="1"/>
  <c r="AJ91" i="11"/>
  <c r="AJ92" i="11" s="1"/>
  <c r="AB52" i="11"/>
  <c r="AB53" i="11" s="1"/>
  <c r="V169" i="11"/>
  <c r="V170" i="11" s="1"/>
  <c r="C78" i="11"/>
  <c r="C79" i="11" s="1"/>
  <c r="AX130" i="11"/>
  <c r="AX131" i="11" s="1"/>
  <c r="G104" i="11"/>
  <c r="G105" i="11" s="1"/>
  <c r="AH117" i="11"/>
  <c r="AH118" i="11" s="1"/>
  <c r="J91" i="11"/>
  <c r="J92" i="11" s="1"/>
  <c r="AT130" i="11"/>
  <c r="AT131" i="11" s="1"/>
  <c r="AN169" i="11"/>
  <c r="AN170" i="11" s="1"/>
  <c r="AO26" i="11"/>
  <c r="AO27" i="11" s="1"/>
  <c r="E91" i="11"/>
  <c r="E92" i="11" s="1"/>
  <c r="J156" i="11"/>
  <c r="J157" i="11" s="1"/>
  <c r="T13" i="11"/>
  <c r="T14" i="11" s="1"/>
  <c r="AT65" i="11"/>
  <c r="AT66" i="11" s="1"/>
  <c r="AH52" i="11"/>
  <c r="AH53" i="11" s="1"/>
  <c r="Y78" i="11"/>
  <c r="Y79" i="11" s="1"/>
  <c r="Q91" i="11"/>
  <c r="Q92" i="11" s="1"/>
  <c r="AH91" i="11"/>
  <c r="AH92" i="11" s="1"/>
  <c r="L156" i="11"/>
  <c r="L157" i="11" s="1"/>
  <c r="P39" i="11"/>
  <c r="P40" i="11" s="1"/>
  <c r="G39" i="11"/>
  <c r="G40" i="11" s="1"/>
  <c r="AR104" i="11"/>
  <c r="AR105" i="11" s="1"/>
  <c r="AS143" i="11"/>
  <c r="AS144" i="11" s="1"/>
  <c r="W104" i="11"/>
  <c r="W105" i="11" s="1"/>
  <c r="AR156" i="11"/>
  <c r="AR157" i="11" s="1"/>
  <c r="W39" i="11"/>
  <c r="W40" i="11" s="1"/>
  <c r="D143" i="11"/>
  <c r="D144" i="11" s="1"/>
  <c r="Z156" i="11"/>
  <c r="Z157" i="11" s="1"/>
  <c r="AQ78" i="11"/>
  <c r="AQ79" i="11" s="1"/>
  <c r="AT117" i="11"/>
  <c r="AT118" i="11" s="1"/>
  <c r="O26" i="11"/>
  <c r="O27" i="11" s="1"/>
  <c r="Q26" i="11"/>
  <c r="Q27" i="11" s="1"/>
  <c r="M39" i="11"/>
  <c r="M40" i="11" s="1"/>
  <c r="G78" i="11"/>
  <c r="G79" i="11" s="1"/>
  <c r="AR143" i="11"/>
  <c r="AR144" i="11" s="1"/>
  <c r="AD143" i="11"/>
  <c r="AD144" i="11" s="1"/>
  <c r="AF130" i="11"/>
  <c r="AF131" i="11" s="1"/>
  <c r="K117" i="11"/>
  <c r="K118" i="11" s="1"/>
  <c r="Q39" i="11"/>
  <c r="Q40" i="11" s="1"/>
  <c r="V130" i="11"/>
  <c r="V131" i="11" s="1"/>
  <c r="AA91" i="11"/>
  <c r="AA92" i="11" s="1"/>
  <c r="AQ39" i="11"/>
  <c r="AQ40" i="11" s="1"/>
  <c r="AU39" i="11"/>
  <c r="AU40" i="11" s="1"/>
  <c r="AR91" i="11"/>
  <c r="AR92" i="11" s="1"/>
  <c r="C13" i="11"/>
  <c r="C14" i="11" s="1"/>
  <c r="X91" i="11"/>
  <c r="X92" i="11" s="1"/>
  <c r="L78" i="11"/>
  <c r="L79" i="11" s="1"/>
  <c r="AG52" i="11"/>
  <c r="AG53" i="11" s="1"/>
  <c r="E104" i="11"/>
  <c r="E105" i="11" s="1"/>
  <c r="AP143" i="11"/>
  <c r="AP144" i="11" s="1"/>
  <c r="L130" i="11"/>
  <c r="L131" i="11" s="1"/>
  <c r="AE26" i="11"/>
  <c r="AE27" i="11" s="1"/>
  <c r="AU104" i="11"/>
  <c r="AU105" i="11" s="1"/>
  <c r="AM13" i="11"/>
  <c r="AM14" i="11" s="1"/>
  <c r="AQ65" i="11"/>
  <c r="AQ66" i="11" s="1"/>
  <c r="M130" i="11"/>
  <c r="M131" i="11" s="1"/>
  <c r="AA39" i="11"/>
  <c r="AA40" i="11" s="1"/>
  <c r="H143" i="11"/>
  <c r="H144" i="11" s="1"/>
  <c r="D104" i="11"/>
  <c r="D105" i="11" s="1"/>
  <c r="X13" i="11"/>
  <c r="X14" i="11" s="1"/>
  <c r="AQ117" i="11"/>
  <c r="AQ118" i="11" s="1"/>
  <c r="AV91" i="11"/>
  <c r="AV92" i="11" s="1"/>
  <c r="AV169" i="11"/>
  <c r="AV170" i="11" s="1"/>
  <c r="C39" i="11"/>
  <c r="C40" i="11" s="1"/>
  <c r="AL117" i="11"/>
  <c r="AL118" i="11" s="1"/>
  <c r="AP104" i="11"/>
  <c r="AP105" i="11" s="1"/>
  <c r="AU130" i="11"/>
  <c r="AU131" i="11" s="1"/>
  <c r="S104" i="11"/>
  <c r="S105" i="11" s="1"/>
  <c r="AB156" i="11"/>
  <c r="AB157" i="11" s="1"/>
  <c r="R13" i="11"/>
  <c r="R14" i="11" s="1"/>
  <c r="AA26" i="11"/>
  <c r="AA27" i="11" s="1"/>
  <c r="AE143" i="11"/>
  <c r="AE144" i="11" s="1"/>
  <c r="AG39" i="11"/>
  <c r="AG40" i="11" s="1"/>
  <c r="AQ26" i="11"/>
  <c r="AQ27" i="11" s="1"/>
  <c r="AD169" i="11"/>
  <c r="AD170" i="11" s="1"/>
  <c r="P52" i="11"/>
  <c r="P53" i="11" s="1"/>
  <c r="M78" i="11"/>
  <c r="M79" i="11" s="1"/>
  <c r="AB117" i="11"/>
  <c r="AB118" i="11" s="1"/>
  <c r="Y130" i="11"/>
  <c r="Y131" i="11" s="1"/>
  <c r="AI65" i="11"/>
  <c r="AI66" i="11" s="1"/>
  <c r="AP65" i="11"/>
  <c r="AP66" i="11" s="1"/>
  <c r="E39" i="11"/>
  <c r="E40" i="11" s="1"/>
  <c r="AK78" i="11"/>
  <c r="AK79" i="11" s="1"/>
  <c r="AJ78" i="11"/>
  <c r="AJ79" i="11" s="1"/>
  <c r="G65" i="11"/>
  <c r="G66" i="11" s="1"/>
  <c r="G26" i="11"/>
  <c r="G27" i="11" s="1"/>
  <c r="R104" i="11"/>
  <c r="R105" i="11" s="1"/>
  <c r="W169" i="11"/>
  <c r="W170" i="11" s="1"/>
  <c r="AI143" i="11"/>
  <c r="AI144" i="11" s="1"/>
  <c r="AI39" i="11"/>
  <c r="AI40" i="11" s="1"/>
  <c r="Q156" i="11"/>
  <c r="Q157" i="11" s="1"/>
  <c r="AF39" i="11"/>
  <c r="AF40" i="11" s="1"/>
  <c r="AH169" i="11"/>
  <c r="AH170" i="11" s="1"/>
  <c r="AH104" i="11"/>
  <c r="AH105" i="11" s="1"/>
  <c r="AU117" i="11"/>
  <c r="AU118" i="11" s="1"/>
  <c r="K130" i="11"/>
  <c r="K131" i="11" s="1"/>
  <c r="W13" i="11"/>
  <c r="W14" i="11" s="1"/>
  <c r="V65" i="11"/>
  <c r="V66" i="11" s="1"/>
  <c r="AM65" i="11"/>
  <c r="AM66" i="11" s="1"/>
  <c r="F156" i="11"/>
  <c r="F157" i="11" s="1"/>
  <c r="W78" i="11"/>
  <c r="W79" i="11" s="1"/>
  <c r="P26" i="11"/>
  <c r="P27" i="11" s="1"/>
  <c r="AE117" i="11"/>
  <c r="AE118" i="11" s="1"/>
  <c r="H130" i="11"/>
  <c r="H131" i="11" s="1"/>
  <c r="I117" i="11"/>
  <c r="I118" i="11" s="1"/>
  <c r="Y65" i="11"/>
  <c r="Y66" i="11" s="1"/>
  <c r="R143" i="11"/>
  <c r="R144" i="11" s="1"/>
  <c r="S117" i="11"/>
  <c r="S118" i="11" s="1"/>
  <c r="I78" i="11"/>
  <c r="I79" i="11" s="1"/>
  <c r="O169" i="11"/>
  <c r="O170" i="11" s="1"/>
  <c r="AJ143" i="11"/>
  <c r="AJ144" i="11" s="1"/>
  <c r="R91" i="11"/>
  <c r="R92" i="11" s="1"/>
  <c r="Y39" i="11"/>
  <c r="Y40" i="11" s="1"/>
  <c r="Y143" i="11"/>
  <c r="Y144" i="11" s="1"/>
  <c r="T156" i="11"/>
  <c r="T157" i="11" s="1"/>
  <c r="U104" i="11"/>
  <c r="U105" i="11" s="1"/>
  <c r="D13" i="11"/>
  <c r="D14" i="11" s="1"/>
  <c r="Q130" i="11"/>
  <c r="Q131" i="11" s="1"/>
  <c r="AD130" i="11"/>
  <c r="AD131" i="11" s="1"/>
  <c r="AJ26" i="11"/>
  <c r="AJ27" i="11" s="1"/>
  <c r="K104" i="11"/>
  <c r="K105" i="11" s="1"/>
  <c r="G169" i="11"/>
  <c r="G170" i="11" s="1"/>
  <c r="AT13" i="11"/>
  <c r="AT14" i="11" s="1"/>
  <c r="O91" i="11"/>
  <c r="O92" i="11" s="1"/>
  <c r="AI104" i="11"/>
  <c r="AI105" i="11" s="1"/>
  <c r="E26" i="11"/>
  <c r="E27" i="11" s="1"/>
  <c r="AT52" i="11"/>
  <c r="AT53" i="11" s="1"/>
  <c r="L91" i="11"/>
  <c r="L92" i="11" s="1"/>
  <c r="AO52" i="11"/>
  <c r="AO53" i="11" s="1"/>
  <c r="V117" i="11"/>
  <c r="V118" i="11" s="1"/>
  <c r="AI156" i="11"/>
  <c r="AI157" i="11" s="1"/>
  <c r="U143" i="11"/>
  <c r="U144" i="11" s="1"/>
  <c r="D117" i="11"/>
  <c r="D118" i="11" s="1"/>
  <c r="O52" i="11"/>
  <c r="O53" i="11" s="1"/>
  <c r="AK13" i="11"/>
  <c r="AK14" i="11" s="1"/>
  <c r="AF78" i="11"/>
  <c r="AF79" i="11" s="1"/>
  <c r="AE13" i="11"/>
  <c r="AE14" i="11" s="1"/>
  <c r="X39" i="11"/>
  <c r="X40" i="11" s="1"/>
  <c r="K91" i="11"/>
  <c r="K92" i="11" s="1"/>
  <c r="AR169" i="11"/>
  <c r="AR170" i="11" s="1"/>
  <c r="AK104" i="11"/>
  <c r="AK105" i="11" s="1"/>
  <c r="R130" i="11"/>
  <c r="R131" i="11" s="1"/>
  <c r="C65" i="11"/>
  <c r="C66" i="11" s="1"/>
  <c r="K39" i="11"/>
  <c r="K40" i="11" s="1"/>
  <c r="R52" i="11"/>
  <c r="R53" i="11" s="1"/>
  <c r="S130" i="11"/>
  <c r="S131" i="11" s="1"/>
  <c r="W130" i="11"/>
  <c r="W131" i="11" s="1"/>
  <c r="AB91" i="11"/>
  <c r="AB92" i="11" s="1"/>
  <c r="I143" i="11"/>
  <c r="I144" i="11" s="1"/>
  <c r="N78" i="11"/>
  <c r="N79" i="11" s="1"/>
  <c r="X78" i="11"/>
  <c r="X79" i="11" s="1"/>
  <c r="AD78" i="11"/>
  <c r="AD79" i="11" s="1"/>
  <c r="V143" i="11"/>
  <c r="V144" i="11" s="1"/>
  <c r="L26" i="11"/>
  <c r="L27" i="11" s="1"/>
  <c r="AC91" i="11"/>
  <c r="AC92" i="11" s="1"/>
  <c r="K52" i="11"/>
  <c r="K53" i="11" s="1"/>
  <c r="D130" i="11"/>
  <c r="D131" i="11" s="1"/>
  <c r="H26" i="11"/>
  <c r="H27" i="11" s="1"/>
  <c r="AK130" i="11"/>
  <c r="AK131" i="11" s="1"/>
  <c r="AO39" i="11"/>
  <c r="AO40" i="11" s="1"/>
  <c r="Y13" i="11"/>
  <c r="Y14" i="11" s="1"/>
  <c r="AT91" i="11"/>
  <c r="AT92" i="11" s="1"/>
  <c r="AE156" i="11"/>
  <c r="AE157" i="11" s="1"/>
  <c r="W117" i="11"/>
  <c r="W118" i="11" s="1"/>
  <c r="AO156" i="11"/>
  <c r="AO157" i="11" s="1"/>
  <c r="AK65" i="11"/>
  <c r="AK66" i="11" s="1"/>
  <c r="F26" i="11"/>
  <c r="F27" i="11" s="1"/>
  <c r="AS91" i="11"/>
  <c r="AS92" i="11" s="1"/>
  <c r="E130" i="11"/>
  <c r="E131" i="11" s="1"/>
  <c r="AE78" i="11"/>
  <c r="AE79" i="11" s="1"/>
  <c r="AL130" i="11"/>
  <c r="AL131" i="11" s="1"/>
  <c r="U156" i="11"/>
  <c r="U157" i="11" s="1"/>
  <c r="J143" i="11"/>
  <c r="J144" i="11" s="1"/>
  <c r="Z13" i="11"/>
  <c r="Z14" i="11" s="1"/>
  <c r="AC39" i="11"/>
  <c r="AC40" i="11" s="1"/>
  <c r="AT78" i="11"/>
  <c r="AT79" i="11" s="1"/>
  <c r="AP52" i="11"/>
  <c r="AP53" i="11" s="1"/>
  <c r="E143" i="11"/>
  <c r="E144" i="11" s="1"/>
  <c r="R65" i="11"/>
  <c r="R66" i="11" s="1"/>
  <c r="Z130" i="11"/>
  <c r="Z131" i="11" s="1"/>
  <c r="AL65" i="11"/>
  <c r="AL66" i="11" s="1"/>
  <c r="O13" i="11"/>
  <c r="O14" i="11" s="1"/>
  <c r="AI26" i="11"/>
  <c r="AI27" i="11" s="1"/>
  <c r="P78" i="11"/>
  <c r="P79" i="11" s="1"/>
  <c r="AL26" i="11"/>
  <c r="AL27" i="11" s="1"/>
  <c r="P65" i="11"/>
  <c r="P66" i="11" s="1"/>
  <c r="AN26" i="11"/>
  <c r="AN27" i="11" s="1"/>
  <c r="H39" i="11"/>
  <c r="H40" i="11" s="1"/>
  <c r="AM39" i="11"/>
  <c r="AM40" i="11" s="1"/>
  <c r="AV78" i="11"/>
  <c r="AV79" i="11" s="1"/>
  <c r="AV130" i="11"/>
  <c r="AV131" i="11" s="1"/>
  <c r="AV65" i="11"/>
  <c r="AV66" i="11" s="1"/>
  <c r="AV156" i="11"/>
  <c r="AV157" i="11" s="1"/>
  <c r="AW143" i="11" l="1"/>
  <c r="AW144" i="11" s="1"/>
  <c r="C99" i="6"/>
  <c r="K54" i="1" s="1"/>
  <c r="K55" i="1" s="1"/>
  <c r="C99" i="5"/>
  <c r="J54" i="1" s="1"/>
  <c r="J55" i="1" s="1"/>
  <c r="AW181" i="11"/>
  <c r="AW182" i="11" s="1"/>
  <c r="AW183" i="11" s="1"/>
  <c r="AV181" i="11"/>
  <c r="AV182" i="11" s="1"/>
  <c r="AV183" i="11" s="1"/>
  <c r="U181" i="11"/>
  <c r="U182" i="11" s="1"/>
  <c r="U183" i="11" s="1"/>
  <c r="D181" i="11"/>
  <c r="D182" i="11" s="1"/>
  <c r="D183" i="11" s="1"/>
  <c r="N181" i="11"/>
  <c r="N182" i="11" s="1"/>
  <c r="N183" i="11" s="1"/>
  <c r="Z181" i="11"/>
  <c r="Z182" i="11" s="1"/>
  <c r="Z183" i="11" s="1"/>
  <c r="F181" i="11"/>
  <c r="F182" i="11" s="1"/>
  <c r="F183" i="11" s="1"/>
  <c r="C181" i="11"/>
  <c r="C182" i="11" s="1"/>
  <c r="C183" i="11" s="1"/>
  <c r="AC181" i="11"/>
  <c r="AC182" i="11" s="1"/>
  <c r="AC183" i="11" s="1"/>
  <c r="Y181" i="11"/>
  <c r="Y182" i="11" s="1"/>
  <c r="Y183" i="11" s="1"/>
  <c r="AN181" i="11"/>
  <c r="AN182" i="11" s="1"/>
  <c r="AN183" i="11" s="1"/>
  <c r="AE181" i="11"/>
  <c r="AE182" i="11" s="1"/>
  <c r="AE183" i="11" s="1"/>
  <c r="AA181" i="11"/>
  <c r="AA182" i="11" s="1"/>
  <c r="AA183" i="11" s="1"/>
  <c r="W181" i="11"/>
  <c r="W182" i="11" s="1"/>
  <c r="W183" i="11" s="1"/>
  <c r="O181" i="11"/>
  <c r="O182" i="11" s="1"/>
  <c r="O183" i="11" s="1"/>
  <c r="E181" i="11"/>
  <c r="E182" i="11" s="1"/>
  <c r="E183" i="11" s="1"/>
  <c r="AG181" i="11"/>
  <c r="AG182" i="11" s="1"/>
  <c r="AG183" i="11" s="1"/>
  <c r="AB181" i="11"/>
  <c r="AB182" i="11" s="1"/>
  <c r="AB183" i="11" s="1"/>
  <c r="AH181" i="11"/>
  <c r="AH182" i="11" s="1"/>
  <c r="AH183" i="11" s="1"/>
  <c r="V181" i="11"/>
  <c r="V182" i="11" s="1"/>
  <c r="V183" i="11" s="1"/>
  <c r="AR181" i="11"/>
  <c r="AR182" i="11" s="1"/>
  <c r="AR183" i="11" s="1"/>
  <c r="J181" i="11"/>
  <c r="J182" i="11" s="1"/>
  <c r="J183" i="11" s="1"/>
  <c r="AT181" i="11"/>
  <c r="AT182" i="11" s="1"/>
  <c r="AT183" i="11" s="1"/>
  <c r="T181" i="11"/>
  <c r="T182" i="11" s="1"/>
  <c r="T183" i="11" s="1"/>
  <c r="L181" i="11"/>
  <c r="L182" i="11" s="1"/>
  <c r="L183" i="11" s="1"/>
  <c r="X181" i="11"/>
  <c r="X182" i="11" s="1"/>
  <c r="X183" i="11" s="1"/>
  <c r="G181" i="11"/>
  <c r="G182" i="11" s="1"/>
  <c r="G183" i="11" s="1"/>
  <c r="AS181" i="11"/>
  <c r="AS182" i="11" s="1"/>
  <c r="AS183" i="11" s="1"/>
  <c r="AF181" i="11"/>
  <c r="AF182" i="11" s="1"/>
  <c r="AF183" i="11" s="1"/>
  <c r="AL181" i="11"/>
  <c r="AL182" i="11" s="1"/>
  <c r="AL183" i="11" s="1"/>
  <c r="AD181" i="11"/>
  <c r="AD182" i="11" s="1"/>
  <c r="AD183" i="11" s="1"/>
  <c r="A182" i="11"/>
  <c r="A183" i="11" s="1"/>
  <c r="AI181" i="11"/>
  <c r="AI182" i="11" s="1"/>
  <c r="AI183" i="11" s="1"/>
  <c r="R181" i="11"/>
  <c r="R182" i="11" s="1"/>
  <c r="R183" i="11" s="1"/>
  <c r="AO181" i="11"/>
  <c r="AO182" i="11" s="1"/>
  <c r="AO183" i="11" s="1"/>
  <c r="H181" i="11"/>
  <c r="H182" i="11" s="1"/>
  <c r="H183" i="11" s="1"/>
  <c r="AX181" i="11"/>
  <c r="AX182" i="11" s="1"/>
  <c r="AX183" i="11" s="1"/>
  <c r="AJ181" i="11"/>
  <c r="AJ182" i="11" s="1"/>
  <c r="AJ183" i="11" s="1"/>
  <c r="AQ181" i="11"/>
  <c r="AQ182" i="11" s="1"/>
  <c r="AQ183" i="11" s="1"/>
  <c r="AM181" i="11"/>
  <c r="AM182" i="11" s="1"/>
  <c r="AM183" i="11" s="1"/>
  <c r="Q181" i="11"/>
  <c r="Q182" i="11" s="1"/>
  <c r="Q183" i="11" s="1"/>
  <c r="M181" i="11"/>
  <c r="M182" i="11" s="1"/>
  <c r="M183" i="11" s="1"/>
  <c r="I181" i="11"/>
  <c r="I182" i="11" s="1"/>
  <c r="I183" i="11" s="1"/>
  <c r="AP181" i="11"/>
  <c r="AP182" i="11" s="1"/>
  <c r="AP183" i="11" s="1"/>
  <c r="K181" i="11"/>
  <c r="K182" i="11" s="1"/>
  <c r="K183" i="11" s="1"/>
  <c r="S181" i="11"/>
  <c r="S182" i="11" s="1"/>
  <c r="S183" i="11" s="1"/>
  <c r="AU181" i="11"/>
  <c r="AU182" i="11" s="1"/>
  <c r="AU183" i="11" s="1"/>
  <c r="AK181" i="11"/>
  <c r="AK182" i="11" s="1"/>
  <c r="AK183" i="11" s="1"/>
  <c r="P181" i="11"/>
  <c r="P182" i="11" s="1"/>
  <c r="P183" i="11" s="1"/>
  <c r="AW205" i="11"/>
  <c r="AV205" i="11"/>
  <c r="K205" i="11"/>
  <c r="D205" i="11"/>
  <c r="AU205" i="11"/>
  <c r="Q205" i="11"/>
  <c r="T205" i="11"/>
  <c r="S205" i="11"/>
  <c r="R205" i="11"/>
  <c r="E205" i="11"/>
  <c r="V205" i="11"/>
  <c r="P205" i="11"/>
  <c r="I205" i="11"/>
  <c r="AI205" i="11"/>
  <c r="N205" i="11"/>
  <c r="AR205" i="11"/>
  <c r="C205" i="11"/>
  <c r="Z205" i="11"/>
  <c r="O205" i="11"/>
  <c r="AO205" i="11"/>
  <c r="U205" i="11"/>
  <c r="AC205" i="11"/>
  <c r="AE205" i="11"/>
  <c r="AD205" i="11"/>
  <c r="AH205" i="11"/>
  <c r="Y205" i="11"/>
  <c r="AF205" i="11"/>
  <c r="AG205" i="11"/>
  <c r="AB205" i="11"/>
  <c r="AJ205" i="11"/>
  <c r="H205" i="11"/>
  <c r="M205" i="11"/>
  <c r="X205" i="11"/>
  <c r="AM205" i="11"/>
  <c r="J205" i="11"/>
  <c r="W205" i="11"/>
  <c r="F205" i="11"/>
  <c r="G205" i="11"/>
  <c r="L205" i="11"/>
  <c r="AA205" i="11"/>
  <c r="AK205" i="11"/>
  <c r="AS205" i="11"/>
  <c r="AQ205" i="11"/>
  <c r="A206" i="11"/>
  <c r="AX205" i="11"/>
  <c r="AN205" i="11"/>
  <c r="AT205" i="11"/>
  <c r="AP205" i="11"/>
  <c r="AL205" i="11"/>
  <c r="AW193" i="11"/>
  <c r="AV193" i="11"/>
  <c r="AN193" i="11"/>
  <c r="AT193" i="11"/>
  <c r="AH193" i="11"/>
  <c r="S193" i="11"/>
  <c r="AP193" i="11"/>
  <c r="AK193" i="11"/>
  <c r="AL193" i="11"/>
  <c r="AM193" i="11"/>
  <c r="R193" i="11"/>
  <c r="O193" i="11"/>
  <c r="AB193" i="11"/>
  <c r="F193" i="11"/>
  <c r="AR193" i="11"/>
  <c r="Z193" i="11"/>
  <c r="C193" i="11"/>
  <c r="A194" i="11"/>
  <c r="AX193" i="11"/>
  <c r="L193" i="11"/>
  <c r="M193" i="11"/>
  <c r="AD193" i="11"/>
  <c r="AG193" i="11"/>
  <c r="Q193" i="11"/>
  <c r="AE193" i="11"/>
  <c r="V193" i="11"/>
  <c r="J193" i="11"/>
  <c r="I193" i="11"/>
  <c r="Y193" i="11"/>
  <c r="AJ193" i="11"/>
  <c r="AU193" i="11"/>
  <c r="AF193" i="11"/>
  <c r="W193" i="11"/>
  <c r="N193" i="11"/>
  <c r="AO193" i="11"/>
  <c r="K193" i="11"/>
  <c r="X193" i="11"/>
  <c r="H193" i="11"/>
  <c r="P193" i="11"/>
  <c r="AQ193" i="11"/>
  <c r="D193" i="11"/>
  <c r="AI193" i="11"/>
  <c r="G193" i="11"/>
  <c r="AS193" i="11"/>
  <c r="AA193" i="11"/>
  <c r="E193" i="11"/>
  <c r="AC193" i="11"/>
  <c r="U193" i="11"/>
  <c r="T193" i="11"/>
  <c r="D54" i="1"/>
  <c r="D55" i="1" s="1"/>
  <c r="AW194" i="11" l="1"/>
  <c r="AW195" i="11" s="1"/>
  <c r="AW196" i="11" s="1"/>
  <c r="AV194" i="11"/>
  <c r="E194" i="11"/>
  <c r="E195" i="11" s="1"/>
  <c r="E196" i="11" s="1"/>
  <c r="AN194" i="11"/>
  <c r="AN195" i="11" s="1"/>
  <c r="AN196" i="11" s="1"/>
  <c r="AE194" i="11"/>
  <c r="O194" i="11"/>
  <c r="O195" i="11" s="1"/>
  <c r="O196" i="11" s="1"/>
  <c r="AG194" i="11"/>
  <c r="AG195" i="11" s="1"/>
  <c r="AG196" i="11" s="1"/>
  <c r="AC194" i="11"/>
  <c r="AC195" i="11" s="1"/>
  <c r="AC196" i="11" s="1"/>
  <c r="AK194" i="11"/>
  <c r="AK195" i="11" s="1"/>
  <c r="AK196" i="11" s="1"/>
  <c r="Q194" i="11"/>
  <c r="Q195" i="11" s="1"/>
  <c r="Q196" i="11" s="1"/>
  <c r="M194" i="11"/>
  <c r="I194" i="11"/>
  <c r="I195" i="11" s="1"/>
  <c r="I196" i="11" s="1"/>
  <c r="P194" i="11"/>
  <c r="P195" i="11" s="1"/>
  <c r="P196" i="11" s="1"/>
  <c r="AU194" i="11"/>
  <c r="AU195" i="11" s="1"/>
  <c r="AU196" i="11" s="1"/>
  <c r="AM194" i="11"/>
  <c r="AO194" i="11"/>
  <c r="AO195" i="11" s="1"/>
  <c r="AO196" i="11" s="1"/>
  <c r="AQ194" i="11"/>
  <c r="AQ195" i="11" s="1"/>
  <c r="AQ196" i="11" s="1"/>
  <c r="W194" i="11"/>
  <c r="W195" i="11" s="1"/>
  <c r="W196" i="11" s="1"/>
  <c r="AA194" i="11"/>
  <c r="AA195" i="11" s="1"/>
  <c r="AA196" i="11" s="1"/>
  <c r="C194" i="11"/>
  <c r="J194" i="11"/>
  <c r="J195" i="11" s="1"/>
  <c r="J196" i="11" s="1"/>
  <c r="AJ194" i="11"/>
  <c r="AJ195" i="11" s="1"/>
  <c r="AJ196" i="11" s="1"/>
  <c r="AL194" i="11"/>
  <c r="Z194" i="11"/>
  <c r="Z195" i="11" s="1"/>
  <c r="Z196" i="11" s="1"/>
  <c r="R194" i="11"/>
  <c r="R195" i="11" s="1"/>
  <c r="R196" i="11" s="1"/>
  <c r="F194" i="11"/>
  <c r="AR194" i="11"/>
  <c r="AR195" i="11" s="1"/>
  <c r="AR196" i="11" s="1"/>
  <c r="AI194" i="11"/>
  <c r="AI195" i="11" s="1"/>
  <c r="AI196" i="11" s="1"/>
  <c r="AH194" i="11"/>
  <c r="AX194" i="11"/>
  <c r="AX195" i="11" s="1"/>
  <c r="AX196" i="11" s="1"/>
  <c r="AB194" i="11"/>
  <c r="AB195" i="11" s="1"/>
  <c r="AB196" i="11" s="1"/>
  <c r="X194" i="11"/>
  <c r="X195" i="11" s="1"/>
  <c r="X196" i="11" s="1"/>
  <c r="AF194" i="11"/>
  <c r="AF195" i="11" s="1"/>
  <c r="AF196" i="11" s="1"/>
  <c r="L194" i="11"/>
  <c r="L195" i="11" s="1"/>
  <c r="L196" i="11" s="1"/>
  <c r="H194" i="11"/>
  <c r="H195" i="11" s="1"/>
  <c r="H196" i="11" s="1"/>
  <c r="D194" i="11"/>
  <c r="D195" i="11" s="1"/>
  <c r="D196" i="11" s="1"/>
  <c r="K194" i="11"/>
  <c r="K195" i="11" s="1"/>
  <c r="K196" i="11" s="1"/>
  <c r="A195" i="11"/>
  <c r="A196" i="11" s="1"/>
  <c r="Y194" i="11"/>
  <c r="Y195" i="11" s="1"/>
  <c r="Y196" i="11" s="1"/>
  <c r="S194" i="11"/>
  <c r="G194" i="11"/>
  <c r="G195" i="11" s="1"/>
  <c r="G196" i="11" s="1"/>
  <c r="AD194" i="11"/>
  <c r="AD195" i="11" s="1"/>
  <c r="AD196" i="11" s="1"/>
  <c r="N194" i="11"/>
  <c r="N195" i="11" s="1"/>
  <c r="N196" i="11" s="1"/>
  <c r="AS194" i="11"/>
  <c r="AS195" i="11" s="1"/>
  <c r="AS196" i="11" s="1"/>
  <c r="T194" i="11"/>
  <c r="T195" i="11" s="1"/>
  <c r="T196" i="11" s="1"/>
  <c r="AP194" i="11"/>
  <c r="AP195" i="11" s="1"/>
  <c r="AP196" i="11" s="1"/>
  <c r="AT194" i="11"/>
  <c r="AT195" i="11" s="1"/>
  <c r="AT196" i="11" s="1"/>
  <c r="V194" i="11"/>
  <c r="V195" i="11" s="1"/>
  <c r="V196" i="11" s="1"/>
  <c r="U194" i="11"/>
  <c r="U195" i="11" s="1"/>
  <c r="U196" i="11" s="1"/>
  <c r="F195" i="11"/>
  <c r="F196" i="11" s="1"/>
  <c r="AM195" i="11"/>
  <c r="AM196" i="11" s="1"/>
  <c r="S195" i="11"/>
  <c r="S196" i="11" s="1"/>
  <c r="AV195" i="11"/>
  <c r="AV196" i="11" s="1"/>
  <c r="AW206" i="11"/>
  <c r="AV206" i="11"/>
  <c r="G206" i="11"/>
  <c r="AO206" i="11"/>
  <c r="AR206" i="11"/>
  <c r="AG206" i="11"/>
  <c r="AK206" i="11"/>
  <c r="D206" i="11"/>
  <c r="AI206" i="11"/>
  <c r="J206" i="11"/>
  <c r="AB206" i="11"/>
  <c r="U206" i="11"/>
  <c r="Z206" i="11"/>
  <c r="C206" i="11"/>
  <c r="AN206" i="11"/>
  <c r="P206" i="11"/>
  <c r="AL206" i="11"/>
  <c r="AM206" i="11"/>
  <c r="S206" i="11"/>
  <c r="AF206" i="11"/>
  <c r="AA206" i="11"/>
  <c r="AU206" i="11"/>
  <c r="X206" i="11"/>
  <c r="AC206" i="11"/>
  <c r="L206" i="11"/>
  <c r="Q206" i="11"/>
  <c r="M206" i="11"/>
  <c r="AX206" i="11"/>
  <c r="AS206" i="11"/>
  <c r="AP206" i="11"/>
  <c r="W206" i="11"/>
  <c r="E206" i="11"/>
  <c r="O206" i="11"/>
  <c r="F206" i="11"/>
  <c r="I206" i="11"/>
  <c r="AQ206" i="11"/>
  <c r="R206" i="11"/>
  <c r="K206" i="11"/>
  <c r="T206" i="11"/>
  <c r="A207" i="11"/>
  <c r="AJ206" i="11"/>
  <c r="AD206" i="11"/>
  <c r="AE206" i="11"/>
  <c r="AT206" i="11"/>
  <c r="AH206" i="11"/>
  <c r="N206" i="11"/>
  <c r="Y206" i="11"/>
  <c r="V206" i="11"/>
  <c r="H206" i="11"/>
  <c r="AE195" i="11"/>
  <c r="AE196" i="11" s="1"/>
  <c r="M195" i="11"/>
  <c r="M196" i="11" s="1"/>
  <c r="C195" i="11"/>
  <c r="C196" i="11" s="1"/>
  <c r="AL195" i="11"/>
  <c r="AL196" i="11" s="1"/>
  <c r="AH195" i="11"/>
  <c r="AH196" i="11" s="1"/>
  <c r="AW207" i="11" l="1"/>
  <c r="AW208" i="11" s="1"/>
  <c r="AW209" i="11" s="1"/>
  <c r="AW214" i="11" s="1"/>
  <c r="AV207" i="11"/>
  <c r="AV208" i="11" s="1"/>
  <c r="AV209" i="11" s="1"/>
  <c r="AV214" i="11" s="1"/>
  <c r="A208" i="11"/>
  <c r="A209" i="11" s="1"/>
  <c r="AM207" i="11"/>
  <c r="AM208" i="11" s="1"/>
  <c r="AM209" i="11" s="1"/>
  <c r="AM214" i="11" s="1"/>
  <c r="AI207" i="11"/>
  <c r="AI208" i="11" s="1"/>
  <c r="AI209" i="11" s="1"/>
  <c r="AI214" i="11" s="1"/>
  <c r="N207" i="11"/>
  <c r="N208" i="11" s="1"/>
  <c r="N209" i="11" s="1"/>
  <c r="N214" i="11" s="1"/>
  <c r="V15" i="1" s="1"/>
  <c r="E15" i="1" s="1"/>
  <c r="X15" i="1" s="1"/>
  <c r="AQ207" i="11"/>
  <c r="AQ208" i="11" s="1"/>
  <c r="AQ209" i="11" s="1"/>
  <c r="AQ214" i="11" s="1"/>
  <c r="W207" i="11"/>
  <c r="W208" i="11" s="1"/>
  <c r="W209" i="11" s="1"/>
  <c r="W214" i="11" s="1"/>
  <c r="V24" i="1" s="1"/>
  <c r="E24" i="1" s="1"/>
  <c r="X24" i="1" s="1"/>
  <c r="AA207" i="11"/>
  <c r="AA208" i="11" s="1"/>
  <c r="AA209" i="11" s="1"/>
  <c r="AA214" i="11" s="1"/>
  <c r="V28" i="1" s="1"/>
  <c r="E28" i="1" s="1"/>
  <c r="X28" i="1" s="1"/>
  <c r="C207" i="11"/>
  <c r="C208" i="11" s="1"/>
  <c r="C209" i="11" s="1"/>
  <c r="C214" i="11" s="1"/>
  <c r="K207" i="11"/>
  <c r="K208" i="11" s="1"/>
  <c r="K209" i="11" s="1"/>
  <c r="K214" i="11" s="1"/>
  <c r="V12" i="1" s="1"/>
  <c r="E12" i="1" s="1"/>
  <c r="X12" i="1" s="1"/>
  <c r="AN207" i="11"/>
  <c r="AN208" i="11" s="1"/>
  <c r="AN209" i="11" s="1"/>
  <c r="AN214" i="11" s="1"/>
  <c r="X207" i="11"/>
  <c r="X208" i="11" s="1"/>
  <c r="X209" i="11" s="1"/>
  <c r="X214" i="11" s="1"/>
  <c r="V25" i="1" s="1"/>
  <c r="E25" i="1" s="1"/>
  <c r="X25" i="1" s="1"/>
  <c r="I207" i="11"/>
  <c r="I208" i="11" s="1"/>
  <c r="I209" i="11" s="1"/>
  <c r="I214" i="11" s="1"/>
  <c r="V10" i="1" s="1"/>
  <c r="E10" i="1" s="1"/>
  <c r="X10" i="1" s="1"/>
  <c r="AJ207" i="11"/>
  <c r="AJ208" i="11" s="1"/>
  <c r="AJ209" i="11" s="1"/>
  <c r="AJ214" i="11" s="1"/>
  <c r="L207" i="11"/>
  <c r="L208" i="11" s="1"/>
  <c r="L209" i="11" s="1"/>
  <c r="L214" i="11" s="1"/>
  <c r="V13" i="1" s="1"/>
  <c r="E13" i="1" s="1"/>
  <c r="X13" i="1" s="1"/>
  <c r="AE207" i="11"/>
  <c r="AE208" i="11" s="1"/>
  <c r="AE209" i="11" s="1"/>
  <c r="AE214" i="11" s="1"/>
  <c r="V32" i="1" s="1"/>
  <c r="E32" i="1" s="1"/>
  <c r="X32" i="1" s="1"/>
  <c r="AO207" i="11"/>
  <c r="AO208" i="11" s="1"/>
  <c r="AO209" i="11" s="1"/>
  <c r="AO214" i="11" s="1"/>
  <c r="AB207" i="11"/>
  <c r="AB208" i="11" s="1"/>
  <c r="AB209" i="11" s="1"/>
  <c r="AB214" i="11" s="1"/>
  <c r="V29" i="1" s="1"/>
  <c r="E29" i="1" s="1"/>
  <c r="X29" i="1" s="1"/>
  <c r="AS207" i="11"/>
  <c r="AS208" i="11" s="1"/>
  <c r="AS209" i="11" s="1"/>
  <c r="AS214" i="11" s="1"/>
  <c r="AG207" i="11"/>
  <c r="AG208" i="11" s="1"/>
  <c r="AG209" i="11" s="1"/>
  <c r="AG214" i="11" s="1"/>
  <c r="V34" i="1" s="1"/>
  <c r="E34" i="1" s="1"/>
  <c r="X34" i="1" s="1"/>
  <c r="Y207" i="11"/>
  <c r="Y208" i="11" s="1"/>
  <c r="Y209" i="11" s="1"/>
  <c r="Y214" i="11" s="1"/>
  <c r="V26" i="1" s="1"/>
  <c r="E26" i="1" s="1"/>
  <c r="X26" i="1" s="1"/>
  <c r="Q207" i="11"/>
  <c r="Q208" i="11" s="1"/>
  <c r="Q209" i="11" s="1"/>
  <c r="Q214" i="11" s="1"/>
  <c r="V18" i="1" s="1"/>
  <c r="E18" i="1" s="1"/>
  <c r="X18" i="1" s="1"/>
  <c r="M207" i="11"/>
  <c r="M208" i="11" s="1"/>
  <c r="M209" i="11" s="1"/>
  <c r="M214" i="11" s="1"/>
  <c r="V14" i="1" s="1"/>
  <c r="E14" i="1" s="1"/>
  <c r="X14" i="1" s="1"/>
  <c r="AD207" i="11"/>
  <c r="AD208" i="11" s="1"/>
  <c r="AD209" i="11" s="1"/>
  <c r="AD214" i="11" s="1"/>
  <c r="V31" i="1" s="1"/>
  <c r="E31" i="1" s="1"/>
  <c r="X31" i="1" s="1"/>
  <c r="AP207" i="11"/>
  <c r="AP208" i="11" s="1"/>
  <c r="AP209" i="11" s="1"/>
  <c r="AP214" i="11" s="1"/>
  <c r="V207" i="11"/>
  <c r="V208" i="11" s="1"/>
  <c r="V209" i="11" s="1"/>
  <c r="V214" i="11" s="1"/>
  <c r="V23" i="1" s="1"/>
  <c r="E23" i="1" s="1"/>
  <c r="X23" i="1" s="1"/>
  <c r="R207" i="11"/>
  <c r="R208" i="11" s="1"/>
  <c r="R209" i="11" s="1"/>
  <c r="R214" i="11" s="1"/>
  <c r="V19" i="1" s="1"/>
  <c r="E19" i="1" s="1"/>
  <c r="X19" i="1" s="1"/>
  <c r="P207" i="11"/>
  <c r="P208" i="11" s="1"/>
  <c r="P209" i="11" s="1"/>
  <c r="P214" i="11" s="1"/>
  <c r="V17" i="1" s="1"/>
  <c r="E17" i="1" s="1"/>
  <c r="X17" i="1" s="1"/>
  <c r="Z207" i="11"/>
  <c r="Z208" i="11" s="1"/>
  <c r="Z209" i="11" s="1"/>
  <c r="Z214" i="11" s="1"/>
  <c r="V27" i="1" s="1"/>
  <c r="E27" i="1" s="1"/>
  <c r="X27" i="1" s="1"/>
  <c r="F207" i="11"/>
  <c r="F208" i="11" s="1"/>
  <c r="F209" i="11" s="1"/>
  <c r="F214" i="11" s="1"/>
  <c r="V7" i="1" s="1"/>
  <c r="E7" i="1" s="1"/>
  <c r="X7" i="1" s="1"/>
  <c r="J207" i="11"/>
  <c r="J208" i="11" s="1"/>
  <c r="J209" i="11" s="1"/>
  <c r="J214" i="11" s="1"/>
  <c r="V11" i="1" s="1"/>
  <c r="E11" i="1" s="1"/>
  <c r="X11" i="1" s="1"/>
  <c r="AC207" i="11"/>
  <c r="AC208" i="11" s="1"/>
  <c r="AC209" i="11" s="1"/>
  <c r="AC214" i="11" s="1"/>
  <c r="V30" i="1" s="1"/>
  <c r="E30" i="1" s="1"/>
  <c r="X30" i="1" s="1"/>
  <c r="AK207" i="11"/>
  <c r="AK208" i="11" s="1"/>
  <c r="AK209" i="11" s="1"/>
  <c r="AK214" i="11" s="1"/>
  <c r="T207" i="11"/>
  <c r="T208" i="11" s="1"/>
  <c r="T209" i="11" s="1"/>
  <c r="T214" i="11" s="1"/>
  <c r="V21" i="1" s="1"/>
  <c r="E21" i="1" s="1"/>
  <c r="X21" i="1" s="1"/>
  <c r="D207" i="11"/>
  <c r="D208" i="11" s="1"/>
  <c r="D209" i="11" s="1"/>
  <c r="D214" i="11" s="1"/>
  <c r="V5" i="1" s="1"/>
  <c r="E5" i="1" s="1"/>
  <c r="X5" i="1" s="1"/>
  <c r="AR207" i="11"/>
  <c r="AR208" i="11" s="1"/>
  <c r="AR209" i="11" s="1"/>
  <c r="AR214" i="11" s="1"/>
  <c r="U207" i="11"/>
  <c r="U208" i="11" s="1"/>
  <c r="U209" i="11" s="1"/>
  <c r="U214" i="11" s="1"/>
  <c r="V22" i="1" s="1"/>
  <c r="E22" i="1" s="1"/>
  <c r="X22" i="1" s="1"/>
  <c r="AX207" i="11"/>
  <c r="AX208" i="11" s="1"/>
  <c r="AX209" i="11" s="1"/>
  <c r="AX214" i="11" s="1"/>
  <c r="AF207" i="11"/>
  <c r="AF208" i="11" s="1"/>
  <c r="AF209" i="11" s="1"/>
  <c r="AF214" i="11" s="1"/>
  <c r="V33" i="1" s="1"/>
  <c r="E33" i="1" s="1"/>
  <c r="X33" i="1" s="1"/>
  <c r="O207" i="11"/>
  <c r="O208" i="11" s="1"/>
  <c r="O209" i="11" s="1"/>
  <c r="O214" i="11" s="1"/>
  <c r="V16" i="1" s="1"/>
  <c r="E16" i="1" s="1"/>
  <c r="X16" i="1" s="1"/>
  <c r="E207" i="11"/>
  <c r="E208" i="11" s="1"/>
  <c r="E209" i="11" s="1"/>
  <c r="E214" i="11" s="1"/>
  <c r="V6" i="1" s="1"/>
  <c r="E6" i="1" s="1"/>
  <c r="X6" i="1" s="1"/>
  <c r="S207" i="11"/>
  <c r="S208" i="11" s="1"/>
  <c r="S209" i="11" s="1"/>
  <c r="S214" i="11" s="1"/>
  <c r="V20" i="1" s="1"/>
  <c r="E20" i="1" s="1"/>
  <c r="X20" i="1" s="1"/>
  <c r="G207" i="11"/>
  <c r="G208" i="11" s="1"/>
  <c r="G209" i="11" s="1"/>
  <c r="G214" i="11" s="1"/>
  <c r="V8" i="1" s="1"/>
  <c r="E8" i="1" s="1"/>
  <c r="X8" i="1" s="1"/>
  <c r="AT207" i="11"/>
  <c r="AT208" i="11" s="1"/>
  <c r="AT209" i="11" s="1"/>
  <c r="AT214" i="11" s="1"/>
  <c r="AL207" i="11"/>
  <c r="AL208" i="11" s="1"/>
  <c r="AL209" i="11" s="1"/>
  <c r="AL214" i="11" s="1"/>
  <c r="AH207" i="11"/>
  <c r="AH208" i="11" s="1"/>
  <c r="AH209" i="11" s="1"/>
  <c r="AH214" i="11" s="1"/>
  <c r="V35" i="1" s="1"/>
  <c r="E35" i="1" s="1"/>
  <c r="X35" i="1" s="1"/>
  <c r="AU207" i="11"/>
  <c r="AU208" i="11" s="1"/>
  <c r="AU209" i="11" s="1"/>
  <c r="AU214" i="11" s="1"/>
  <c r="H207" i="11"/>
  <c r="H208" i="11" s="1"/>
  <c r="H209" i="11" s="1"/>
  <c r="H214" i="11" s="1"/>
  <c r="V9" i="1" s="1"/>
  <c r="E9" i="1" s="1"/>
  <c r="X9" i="1" s="1"/>
  <c r="B214" i="11" l="1"/>
  <c r="V54" i="1" s="1"/>
  <c r="E54" i="1" s="1"/>
  <c r="V4" i="1"/>
  <c r="V50" i="1"/>
  <c r="E50" i="1" s="1"/>
  <c r="X50" i="1" s="1"/>
  <c r="V49" i="1"/>
  <c r="E49" i="1" s="1"/>
  <c r="X49" i="1" s="1"/>
  <c r="V40" i="1"/>
  <c r="E40" i="1" s="1"/>
  <c r="X40" i="1" s="1"/>
  <c r="V47" i="1"/>
  <c r="E47" i="1" s="1"/>
  <c r="X47" i="1" s="1"/>
  <c r="V36" i="1"/>
  <c r="E36" i="1" s="1"/>
  <c r="X36" i="1" s="1"/>
  <c r="V41" i="1"/>
  <c r="E41" i="1" s="1"/>
  <c r="X41" i="1" s="1"/>
  <c r="V42" i="1"/>
  <c r="E42" i="1" s="1"/>
  <c r="X42" i="1" s="1"/>
  <c r="V48" i="1"/>
  <c r="E48" i="1" s="1"/>
  <c r="X48" i="1" s="1"/>
  <c r="V45" i="1"/>
  <c r="E45" i="1" s="1"/>
  <c r="X45" i="1" s="1"/>
  <c r="V43" i="1"/>
  <c r="E43" i="1" s="1"/>
  <c r="X43" i="1" s="1"/>
  <c r="V37" i="1"/>
  <c r="E37" i="1" s="1"/>
  <c r="X37" i="1" s="1"/>
  <c r="V44" i="1"/>
  <c r="E44" i="1" s="1"/>
  <c r="X44" i="1" s="1"/>
  <c r="V39" i="1"/>
  <c r="E39" i="1" s="1"/>
  <c r="X39" i="1" s="1"/>
  <c r="V38" i="1"/>
  <c r="E38" i="1" s="1"/>
  <c r="X38" i="1" s="1"/>
  <c r="V46" i="1"/>
  <c r="E46" i="1" s="1"/>
  <c r="X46" i="1" s="1"/>
  <c r="V51" i="1"/>
  <c r="E51" i="1" s="1"/>
  <c r="X51" i="1" s="1"/>
  <c r="V52" i="1" l="1"/>
  <c r="V55" i="1" s="1"/>
  <c r="E4" i="1"/>
  <c r="X4" i="1" l="1"/>
  <c r="X52" i="1" s="1"/>
  <c r="E52" i="1"/>
  <c r="E55" i="1" l="1"/>
  <c r="X55" i="1" s="1"/>
  <c r="E58" i="1"/>
  <c r="B60" i="1"/>
  <c r="B61" i="1" s="1"/>
  <c r="G58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23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  <comment ref="H25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26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31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<sst xmlns="http://schemas.openxmlformats.org/spreadsheetml/2006/main" count="1832" uniqueCount="235">
  <si>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</si>
  <si>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</si>
  <si>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</si>
  <si>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</si>
  <si>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</si>
  <si>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</si>
  <si>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</si>
  <si>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</si>
  <si>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</si>
  <si>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</si>
  <si>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</si>
  <si>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</si>
  <si>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</si>
  <si>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</si>
  <si>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</si>
  <si>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</si>
  <si>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</si>
  <si>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</si>
  <si>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</si>
  <si>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</si>
  <si>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</si>
  <si>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</si>
  <si>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</si>
  <si>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</si>
  <si>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</si>
  <si>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</si>
  <si>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</si>
  <si>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</si>
  <si>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</si>
  <si>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</si>
  <si>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</si>
  <si>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</si>
  <si>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</si>
  <si>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</si>
  <si>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</si>
  <si>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</si>
  <si>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</si>
  <si>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</si>
  <si>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</si>
  <si>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</si>
  <si>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</si>
  <si>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</si>
  <si>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</si>
  <si>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</si>
  <si>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</si>
  <si>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</si>
  <si>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</si>
  <si>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</si>
  <si>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</si>
  <si>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</si>
  <si>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</si>
  <si>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</si>
  <si>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</si>
  <si>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</si>
  <si>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</si>
  <si>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</si>
  <si>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</si>
  <si>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</si>
  <si>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</si>
  <si>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</si>
  <si>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</si>
  <si>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</si>
  <si>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</si>
  <si>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</si>
  <si>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</si>
  <si>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</si>
  <si>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</si>
  <si>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</si>
  <si>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</si>
  <si>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</si>
  <si>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</si>
  <si>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</si>
  <si>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</si>
  <si>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</si>
  <si>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</si>
  <si>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</si>
  <si>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</si>
  <si>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</si>
  <si>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</si>
  <si>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</si>
  <si>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</si>
  <si>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</si>
  <si>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</si>
  <si>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</si>
  <si>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</si>
  <si>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</si>
  <si>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</si>
  <si>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</si>
  <si>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</si>
  <si>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</si>
  <si>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</si>
  <si>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</si>
  <si>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</si>
  <si>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</si>
  <si>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</si>
  <si>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</si>
  <si>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</si>
  <si>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</si>
  <si>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</si>
  <si>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</si>
  <si>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</si>
  <si>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</si>
  <si>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</si>
  <si>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</si>
  <si>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</si>
  <si>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</si>
  <si>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</si>
  <si>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</si>
  <si>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</si>
  <si>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</si>
  <si>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</si>
  <si>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</si>
  <si>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</si>
  <si>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</si>
  <si>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</si>
  <si>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</si>
  <si>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</si>
  <si>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</si>
  <si>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</si>
  <si>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</si>
  <si>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</si>
  <si>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</si>
  <si>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</si>
  <si>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</si>
  <si>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</si>
  <si>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</si>
  <si>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</si>
  <si>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</si>
  <si>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</si>
  <si>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</si>
  <si>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</si>
  <si>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</si>
  <si>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</si>
  <si>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</si>
  <si>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</si>
  <si>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</si>
  <si>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</si>
  <si>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</si>
  <si>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</si>
  <si>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</si>
  <si>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</si>
  <si>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</si>
  <si>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</si>
  <si>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</si>
  <si>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</si>
  <si>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</si>
  <si>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</si>
  <si>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</si>
  <si>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</si>
  <si>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</si>
  <si>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</si>
  <si>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</si>
  <si>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</si>
  <si>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</si>
  <si>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</si>
  <si>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</si>
  <si>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</si>
  <si>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</si>
  <si>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</si>
  <si>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</si>
  <si>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</si>
  <si>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</si>
  <si>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</si>
  <si>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</si>
  <si>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</si>
  <si>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</si>
  <si>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</si>
  <si>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</si>
  <si>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</si>
  <si>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</si>
  <si>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</si>
  <si>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</si>
  <si>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</si>
  <si>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</si>
  <si>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</si>
  <si>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</si>
  <si>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</si>
  <si>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</si>
  <si>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</si>
  <si>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</si>
  <si>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</si>
  <si>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</si>
  <si>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</si>
  <si>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</si>
  <si>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</si>
  <si>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</si>
  <si>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</si>
  <si>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</si>
  <si>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</si>
  <si>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</si>
  <si>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</si>
  <si>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</si>
  <si>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</si>
  <si>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</si>
  <si>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</si>
  <si>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</si>
  <si>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</si>
  <si>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</si>
  <si>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</si>
  <si>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</si>
  <si>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</si>
  <si>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</si>
  <si>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</si>
  <si>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</si>
  <si>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</si>
  <si>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</si>
  <si>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</si>
  <si>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</si>
  <si>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</si>
  <si>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</si>
  <si>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</si>
  <si>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</si>
  <si>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</si>
  <si>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</si>
  <si>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</si>
  <si>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</si>
  <si>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</si>
  <si>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</si>
  <si>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</si>
  <si>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</si>
  <si>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</si>
  <si>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</si>
  <si>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</si>
  <si>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</si>
  <si>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</si>
  <si>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</si>
  <si>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</si>
  <si>
    <t>Ocampo-Mora Ce</t>
  </si>
  <si>
    <t>Pribilo, Christopher</t>
  </si>
  <si>
    <t>PP Valet (Napa)</t>
  </si>
  <si>
    <t>Levesque, Quintin</t>
  </si>
  <si>
    <t>Ocampo-Mora, Celestino</t>
  </si>
  <si>
    <t>Veilleux, Matthew</t>
  </si>
  <si>
    <t>Pribilo Ch</t>
  </si>
  <si>
    <t>Esquivel 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</si>
</sst>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3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4" fillId="0" borderId="91" xfId="0" applyFont="1" applyBorder="1" applyAlignment="1">
      <alignment horizontal="center"/>
    </xf>
    <xf numFmtId="7" fontId="8" fillId="8" borderId="0" xfId="0" applyNumberFormat="1" applyFont="1" applyFill="1" applyProtection="1"/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5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8E40"/>
      <color rgb="FF03EB3A"/>
      <color rgb="FFEEFF8B"/>
      <color rgb="FFFFFF99"/>
      <color rgb="FFD48482"/>
      <color rgb="FFFF3399"/>
      <color rgb="FF008582"/>
      <color rgb="FF00FFFF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257175</xdr:colOff>
      <xdr:row>66</xdr:row>
      <xdr:rowOff>28575</xdr:rowOff>
    </xdr:from>
    <xdr:to>
      <xdr:col>29</xdr:col>
      <xdr:colOff>447675</xdr:colOff>
      <xdr:row>73</xdr:row>
      <xdr:rowOff>68580</xdr:rowOff>
    </xdr:to>
    <xdr:sp macro="[0]!NewPayPeriod" textlink="">
      <xdr:nvSpPr>
        <xdr:cNvPr id="6" name="btnNewPayPeriod"/>
        <xdr:cNvSpPr/>
      </xdr:nvSpPr>
      <xdr:spPr>
        <a:xfrm>
          <a:off x="13154025" y="9544050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19050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438150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447675</xdr:colOff>
      <xdr:row>56</xdr:row>
      <xdr:rowOff>123642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419100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171140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27</xdr:col>
      <xdr:colOff>66675</xdr:colOff>
      <xdr:row>55</xdr:row>
      <xdr:rowOff>123825</xdr:rowOff>
    </xdr:from>
    <xdr:to>
      <xdr:col>29</xdr:col>
      <xdr:colOff>600075</xdr:colOff>
      <xdr:row>67</xdr:row>
      <xdr:rowOff>19050</xdr:rowOff>
    </xdr:to>
    <xdr:sp macro="[0]!addRowToTotalEmployees" textlink="">
      <xdr:nvSpPr>
        <xdr:cNvPr id="8" name="Plus 7"/>
        <xdr:cNvSpPr/>
      </xdr:nvSpPr>
      <xdr:spPr>
        <a:xfrm>
          <a:off x="12963525" y="8029575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350520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38100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57150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266700</xdr:colOff>
      <xdr:row>21</xdr:row>
      <xdr:rowOff>152399</xdr:rowOff>
    </xdr:from>
    <xdr:to>
      <xdr:col>22</xdr:col>
      <xdr:colOff>68580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7"/>
  <sheetViews>
    <sheetView tabSelected="1" zoomScaleNormal="100" workbookViewId="0">
      <pane xSplit="1" ySplit="1" topLeftCell="B23" activePane="bottomRight" state="frozen"/>
      <selection pane="topRight" activeCell="B1" sqref="B1"/>
      <selection pane="bottomLeft" activeCell="A2" sqref="A2"/>
      <selection pane="bottomRight" activeCell="O39" sqref="O39"/>
    </sheetView>
  </sheetViews>
  <sheetFormatPr defaultColWidth="16.7109375" defaultRowHeight="11.25" x14ac:dyDescent="0.2"/>
  <cols>
    <col min="1" max="1" width="18" style="99" bestFit="1" customWidth="1"/>
    <col min="2" max="2" width="8.7109375" style="378" bestFit="1" customWidth="1"/>
    <col min="3" max="3" width="8.5703125" style="378" bestFit="1" customWidth="1"/>
    <col min="4" max="4" width="8.85546875" style="233" bestFit="1" customWidth="1"/>
    <col min="5" max="5" width="7.42578125" style="95" bestFit="1" customWidth="1"/>
    <col min="6" max="6" width="6.5703125" style="95" bestFit="1" customWidth="1"/>
    <col min="7" max="7" width="8.7109375" style="233" bestFit="1" customWidth="1"/>
    <col min="8" max="8" width="6.5703125" style="377" bestFit="1" customWidth="1"/>
    <col min="9" max="9" width="4" style="377" bestFit="1" customWidth="1"/>
    <col min="10" max="10" width="4" style="226" bestFit="1" customWidth="1"/>
    <col min="11" max="11" width="4.28515625" style="226" bestFit="1" customWidth="1"/>
    <col min="12" max="12" width="5.7109375" style="226" bestFit="1" customWidth="1"/>
    <col min="13" max="16" width="5.7109375" style="233" bestFit="1" customWidth="1"/>
    <col min="17" max="17" width="9.7109375" style="95" bestFit="1" customWidth="1"/>
    <col min="18" max="18" width="6.5703125" style="95" bestFit="1" customWidth="1"/>
    <col min="19" max="19" width="6.42578125" style="95" bestFit="1" customWidth="1"/>
    <col min="20" max="20" width="6.85546875" style="95" bestFit="1" customWidth="1"/>
    <col min="21" max="22" width="6.5703125" style="95" bestFit="1" customWidth="1"/>
    <col min="23" max="23" width="5.42578125" style="378" bestFit="1" customWidth="1"/>
    <col min="24" max="24" width="8.710937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18" t="s">
        <v>9</v>
      </c>
      <c r="B1" s="589" t="s">
        <v>81</v>
      </c>
      <c r="C1" s="590" t="s">
        <v>80</v>
      </c>
      <c r="D1" s="606" t="s">
        <v>33</v>
      </c>
      <c r="E1" s="591" t="s">
        <v>26</v>
      </c>
      <c r="F1" s="592" t="s">
        <v>32</v>
      </c>
      <c r="G1" s="593" t="s">
        <v>77</v>
      </c>
      <c r="H1" s="594" t="s">
        <v>70</v>
      </c>
      <c r="I1" s="595" t="s">
        <v>72</v>
      </c>
      <c r="J1" s="596" t="s">
        <v>29</v>
      </c>
      <c r="K1" s="597" t="s">
        <v>30</v>
      </c>
      <c r="L1" s="598" t="s">
        <v>31</v>
      </c>
      <c r="M1" s="599" t="s">
        <v>49</v>
      </c>
      <c r="N1" s="600" t="s">
        <v>140</v>
      </c>
      <c r="O1" s="607" t="s">
        <v>155</v>
      </c>
      <c r="P1" s="601" t="s">
        <v>74</v>
      </c>
      <c r="Q1" s="602" t="s">
        <v>78</v>
      </c>
      <c r="R1" s="603" t="s">
        <v>71</v>
      </c>
      <c r="S1" s="603" t="s">
        <v>89</v>
      </c>
      <c r="T1" s="598" t="s">
        <v>67</v>
      </c>
      <c r="U1" s="599" t="s">
        <v>96</v>
      </c>
      <c r="V1" s="604" t="s">
        <v>88</v>
      </c>
      <c r="W1" s="605" t="s">
        <v>39</v>
      </c>
      <c r="X1" s="319" t="s">
        <v>3</v>
      </c>
      <c r="Z1" s="320" t="s">
        <v>106</v>
      </c>
    </row>
    <row r="2" spans="1:29" x14ac:dyDescent="0.2">
      <c r="A2" s="632" t="s">
        <v>104</v>
      </c>
      <c r="B2" s="525">
        <v>0</v>
      </c>
      <c r="C2" s="525">
        <v>0</v>
      </c>
      <c r="D2" s="475">
        <f t="shared" ref="D2:D3" si="0">SUM(G2:P2)</f>
        <v>0</v>
      </c>
      <c r="E2" s="476">
        <f t="shared" ref="E2:E3" si="1">SUM(Q2:W2)</f>
        <v>0</v>
      </c>
      <c r="F2" s="477">
        <f>SUMIF(PP!$1:$1,$Z2,PP!$86:$86)+SUMIF(PC!$1:$1,$Z2,PC!$87:$87)</f>
        <v>0</v>
      </c>
      <c r="G2" s="478">
        <f>SUMIF(Driver!$1:$1,$Z2,Driver!$18:$18)</f>
        <v>0</v>
      </c>
      <c r="H2" s="479">
        <f>SUMIF(PP!$1:$1,$Z2,PP!$84:$84)</f>
        <v>0</v>
      </c>
      <c r="I2" s="480">
        <f>SUMIF(PC!$1:$1,$Z2,PC!$85:$85)</f>
        <v>0</v>
      </c>
      <c r="J2" s="478">
        <f>SUMIF(FH!$1:$1,$Z2,FH!$99:$99)</f>
        <v>0</v>
      </c>
      <c r="K2" s="481">
        <f>SUMIF('T22'!$1:$1,$Z2,'T22'!$99:$99)</f>
        <v>0</v>
      </c>
      <c r="L2" s="478">
        <f>SUMIF(RF!$1:$1,$Z2,RF!$18:$18)</f>
        <v>0</v>
      </c>
      <c r="M2" s="478">
        <f>SUMIF(SC!$1:$1,$Z2,IF(DAY(PayDay1)=1,SC!$17:$17,SC!$35:$35))</f>
        <v>0</v>
      </c>
      <c r="N2" s="478">
        <f>SUMIF('RC'!$1:$1,$Z2,'RC'!$18:$18)</f>
        <v>0</v>
      </c>
      <c r="O2" s="478">
        <f>SUMIF(HoO!$1:$1,$Z2,IF(DAY(PayDay1)=1,HoO!$17:$17,HoO!$34:$34))</f>
        <v>0</v>
      </c>
      <c r="P2" s="482">
        <f>SUMIF(TM!$1:$1,$Z2,TM!$18:$18)</f>
        <v>0</v>
      </c>
      <c r="Q2" s="483">
        <f>SUMIF(Driver!$1:$1,$Z2,Driver!$19:$19)</f>
        <v>0</v>
      </c>
      <c r="R2" s="483">
        <f>SUMIF(PP!$1:$1,$Z2,PP!$85:$85)</f>
        <v>0</v>
      </c>
      <c r="S2" s="483">
        <f>SUMIF(PC!$1:$1,$Z2,PC!$86:$86)</f>
        <v>0</v>
      </c>
      <c r="T2" s="483">
        <f>SUMIF(RF!$1:$1,$Z2,RF!$22:$22)</f>
        <v>0</v>
      </c>
      <c r="U2" s="478">
        <f>SUMIF(SC!$1:$1,$Z2,IF(DAY(PayDay1)=1,SC!$18:$18,SC!$36:$36))</f>
        <v>0</v>
      </c>
      <c r="V2" s="484">
        <f>SUMIF(OT!$1:$1,$Z2,OT!$214:$214)</f>
        <v>0</v>
      </c>
      <c r="W2" s="554"/>
      <c r="X2" s="485">
        <f t="shared" ref="X2:X3" si="2">(D2*B2)+E2+F2</f>
        <v>0</v>
      </c>
      <c r="Y2" s="486"/>
      <c r="Z2" s="486" t="str">
        <f t="shared" ref="Z2:Z3" si="3">IFERROR(LEFT(A2,SEARCH(",",A2)-1)&amp;MID(A2,SEARCH(" ",A2),3)," ")</f>
        <v>Bauer Br</v>
      </c>
    </row>
    <row r="3" spans="1:29" x14ac:dyDescent="0.2">
      <c r="A3" s="633" t="s">
        <v>105</v>
      </c>
      <c r="B3" s="526">
        <v>0</v>
      </c>
      <c r="C3" s="526">
        <v>0</v>
      </c>
      <c r="D3" s="487">
        <f t="shared" si="0"/>
        <v>0</v>
      </c>
      <c r="E3" s="488">
        <f t="shared" si="1"/>
        <v>0</v>
      </c>
      <c r="F3" s="489">
        <f>SUMIF(PP!$1:$1,$Z3,PP!$86:$86)+SUMIF(PC!$1:$1,$Z3,PC!$87:$87)</f>
        <v>0</v>
      </c>
      <c r="G3" s="490">
        <f>SUMIF(Driver!$1:$1,$Z3,Driver!$18:$18)</f>
        <v>0</v>
      </c>
      <c r="H3" s="491">
        <f>SUMIF(PP!$1:$1,$Z3,PP!$84:$84)</f>
        <v>0</v>
      </c>
      <c r="I3" s="492">
        <f>SUMIF(PC!$1:$1,$Z3,PC!$85:$85)</f>
        <v>0</v>
      </c>
      <c r="J3" s="490">
        <f>SUMIF(FH!$1:$1,$Z3,FH!$99:$99)</f>
        <v>0</v>
      </c>
      <c r="K3" s="493">
        <f>SUMIF('T22'!$1:$1,$Z3,'T22'!$99:$99)</f>
        <v>0</v>
      </c>
      <c r="L3" s="490">
        <f>SUMIF(RF!$1:$1,$Z3,RF!$18:$18)</f>
        <v>0</v>
      </c>
      <c r="M3" s="490">
        <f>SUMIF(SC!$1:$1,$Z3,IF(DAY(PayDay1)=1,SC!$17:$17,SC!$35:$35))</f>
        <v>0</v>
      </c>
      <c r="N3" s="490">
        <f>SUMIF('RC'!$1:$1,$Z3,'RC'!$18:$18)</f>
        <v>0</v>
      </c>
      <c r="O3" s="490">
        <f>SUMIF(HoO!$1:$1,$Z3,IF(DAY(PayDay1)=1,HoO!$17:$17,HoO!$34:$34))</f>
        <v>0</v>
      </c>
      <c r="P3" s="494">
        <f>SUMIF(TM!$1:$1,$Z3,TM!$18:$18)</f>
        <v>0</v>
      </c>
      <c r="Q3" s="495">
        <f>SUMIF(Driver!$1:$1,$Z3,Driver!$19:$19)</f>
        <v>0</v>
      </c>
      <c r="R3" s="495">
        <f>SUMIF(PP!$1:$1,$Z3,PP!$85:$85)</f>
        <v>0</v>
      </c>
      <c r="S3" s="495">
        <f>SUMIF(PC!$1:$1,$Z3,PC!$86:$86)</f>
        <v>0</v>
      </c>
      <c r="T3" s="495">
        <f>SUMIF(RF!$1:$1,$Z3,RF!$22:$22)</f>
        <v>0</v>
      </c>
      <c r="U3" s="490">
        <f>SUMIF(SC!$1:$1,$Z3,IF(DAY(PayDay1)=1,SC!$18:$18,SC!$36:$36))</f>
        <v>0</v>
      </c>
      <c r="V3" s="496">
        <f>SUMIF(OT!$1:$1,$Z3,OT!$214:$214)</f>
        <v>0</v>
      </c>
      <c r="W3" s="555"/>
      <c r="X3" s="497">
        <f t="shared" si="2"/>
        <v>0</v>
      </c>
      <c r="Y3" s="498"/>
      <c r="Z3" s="498" t="str">
        <f t="shared" si="3"/>
        <v>Bauer St</v>
      </c>
    </row>
    <row r="4" spans="1:29" x14ac:dyDescent="0.2">
      <c r="A4" s="634" t="s">
        <v>144</v>
      </c>
      <c r="B4" s="569">
        <v>10</v>
      </c>
      <c r="C4" s="569">
        <v>13.5</v>
      </c>
      <c r="D4" s="322">
        <f t="shared" ref="D4:D51" si="4">SUM(G4:P4)</f>
        <v>2.5</v>
      </c>
      <c r="E4" s="323">
        <f t="shared" ref="E4:E51" si="5">SUM(Q4:W4)</f>
        <v>0</v>
      </c>
      <c r="F4" s="324">
        <f>SUMIF(PP!$1:$1,$Z4,PP!$86:$86)+SUMIF(PC!$1:$1,$Z4,PC!$87:$87)</f>
        <v>0</v>
      </c>
      <c r="G4" s="325">
        <f>SUMIF(Driver!$1:$1,$Z4,Driver!$18:$18)</f>
        <v>0</v>
      </c>
      <c r="H4" s="326">
        <f>SUMIF(PP!$1:$1,$Z4,PP!$84:$84)</f>
        <v>2.5</v>
      </c>
      <c r="I4" s="327">
        <f>SUMIF(PC!$1:$1,$Z4,PC!$85:$85)</f>
        <v>0</v>
      </c>
      <c r="J4" s="325">
        <f>SUMIF(FH!$1:$1,$Z4,FH!$99:$99)</f>
        <v>0</v>
      </c>
      <c r="K4" s="328">
        <f>SUMIF('T22'!$1:$1,$Z4,'T22'!$99:$99)</f>
        <v>0</v>
      </c>
      <c r="L4" s="325">
        <f>SUMIF(RF!$1:$1,$Z4,RF!$18:$18)</f>
        <v>0</v>
      </c>
      <c r="M4" s="325">
        <f>SUMIF(SC!$1:$1,$Z4,IF(DAY(PayDay1)=1,SC!$17:$17,SC!$35:$35))</f>
        <v>0</v>
      </c>
      <c r="N4" s="325">
        <f>SUMIF('RC'!$1:$1,$Z4,'RC'!$18:$18)</f>
        <v>0</v>
      </c>
      <c r="O4" s="325">
        <f>SUMIF(HoO!$1:$1,$Z4,IF(DAY(PayDay1)=1,HoO!$17:$17,HoO!$34:$34))</f>
        <v>0</v>
      </c>
      <c r="P4" s="329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5">
        <f>SUMIF(SC!$1:$1,$Z4,IF(DAY(PayDay1)=1,SC!$18:$18,SC!$36:$36))</f>
        <v>0</v>
      </c>
      <c r="V4" s="330">
        <f>SUMIF(OT!$1:$1,$Z4,OT!$214:$214)</f>
        <v>0</v>
      </c>
      <c r="W4" s="556"/>
      <c r="X4" s="331">
        <f t="shared" ref="X4:X51" si="6">(D4*B4)+E4+F4</f>
        <v>25</v>
      </c>
      <c r="Y4" s="321"/>
      <c r="Z4" s="321" t="str">
        <f t="shared" ref="Z4:Z51" si="7">IFERROR(LEFT(A4,SEARCH(",",A4)-1)&amp;MID(A4,SEARCH(" ",A4),3)," ")</f>
        <v>Anderson Jo</v>
      </c>
    </row>
    <row r="5" spans="1:29" x14ac:dyDescent="0.2">
      <c r="A5" s="634" t="s">
        <v>194</v>
      </c>
      <c r="B5" s="569">
        <v>10</v>
      </c>
      <c r="C5" s="569">
        <v>13.5</v>
      </c>
      <c r="D5" s="322">
        <f t="shared" si="4"/>
        <v>31</v>
      </c>
      <c r="E5" s="323">
        <f t="shared" si="5"/>
        <v>55.5</v>
      </c>
      <c r="F5" s="324">
        <f>SUMIF(PP!$1:$1,$Z5,PP!$86:$86)+SUMIF(PC!$1:$1,$Z5,PC!$87:$87)</f>
        <v>0</v>
      </c>
      <c r="G5" s="325">
        <f>SUMIF(Driver!$1:$1,$Z5,Driver!$18:$18)</f>
        <v>0</v>
      </c>
      <c r="H5" s="326">
        <f>SUMIF(PP!$1:$1,$Z5,PP!$84:$84)</f>
        <v>0</v>
      </c>
      <c r="I5" s="327">
        <f>SUMIF(PC!$1:$1,$Z5,PC!$85:$85)</f>
        <v>0</v>
      </c>
      <c r="J5" s="325">
        <f>SUMIF(FH!$1:$1,$Z5,FH!$99:$99)</f>
        <v>0</v>
      </c>
      <c r="K5" s="328">
        <f>SUMIF('T22'!$1:$1,$Z5,'T22'!$99:$99)</f>
        <v>0</v>
      </c>
      <c r="L5" s="325">
        <f>SUMIF(RF!$1:$1,$Z5,RF!$18:$18)</f>
        <v>27.75</v>
      </c>
      <c r="M5" s="325">
        <f>SUMIF(SC!$1:$1,$Z5,IF(DAY(PayDay1)=1,SC!$17:$17,SC!$35:$35))</f>
        <v>0</v>
      </c>
      <c r="N5" s="325">
        <f>SUMIF('RC'!$1:$1,$Z5,'RC'!$18:$18)</f>
        <v>0</v>
      </c>
      <c r="O5" s="325">
        <f>SUMIF(HoO!$1:$1,$Z5,IF(DAY(PayDay1)=1,HoO!$17:$17,HoO!$34:$34))</f>
        <v>0</v>
      </c>
      <c r="P5" s="329">
        <f>SUMIF(TM!$1:$1,$Z5,TM!$18:$18)</f>
        <v>3.25</v>
      </c>
      <c r="Q5" s="196">
        <f>SUMIF(Driver!$1:$1,$Z5,Driver!$19:$19)</f>
        <v>0</v>
      </c>
      <c r="R5" s="196">
        <f>SUMIF(PP!$1:$1,$Z5,PP!$85:$85)</f>
        <v>0</v>
      </c>
      <c r="S5" s="196">
        <f>SUMIF(PC!$1:$1,$Z5,PC!$86:$86)</f>
        <v>0</v>
      </c>
      <c r="T5" s="196">
        <f>SUMIF(RF!$1:$1,$Z5,RF!$22:$22)</f>
        <v>55.5</v>
      </c>
      <c r="U5" s="325">
        <f>SUMIF(SC!$1:$1,$Z5,IF(DAY(PayDay1)=1,SC!$18:$18,SC!$36:$36))</f>
        <v>0</v>
      </c>
      <c r="V5" s="330">
        <f>SUMIF(OT!$1:$1,$Z5,OT!$214:$214)</f>
        <v>0</v>
      </c>
      <c r="W5" s="556"/>
      <c r="X5" s="331">
        <f t="shared" si="6"/>
        <v>365.5</v>
      </c>
      <c r="Y5" s="321"/>
      <c r="Z5" s="321" t="str">
        <f t="shared" si="7"/>
        <v>Arroyo Ty</v>
      </c>
    </row>
    <row r="6" spans="1:29" x14ac:dyDescent="0.2">
      <c r="A6" s="634" t="s">
        <v>102</v>
      </c>
      <c r="B6" s="569">
        <v>10</v>
      </c>
      <c r="C6" s="569">
        <v>13.5</v>
      </c>
      <c r="D6" s="322">
        <f t="shared" si="4"/>
        <v>28.75</v>
      </c>
      <c r="E6" s="323">
        <f t="shared" si="5"/>
        <v>32</v>
      </c>
      <c r="F6" s="324">
        <f>SUMIF(PP!$1:$1,$Z6,PP!$86:$86)+SUMIF(PC!$1:$1,$Z6,PC!$87:$87)</f>
        <v>0</v>
      </c>
      <c r="G6" s="325">
        <f>SUMIF(Driver!$1:$1,$Z6,Driver!$18:$18)</f>
        <v>0</v>
      </c>
      <c r="H6" s="326">
        <f>SUMIF(PP!$1:$1,$Z6,PP!$84:$84)</f>
        <v>2.5</v>
      </c>
      <c r="I6" s="327">
        <f>SUMIF(PC!$1:$1,$Z6,PC!$85:$85)</f>
        <v>0</v>
      </c>
      <c r="J6" s="325">
        <f>SUMIF(FH!$1:$1,$Z6,FH!$99:$99)</f>
        <v>0</v>
      </c>
      <c r="K6" s="328">
        <f>SUMIF('T22'!$1:$1,$Z6,'T22'!$99:$99)</f>
        <v>0</v>
      </c>
      <c r="L6" s="325">
        <f>SUMIF(RF!$1:$1,$Z6,RF!$18:$18)</f>
        <v>26.25</v>
      </c>
      <c r="M6" s="325">
        <f>SUMIF(SC!$1:$1,$Z6,IF(DAY(PayDay1)=1,SC!$17:$17,SC!$35:$35))</f>
        <v>0</v>
      </c>
      <c r="N6" s="325">
        <f>SUMIF('RC'!$1:$1,$Z6,'RC'!$18:$18)</f>
        <v>0</v>
      </c>
      <c r="O6" s="325">
        <f>SUMIF(HoO!$1:$1,$Z6,IF(DAY(PayDay1)=1,HoO!$17:$17,HoO!$34:$34))</f>
        <v>0</v>
      </c>
      <c r="P6" s="329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32</v>
      </c>
      <c r="U6" s="325">
        <f>SUMIF(SC!$1:$1,$Z6,IF(DAY(PayDay1)=1,SC!$18:$18,SC!$36:$36))</f>
        <v>0</v>
      </c>
      <c r="V6" s="330">
        <f>SUMIF(OT!$1:$1,$Z6,OT!$214:$214)</f>
        <v>0</v>
      </c>
      <c r="W6" s="556"/>
      <c r="X6" s="331">
        <f t="shared" si="6"/>
        <v>319.5</v>
      </c>
      <c r="Y6" s="321"/>
      <c r="Z6" s="321" t="str">
        <f t="shared" si="7"/>
        <v>Barnyak Al</v>
      </c>
    </row>
    <row r="7" spans="1:29" s="332" customFormat="1" x14ac:dyDescent="0.2">
      <c r="A7" s="634" t="s">
        <v>136</v>
      </c>
      <c r="B7" s="569">
        <v>10</v>
      </c>
      <c r="C7" s="569">
        <v>13.5</v>
      </c>
      <c r="D7" s="322">
        <f t="shared" si="4"/>
        <v>2.5</v>
      </c>
      <c r="E7" s="323">
        <f t="shared" si="5"/>
        <v>0</v>
      </c>
      <c r="F7" s="324">
        <f>SUMIF(PP!$1:$1,$Z7,PP!$86:$86)+SUMIF(PC!$1:$1,$Z7,PC!$87:$87)</f>
        <v>0</v>
      </c>
      <c r="G7" s="325">
        <f>SUMIF(Driver!$1:$1,$Z7,Driver!$18:$18)</f>
        <v>0</v>
      </c>
      <c r="H7" s="326">
        <f>SUMIF(PP!$1:$1,$Z7,PP!$84:$84)</f>
        <v>2.5</v>
      </c>
      <c r="I7" s="327">
        <f>SUMIF(PC!$1:$1,$Z7,PC!$85:$85)</f>
        <v>0</v>
      </c>
      <c r="J7" s="325">
        <f>SUMIF(FH!$1:$1,$Z7,FH!$99:$99)</f>
        <v>0</v>
      </c>
      <c r="K7" s="328">
        <f>SUMIF('T22'!$1:$1,$Z7,'T22'!$99:$99)</f>
        <v>0</v>
      </c>
      <c r="L7" s="325">
        <f>SUMIF(RF!$1:$1,$Z7,RF!$18:$18)</f>
        <v>0</v>
      </c>
      <c r="M7" s="325">
        <f>SUMIF(SC!$1:$1,$Z7,IF(DAY(PayDay1)=1,SC!$17:$17,SC!$35:$35))</f>
        <v>0</v>
      </c>
      <c r="N7" s="325">
        <f>SUMIF('RC'!$1:$1,$Z7,'RC'!$18:$18)</f>
        <v>0</v>
      </c>
      <c r="O7" s="325">
        <f>SUMIF(HoO!$1:$1,$Z7,IF(DAY(PayDay1)=1,HoO!$17:$17,HoO!$34:$34))</f>
        <v>0</v>
      </c>
      <c r="P7" s="329">
        <f>SUMIF(TM!$1:$1,$Z7,TM!$18:$18)</f>
        <v>0</v>
      </c>
      <c r="Q7" s="196">
        <f>SUMIF(Driver!$1:$1,$Z7,Driver!$19:$19)</f>
        <v>0</v>
      </c>
      <c r="R7" s="196">
        <f>SUMIF(PP!$1:$1,$Z7,PP!$85:$85)</f>
        <v>0</v>
      </c>
      <c r="S7" s="196">
        <f>SUMIF(PC!$1:$1,$Z7,PC!$86:$86)</f>
        <v>0</v>
      </c>
      <c r="T7" s="196">
        <f>SUMIF(RF!$1:$1,$Z7,RF!$22:$22)</f>
        <v>0</v>
      </c>
      <c r="U7" s="325">
        <f>SUMIF(SC!$1:$1,$Z7,IF(DAY(PayDay1)=1,SC!$18:$18,SC!$36:$36))</f>
        <v>0</v>
      </c>
      <c r="V7" s="330">
        <f>SUMIF(OT!$1:$1,$Z7,OT!$214:$214)</f>
        <v>0</v>
      </c>
      <c r="W7" s="556"/>
      <c r="X7" s="331">
        <f t="shared" si="6"/>
        <v>25</v>
      </c>
      <c r="Y7" s="321"/>
      <c r="Z7" s="321" t="str">
        <f t="shared" si="7"/>
        <v>Brewer Be</v>
      </c>
    </row>
    <row r="8" spans="1:29" x14ac:dyDescent="0.2">
      <c r="A8" s="634" t="s">
        <v>125</v>
      </c>
      <c r="B8" s="569">
        <v>10</v>
      </c>
      <c r="C8" s="569">
        <v>13.5</v>
      </c>
      <c r="D8" s="322">
        <f t="shared" si="4"/>
        <v>7.75</v>
      </c>
      <c r="E8" s="323">
        <f t="shared" si="5"/>
        <v>0</v>
      </c>
      <c r="F8" s="324">
        <f>SUMIF(PP!$1:$1,$Z8,PP!$86:$86)+SUMIF(PC!$1:$1,$Z8,PC!$87:$87)</f>
        <v>0</v>
      </c>
      <c r="G8" s="325">
        <f>SUMIF(Driver!$1:$1,$Z8,Driver!$18:$18)</f>
        <v>0</v>
      </c>
      <c r="H8" s="326">
        <f>SUMIF(PP!$1:$1,$Z8,PP!$84:$84)</f>
        <v>7.75</v>
      </c>
      <c r="I8" s="327">
        <f>SUMIF(PC!$1:$1,$Z8,PC!$85:$85)</f>
        <v>0</v>
      </c>
      <c r="J8" s="325">
        <f>SUMIF(FH!$1:$1,$Z8,FH!$99:$99)</f>
        <v>0</v>
      </c>
      <c r="K8" s="328">
        <f>SUMIF('T22'!$1:$1,$Z8,'T22'!$99:$99)</f>
        <v>0</v>
      </c>
      <c r="L8" s="325">
        <f>SUMIF(RF!$1:$1,$Z8,RF!$18:$18)</f>
        <v>0</v>
      </c>
      <c r="M8" s="325">
        <f>SUMIF(SC!$1:$1,$Z8,IF(DAY(PayDay1)=1,SC!$17:$17,SC!$35:$35))</f>
        <v>0</v>
      </c>
      <c r="N8" s="325">
        <f>SUMIF('RC'!$1:$1,$Z8,'RC'!$18:$18)</f>
        <v>0</v>
      </c>
      <c r="O8" s="325">
        <f>SUMIF(HoO!$1:$1,$Z8,IF(DAY(PayDay1)=1,HoO!$17:$17,HoO!$34:$34))</f>
        <v>0</v>
      </c>
      <c r="P8" s="329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5">
        <f>SUMIF(SC!$1:$1,$Z8,IF(DAY(PayDay1)=1,SC!$18:$18,SC!$36:$36))</f>
        <v>0</v>
      </c>
      <c r="V8" s="330">
        <f>SUMIF(OT!$1:$1,$Z8,OT!$214:$214)</f>
        <v>0</v>
      </c>
      <c r="W8" s="556"/>
      <c r="X8" s="331">
        <f t="shared" si="6"/>
        <v>77.5</v>
      </c>
      <c r="Y8" s="321"/>
      <c r="Z8" s="321" t="str">
        <f t="shared" si="7"/>
        <v>Bringgold Ch</v>
      </c>
    </row>
    <row r="9" spans="1:29" s="332" customFormat="1" x14ac:dyDescent="0.2">
      <c r="A9" s="634" t="s">
        <v>103</v>
      </c>
      <c r="B9" s="569">
        <v>10</v>
      </c>
      <c r="C9" s="569">
        <v>13.5</v>
      </c>
      <c r="D9" s="322">
        <f t="shared" si="4"/>
        <v>9.25</v>
      </c>
      <c r="E9" s="323">
        <f t="shared" si="5"/>
        <v>0</v>
      </c>
      <c r="F9" s="324">
        <f>SUMIF(PP!$1:$1,$Z9,PP!$86:$86)+SUMIF(PC!$1:$1,$Z9,PC!$87:$87)</f>
        <v>0</v>
      </c>
      <c r="G9" s="325">
        <f>SUMIF(Driver!$1:$1,$Z9,Driver!$18:$18)</f>
        <v>0</v>
      </c>
      <c r="H9" s="326">
        <f>SUMIF(PP!$1:$1,$Z9,PP!$84:$84)</f>
        <v>4.75</v>
      </c>
      <c r="I9" s="327">
        <f>SUMIF(PC!$1:$1,$Z9,PC!$85:$85)</f>
        <v>0</v>
      </c>
      <c r="J9" s="325">
        <f>SUMIF(FH!$1:$1,$Z9,FH!$99:$99)</f>
        <v>0</v>
      </c>
      <c r="K9" s="328">
        <f>SUMIF('T22'!$1:$1,$Z9,'T22'!$99:$99)</f>
        <v>0</v>
      </c>
      <c r="L9" s="325">
        <f>SUMIF(RF!$1:$1,$Z9,RF!$18:$18)</f>
        <v>0</v>
      </c>
      <c r="M9" s="325">
        <f>SUMIF(SC!$1:$1,$Z9,IF(DAY(PayDay1)=1,SC!$17:$17,SC!$35:$35))</f>
        <v>0</v>
      </c>
      <c r="N9" s="325">
        <f>SUMIF('RC'!$1:$1,$Z9,'RC'!$18:$18)</f>
        <v>0</v>
      </c>
      <c r="O9" s="325">
        <f>SUMIF(HoO!$1:$1,$Z9,IF(DAY(PayDay1)=1,HoO!$17:$17,HoO!$34:$34))</f>
        <v>4.5</v>
      </c>
      <c r="P9" s="329">
        <f>SUMIF(TM!$1:$1,$Z9,TM!$18:$18)</f>
        <v>0</v>
      </c>
      <c r="Q9" s="196">
        <f>SUMIF(Driver!$1:$1,$Z9,Driver!$19:$19)</f>
        <v>0</v>
      </c>
      <c r="R9" s="196">
        <f>SUMIF(PP!$1:$1,$Z9,PP!$85:$85)</f>
        <v>0</v>
      </c>
      <c r="S9" s="196">
        <f>SUMIF(PC!$1:$1,$Z9,PC!$86:$86)</f>
        <v>0</v>
      </c>
      <c r="T9" s="196">
        <f>SUMIF(RF!$1:$1,$Z9,RF!$22:$22)</f>
        <v>0</v>
      </c>
      <c r="U9" s="325">
        <f>SUMIF(SC!$1:$1,$Z9,IF(DAY(PayDay1)=1,SC!$18:$18,SC!$36:$36))</f>
        <v>0</v>
      </c>
      <c r="V9" s="330">
        <f>SUMIF(OT!$1:$1,$Z9,OT!$214:$214)</f>
        <v>0</v>
      </c>
      <c r="W9" s="556"/>
      <c r="X9" s="331">
        <f t="shared" si="6"/>
        <v>92.5</v>
      </c>
      <c r="Y9" s="321"/>
      <c r="Z9" s="321" t="str">
        <f t="shared" si="7"/>
        <v>Cannon Da</v>
      </c>
    </row>
    <row r="10" spans="1:29" x14ac:dyDescent="0.2">
      <c r="A10" s="634" t="s">
        <v>172</v>
      </c>
      <c r="B10" s="569">
        <v>10</v>
      </c>
      <c r="C10" s="569">
        <v>13.5</v>
      </c>
      <c r="D10" s="322">
        <f t="shared" si="4"/>
        <v>0</v>
      </c>
      <c r="E10" s="323">
        <f t="shared" si="5"/>
        <v>0</v>
      </c>
      <c r="F10" s="324">
        <f>SUMIF(PP!$1:$1,$Z10,PP!$86:$86)+SUMIF(PC!$1:$1,$Z10,PC!$87:$87)</f>
        <v>0</v>
      </c>
      <c r="G10" s="325">
        <f>SUMIF(Driver!$1:$1,$Z10,Driver!$18:$18)</f>
        <v>0</v>
      </c>
      <c r="H10" s="326">
        <f>SUMIF(PP!$1:$1,$Z10,PP!$84:$84)</f>
        <v>0</v>
      </c>
      <c r="I10" s="327">
        <f>SUMIF(PC!$1:$1,$Z10,PC!$85:$85)</f>
        <v>0</v>
      </c>
      <c r="J10" s="325">
        <f>SUMIF(FH!$1:$1,$Z10,FH!$99:$99)</f>
        <v>0</v>
      </c>
      <c r="K10" s="328">
        <f>SUMIF('T22'!$1:$1,$Z10,'T22'!$99:$99)</f>
        <v>0</v>
      </c>
      <c r="L10" s="325">
        <f>SUMIF(RF!$1:$1,$Z10,RF!$18:$18)</f>
        <v>0</v>
      </c>
      <c r="M10" s="325">
        <f>SUMIF(SC!$1:$1,$Z10,IF(DAY(PayDay1)=1,SC!$17:$17,SC!$35:$35))</f>
        <v>0</v>
      </c>
      <c r="N10" s="325">
        <f>SUMIF('RC'!$1:$1,$Z10,'RC'!$18:$18)</f>
        <v>0</v>
      </c>
      <c r="O10" s="325">
        <f>SUMIF(HoO!$1:$1,$Z10,IF(DAY(PayDay1)=1,HoO!$17:$17,HoO!$34:$34))</f>
        <v>0</v>
      </c>
      <c r="P10" s="329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5">
        <f>SUMIF(SC!$1:$1,$Z10,IF(DAY(PayDay1)=1,SC!$18:$18,SC!$36:$36))</f>
        <v>0</v>
      </c>
      <c r="V10" s="330">
        <f>SUMIF(OT!$1:$1,$Z10,OT!$214:$214)</f>
        <v>0</v>
      </c>
      <c r="W10" s="556"/>
      <c r="X10" s="331">
        <f t="shared" si="6"/>
        <v>0</v>
      </c>
      <c r="Y10" s="321"/>
      <c r="Z10" s="321" t="str">
        <f t="shared" si="7"/>
        <v>Cardelli Ma</v>
      </c>
    </row>
    <row r="11" spans="1:29" s="332" customFormat="1" x14ac:dyDescent="0.2">
      <c r="A11" s="634" t="s">
        <v>135</v>
      </c>
      <c r="B11" s="569">
        <v>10</v>
      </c>
      <c r="C11" s="569">
        <v>13.5</v>
      </c>
      <c r="D11" s="322">
        <f t="shared" si="4"/>
        <v>11.75</v>
      </c>
      <c r="E11" s="323">
        <f t="shared" si="5"/>
        <v>18.75</v>
      </c>
      <c r="F11" s="324">
        <f>SUMIF(PP!$1:$1,$Z11,PP!$86:$86)+SUMIF(PC!$1:$1,$Z11,PC!$87:$87)</f>
        <v>0</v>
      </c>
      <c r="G11" s="325">
        <f>SUMIF(Driver!$1:$1,$Z11,Driver!$18:$18)</f>
        <v>0</v>
      </c>
      <c r="H11" s="326">
        <f>SUMIF(PP!$1:$1,$Z11,PP!$84:$84)</f>
        <v>11.75</v>
      </c>
      <c r="I11" s="327">
        <f>SUMIF(PC!$1:$1,$Z11,PC!$85:$85)</f>
        <v>0</v>
      </c>
      <c r="J11" s="325">
        <f>SUMIF(FH!$1:$1,$Z11,FH!$99:$99)</f>
        <v>0</v>
      </c>
      <c r="K11" s="328">
        <f>SUMIF('T22'!$1:$1,$Z11,'T22'!$99:$99)</f>
        <v>0</v>
      </c>
      <c r="L11" s="325">
        <f>SUMIF(RF!$1:$1,$Z11,RF!$18:$18)</f>
        <v>0</v>
      </c>
      <c r="M11" s="325">
        <f>SUMIF(SC!$1:$1,$Z11,IF(DAY(PayDay1)=1,SC!$17:$17,SC!$35:$35))</f>
        <v>0</v>
      </c>
      <c r="N11" s="325">
        <f>SUMIF('RC'!$1:$1,$Z11,'RC'!$18:$18)</f>
        <v>0</v>
      </c>
      <c r="O11" s="325">
        <f>SUMIF(HoO!$1:$1,$Z11,IF(DAY(PayDay1)=1,HoO!$17:$17,HoO!$34:$34))</f>
        <v>0</v>
      </c>
      <c r="P11" s="329">
        <f>SUMIF(TM!$1:$1,$Z11,TM!$18:$18)</f>
        <v>0</v>
      </c>
      <c r="Q11" s="196">
        <f>SUMIF(Driver!$1:$1,$Z11,Driver!$19:$19)</f>
        <v>0</v>
      </c>
      <c r="R11" s="196">
        <f>SUMIF(PP!$1:$1,$Z11,PP!$85:$85)</f>
        <v>0</v>
      </c>
      <c r="S11" s="196">
        <f>SUMIF(PC!$1:$1,$Z11,PC!$86:$86)</f>
        <v>0</v>
      </c>
      <c r="T11" s="196">
        <f>SUMIF(RF!$1:$1,$Z11,RF!$22:$22)</f>
        <v>0</v>
      </c>
      <c r="U11" s="325">
        <f>SUMIF(SC!$1:$1,$Z11,IF(DAY(PayDay1)=1,SC!$18:$18,SC!$36:$36))</f>
        <v>0</v>
      </c>
      <c r="V11" s="330">
        <f>SUMIF(OT!$1:$1,$Z11,OT!$214:$214)</f>
        <v>18.75</v>
      </c>
      <c r="W11" s="556"/>
      <c r="X11" s="331">
        <f t="shared" si="6"/>
        <v>136.25</v>
      </c>
      <c r="Y11" s="321"/>
      <c r="Z11" s="321" t="str">
        <f t="shared" si="7"/>
        <v>Carmenita Ja</v>
      </c>
      <c r="AC11" s="332" t="s">
        <v>116</v>
      </c>
    </row>
    <row r="12" spans="1:29" s="332" customFormat="1" x14ac:dyDescent="0.2">
      <c r="A12" s="634" t="s">
        <v>146</v>
      </c>
      <c r="B12" s="569">
        <v>10</v>
      </c>
      <c r="C12" s="569">
        <v>13.5</v>
      </c>
      <c r="D12" s="322">
        <f t="shared" si="4"/>
        <v>5.25</v>
      </c>
      <c r="E12" s="323">
        <f t="shared" si="5"/>
        <v>0</v>
      </c>
      <c r="F12" s="324">
        <f>SUMIF(PP!$1:$1,$Z12,PP!$86:$86)+SUMIF(PC!$1:$1,$Z12,PC!$87:$87)</f>
        <v>0</v>
      </c>
      <c r="G12" s="325">
        <f>SUMIF(Driver!$1:$1,$Z12,Driver!$18:$18)</f>
        <v>0</v>
      </c>
      <c r="H12" s="326">
        <f>SUMIF(PP!$1:$1,$Z12,PP!$84:$84)</f>
        <v>0</v>
      </c>
      <c r="I12" s="327">
        <f>SUMIF(PC!$1:$1,$Z12,PC!$85:$85)</f>
        <v>0</v>
      </c>
      <c r="J12" s="325">
        <f>SUMIF(FH!$1:$1,$Z12,FH!$99:$99)</f>
        <v>0</v>
      </c>
      <c r="K12" s="328">
        <f>SUMIF('T22'!$1:$1,$Z12,'T22'!$99:$99)</f>
        <v>0</v>
      </c>
      <c r="L12" s="325">
        <f>SUMIF(RF!$1:$1,$Z12,RF!$18:$18)</f>
        <v>0</v>
      </c>
      <c r="M12" s="325">
        <f>SUMIF(SC!$1:$1,$Z12,IF(DAY(PayDay1)=1,SC!$17:$17,SC!$35:$35))</f>
        <v>0</v>
      </c>
      <c r="N12" s="325">
        <f>SUMIF('RC'!$1:$1,$Z12,'RC'!$18:$18)</f>
        <v>5.25</v>
      </c>
      <c r="O12" s="325">
        <f>SUMIF(HoO!$1:$1,$Z12,IF(DAY(PayDay1)=1,HoO!$17:$17,HoO!$34:$34))</f>
        <v>0</v>
      </c>
      <c r="P12" s="329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5">
        <f>SUMIF(SC!$1:$1,$Z12,IF(DAY(PayDay1)=1,SC!$18:$18,SC!$36:$36))</f>
        <v>0</v>
      </c>
      <c r="V12" s="330">
        <f>SUMIF(OT!$1:$1,$Z12,OT!$214:$214)</f>
        <v>0</v>
      </c>
      <c r="W12" s="556"/>
      <c r="X12" s="331">
        <f t="shared" si="6"/>
        <v>52.5</v>
      </c>
      <c r="Y12" s="321"/>
      <c r="Z12" s="321" t="str">
        <f t="shared" si="7"/>
        <v>Dieffenbacher Be</v>
      </c>
    </row>
    <row r="13" spans="1:29" s="332" customFormat="1" x14ac:dyDescent="0.2">
      <c r="A13" s="634" t="s">
        <v>205</v>
      </c>
      <c r="B13" s="569">
        <v>10</v>
      </c>
      <c r="C13" s="569">
        <v>13.5</v>
      </c>
      <c r="D13" s="322">
        <f t="shared" si="4"/>
        <v>1.25</v>
      </c>
      <c r="E13" s="323">
        <f t="shared" si="5"/>
        <v>0</v>
      </c>
      <c r="F13" s="324">
        <f>SUMIF(PP!$1:$1,$Z13,PP!$86:$86)+SUMIF(PC!$1:$1,$Z13,PC!$87:$87)</f>
        <v>0</v>
      </c>
      <c r="G13" s="325">
        <f>SUMIF(Driver!$1:$1,$Z13,Driver!$18:$18)</f>
        <v>0</v>
      </c>
      <c r="H13" s="326">
        <f>SUMIF(PP!$1:$1,$Z13,PP!$84:$84)</f>
        <v>0</v>
      </c>
      <c r="I13" s="327">
        <f>SUMIF(PC!$1:$1,$Z13,PC!$85:$85)</f>
        <v>0</v>
      </c>
      <c r="J13" s="325">
        <f>SUMIF(FH!$1:$1,$Z13,FH!$99:$99)</f>
        <v>0</v>
      </c>
      <c r="K13" s="328">
        <f>SUMIF('T22'!$1:$1,$Z13,'T22'!$99:$99)</f>
        <v>0</v>
      </c>
      <c r="L13" s="325">
        <f>SUMIF(RF!$1:$1,$Z13,RF!$18:$18)</f>
        <v>0</v>
      </c>
      <c r="M13" s="325">
        <f>SUMIF(SC!$1:$1,$Z13,IF(DAY(PayDay1)=1,SC!$17:$17,SC!$35:$35))</f>
        <v>0</v>
      </c>
      <c r="N13" s="325">
        <f>SUMIF('RC'!$1:$1,$Z13,'RC'!$18:$18)</f>
        <v>0</v>
      </c>
      <c r="O13" s="325">
        <f>SUMIF(HoO!$1:$1,$Z13,IF(DAY(PayDay1)=1,HoO!$17:$17,HoO!$34:$34))</f>
        <v>0</v>
      </c>
      <c r="P13" s="329">
        <f>SUMIF(TM!$1:$1,$Z13,TM!$18:$18)</f>
        <v>1.25</v>
      </c>
      <c r="Q13" s="196">
        <f>SUMIF(Driver!$1:$1,$Z13,Driver!$19:$19)</f>
        <v>0</v>
      </c>
      <c r="R13" s="196">
        <f>SUMIF(PP!$1:$1,$Z13,PP!$85:$85)</f>
        <v>0</v>
      </c>
      <c r="S13" s="196">
        <f>SUMIF(PC!$1:$1,$Z13,PC!$86:$86)</f>
        <v>0</v>
      </c>
      <c r="T13" s="196">
        <f>SUMIF(RF!$1:$1,$Z13,RF!$22:$22)</f>
        <v>0</v>
      </c>
      <c r="U13" s="325">
        <f>SUMIF(SC!$1:$1,$Z13,IF(DAY(PayDay1)=1,SC!$18:$18,SC!$36:$36))</f>
        <v>0</v>
      </c>
      <c r="V13" s="330">
        <f>SUMIF(OT!$1:$1,$Z13,OT!$214:$214)</f>
        <v>0</v>
      </c>
      <c r="W13" s="556"/>
      <c r="X13" s="331">
        <f t="shared" si="6"/>
        <v>12.5</v>
      </c>
      <c r="Y13" s="321"/>
      <c r="Z13" s="321" t="str">
        <f t="shared" si="7"/>
        <v>Ellescas Ad</v>
      </c>
    </row>
    <row r="14" spans="1:29" s="332" customFormat="1" x14ac:dyDescent="0.2">
      <c r="A14" s="634" t="s">
        <v>101</v>
      </c>
      <c r="B14" s="569">
        <v>10</v>
      </c>
      <c r="C14" s="569">
        <v>13.5</v>
      </c>
      <c r="D14" s="322">
        <f t="shared" si="4"/>
        <v>44.21</v>
      </c>
      <c r="E14" s="323">
        <f t="shared" si="5"/>
        <v>11.050000000000004</v>
      </c>
      <c r="F14" s="324">
        <f>SUMIF(PP!$1:$1,$Z14,PP!$86:$86)+SUMIF(PC!$1:$1,$Z14,PC!$87:$87)</f>
        <v>0</v>
      </c>
      <c r="G14" s="325">
        <f>SUMIF(Driver!$1:$1,$Z14,Driver!$18:$18)</f>
        <v>0</v>
      </c>
      <c r="H14" s="326">
        <f>SUMIF(PP!$1:$1,$Z14,PP!$84:$84)</f>
        <v>0</v>
      </c>
      <c r="I14" s="327">
        <f>SUMIF(PC!$1:$1,$Z14,PC!$85:$85)</f>
        <v>0</v>
      </c>
      <c r="J14" s="325">
        <f>SUMIF(FH!$1:$1,$Z14,FH!$99:$99)</f>
        <v>0</v>
      </c>
      <c r="K14" s="328">
        <f>SUMIF('T22'!$1:$1,$Z14,'T22'!$99:$99)</f>
        <v>0</v>
      </c>
      <c r="L14" s="325">
        <f>SUMIF(RF!$1:$1,$Z14,RF!$18:$18)</f>
        <v>0</v>
      </c>
      <c r="M14" s="325">
        <f>SUMIF(SC!$1:$1,$Z14,IF(DAY(PayDay1)=1,SC!$17:$17,SC!$35:$35))</f>
        <v>0</v>
      </c>
      <c r="N14" s="325">
        <f>SUMIF('RC'!$1:$1,$Z14,'RC'!$18:$18)</f>
        <v>44.21</v>
      </c>
      <c r="O14" s="325">
        <f>SUMIF(HoO!$1:$1,$Z14,IF(DAY(PayDay1)=1,HoO!$17:$17,HoO!$34:$34))</f>
        <v>0</v>
      </c>
      <c r="P14" s="329">
        <f>SUMIF(TM!$1:$1,$Z14,TM!$18:$18)</f>
        <v>0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5">
        <f>SUMIF(SC!$1:$1,$Z14,IF(DAY(PayDay1)=1,SC!$18:$18,SC!$36:$36))</f>
        <v>0</v>
      </c>
      <c r="V14" s="330">
        <f>SUMIF(OT!$1:$1,$Z14,OT!$214:$214)</f>
        <v>11.050000000000004</v>
      </c>
      <c r="W14" s="556"/>
      <c r="X14" s="331">
        <f t="shared" si="6"/>
        <v>453.15000000000003</v>
      </c>
      <c r="Y14" s="321"/>
      <c r="Z14" s="321" t="str">
        <f t="shared" si="7"/>
        <v>Flores Os</v>
      </c>
    </row>
    <row r="15" spans="1:29" s="332" customFormat="1" x14ac:dyDescent="0.2">
      <c r="A15" s="634" t="s">
        <v>141</v>
      </c>
      <c r="B15" s="569">
        <v>10</v>
      </c>
      <c r="C15" s="569">
        <v>13.5</v>
      </c>
      <c r="D15" s="322">
        <f t="shared" si="4"/>
        <v>9.5</v>
      </c>
      <c r="E15" s="323">
        <f t="shared" si="5"/>
        <v>0</v>
      </c>
      <c r="F15" s="324">
        <f>SUMIF(PP!$1:$1,$Z15,PP!$86:$86)+SUMIF(PC!$1:$1,$Z15,PC!$87:$87)</f>
        <v>0</v>
      </c>
      <c r="G15" s="325">
        <f>SUMIF(Driver!$1:$1,$Z15,Driver!$18:$18)</f>
        <v>0</v>
      </c>
      <c r="H15" s="326">
        <f>SUMIF(PP!$1:$1,$Z15,PP!$84:$84)</f>
        <v>0</v>
      </c>
      <c r="I15" s="327">
        <f>SUMIF(PC!$1:$1,$Z15,PC!$85:$85)</f>
        <v>0</v>
      </c>
      <c r="J15" s="325">
        <f>SUMIF(FH!$1:$1,$Z15,FH!$99:$99)</f>
        <v>0</v>
      </c>
      <c r="K15" s="328">
        <f>SUMIF('T22'!$1:$1,$Z15,'T22'!$99:$99)</f>
        <v>0</v>
      </c>
      <c r="L15" s="325">
        <f>SUMIF(RF!$1:$1,$Z15,RF!$18:$18)</f>
        <v>9.5</v>
      </c>
      <c r="M15" s="325">
        <f>SUMIF(SC!$1:$1,$Z15,IF(DAY(PayDay1)=1,SC!$17:$17,SC!$35:$35))</f>
        <v>0</v>
      </c>
      <c r="N15" s="325">
        <f>SUMIF('RC'!$1:$1,$Z15,'RC'!$18:$18)</f>
        <v>0</v>
      </c>
      <c r="O15" s="325">
        <f>SUMIF(HoO!$1:$1,$Z15,IF(DAY(PayDay1)=1,HoO!$17:$17,HoO!$34:$34))</f>
        <v>0</v>
      </c>
      <c r="P15" s="329">
        <f>SUMIF(TM!$1:$1,$Z15,TM!$18:$18)</f>
        <v>0</v>
      </c>
      <c r="Q15" s="196">
        <f>SUMIF(Driver!$1:$1,$Z15,Driver!$19:$19)</f>
        <v>0</v>
      </c>
      <c r="R15" s="196">
        <f>SUMIF(PP!$1:$1,$Z15,PP!$85:$85)</f>
        <v>0</v>
      </c>
      <c r="S15" s="196">
        <f>SUMIF(PC!$1:$1,$Z15,PC!$86:$86)</f>
        <v>0</v>
      </c>
      <c r="T15" s="196">
        <f>SUMIF(RF!$1:$1,$Z15,RF!$22:$22)</f>
        <v>0</v>
      </c>
      <c r="U15" s="325">
        <f>SUMIF(SC!$1:$1,$Z15,IF(DAY(PayDay1)=1,SC!$18:$18,SC!$36:$36))</f>
        <v>0</v>
      </c>
      <c r="V15" s="330">
        <f>SUMIF(OT!$1:$1,$Z15,OT!$214:$214)</f>
        <v>0</v>
      </c>
      <c r="W15" s="556"/>
      <c r="X15" s="331">
        <f t="shared" si="6"/>
        <v>95</v>
      </c>
      <c r="Y15" s="321"/>
      <c r="Z15" s="321" t="str">
        <f t="shared" si="7"/>
        <v>Grecin An</v>
      </c>
    </row>
    <row r="16" spans="1:29" s="332" customFormat="1" x14ac:dyDescent="0.2">
      <c r="A16" s="634" t="s">
        <v>204</v>
      </c>
      <c r="B16" s="569">
        <v>10</v>
      </c>
      <c r="C16" s="569">
        <v>13.5</v>
      </c>
      <c r="D16" s="322">
        <f t="shared" si="4"/>
        <v>13.75</v>
      </c>
      <c r="E16" s="323">
        <f t="shared" si="5"/>
        <v>1.25</v>
      </c>
      <c r="F16" s="324">
        <f>SUMIF(PP!$1:$1,$Z16,PP!$86:$86)+SUMIF(PC!$1:$1,$Z16,PC!$87:$87)</f>
        <v>0</v>
      </c>
      <c r="G16" s="325">
        <f>SUMIF(Driver!$1:$1,$Z16,Driver!$18:$18)</f>
        <v>0</v>
      </c>
      <c r="H16" s="326">
        <f>SUMIF(PP!$1:$1,$Z16,PP!$84:$84)</f>
        <v>0</v>
      </c>
      <c r="I16" s="327">
        <f>SUMIF(PC!$1:$1,$Z16,PC!$85:$85)</f>
        <v>0</v>
      </c>
      <c r="J16" s="325">
        <f>SUMIF(FH!$1:$1,$Z16,FH!$99:$99)</f>
        <v>0</v>
      </c>
      <c r="K16" s="328">
        <f>SUMIF('T22'!$1:$1,$Z16,'T22'!$99:$99)</f>
        <v>0</v>
      </c>
      <c r="L16" s="325">
        <f>SUMIF(RF!$1:$1,$Z16,RF!$18:$18)</f>
        <v>0</v>
      </c>
      <c r="M16" s="325">
        <f>SUMIF(SC!$1:$1,$Z16,IF(DAY(PayDay1)=1,SC!$17:$17,SC!$35:$35))</f>
        <v>0</v>
      </c>
      <c r="N16" s="325">
        <f>SUMIF('RC'!$1:$1,$Z16,'RC'!$18:$18)</f>
        <v>13.75</v>
      </c>
      <c r="O16" s="325">
        <f>SUMIF(HoO!$1:$1,$Z16,IF(DAY(PayDay1)=1,HoO!$17:$17,HoO!$34:$34))</f>
        <v>0</v>
      </c>
      <c r="P16" s="329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5">
        <f>SUMIF(SC!$1:$1,$Z16,IF(DAY(PayDay1)=1,SC!$18:$18,SC!$36:$36))</f>
        <v>0</v>
      </c>
      <c r="V16" s="330">
        <f>SUMIF(OT!$1:$1,$Z16,OT!$214:$214)</f>
        <v>1.25</v>
      </c>
      <c r="W16" s="556"/>
      <c r="X16" s="331">
        <f t="shared" si="6"/>
        <v>138.75</v>
      </c>
      <c r="Y16" s="321"/>
      <c r="Z16" s="321" t="str">
        <f t="shared" si="7"/>
        <v>Heflin Jo</v>
      </c>
    </row>
    <row r="17" spans="1:26" s="332" customFormat="1" x14ac:dyDescent="0.2">
      <c r="A17" s="634" t="s">
        <v>127</v>
      </c>
      <c r="B17" s="569">
        <v>10</v>
      </c>
      <c r="C17" s="569">
        <v>13.5</v>
      </c>
      <c r="D17" s="322">
        <f t="shared" si="4"/>
        <v>20</v>
      </c>
      <c r="E17" s="323">
        <f t="shared" si="5"/>
        <v>0</v>
      </c>
      <c r="F17" s="324">
        <f>SUMIF(PP!$1:$1,$Z17,PP!$86:$86)+SUMIF(PC!$1:$1,$Z17,PC!$87:$87)</f>
        <v>0</v>
      </c>
      <c r="G17" s="325">
        <f>SUMIF(Driver!$1:$1,$Z17,Driver!$18:$18)</f>
        <v>0</v>
      </c>
      <c r="H17" s="326">
        <f>SUMIF(PP!$1:$1,$Z17,PP!$84:$84)</f>
        <v>0</v>
      </c>
      <c r="I17" s="327">
        <f>SUMIF(PC!$1:$1,$Z17,PC!$85:$85)</f>
        <v>0</v>
      </c>
      <c r="J17" s="325">
        <f>SUMIF(FH!$1:$1,$Z17,FH!$99:$99)</f>
        <v>0</v>
      </c>
      <c r="K17" s="328">
        <f>SUMIF('T22'!$1:$1,$Z17,'T22'!$99:$99)</f>
        <v>0</v>
      </c>
      <c r="L17" s="325">
        <f>SUMIF(RF!$1:$1,$Z17,RF!$18:$18)</f>
        <v>4.5</v>
      </c>
      <c r="M17" s="325">
        <f>SUMIF(SC!$1:$1,$Z17,IF(DAY(PayDay1)=1,SC!$17:$17,SC!$35:$35))</f>
        <v>0</v>
      </c>
      <c r="N17" s="325">
        <f>SUMIF('RC'!$1:$1,$Z17,'RC'!$18:$18)</f>
        <v>0</v>
      </c>
      <c r="O17" s="325">
        <f>SUMIF(HoO!$1:$1,$Z17,IF(DAY(PayDay1)=1,HoO!$17:$17,HoO!$34:$34))</f>
        <v>11</v>
      </c>
      <c r="P17" s="329">
        <f>SUMIF(TM!$1:$1,$Z17,TM!$18:$18)</f>
        <v>4.5</v>
      </c>
      <c r="Q17" s="196">
        <f>SUMIF(Driver!$1:$1,$Z17,Driver!$19:$19)</f>
        <v>0</v>
      </c>
      <c r="R17" s="196">
        <f>SUMIF(PP!$1:$1,$Z17,PP!$85:$85)</f>
        <v>0</v>
      </c>
      <c r="S17" s="196">
        <f>SUMIF(PC!$1:$1,$Z17,PC!$86:$86)</f>
        <v>0</v>
      </c>
      <c r="T17" s="196">
        <f>SUMIF(RF!$1:$1,$Z17,RF!$22:$22)</f>
        <v>0</v>
      </c>
      <c r="U17" s="325">
        <f>SUMIF(SC!$1:$1,$Z17,IF(DAY(PayDay1)=1,SC!$18:$18,SC!$36:$36))</f>
        <v>0</v>
      </c>
      <c r="V17" s="330">
        <f>SUMIF(OT!$1:$1,$Z17,OT!$214:$214)</f>
        <v>0</v>
      </c>
      <c r="W17" s="556"/>
      <c r="X17" s="331">
        <f t="shared" si="6"/>
        <v>200</v>
      </c>
      <c r="Y17" s="321"/>
      <c r="Z17" s="321" t="str">
        <f t="shared" si="7"/>
        <v>Kane Ro</v>
      </c>
    </row>
    <row r="18" spans="1:26" s="332" customFormat="1" x14ac:dyDescent="0.2">
      <c r="A18" s="634" t="s">
        <v>200</v>
      </c>
      <c r="B18" s="569">
        <v>10</v>
      </c>
      <c r="C18" s="569">
        <v>13.5</v>
      </c>
      <c r="D18" s="322">
        <f t="shared" si="4"/>
        <v>4.75</v>
      </c>
      <c r="E18" s="323">
        <f t="shared" si="5"/>
        <v>0</v>
      </c>
      <c r="F18" s="324">
        <f>SUMIF(PP!$1:$1,$Z18,PP!$86:$86)+SUMIF(PC!$1:$1,$Z18,PC!$87:$87)</f>
        <v>0</v>
      </c>
      <c r="G18" s="325">
        <f>SUMIF(Driver!$1:$1,$Z18,Driver!$18:$18)</f>
        <v>0</v>
      </c>
      <c r="H18" s="326">
        <f>SUMIF(PP!$1:$1,$Z18,PP!$84:$84)</f>
        <v>4.75</v>
      </c>
      <c r="I18" s="327">
        <f>SUMIF(PC!$1:$1,$Z18,PC!$85:$85)</f>
        <v>0</v>
      </c>
      <c r="J18" s="325">
        <f>SUMIF(FH!$1:$1,$Z18,FH!$99:$99)</f>
        <v>0</v>
      </c>
      <c r="K18" s="328">
        <f>SUMIF('T22'!$1:$1,$Z18,'T22'!$99:$99)</f>
        <v>0</v>
      </c>
      <c r="L18" s="325">
        <f>SUMIF(RF!$1:$1,$Z18,RF!$18:$18)</f>
        <v>0</v>
      </c>
      <c r="M18" s="325">
        <f>SUMIF(SC!$1:$1,$Z18,IF(DAY(PayDay1)=1,SC!$17:$17,SC!$35:$35))</f>
        <v>0</v>
      </c>
      <c r="N18" s="325">
        <f>SUMIF('RC'!$1:$1,$Z18,'RC'!$18:$18)</f>
        <v>0</v>
      </c>
      <c r="O18" s="325">
        <f>SUMIF(HoO!$1:$1,$Z18,IF(DAY(PayDay1)=1,HoO!$17:$17,HoO!$34:$34))</f>
        <v>0</v>
      </c>
      <c r="P18" s="329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5">
        <f>SUMIF(SC!$1:$1,$Z18,IF(DAY(PayDay1)=1,SC!$18:$18,SC!$36:$36))</f>
        <v>0</v>
      </c>
      <c r="V18" s="330">
        <f>SUMIF(OT!$1:$1,$Z18,OT!$214:$214)</f>
        <v>0</v>
      </c>
      <c r="W18" s="556"/>
      <c r="X18" s="331">
        <f t="shared" si="6"/>
        <v>47.5</v>
      </c>
      <c r="Y18" s="321"/>
      <c r="Z18" s="321" t="str">
        <f t="shared" si="7"/>
        <v>Klein Mi</v>
      </c>
    </row>
    <row r="19" spans="1:26" s="332" customFormat="1" x14ac:dyDescent="0.2">
      <c r="A19" s="634" t="s">
        <v>143</v>
      </c>
      <c r="B19" s="569">
        <v>10</v>
      </c>
      <c r="C19" s="569">
        <v>13.5</v>
      </c>
      <c r="D19" s="322">
        <f t="shared" si="4"/>
        <v>0</v>
      </c>
      <c r="E19" s="323">
        <f t="shared" si="5"/>
        <v>0</v>
      </c>
      <c r="F19" s="324">
        <f>SUMIF(PP!$1:$1,$Z19,PP!$86:$86)+SUMIF(PC!$1:$1,$Z19,PC!$87:$87)</f>
        <v>0</v>
      </c>
      <c r="G19" s="325">
        <f>SUMIF(Driver!$1:$1,$Z19,Driver!$18:$18)</f>
        <v>0</v>
      </c>
      <c r="H19" s="326">
        <f>SUMIF(PP!$1:$1,$Z19,PP!$84:$84)</f>
        <v>0</v>
      </c>
      <c r="I19" s="327">
        <f>SUMIF(PC!$1:$1,$Z19,PC!$85:$85)</f>
        <v>0</v>
      </c>
      <c r="J19" s="325">
        <f>SUMIF(FH!$1:$1,$Z19,FH!$99:$99)</f>
        <v>0</v>
      </c>
      <c r="K19" s="328">
        <f>SUMIF('T22'!$1:$1,$Z19,'T22'!$99:$99)</f>
        <v>0</v>
      </c>
      <c r="L19" s="325">
        <f>SUMIF(RF!$1:$1,$Z19,RF!$18:$18)</f>
        <v>0</v>
      </c>
      <c r="M19" s="325">
        <f>SUMIF(SC!$1:$1,$Z19,IF(DAY(PayDay1)=1,SC!$17:$17,SC!$35:$35))</f>
        <v>0</v>
      </c>
      <c r="N19" s="325">
        <f>SUMIF('RC'!$1:$1,$Z19,'RC'!$18:$18)</f>
        <v>0</v>
      </c>
      <c r="O19" s="325">
        <f>SUMIF(HoO!$1:$1,$Z19,IF(DAY(PayDay1)=1,HoO!$17:$17,HoO!$34:$34))</f>
        <v>0</v>
      </c>
      <c r="P19" s="329">
        <f>SUMIF(TM!$1:$1,$Z19,TM!$18:$18)</f>
        <v>0</v>
      </c>
      <c r="Q19" s="196">
        <f>SUMIF(Driver!$1:$1,$Z19,Driver!$19:$19)</f>
        <v>0</v>
      </c>
      <c r="R19" s="196">
        <f>SUMIF(PP!$1:$1,$Z19,PP!$85:$85)</f>
        <v>0</v>
      </c>
      <c r="S19" s="196">
        <f>SUMIF(PC!$1:$1,$Z19,PC!$86:$86)</f>
        <v>0</v>
      </c>
      <c r="T19" s="196">
        <f>SUMIF(RF!$1:$1,$Z19,RF!$22:$22)</f>
        <v>0</v>
      </c>
      <c r="U19" s="325">
        <f>SUMIF(SC!$1:$1,$Z19,IF(DAY(PayDay1)=1,SC!$18:$18,SC!$36:$36))</f>
        <v>0</v>
      </c>
      <c r="V19" s="330">
        <f>SUMIF(OT!$1:$1,$Z19,OT!$214:$214)</f>
        <v>0</v>
      </c>
      <c r="W19" s="556"/>
      <c r="X19" s="331">
        <f t="shared" si="6"/>
        <v>0</v>
      </c>
      <c r="Y19" s="321"/>
      <c r="Z19" s="321" t="str">
        <f t="shared" si="7"/>
        <v>Knight Al</v>
      </c>
    </row>
    <row r="20" spans="1:26" s="332" customFormat="1" x14ac:dyDescent="0.2">
      <c r="A20" s="634" t="s">
        <v>230</v>
      </c>
      <c r="B20" s="569">
        <v>10</v>
      </c>
      <c r="C20" s="569">
        <v>13.5</v>
      </c>
      <c r="D20" s="322">
        <f t="shared" si="4"/>
        <v>3.25</v>
      </c>
      <c r="E20" s="323">
        <f t="shared" si="5"/>
        <v>0</v>
      </c>
      <c r="F20" s="324">
        <f>SUMIF(PP!$1:$1,$Z20,PP!$86:$86)+SUMIF(PC!$1:$1,$Z20,PC!$87:$87)</f>
        <v>0</v>
      </c>
      <c r="G20" s="325">
        <f>SUMIF(Driver!$1:$1,$Z20,Driver!$18:$18)</f>
        <v>0</v>
      </c>
      <c r="H20" s="326">
        <f>SUMIF(PP!$1:$1,$Z20,PP!$84:$84)</f>
        <v>3.25</v>
      </c>
      <c r="I20" s="327">
        <f>SUMIF(PC!$1:$1,$Z20,PC!$85:$85)</f>
        <v>0</v>
      </c>
      <c r="J20" s="325">
        <f>SUMIF(FH!$1:$1,$Z20,FH!$99:$99)</f>
        <v>0</v>
      </c>
      <c r="K20" s="328">
        <f>SUMIF('T22'!$1:$1,$Z20,'T22'!$99:$99)</f>
        <v>0</v>
      </c>
      <c r="L20" s="325">
        <f>SUMIF(RF!$1:$1,$Z20,RF!$18:$18)</f>
        <v>0</v>
      </c>
      <c r="M20" s="325">
        <f>SUMIF(SC!$1:$1,$Z20,IF(DAY(PayDay1)=1,SC!$17:$17,SC!$35:$35))</f>
        <v>0</v>
      </c>
      <c r="N20" s="325">
        <f>SUMIF('RC'!$1:$1,$Z20,'RC'!$18:$18)</f>
        <v>0</v>
      </c>
      <c r="O20" s="325">
        <f>SUMIF(HoO!$1:$1,$Z20,IF(DAY(PayDay1)=1,HoO!$17:$17,HoO!$34:$34))</f>
        <v>0</v>
      </c>
      <c r="P20" s="329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5">
        <f>SUMIF(SC!$1:$1,$Z20,IF(DAY(PayDay1)=1,SC!$18:$18,SC!$36:$36))</f>
        <v>0</v>
      </c>
      <c r="V20" s="330">
        <f>SUMIF(OT!$1:$1,$Z20,OT!$214:$214)</f>
        <v>0</v>
      </c>
      <c r="W20" s="556"/>
      <c r="X20" s="331">
        <f t="shared" si="6"/>
        <v>32.5</v>
      </c>
      <c r="Y20" s="321"/>
      <c r="Z20" s="321" t="str">
        <f t="shared" si="7"/>
        <v>Levesque Qu</v>
      </c>
    </row>
    <row r="21" spans="1:26" s="332" customFormat="1" x14ac:dyDescent="0.2">
      <c r="A21" s="634" t="s">
        <v>202</v>
      </c>
      <c r="B21" s="569">
        <v>10</v>
      </c>
      <c r="C21" s="569">
        <v>13.5</v>
      </c>
      <c r="D21" s="322">
        <f t="shared" si="4"/>
        <v>0</v>
      </c>
      <c r="E21" s="323">
        <f t="shared" si="5"/>
        <v>0</v>
      </c>
      <c r="F21" s="324">
        <f>SUMIF(PP!$1:$1,$Z21,PP!$86:$86)+SUMIF(PC!$1:$1,$Z21,PC!$87:$87)</f>
        <v>0</v>
      </c>
      <c r="G21" s="325">
        <f>SUMIF(Driver!$1:$1,$Z21,Driver!$18:$18)</f>
        <v>0</v>
      </c>
      <c r="H21" s="326">
        <f>SUMIF(PP!$1:$1,$Z21,PP!$84:$84)</f>
        <v>0</v>
      </c>
      <c r="I21" s="327">
        <f>SUMIF(PC!$1:$1,$Z21,PC!$85:$85)</f>
        <v>0</v>
      </c>
      <c r="J21" s="325">
        <f>SUMIF(FH!$1:$1,$Z21,FH!$99:$99)</f>
        <v>0</v>
      </c>
      <c r="K21" s="328">
        <f>SUMIF('T22'!$1:$1,$Z21,'T22'!$99:$99)</f>
        <v>0</v>
      </c>
      <c r="L21" s="325">
        <f>SUMIF(RF!$1:$1,$Z21,RF!$18:$18)</f>
        <v>0</v>
      </c>
      <c r="M21" s="325">
        <f>SUMIF(SC!$1:$1,$Z21,IF(DAY(PayDay1)=1,SC!$17:$17,SC!$35:$35))</f>
        <v>0</v>
      </c>
      <c r="N21" s="325">
        <f>SUMIF('RC'!$1:$1,$Z21,'RC'!$18:$18)</f>
        <v>0</v>
      </c>
      <c r="O21" s="325">
        <f>SUMIF(HoO!$1:$1,$Z21,IF(DAY(PayDay1)=1,HoO!$17:$17,HoO!$34:$34))</f>
        <v>0</v>
      </c>
      <c r="P21" s="329">
        <f>SUMIF(TM!$1:$1,$Z21,TM!$18:$18)</f>
        <v>0</v>
      </c>
      <c r="Q21" s="196">
        <f>SUMIF(Driver!$1:$1,$Z21,Driver!$19:$19)</f>
        <v>0</v>
      </c>
      <c r="R21" s="196">
        <f>SUMIF(PP!$1:$1,$Z21,PP!$85:$85)</f>
        <v>0</v>
      </c>
      <c r="S21" s="196">
        <f>SUMIF(PC!$1:$1,$Z21,PC!$86:$86)</f>
        <v>0</v>
      </c>
      <c r="T21" s="196">
        <f>SUMIF(RF!$1:$1,$Z21,RF!$22:$22)</f>
        <v>0</v>
      </c>
      <c r="U21" s="325">
        <f>SUMIF(SC!$1:$1,$Z21,IF(DAY(PayDay1)=1,SC!$18:$18,SC!$36:$36))</f>
        <v>0</v>
      </c>
      <c r="V21" s="330">
        <f>SUMIF(OT!$1:$1,$Z21,OT!$214:$214)</f>
        <v>0</v>
      </c>
      <c r="W21" s="556"/>
      <c r="X21" s="331">
        <f t="shared" si="6"/>
        <v>0</v>
      </c>
      <c r="Y21" s="321"/>
      <c r="Z21" s="321" t="str">
        <f t="shared" si="7"/>
        <v>Martin Ni</v>
      </c>
    </row>
    <row r="22" spans="1:26" s="332" customFormat="1" x14ac:dyDescent="0.2">
      <c r="A22" s="634" t="s">
        <v>139</v>
      </c>
      <c r="B22" s="569">
        <v>10</v>
      </c>
      <c r="C22" s="569">
        <v>13.5</v>
      </c>
      <c r="D22" s="322">
        <f t="shared" si="4"/>
        <v>17.25</v>
      </c>
      <c r="E22" s="323">
        <f t="shared" si="5"/>
        <v>70</v>
      </c>
      <c r="F22" s="324">
        <f>SUMIF(PP!$1:$1,$Z22,PP!$86:$86)+SUMIF(PC!$1:$1,$Z22,PC!$87:$87)</f>
        <v>0</v>
      </c>
      <c r="G22" s="325">
        <f>SUMIF(Driver!$1:$1,$Z22,Driver!$18:$18)</f>
        <v>0</v>
      </c>
      <c r="H22" s="326">
        <f>SUMIF(PP!$1:$1,$Z22,PP!$84:$84)</f>
        <v>17.25</v>
      </c>
      <c r="I22" s="327">
        <f>SUMIF(PC!$1:$1,$Z22,PC!$85:$85)</f>
        <v>0</v>
      </c>
      <c r="J22" s="325">
        <f>SUMIF(FH!$1:$1,$Z22,FH!$99:$99)</f>
        <v>0</v>
      </c>
      <c r="K22" s="328">
        <f>SUMIF('T22'!$1:$1,$Z22,'T22'!$99:$99)</f>
        <v>0</v>
      </c>
      <c r="L22" s="325">
        <f>SUMIF(RF!$1:$1,$Z22,RF!$18:$18)</f>
        <v>0</v>
      </c>
      <c r="M22" s="325">
        <f>SUMIF(SC!$1:$1,$Z22,IF(DAY(PayDay1)=1,SC!$17:$17,SC!$35:$35))</f>
        <v>0</v>
      </c>
      <c r="N22" s="325">
        <f>SUMIF('RC'!$1:$1,$Z22,'RC'!$18:$18)</f>
        <v>0</v>
      </c>
      <c r="O22" s="325">
        <f>SUMIF(HoO!$1:$1,$Z22,IF(DAY(PayDay1)=1,HoO!$17:$17,HoO!$34:$34))</f>
        <v>0</v>
      </c>
      <c r="P22" s="329">
        <f>SUMIF(TM!$1:$1,$Z22,TM!$18:$18)</f>
        <v>0</v>
      </c>
      <c r="Q22" s="196">
        <f>SUMIF(Driver!$1:$1,$Z22,Driver!$19:$19)</f>
        <v>0</v>
      </c>
      <c r="R22" s="196">
        <f>SUMIF(PP!$1:$1,$Z22,PP!$85:$85)</f>
        <v>55</v>
      </c>
      <c r="S22" s="196">
        <f>SUMIF(PC!$1:$1,$Z22,PC!$86:$86)</f>
        <v>0</v>
      </c>
      <c r="T22" s="196">
        <f>SUMIF(RF!$1:$1,$Z22,RF!$22:$22)</f>
        <v>0</v>
      </c>
      <c r="U22" s="325">
        <f>SUMIF(SC!$1:$1,$Z22,IF(DAY(PayDay1)=1,SC!$18:$18,SC!$36:$36))</f>
        <v>0</v>
      </c>
      <c r="V22" s="330">
        <f>SUMIF(OT!$1:$1,$Z22,OT!$214:$214)</f>
        <v>15</v>
      </c>
      <c r="W22" s="556"/>
      <c r="X22" s="331">
        <f t="shared" si="6"/>
        <v>242.5</v>
      </c>
      <c r="Y22" s="321"/>
      <c r="Z22" s="321" t="str">
        <f t="shared" si="7"/>
        <v>McLaughlin Da</v>
      </c>
    </row>
    <row r="23" spans="1:26" s="332" customFormat="1" x14ac:dyDescent="0.2">
      <c r="A23" s="634" t="s">
        <v>231</v>
      </c>
      <c r="B23" s="569">
        <v>10</v>
      </c>
      <c r="C23" s="569">
        <v>13.5</v>
      </c>
      <c r="D23" s="322">
        <f t="shared" si="4"/>
        <v>3</v>
      </c>
      <c r="E23" s="323">
        <f t="shared" si="5"/>
        <v>0</v>
      </c>
      <c r="F23" s="324">
        <f>SUMIF(PP!$1:$1,$Z23,PP!$86:$86)+SUMIF(PC!$1:$1,$Z23,PC!$87:$87)</f>
        <v>0</v>
      </c>
      <c r="G23" s="325">
        <f>SUMIF(Driver!$1:$1,$Z23,Driver!$18:$18)</f>
        <v>0</v>
      </c>
      <c r="H23" s="326">
        <f>SUMIF(PP!$1:$1,$Z23,PP!$84:$84)</f>
        <v>3</v>
      </c>
      <c r="I23" s="327">
        <f>SUMIF(PC!$1:$1,$Z23,PC!$85:$85)</f>
        <v>0</v>
      </c>
      <c r="J23" s="325">
        <f>SUMIF(FH!$1:$1,$Z23,FH!$99:$99)</f>
        <v>0</v>
      </c>
      <c r="K23" s="328">
        <f>SUMIF('T22'!$1:$1,$Z23,'T22'!$99:$99)</f>
        <v>0</v>
      </c>
      <c r="L23" s="325">
        <f>SUMIF(RF!$1:$1,$Z23,RF!$18:$18)</f>
        <v>0</v>
      </c>
      <c r="M23" s="325">
        <f>SUMIF(SC!$1:$1,$Z23,IF(DAY(PayDay1)=1,SC!$17:$17,SC!$35:$35))</f>
        <v>0</v>
      </c>
      <c r="N23" s="325">
        <f>SUMIF('RC'!$1:$1,$Z23,'RC'!$18:$18)</f>
        <v>0</v>
      </c>
      <c r="O23" s="325">
        <f>SUMIF(HoO!$1:$1,$Z23,IF(DAY(PayDay1)=1,HoO!$17:$17,HoO!$34:$34))</f>
        <v>0</v>
      </c>
      <c r="P23" s="329">
        <f>SUMIF(TM!$1:$1,$Z23,TM!$18:$18)</f>
        <v>0</v>
      </c>
      <c r="Q23" s="196">
        <f>SUMIF(Driver!$1:$1,$Z23,Driver!$19:$19)</f>
        <v>0</v>
      </c>
      <c r="R23" s="196">
        <f>SUMIF(PP!$1:$1,$Z23,PP!$85:$85)</f>
        <v>0</v>
      </c>
      <c r="S23" s="196">
        <f>SUMIF(PC!$1:$1,$Z23,PC!$86:$86)</f>
        <v>0</v>
      </c>
      <c r="T23" s="196">
        <f>SUMIF(RF!$1:$1,$Z23,RF!$22:$22)</f>
        <v>0</v>
      </c>
      <c r="U23" s="325">
        <f>SUMIF(SC!$1:$1,$Z23,IF(DAY(PayDay1)=1,SC!$18:$18,SC!$36:$36))</f>
        <v>0</v>
      </c>
      <c r="V23" s="330">
        <f>SUMIF(OT!$1:$1,$Z23,OT!$214:$214)</f>
        <v>0</v>
      </c>
      <c r="W23" s="556"/>
      <c r="X23" s="331">
        <f t="shared" si="6"/>
        <v>30</v>
      </c>
      <c r="Y23" s="321"/>
      <c r="Z23" s="321" t="str">
        <f t="shared" si="7"/>
        <v>Ocampo-Mora Ce</v>
      </c>
    </row>
    <row r="24" spans="1:26" s="332" customFormat="1" x14ac:dyDescent="0.2">
      <c r="A24" s="634" t="s">
        <v>228</v>
      </c>
      <c r="B24" s="569">
        <v>10</v>
      </c>
      <c r="C24" s="569">
        <v>13.5</v>
      </c>
      <c r="D24" s="322">
        <f t="shared" si="4"/>
        <v>1.75</v>
      </c>
      <c r="E24" s="323">
        <f t="shared" si="5"/>
        <v>0</v>
      </c>
      <c r="F24" s="324">
        <f>SUMIF(PP!$1:$1,$Z24,PP!$86:$86)+SUMIF(PC!$1:$1,$Z24,PC!$87:$87)</f>
        <v>0</v>
      </c>
      <c r="G24" s="325">
        <f>SUMIF(Driver!$1:$1,$Z24,Driver!$18:$18)</f>
        <v>0</v>
      </c>
      <c r="H24" s="326">
        <f>SUMIF(PP!$1:$1,$Z24,PP!$84:$84)</f>
        <v>1.75</v>
      </c>
      <c r="I24" s="327">
        <f>SUMIF(PC!$1:$1,$Z24,PC!$85:$85)</f>
        <v>0</v>
      </c>
      <c r="J24" s="325">
        <f>SUMIF(FH!$1:$1,$Z24,FH!$99:$99)</f>
        <v>0</v>
      </c>
      <c r="K24" s="328">
        <f>SUMIF('T22'!$1:$1,$Z24,'T22'!$99:$99)</f>
        <v>0</v>
      </c>
      <c r="L24" s="325">
        <f>SUMIF(RF!$1:$1,$Z24,RF!$18:$18)</f>
        <v>0</v>
      </c>
      <c r="M24" s="325">
        <f>SUMIF(SC!$1:$1,$Z24,IF(DAY(PayDay1)=1,SC!$17:$17,SC!$35:$35))</f>
        <v>0</v>
      </c>
      <c r="N24" s="325">
        <f>SUMIF('RC'!$1:$1,$Z24,'RC'!$18:$18)</f>
        <v>0</v>
      </c>
      <c r="O24" s="325">
        <f>SUMIF(HoO!$1:$1,$Z24,IF(DAY(PayDay1)=1,HoO!$17:$17,HoO!$34:$34))</f>
        <v>0</v>
      </c>
      <c r="P24" s="329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5">
        <f>SUMIF(SC!$1:$1,$Z24,IF(DAY(PayDay1)=1,SC!$18:$18,SC!$36:$36))</f>
        <v>0</v>
      </c>
      <c r="V24" s="330">
        <f>SUMIF(OT!$1:$1,$Z24,OT!$214:$214)</f>
        <v>0</v>
      </c>
      <c r="W24" s="556"/>
      <c r="X24" s="331">
        <f t="shared" si="6"/>
        <v>17.5</v>
      </c>
      <c r="Y24" s="321"/>
      <c r="Z24" s="321" t="str">
        <f t="shared" si="7"/>
        <v>Pribilo Ch</v>
      </c>
    </row>
    <row r="25" spans="1:26" s="332" customFormat="1" x14ac:dyDescent="0.2">
      <c r="A25" s="634" t="s">
        <v>207</v>
      </c>
      <c r="B25" s="569">
        <v>10</v>
      </c>
      <c r="C25" s="569">
        <v>13.5</v>
      </c>
      <c r="D25" s="322">
        <f t="shared" si="4"/>
        <v>0</v>
      </c>
      <c r="E25" s="323">
        <f t="shared" si="5"/>
        <v>0</v>
      </c>
      <c r="F25" s="324">
        <f>SUMIF(PP!$1:$1,$Z25,PP!$86:$86)+SUMIF(PC!$1:$1,$Z25,PC!$87:$87)</f>
        <v>0</v>
      </c>
      <c r="G25" s="325">
        <f>SUMIF(Driver!$1:$1,$Z25,Driver!$18:$18)</f>
        <v>0</v>
      </c>
      <c r="H25" s="326">
        <f>SUMIF(PP!$1:$1,$Z25,PP!$84:$84)</f>
        <v>0</v>
      </c>
      <c r="I25" s="327">
        <f>SUMIF(PC!$1:$1,$Z25,PC!$85:$85)</f>
        <v>0</v>
      </c>
      <c r="J25" s="325">
        <f>SUMIF(FH!$1:$1,$Z25,FH!$99:$99)</f>
        <v>0</v>
      </c>
      <c r="K25" s="328">
        <f>SUMIF('T22'!$1:$1,$Z25,'T22'!$99:$99)</f>
        <v>0</v>
      </c>
      <c r="L25" s="325">
        <f>SUMIF(RF!$1:$1,$Z25,RF!$18:$18)</f>
        <v>0</v>
      </c>
      <c r="M25" s="325">
        <f>SUMIF(SC!$1:$1,$Z25,IF(DAY(PayDay1)=1,SC!$17:$17,SC!$35:$35))</f>
        <v>0</v>
      </c>
      <c r="N25" s="325">
        <f>SUMIF('RC'!$1:$1,$Z25,'RC'!$18:$18)</f>
        <v>0</v>
      </c>
      <c r="O25" s="325">
        <f>SUMIF(HoO!$1:$1,$Z25,IF(DAY(PayDay1)=1,HoO!$17:$17,HoO!$34:$34))</f>
        <v>0</v>
      </c>
      <c r="P25" s="329">
        <f>SUMIF(TM!$1:$1,$Z25,TM!$18:$18)</f>
        <v>0</v>
      </c>
      <c r="Q25" s="196">
        <f>SUMIF(Driver!$1:$1,$Z25,Driver!$19:$19)</f>
        <v>0</v>
      </c>
      <c r="R25" s="196">
        <f>SUMIF(PP!$1:$1,$Z25,PP!$85:$85)</f>
        <v>0</v>
      </c>
      <c r="S25" s="196">
        <f>SUMIF(PC!$1:$1,$Z25,PC!$86:$86)</f>
        <v>0</v>
      </c>
      <c r="T25" s="196">
        <f>SUMIF(RF!$1:$1,$Z25,RF!$22:$22)</f>
        <v>0</v>
      </c>
      <c r="U25" s="325">
        <f>SUMIF(SC!$1:$1,$Z25,IF(DAY(PayDay1)=1,SC!$18:$18,SC!$36:$36))</f>
        <v>0</v>
      </c>
      <c r="V25" s="330">
        <f>SUMIF(OT!$1:$1,$Z25,OT!$214:$214)</f>
        <v>0</v>
      </c>
      <c r="W25" s="556"/>
      <c r="X25" s="331">
        <f t="shared" si="6"/>
        <v>0</v>
      </c>
      <c r="Y25" s="321"/>
      <c r="Z25" s="321" t="str">
        <f t="shared" si="7"/>
        <v>Ramsier Sa</v>
      </c>
    </row>
    <row r="26" spans="1:26" s="332" customFormat="1" x14ac:dyDescent="0.2">
      <c r="A26" s="634" t="s">
        <v>138</v>
      </c>
      <c r="B26" s="569">
        <v>10</v>
      </c>
      <c r="C26" s="569">
        <v>13.5</v>
      </c>
      <c r="D26" s="322">
        <f t="shared" si="4"/>
        <v>8.75</v>
      </c>
      <c r="E26" s="323">
        <f t="shared" si="5"/>
        <v>0</v>
      </c>
      <c r="F26" s="324">
        <f>SUMIF(PP!$1:$1,$Z26,PP!$86:$86)+SUMIF(PC!$1:$1,$Z26,PC!$87:$87)</f>
        <v>0</v>
      </c>
      <c r="G26" s="325">
        <f>SUMIF(Driver!$1:$1,$Z26,Driver!$18:$18)</f>
        <v>8.75</v>
      </c>
      <c r="H26" s="326">
        <f>SUMIF(PP!$1:$1,$Z26,PP!$84:$84)</f>
        <v>0</v>
      </c>
      <c r="I26" s="327">
        <f>SUMIF(PC!$1:$1,$Z26,PC!$85:$85)</f>
        <v>0</v>
      </c>
      <c r="J26" s="325">
        <f>SUMIF(FH!$1:$1,$Z26,FH!$99:$99)</f>
        <v>0</v>
      </c>
      <c r="K26" s="328">
        <f>SUMIF('T22'!$1:$1,$Z26,'T22'!$99:$99)</f>
        <v>0</v>
      </c>
      <c r="L26" s="325">
        <f>SUMIF(RF!$1:$1,$Z26,RF!$18:$18)</f>
        <v>0</v>
      </c>
      <c r="M26" s="325">
        <f>SUMIF(SC!$1:$1,$Z26,IF(DAY(PayDay1)=1,SC!$17:$17,SC!$35:$35))</f>
        <v>0</v>
      </c>
      <c r="N26" s="325">
        <f>SUMIF('RC'!$1:$1,$Z26,'RC'!$18:$18)</f>
        <v>0</v>
      </c>
      <c r="O26" s="325">
        <f>SUMIF(HoO!$1:$1,$Z26,IF(DAY(PayDay1)=1,HoO!$17:$17,HoO!$34:$34))</f>
        <v>0</v>
      </c>
      <c r="P26" s="329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5">
        <f>SUMIF(SC!$1:$1,$Z26,IF(DAY(PayDay1)=1,SC!$18:$18,SC!$36:$36))</f>
        <v>0</v>
      </c>
      <c r="V26" s="330">
        <f>SUMIF(OT!$1:$1,$Z26,OT!$214:$214)</f>
        <v>0</v>
      </c>
      <c r="W26" s="556"/>
      <c r="X26" s="331">
        <f t="shared" si="6"/>
        <v>87.5</v>
      </c>
      <c r="Y26" s="321"/>
      <c r="Z26" s="321" t="str">
        <f t="shared" si="7"/>
        <v>Rochester Da</v>
      </c>
    </row>
    <row r="27" spans="1:26" s="332" customFormat="1" x14ac:dyDescent="0.2">
      <c r="A27" s="634" t="s">
        <v>195</v>
      </c>
      <c r="B27" s="569">
        <v>10</v>
      </c>
      <c r="C27" s="569">
        <v>13.5</v>
      </c>
      <c r="D27" s="322">
        <f t="shared" si="4"/>
        <v>32.5</v>
      </c>
      <c r="E27" s="323">
        <f t="shared" si="5"/>
        <v>60.25</v>
      </c>
      <c r="F27" s="324">
        <f>SUMIF(PP!$1:$1,$Z27,PP!$86:$86)+SUMIF(PC!$1:$1,$Z27,PC!$87:$87)</f>
        <v>0</v>
      </c>
      <c r="G27" s="325">
        <f>SUMIF(Driver!$1:$1,$Z27,Driver!$18:$18)</f>
        <v>0</v>
      </c>
      <c r="H27" s="326">
        <f>SUMIF(PP!$1:$1,$Z27,PP!$84:$84)</f>
        <v>11.75</v>
      </c>
      <c r="I27" s="327">
        <f>SUMIF(PC!$1:$1,$Z27,PC!$85:$85)</f>
        <v>0</v>
      </c>
      <c r="J27" s="325">
        <f>SUMIF(FH!$1:$1,$Z27,FH!$99:$99)</f>
        <v>0</v>
      </c>
      <c r="K27" s="328">
        <f>SUMIF('T22'!$1:$1,$Z27,'T22'!$99:$99)</f>
        <v>0</v>
      </c>
      <c r="L27" s="325">
        <f>SUMIF(RF!$1:$1,$Z27,RF!$18:$18)</f>
        <v>0</v>
      </c>
      <c r="M27" s="325">
        <f>SUMIF(SC!$1:$1,$Z27,IF(DAY(PayDay1)=1,SC!$17:$17,SC!$35:$35))</f>
        <v>20.75</v>
      </c>
      <c r="N27" s="325">
        <f>SUMIF('RC'!$1:$1,$Z27,'RC'!$18:$18)</f>
        <v>0</v>
      </c>
      <c r="O27" s="325">
        <f>SUMIF(HoO!$1:$1,$Z27,IF(DAY(PayDay1)=1,HoO!$17:$17,HoO!$34:$34))</f>
        <v>0</v>
      </c>
      <c r="P27" s="329">
        <f>SUMIF(TM!$1:$1,$Z27,TM!$18:$18)</f>
        <v>0</v>
      </c>
      <c r="Q27" s="196">
        <f>SUMIF(Driver!$1:$1,$Z27,Driver!$19:$19)</f>
        <v>0</v>
      </c>
      <c r="R27" s="196">
        <f>SUMIF(PP!$1:$1,$Z27,PP!$85:$85)</f>
        <v>0</v>
      </c>
      <c r="S27" s="196">
        <f>SUMIF(PC!$1:$1,$Z27,PC!$86:$86)</f>
        <v>0</v>
      </c>
      <c r="T27" s="196">
        <f>SUMIF(RF!$1:$1,$Z27,RF!$22:$22)</f>
        <v>0</v>
      </c>
      <c r="U27" s="325">
        <f>SUMIF(SC!$1:$1,$Z27,IF(DAY(PayDay1)=1,SC!$18:$18,SC!$36:$36))</f>
        <v>41.5</v>
      </c>
      <c r="V27" s="330">
        <f>SUMIF(OT!$1:$1,$Z27,OT!$214:$214)</f>
        <v>18.75</v>
      </c>
      <c r="W27" s="556"/>
      <c r="X27" s="331">
        <f t="shared" si="6"/>
        <v>385.25</v>
      </c>
      <c r="Y27" s="321"/>
      <c r="Z27" s="321" t="str">
        <f t="shared" si="7"/>
        <v>Semeryuk Ti</v>
      </c>
    </row>
    <row r="28" spans="1:26" s="332" customFormat="1" x14ac:dyDescent="0.2">
      <c r="A28" s="634" t="s">
        <v>201</v>
      </c>
      <c r="B28" s="569">
        <v>10</v>
      </c>
      <c r="C28" s="569">
        <v>13.5</v>
      </c>
      <c r="D28" s="322">
        <f t="shared" si="4"/>
        <v>4.75</v>
      </c>
      <c r="E28" s="323">
        <f t="shared" si="5"/>
        <v>0</v>
      </c>
      <c r="F28" s="324">
        <f>SUMIF(PP!$1:$1,$Z28,PP!$86:$86)+SUMIF(PC!$1:$1,$Z28,PC!$87:$87)</f>
        <v>0</v>
      </c>
      <c r="G28" s="325">
        <f>SUMIF(Driver!$1:$1,$Z28,Driver!$18:$18)</f>
        <v>0</v>
      </c>
      <c r="H28" s="326">
        <f>SUMIF(PP!$1:$1,$Z28,PP!$84:$84)</f>
        <v>4.75</v>
      </c>
      <c r="I28" s="327">
        <f>SUMIF(PC!$1:$1,$Z28,PC!$85:$85)</f>
        <v>0</v>
      </c>
      <c r="J28" s="325">
        <f>SUMIF(FH!$1:$1,$Z28,FH!$99:$99)</f>
        <v>0</v>
      </c>
      <c r="K28" s="328">
        <f>SUMIF('T22'!$1:$1,$Z28,'T22'!$99:$99)</f>
        <v>0</v>
      </c>
      <c r="L28" s="325">
        <f>SUMIF(RF!$1:$1,$Z28,RF!$18:$18)</f>
        <v>0</v>
      </c>
      <c r="M28" s="325">
        <f>SUMIF(SC!$1:$1,$Z28,IF(DAY(PayDay1)=1,SC!$17:$17,SC!$35:$35))</f>
        <v>0</v>
      </c>
      <c r="N28" s="325">
        <f>SUMIF('RC'!$1:$1,$Z28,'RC'!$18:$18)</f>
        <v>0</v>
      </c>
      <c r="O28" s="325">
        <f>SUMIF(HoO!$1:$1,$Z28,IF(DAY(PayDay1)=1,HoO!$17:$17,HoO!$34:$34))</f>
        <v>0</v>
      </c>
      <c r="P28" s="329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5">
        <f>SUMIF(SC!$1:$1,$Z28,IF(DAY(PayDay1)=1,SC!$18:$18,SC!$36:$36))</f>
        <v>0</v>
      </c>
      <c r="V28" s="330">
        <f>SUMIF(OT!$1:$1,$Z28,OT!$214:$214)</f>
        <v>0</v>
      </c>
      <c r="W28" s="556"/>
      <c r="X28" s="331">
        <f t="shared" si="6"/>
        <v>47.5</v>
      </c>
      <c r="Y28" s="321"/>
      <c r="Z28" s="321" t="str">
        <f t="shared" si="7"/>
        <v>Simmons Br</v>
      </c>
    </row>
    <row r="29" spans="1:26" s="332" customFormat="1" x14ac:dyDescent="0.2">
      <c r="A29" s="634" t="s">
        <v>100</v>
      </c>
      <c r="B29" s="569">
        <v>10</v>
      </c>
      <c r="C29" s="569">
        <v>13.5</v>
      </c>
      <c r="D29" s="322">
        <f t="shared" si="4"/>
        <v>12.75</v>
      </c>
      <c r="E29" s="323">
        <f t="shared" si="5"/>
        <v>33.75</v>
      </c>
      <c r="F29" s="324">
        <f>SUMIF(PP!$1:$1,$Z29,PP!$86:$86)+SUMIF(PC!$1:$1,$Z29,PC!$87:$87)</f>
        <v>0</v>
      </c>
      <c r="G29" s="325">
        <f>SUMIF(Driver!$1:$1,$Z29,Driver!$18:$18)</f>
        <v>0</v>
      </c>
      <c r="H29" s="326">
        <f>SUMIF(PP!$1:$1,$Z29,PP!$84:$84)</f>
        <v>11.75</v>
      </c>
      <c r="I29" s="327">
        <f>SUMIF(PC!$1:$1,$Z29,PC!$85:$85)</f>
        <v>0</v>
      </c>
      <c r="J29" s="325">
        <f>SUMIF(FH!$1:$1,$Z29,FH!$99:$99)</f>
        <v>0</v>
      </c>
      <c r="K29" s="328">
        <f>SUMIF('T22'!$1:$1,$Z29,'T22'!$99:$99)</f>
        <v>0</v>
      </c>
      <c r="L29" s="325">
        <f>SUMIF(RF!$1:$1,$Z29,RF!$18:$18)</f>
        <v>0</v>
      </c>
      <c r="M29" s="325">
        <f>SUMIF(SC!$1:$1,$Z29,IF(DAY(PayDay1)=1,SC!$17:$17,SC!$35:$35))</f>
        <v>0</v>
      </c>
      <c r="N29" s="325">
        <f>SUMIF('RC'!$1:$1,$Z29,'RC'!$18:$18)</f>
        <v>0</v>
      </c>
      <c r="O29" s="325">
        <f>SUMIF(HoO!$1:$1,$Z29,IF(DAY(PayDay1)=1,HoO!$17:$17,HoO!$34:$34))</f>
        <v>0</v>
      </c>
      <c r="P29" s="329">
        <f>SUMIF(TM!$1:$1,$Z29,TM!$18:$18)</f>
        <v>1</v>
      </c>
      <c r="Q29" s="196">
        <f>SUMIF(Driver!$1:$1,$Z29,Driver!$19:$19)</f>
        <v>0</v>
      </c>
      <c r="R29" s="196">
        <f>SUMIF(PP!$1:$1,$Z29,PP!$85:$85)</f>
        <v>15</v>
      </c>
      <c r="S29" s="196">
        <f>SUMIF(PC!$1:$1,$Z29,PC!$86:$86)</f>
        <v>0</v>
      </c>
      <c r="T29" s="196">
        <f>SUMIF(RF!$1:$1,$Z29,RF!$22:$22)</f>
        <v>0</v>
      </c>
      <c r="U29" s="325">
        <f>SUMIF(SC!$1:$1,$Z29,IF(DAY(PayDay1)=1,SC!$18:$18,SC!$36:$36))</f>
        <v>0</v>
      </c>
      <c r="V29" s="330">
        <f>SUMIF(OT!$1:$1,$Z29,OT!$214:$214)</f>
        <v>18.75</v>
      </c>
      <c r="W29" s="556"/>
      <c r="X29" s="331">
        <f t="shared" si="6"/>
        <v>161.25</v>
      </c>
      <c r="Y29" s="321"/>
      <c r="Z29" s="321" t="str">
        <f t="shared" si="7"/>
        <v>Skogberg Ma</v>
      </c>
    </row>
    <row r="30" spans="1:26" s="332" customFormat="1" x14ac:dyDescent="0.2">
      <c r="A30" s="634" t="s">
        <v>198</v>
      </c>
      <c r="B30" s="569">
        <v>10</v>
      </c>
      <c r="C30" s="569">
        <v>13.5</v>
      </c>
      <c r="D30" s="322">
        <f t="shared" si="4"/>
        <v>4.75</v>
      </c>
      <c r="E30" s="323">
        <f t="shared" si="5"/>
        <v>0</v>
      </c>
      <c r="F30" s="324">
        <f>SUMIF(PP!$1:$1,$Z30,PP!$86:$86)+SUMIF(PC!$1:$1,$Z30,PC!$87:$87)</f>
        <v>0</v>
      </c>
      <c r="G30" s="325">
        <f>SUMIF(Driver!$1:$1,$Z30,Driver!$18:$18)</f>
        <v>0</v>
      </c>
      <c r="H30" s="326">
        <f>SUMIF(PP!$1:$1,$Z30,PP!$84:$84)</f>
        <v>4.75</v>
      </c>
      <c r="I30" s="327">
        <f>SUMIF(PC!$1:$1,$Z30,PC!$85:$85)</f>
        <v>0</v>
      </c>
      <c r="J30" s="325">
        <f>SUMIF(FH!$1:$1,$Z30,FH!$99:$99)</f>
        <v>0</v>
      </c>
      <c r="K30" s="328">
        <f>SUMIF('T22'!$1:$1,$Z30,'T22'!$99:$99)</f>
        <v>0</v>
      </c>
      <c r="L30" s="325">
        <f>SUMIF(RF!$1:$1,$Z30,RF!$18:$18)</f>
        <v>0</v>
      </c>
      <c r="M30" s="325">
        <f>SUMIF(SC!$1:$1,$Z30,IF(DAY(PayDay1)=1,SC!$17:$17,SC!$35:$35))</f>
        <v>0</v>
      </c>
      <c r="N30" s="325">
        <f>SUMIF('RC'!$1:$1,$Z30,'RC'!$18:$18)</f>
        <v>0</v>
      </c>
      <c r="O30" s="325">
        <f>SUMIF(HoO!$1:$1,$Z30,IF(DAY(PayDay1)=1,HoO!$17:$17,HoO!$34:$34))</f>
        <v>0</v>
      </c>
      <c r="P30" s="329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5">
        <f>SUMIF(SC!$1:$1,$Z30,IF(DAY(PayDay1)=1,SC!$18:$18,SC!$36:$36))</f>
        <v>0</v>
      </c>
      <c r="V30" s="330">
        <f>SUMIF(OT!$1:$1,$Z30,OT!$214:$214)</f>
        <v>0</v>
      </c>
      <c r="W30" s="556"/>
      <c r="X30" s="331">
        <f t="shared" si="6"/>
        <v>47.5</v>
      </c>
      <c r="Y30" s="321"/>
      <c r="Z30" s="321" t="str">
        <f t="shared" si="7"/>
        <v>Snow Ky</v>
      </c>
    </row>
    <row r="31" spans="1:26" s="332" customFormat="1" x14ac:dyDescent="0.2">
      <c r="A31" s="634" t="s">
        <v>153</v>
      </c>
      <c r="B31" s="569">
        <v>10</v>
      </c>
      <c r="C31" s="569">
        <v>13.5</v>
      </c>
      <c r="D31" s="322">
        <f t="shared" si="4"/>
        <v>0</v>
      </c>
      <c r="E31" s="323">
        <f t="shared" si="5"/>
        <v>0</v>
      </c>
      <c r="F31" s="324">
        <f>SUMIF(PP!$1:$1,$Z31,PP!$86:$86)+SUMIF(PC!$1:$1,$Z31,PC!$87:$87)</f>
        <v>0</v>
      </c>
      <c r="G31" s="325">
        <f>SUMIF(Driver!$1:$1,$Z31,Driver!$18:$18)</f>
        <v>0</v>
      </c>
      <c r="H31" s="326">
        <f>SUMIF(PP!$1:$1,$Z31,PP!$84:$84)</f>
        <v>0</v>
      </c>
      <c r="I31" s="327">
        <f>SUMIF(PC!$1:$1,$Z31,PC!$85:$85)</f>
        <v>0</v>
      </c>
      <c r="J31" s="325">
        <f>SUMIF(FH!$1:$1,$Z31,FH!$99:$99)</f>
        <v>0</v>
      </c>
      <c r="K31" s="328">
        <f>SUMIF('T22'!$1:$1,$Z31,'T22'!$99:$99)</f>
        <v>0</v>
      </c>
      <c r="L31" s="325">
        <f>SUMIF(RF!$1:$1,$Z31,RF!$18:$18)</f>
        <v>0</v>
      </c>
      <c r="M31" s="325">
        <f>SUMIF(SC!$1:$1,$Z31,IF(DAY(PayDay1)=1,SC!$17:$17,SC!$35:$35))</f>
        <v>0</v>
      </c>
      <c r="N31" s="325">
        <f>SUMIF('RC'!$1:$1,$Z31,'RC'!$18:$18)</f>
        <v>0</v>
      </c>
      <c r="O31" s="325">
        <f>SUMIF(HoO!$1:$1,$Z31,IF(DAY(PayDay1)=1,HoO!$17:$17,HoO!$34:$34))</f>
        <v>0</v>
      </c>
      <c r="P31" s="329">
        <f>SUMIF(TM!$1:$1,$Z31,TM!$18:$18)</f>
        <v>0</v>
      </c>
      <c r="Q31" s="196">
        <f>SUMIF(Driver!$1:$1,$Z31,Driver!$19:$19)</f>
        <v>0</v>
      </c>
      <c r="R31" s="196">
        <f>SUMIF(PP!$1:$1,$Z31,PP!$85:$85)</f>
        <v>0</v>
      </c>
      <c r="S31" s="196">
        <f>SUMIF(PC!$1:$1,$Z31,PC!$86:$86)</f>
        <v>0</v>
      </c>
      <c r="T31" s="196">
        <f>SUMIF(RF!$1:$1,$Z31,RF!$22:$22)</f>
        <v>0</v>
      </c>
      <c r="U31" s="325">
        <f>SUMIF(SC!$1:$1,$Z31,IF(DAY(PayDay1)=1,SC!$18:$18,SC!$36:$36))</f>
        <v>0</v>
      </c>
      <c r="V31" s="330">
        <f>SUMIF(OT!$1:$1,$Z31,OT!$214:$214)</f>
        <v>0</v>
      </c>
      <c r="W31" s="556"/>
      <c r="X31" s="331">
        <f t="shared" si="6"/>
        <v>0</v>
      </c>
      <c r="Y31" s="321"/>
      <c r="Z31" s="321" t="str">
        <f t="shared" si="7"/>
        <v>Tedeschi Tr</v>
      </c>
    </row>
    <row r="32" spans="1:26" s="332" customFormat="1" x14ac:dyDescent="0.2">
      <c r="A32" s="634" t="s">
        <v>142</v>
      </c>
      <c r="B32" s="569">
        <v>10</v>
      </c>
      <c r="C32" s="569">
        <v>13.5</v>
      </c>
      <c r="D32" s="322">
        <f t="shared" si="4"/>
        <v>6.25</v>
      </c>
      <c r="E32" s="323">
        <f t="shared" si="5"/>
        <v>0</v>
      </c>
      <c r="F32" s="324">
        <f>SUMIF(PP!$1:$1,$Z32,PP!$86:$86)+SUMIF(PC!$1:$1,$Z32,PC!$87:$87)</f>
        <v>0</v>
      </c>
      <c r="G32" s="325">
        <f>SUMIF(Driver!$1:$1,$Z32,Driver!$18:$18)</f>
        <v>0</v>
      </c>
      <c r="H32" s="326">
        <f>SUMIF(PP!$1:$1,$Z32,PP!$84:$84)</f>
        <v>3.5</v>
      </c>
      <c r="I32" s="327">
        <f>SUMIF(PC!$1:$1,$Z32,PC!$85:$85)</f>
        <v>0</v>
      </c>
      <c r="J32" s="325">
        <f>SUMIF(FH!$1:$1,$Z32,FH!$99:$99)</f>
        <v>0</v>
      </c>
      <c r="K32" s="328">
        <f>SUMIF('T22'!$1:$1,$Z32,'T22'!$99:$99)</f>
        <v>0</v>
      </c>
      <c r="L32" s="325">
        <f>SUMIF(RF!$1:$1,$Z32,RF!$18:$18)</f>
        <v>0</v>
      </c>
      <c r="M32" s="325">
        <f>SUMIF(SC!$1:$1,$Z32,IF(DAY(PayDay1)=1,SC!$17:$17,SC!$35:$35))</f>
        <v>0</v>
      </c>
      <c r="N32" s="325">
        <f>SUMIF('RC'!$1:$1,$Z32,'RC'!$18:$18)</f>
        <v>2.75</v>
      </c>
      <c r="O32" s="325">
        <f>SUMIF(HoO!$1:$1,$Z32,IF(DAY(PayDay1)=1,HoO!$17:$17,HoO!$34:$34))</f>
        <v>0</v>
      </c>
      <c r="P32" s="329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5">
        <f>SUMIF(SC!$1:$1,$Z32,IF(DAY(PayDay1)=1,SC!$18:$18,SC!$36:$36))</f>
        <v>0</v>
      </c>
      <c r="V32" s="330">
        <f>SUMIF(OT!$1:$1,$Z32,OT!$214:$214)</f>
        <v>0</v>
      </c>
      <c r="W32" s="556"/>
      <c r="X32" s="331">
        <f t="shared" si="6"/>
        <v>62.5</v>
      </c>
      <c r="Y32" s="321"/>
      <c r="Z32" s="321" t="str">
        <f t="shared" si="7"/>
        <v>Thimmes Se</v>
      </c>
    </row>
    <row r="33" spans="1:26" s="332" customFormat="1" x14ac:dyDescent="0.2">
      <c r="A33" s="634" t="s">
        <v>126</v>
      </c>
      <c r="B33" s="569">
        <v>10</v>
      </c>
      <c r="C33" s="569">
        <v>13.5</v>
      </c>
      <c r="D33" s="322">
        <f t="shared" si="4"/>
        <v>0</v>
      </c>
      <c r="E33" s="323">
        <f t="shared" si="5"/>
        <v>0</v>
      </c>
      <c r="F33" s="324">
        <f>SUMIF(PP!$1:$1,$Z33,PP!$86:$86)+SUMIF(PC!$1:$1,$Z33,PC!$87:$87)</f>
        <v>0</v>
      </c>
      <c r="G33" s="325">
        <f>SUMIF(Driver!$1:$1,$Z33,Driver!$18:$18)</f>
        <v>0</v>
      </c>
      <c r="H33" s="326">
        <f>SUMIF(PP!$1:$1,$Z33,PP!$84:$84)</f>
        <v>0</v>
      </c>
      <c r="I33" s="327">
        <f>SUMIF(PC!$1:$1,$Z33,PC!$85:$85)</f>
        <v>0</v>
      </c>
      <c r="J33" s="325">
        <f>SUMIF(FH!$1:$1,$Z33,FH!$99:$99)</f>
        <v>0</v>
      </c>
      <c r="K33" s="328">
        <f>SUMIF('T22'!$1:$1,$Z33,'T22'!$99:$99)</f>
        <v>0</v>
      </c>
      <c r="L33" s="325">
        <f>SUMIF(RF!$1:$1,$Z33,RF!$18:$18)</f>
        <v>0</v>
      </c>
      <c r="M33" s="325">
        <f>SUMIF(SC!$1:$1,$Z33,IF(DAY(PayDay1)=1,SC!$17:$17,SC!$35:$35))</f>
        <v>0</v>
      </c>
      <c r="N33" s="325">
        <f>SUMIF('RC'!$1:$1,$Z33,'RC'!$18:$18)</f>
        <v>0</v>
      </c>
      <c r="O33" s="325">
        <f>SUMIF(HoO!$1:$1,$Z33,IF(DAY(PayDay1)=1,HoO!$17:$17,HoO!$34:$34))</f>
        <v>0</v>
      </c>
      <c r="P33" s="329">
        <f>SUMIF(TM!$1:$1,$Z33,TM!$18:$18)</f>
        <v>0</v>
      </c>
      <c r="Q33" s="196">
        <f>SUMIF(Driver!$1:$1,$Z33,Driver!$19:$19)</f>
        <v>0</v>
      </c>
      <c r="R33" s="196">
        <f>SUMIF(PP!$1:$1,$Z33,PP!$85:$85)</f>
        <v>0</v>
      </c>
      <c r="S33" s="196">
        <f>SUMIF(PC!$1:$1,$Z33,PC!$86:$86)</f>
        <v>0</v>
      </c>
      <c r="T33" s="196">
        <f>SUMIF(RF!$1:$1,$Z33,RF!$22:$22)</f>
        <v>0</v>
      </c>
      <c r="U33" s="325">
        <f>SUMIF(SC!$1:$1,$Z33,IF(DAY(PayDay1)=1,SC!$18:$18,SC!$36:$36))</f>
        <v>0</v>
      </c>
      <c r="V33" s="330">
        <f>SUMIF(OT!$1:$1,$Z33,OT!$214:$214)</f>
        <v>0</v>
      </c>
      <c r="W33" s="556"/>
      <c r="X33" s="331">
        <f t="shared" si="6"/>
        <v>0</v>
      </c>
      <c r="Y33" s="321"/>
      <c r="Z33" s="321" t="str">
        <f t="shared" si="7"/>
        <v>Torres Vi</v>
      </c>
    </row>
    <row r="34" spans="1:26" x14ac:dyDescent="0.2">
      <c r="A34" s="634" t="s">
        <v>232</v>
      </c>
      <c r="B34" s="569">
        <v>10</v>
      </c>
      <c r="C34" s="569">
        <v>13.5</v>
      </c>
      <c r="D34" s="322">
        <f t="shared" si="4"/>
        <v>0</v>
      </c>
      <c r="E34" s="323">
        <f t="shared" si="5"/>
        <v>0</v>
      </c>
      <c r="F34" s="324">
        <f>SUMIF(PP!$1:$1,$Z34,PP!$86:$86)+SUMIF(PC!$1:$1,$Z34,PC!$87:$87)</f>
        <v>0</v>
      </c>
      <c r="G34" s="325">
        <f>SUMIF(Driver!$1:$1,$Z34,Driver!$18:$18)</f>
        <v>0</v>
      </c>
      <c r="H34" s="326">
        <f>SUMIF(PP!$1:$1,$Z34,PP!$84:$84)</f>
        <v>0</v>
      </c>
      <c r="I34" s="327">
        <f>SUMIF(PC!$1:$1,$Z34,PC!$85:$85)</f>
        <v>0</v>
      </c>
      <c r="J34" s="325">
        <f>SUMIF(FH!$1:$1,$Z34,FH!$99:$99)</f>
        <v>0</v>
      </c>
      <c r="K34" s="328">
        <f>SUMIF('T22'!$1:$1,$Z34,'T22'!$99:$99)</f>
        <v>0</v>
      </c>
      <c r="L34" s="325">
        <f>SUMIF(RF!$1:$1,$Z34,RF!$18:$18)</f>
        <v>0</v>
      </c>
      <c r="M34" s="325">
        <f>SUMIF(SC!$1:$1,$Z34,IF(DAY(PayDay1)=1,SC!$17:$17,SC!$35:$35))</f>
        <v>0</v>
      </c>
      <c r="N34" s="325">
        <f>SUMIF('RC'!$1:$1,$Z34,'RC'!$18:$18)</f>
        <v>0</v>
      </c>
      <c r="O34" s="325">
        <f>SUMIF(HoO!$1:$1,$Z34,IF(DAY(PayDay1)=1,HoO!$17:$17,HoO!$34:$34))</f>
        <v>0</v>
      </c>
      <c r="P34" s="329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5">
        <f>SUMIF(SC!$1:$1,$Z34,IF(DAY(PayDay1)=1,SC!$18:$18,SC!$36:$36))</f>
        <v>0</v>
      </c>
      <c r="V34" s="330">
        <f>SUMIF(OT!$1:$1,$Z34,OT!$214:$214)</f>
        <v>0</v>
      </c>
      <c r="W34" s="556"/>
      <c r="X34" s="331">
        <f t="shared" si="6"/>
        <v>0</v>
      </c>
      <c r="Y34" s="321"/>
      <c r="Z34" s="321" t="str">
        <f t="shared" si="7"/>
        <v>Veilleux Ma</v>
      </c>
    </row>
    <row r="35" spans="1:26" s="332" customFormat="1" x14ac:dyDescent="0.2">
      <c r="A35" s="634" t="s">
        <v>137</v>
      </c>
      <c r="B35" s="569">
        <v>10</v>
      </c>
      <c r="C35" s="569">
        <v>13.5</v>
      </c>
      <c r="D35" s="322">
        <f t="shared" si="4"/>
        <v>4.75</v>
      </c>
      <c r="E35" s="323">
        <f t="shared" si="5"/>
        <v>0</v>
      </c>
      <c r="F35" s="324">
        <f>SUMIF(PP!$1:$1,$Z35,PP!$86:$86)+SUMIF(PC!$1:$1,$Z35,PC!$87:$87)</f>
        <v>0</v>
      </c>
      <c r="G35" s="325">
        <f>SUMIF(Driver!$1:$1,$Z35,Driver!$18:$18)</f>
        <v>0</v>
      </c>
      <c r="H35" s="326">
        <f>SUMIF(PP!$1:$1,$Z35,PP!$84:$84)</f>
        <v>4.75</v>
      </c>
      <c r="I35" s="327">
        <f>SUMIF(PC!$1:$1,$Z35,PC!$85:$85)</f>
        <v>0</v>
      </c>
      <c r="J35" s="325">
        <f>SUMIF(FH!$1:$1,$Z35,FH!$99:$99)</f>
        <v>0</v>
      </c>
      <c r="K35" s="328">
        <f>SUMIF('T22'!$1:$1,$Z35,'T22'!$99:$99)</f>
        <v>0</v>
      </c>
      <c r="L35" s="325">
        <f>SUMIF(RF!$1:$1,$Z35,RF!$18:$18)</f>
        <v>0</v>
      </c>
      <c r="M35" s="325">
        <f>SUMIF(SC!$1:$1,$Z35,IF(DAY(PayDay1)=1,SC!$17:$17,SC!$35:$35))</f>
        <v>0</v>
      </c>
      <c r="N35" s="325">
        <f>SUMIF('RC'!$1:$1,$Z35,'RC'!$18:$18)</f>
        <v>0</v>
      </c>
      <c r="O35" s="325">
        <f>SUMIF(HoO!$1:$1,$Z35,IF(DAY(PayDay1)=1,HoO!$17:$17,HoO!$34:$34))</f>
        <v>0</v>
      </c>
      <c r="P35" s="329">
        <f>SUMIF(TM!$1:$1,$Z35,TM!$18:$18)</f>
        <v>0</v>
      </c>
      <c r="Q35" s="196">
        <f>SUMIF(Driver!$1:$1,$Z35,Driver!$19:$19)</f>
        <v>0</v>
      </c>
      <c r="R35" s="196">
        <f>SUMIF(PP!$1:$1,$Z35,PP!$85:$85)</f>
        <v>0</v>
      </c>
      <c r="S35" s="196">
        <f>SUMIF(PC!$1:$1,$Z35,PC!$86:$86)</f>
        <v>0</v>
      </c>
      <c r="T35" s="196">
        <f>SUMIF(RF!$1:$1,$Z35,RF!$22:$22)</f>
        <v>0</v>
      </c>
      <c r="U35" s="325">
        <f>SUMIF(SC!$1:$1,$Z35,IF(DAY(PayDay1)=1,SC!$18:$18,SC!$36:$36))</f>
        <v>0</v>
      </c>
      <c r="V35" s="330">
        <f>SUMIF(OT!$1:$1,$Z35,OT!$214:$214)</f>
        <v>0</v>
      </c>
      <c r="W35" s="556"/>
      <c r="X35" s="331">
        <f t="shared" si="6"/>
        <v>47.5</v>
      </c>
      <c r="Y35" s="321"/>
      <c r="Z35" s="321" t="str">
        <f t="shared" si="7"/>
        <v>Wedman Ke</v>
      </c>
    </row>
    <row r="36" spans="1:26" s="332" customFormat="1" x14ac:dyDescent="0.2">
      <c r="A36" s="634"/>
      <c r="B36" s="569"/>
      <c r="C36" s="569"/>
      <c r="D36" s="322">
        <f t="shared" si="4"/>
        <v>0</v>
      </c>
      <c r="E36" s="323">
        <f t="shared" si="5"/>
        <v>0</v>
      </c>
      <c r="F36" s="324">
        <f>SUMIF(PP!$1:$1,$Z36,PP!$86:$86)+SUMIF(PC!$1:$1,$Z36,PC!$87:$87)</f>
        <v>0</v>
      </c>
      <c r="G36" s="325">
        <f>SUMIF(Driver!$1:$1,$Z36,Driver!$18:$18)</f>
        <v>0</v>
      </c>
      <c r="H36" s="326">
        <f>SUMIF(PP!$1:$1,$Z36,PP!$84:$84)</f>
        <v>0</v>
      </c>
      <c r="I36" s="327">
        <f>SUMIF(PC!$1:$1,$Z36,PC!$85:$85)</f>
        <v>0</v>
      </c>
      <c r="J36" s="325">
        <f>SUMIF(FH!$1:$1,$Z36,FH!$99:$99)</f>
        <v>0</v>
      </c>
      <c r="K36" s="328">
        <f>SUMIF('T22'!$1:$1,$Z36,'T22'!$99:$99)</f>
        <v>0</v>
      </c>
      <c r="L36" s="325">
        <f>SUMIF(RF!$1:$1,$Z36,RF!$18:$18)</f>
        <v>0</v>
      </c>
      <c r="M36" s="325">
        <f>SUMIF(SC!$1:$1,$Z36,IF(DAY(PayDay1)=1,SC!$17:$17,SC!$35:$35))</f>
        <v>0</v>
      </c>
      <c r="N36" s="325">
        <f>SUMIF('RC'!$1:$1,$Z36,'RC'!$18:$18)</f>
        <v>0</v>
      </c>
      <c r="O36" s="325">
        <f>SUMIF(HoO!$1:$1,$Z36,IF(DAY(PayDay1)=1,HoO!$17:$17,HoO!$34:$34))</f>
        <v>0</v>
      </c>
      <c r="P36" s="329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5">
        <f>SUMIF(SC!$1:$1,$Z36,IF(DAY(PayDay1)=1,SC!$18:$18,SC!$36:$36))</f>
        <v>0</v>
      </c>
      <c r="V36" s="330">
        <f>SUMIF(OT!$1:$1,$Z36,OT!$214:$214)</f>
        <v>0</v>
      </c>
      <c r="W36" s="556"/>
      <c r="X36" s="331">
        <f t="shared" si="6"/>
        <v>0</v>
      </c>
      <c r="Y36" s="321"/>
      <c r="Z36" s="321" t="str">
        <f t="shared" si="7"/>
        <v xml:space="preserve"> </v>
      </c>
    </row>
    <row r="37" spans="1:26" s="332" customFormat="1" x14ac:dyDescent="0.2">
      <c r="A37" s="634"/>
      <c r="B37" s="569"/>
      <c r="C37" s="569"/>
      <c r="D37" s="322">
        <f t="shared" si="4"/>
        <v>0</v>
      </c>
      <c r="E37" s="323">
        <f t="shared" si="5"/>
        <v>0</v>
      </c>
      <c r="F37" s="324">
        <f>SUMIF(PP!$1:$1,$Z37,PP!$86:$86)+SUMIF(PC!$1:$1,$Z37,PC!$87:$87)</f>
        <v>0</v>
      </c>
      <c r="G37" s="325">
        <f>SUMIF(Driver!$1:$1,$Z37,Driver!$18:$18)</f>
        <v>0</v>
      </c>
      <c r="H37" s="326">
        <f>SUMIF(PP!$1:$1,$Z37,PP!$84:$84)</f>
        <v>0</v>
      </c>
      <c r="I37" s="327">
        <f>SUMIF(PC!$1:$1,$Z37,PC!$85:$85)</f>
        <v>0</v>
      </c>
      <c r="J37" s="325">
        <f>SUMIF(FH!$1:$1,$Z37,FH!$99:$99)</f>
        <v>0</v>
      </c>
      <c r="K37" s="328">
        <f>SUMIF('T22'!$1:$1,$Z37,'T22'!$99:$99)</f>
        <v>0</v>
      </c>
      <c r="L37" s="325">
        <f>SUMIF(RF!$1:$1,$Z37,RF!$18:$18)</f>
        <v>0</v>
      </c>
      <c r="M37" s="325">
        <f>SUMIF(SC!$1:$1,$Z37,IF(DAY(PayDay1)=1,SC!$17:$17,SC!$35:$35))</f>
        <v>0</v>
      </c>
      <c r="N37" s="325">
        <f>SUMIF('RC'!$1:$1,$Z37,'RC'!$18:$18)</f>
        <v>0</v>
      </c>
      <c r="O37" s="325">
        <f>SUMIF(HoO!$1:$1,$Z37,IF(DAY(PayDay1)=1,HoO!$17:$17,HoO!$34:$34))</f>
        <v>0</v>
      </c>
      <c r="P37" s="329">
        <f>SUMIF(TM!$1:$1,$Z37,TM!$18:$18)</f>
        <v>0</v>
      </c>
      <c r="Q37" s="196">
        <f>SUMIF(Driver!$1:$1,$Z37,Driver!$19:$19)</f>
        <v>0</v>
      </c>
      <c r="R37" s="196">
        <f>SUMIF(PP!$1:$1,$Z37,PP!$85:$85)</f>
        <v>0</v>
      </c>
      <c r="S37" s="196">
        <f>SUMIF(PC!$1:$1,$Z37,PC!$86:$86)</f>
        <v>0</v>
      </c>
      <c r="T37" s="196">
        <f>SUMIF(RF!$1:$1,$Z37,RF!$22:$22)</f>
        <v>0</v>
      </c>
      <c r="U37" s="325">
        <f>SUMIF(SC!$1:$1,$Z37,IF(DAY(PayDay1)=1,SC!$18:$18,SC!$36:$36))</f>
        <v>0</v>
      </c>
      <c r="V37" s="330">
        <f>SUMIF(OT!$1:$1,$Z37,OT!$214:$214)</f>
        <v>0</v>
      </c>
      <c r="W37" s="556"/>
      <c r="X37" s="331">
        <f t="shared" si="6"/>
        <v>0</v>
      </c>
      <c r="Y37" s="321"/>
      <c r="Z37" s="321" t="str">
        <f t="shared" si="7"/>
        <v xml:space="preserve"> </v>
      </c>
    </row>
    <row r="38" spans="1:26" s="332" customFormat="1" x14ac:dyDescent="0.2">
      <c r="A38" s="634"/>
      <c r="B38" s="569"/>
      <c r="C38" s="569"/>
      <c r="D38" s="322">
        <f t="shared" si="4"/>
        <v>0</v>
      </c>
      <c r="E38" s="323">
        <f t="shared" si="5"/>
        <v>0</v>
      </c>
      <c r="F38" s="324">
        <f>SUMIF(PP!$1:$1,$Z38,PP!$86:$86)+SUMIF(PC!$1:$1,$Z38,PC!$87:$87)</f>
        <v>0</v>
      </c>
      <c r="G38" s="325">
        <f>SUMIF(Driver!$1:$1,$Z38,Driver!$18:$18)</f>
        <v>0</v>
      </c>
      <c r="H38" s="326">
        <f>SUMIF(PP!$1:$1,$Z38,PP!$84:$84)</f>
        <v>0</v>
      </c>
      <c r="I38" s="327">
        <f>SUMIF(PC!$1:$1,$Z38,PC!$85:$85)</f>
        <v>0</v>
      </c>
      <c r="J38" s="325">
        <f>SUMIF(FH!$1:$1,$Z38,FH!$99:$99)</f>
        <v>0</v>
      </c>
      <c r="K38" s="328">
        <f>SUMIF('T22'!$1:$1,$Z38,'T22'!$99:$99)</f>
        <v>0</v>
      </c>
      <c r="L38" s="325">
        <f>SUMIF(RF!$1:$1,$Z38,RF!$18:$18)</f>
        <v>0</v>
      </c>
      <c r="M38" s="325">
        <f>SUMIF(SC!$1:$1,$Z38,IF(DAY(PayDay1)=1,SC!$17:$17,SC!$35:$35))</f>
        <v>0</v>
      </c>
      <c r="N38" s="325">
        <f>SUMIF('RC'!$1:$1,$Z38,'RC'!$18:$18)</f>
        <v>0</v>
      </c>
      <c r="O38" s="325">
        <f>SUMIF(HoO!$1:$1,$Z38,IF(DAY(PayDay1)=1,HoO!$17:$17,HoO!$34:$34))</f>
        <v>0</v>
      </c>
      <c r="P38" s="329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5">
        <f>SUMIF(SC!$1:$1,$Z38,IF(DAY(PayDay1)=1,SC!$18:$18,SC!$36:$36))</f>
        <v>0</v>
      </c>
      <c r="V38" s="330">
        <f>SUMIF(OT!$1:$1,$Z38,OT!$214:$214)</f>
        <v>0</v>
      </c>
      <c r="W38" s="556"/>
      <c r="X38" s="331">
        <f t="shared" si="6"/>
        <v>0</v>
      </c>
      <c r="Y38" s="321"/>
      <c r="Z38" s="321" t="str">
        <f t="shared" si="7"/>
        <v xml:space="preserve"> </v>
      </c>
    </row>
    <row r="39" spans="1:26" s="332" customFormat="1" x14ac:dyDescent="0.2">
      <c r="A39" s="634"/>
      <c r="B39" s="569"/>
      <c r="C39" s="569"/>
      <c r="D39" s="322">
        <f t="shared" si="4"/>
        <v>0</v>
      </c>
      <c r="E39" s="323">
        <f t="shared" si="5"/>
        <v>0</v>
      </c>
      <c r="F39" s="324">
        <f>SUMIF(PP!$1:$1,$Z39,PP!$86:$86)+SUMIF(PC!$1:$1,$Z39,PC!$87:$87)</f>
        <v>0</v>
      </c>
      <c r="G39" s="325">
        <f>SUMIF(Driver!$1:$1,$Z39,Driver!$18:$18)</f>
        <v>0</v>
      </c>
      <c r="H39" s="326">
        <f>SUMIF(PP!$1:$1,$Z39,PP!$84:$84)</f>
        <v>0</v>
      </c>
      <c r="I39" s="327">
        <f>SUMIF(PC!$1:$1,$Z39,PC!$85:$85)</f>
        <v>0</v>
      </c>
      <c r="J39" s="325">
        <f>SUMIF(FH!$1:$1,$Z39,FH!$99:$99)</f>
        <v>0</v>
      </c>
      <c r="K39" s="328">
        <f>SUMIF('T22'!$1:$1,$Z39,'T22'!$99:$99)</f>
        <v>0</v>
      </c>
      <c r="L39" s="325">
        <f>SUMIF(RF!$1:$1,$Z39,RF!$18:$18)</f>
        <v>0</v>
      </c>
      <c r="M39" s="325">
        <f>SUMIF(SC!$1:$1,$Z39,IF(DAY(PayDay1)=1,SC!$17:$17,SC!$35:$35))</f>
        <v>0</v>
      </c>
      <c r="N39" s="325">
        <f>SUMIF('RC'!$1:$1,$Z39,'RC'!$18:$18)</f>
        <v>0</v>
      </c>
      <c r="O39" s="325">
        <f>SUMIF(HoO!$1:$1,$Z39,IF(DAY(PayDay1)=1,HoO!$17:$17,HoO!$34:$34))</f>
        <v>0</v>
      </c>
      <c r="P39" s="329">
        <f>SUMIF(TM!$1:$1,$Z39,TM!$18:$18)</f>
        <v>0</v>
      </c>
      <c r="Q39" s="196">
        <f>SUMIF(Driver!$1:$1,$Z39,Driver!$19:$19)</f>
        <v>0</v>
      </c>
      <c r="R39" s="196">
        <f>SUMIF(PP!$1:$1,$Z39,PP!$85:$85)</f>
        <v>0</v>
      </c>
      <c r="S39" s="196">
        <f>SUMIF(PC!$1:$1,$Z39,PC!$86:$86)</f>
        <v>0</v>
      </c>
      <c r="T39" s="196">
        <f>SUMIF(RF!$1:$1,$Z39,RF!$22:$22)</f>
        <v>0</v>
      </c>
      <c r="U39" s="325">
        <f>SUMIF(SC!$1:$1,$Z39,IF(DAY(PayDay1)=1,SC!$18:$18,SC!$36:$36))</f>
        <v>0</v>
      </c>
      <c r="V39" s="330">
        <f>SUMIF(OT!$1:$1,$Z39,OT!$214:$214)</f>
        <v>0</v>
      </c>
      <c r="W39" s="556"/>
      <c r="X39" s="331">
        <f t="shared" si="6"/>
        <v>0</v>
      </c>
      <c r="Y39" s="321"/>
      <c r="Z39" s="321" t="str">
        <f t="shared" si="7"/>
        <v xml:space="preserve"> </v>
      </c>
    </row>
    <row r="40" spans="1:26" s="332" customFormat="1" x14ac:dyDescent="0.2">
      <c r="A40" s="634"/>
      <c r="B40" s="569"/>
      <c r="C40" s="569"/>
      <c r="D40" s="322">
        <f t="shared" si="4"/>
        <v>0</v>
      </c>
      <c r="E40" s="323">
        <f t="shared" si="5"/>
        <v>0</v>
      </c>
      <c r="F40" s="324">
        <f>SUMIF(PP!$1:$1,$Z40,PP!$86:$86)+SUMIF(PC!$1:$1,$Z40,PC!$87:$87)</f>
        <v>0</v>
      </c>
      <c r="G40" s="325">
        <f>SUMIF(Driver!$1:$1,$Z40,Driver!$18:$18)</f>
        <v>0</v>
      </c>
      <c r="H40" s="326">
        <f>SUMIF(PP!$1:$1,$Z40,PP!$84:$84)</f>
        <v>0</v>
      </c>
      <c r="I40" s="327">
        <f>SUMIF(PC!$1:$1,$Z40,PC!$85:$85)</f>
        <v>0</v>
      </c>
      <c r="J40" s="325">
        <f>SUMIF(FH!$1:$1,$Z40,FH!$99:$99)</f>
        <v>0</v>
      </c>
      <c r="K40" s="328">
        <f>SUMIF('T22'!$1:$1,$Z40,'T22'!$99:$99)</f>
        <v>0</v>
      </c>
      <c r="L40" s="325">
        <f>SUMIF(RF!$1:$1,$Z40,RF!$18:$18)</f>
        <v>0</v>
      </c>
      <c r="M40" s="325">
        <f>SUMIF(SC!$1:$1,$Z40,IF(DAY(PayDay1)=1,SC!$17:$17,SC!$35:$35))</f>
        <v>0</v>
      </c>
      <c r="N40" s="325">
        <f>SUMIF('RC'!$1:$1,$Z40,'RC'!$18:$18)</f>
        <v>0</v>
      </c>
      <c r="O40" s="325">
        <f>SUMIF(HoO!$1:$1,$Z40,IF(DAY(PayDay1)=1,HoO!$17:$17,HoO!$34:$34))</f>
        <v>0</v>
      </c>
      <c r="P40" s="329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5">
        <f>SUMIF(SC!$1:$1,$Z40,IF(DAY(PayDay1)=1,SC!$18:$18,SC!$36:$36))</f>
        <v>0</v>
      </c>
      <c r="V40" s="330">
        <f>SUMIF(OT!$1:$1,$Z40,OT!$214:$214)</f>
        <v>0</v>
      </c>
      <c r="W40" s="556"/>
      <c r="X40" s="331">
        <f t="shared" si="6"/>
        <v>0</v>
      </c>
      <c r="Y40" s="321"/>
      <c r="Z40" s="321" t="str">
        <f t="shared" si="7"/>
        <v xml:space="preserve"> </v>
      </c>
    </row>
    <row r="41" spans="1:26" s="332" customFormat="1" x14ac:dyDescent="0.2">
      <c r="A41" s="634"/>
      <c r="B41" s="569"/>
      <c r="C41" s="569"/>
      <c r="D41" s="322">
        <f t="shared" si="4"/>
        <v>0</v>
      </c>
      <c r="E41" s="323">
        <f t="shared" si="5"/>
        <v>0</v>
      </c>
      <c r="F41" s="324">
        <f>SUMIF(PP!$1:$1,$Z41,PP!$86:$86)+SUMIF(PC!$1:$1,$Z41,PC!$87:$87)</f>
        <v>0</v>
      </c>
      <c r="G41" s="325">
        <f>SUMIF(Driver!$1:$1,$Z41,Driver!$18:$18)</f>
        <v>0</v>
      </c>
      <c r="H41" s="326">
        <f>SUMIF(PP!$1:$1,$Z41,PP!$84:$84)</f>
        <v>0</v>
      </c>
      <c r="I41" s="327">
        <f>SUMIF(PC!$1:$1,$Z41,PC!$85:$85)</f>
        <v>0</v>
      </c>
      <c r="J41" s="325">
        <f>SUMIF(FH!$1:$1,$Z41,FH!$99:$99)</f>
        <v>0</v>
      </c>
      <c r="K41" s="328">
        <f>SUMIF('T22'!$1:$1,$Z41,'T22'!$99:$99)</f>
        <v>0</v>
      </c>
      <c r="L41" s="325">
        <f>SUMIF(RF!$1:$1,$Z41,RF!$18:$18)</f>
        <v>0</v>
      </c>
      <c r="M41" s="325">
        <f>SUMIF(SC!$1:$1,$Z41,IF(DAY(PayDay1)=1,SC!$17:$17,SC!$35:$35))</f>
        <v>0</v>
      </c>
      <c r="N41" s="325">
        <f>SUMIF('RC'!$1:$1,$Z41,'RC'!$18:$18)</f>
        <v>0</v>
      </c>
      <c r="O41" s="325">
        <f>SUMIF(HoO!$1:$1,$Z41,IF(DAY(PayDay1)=1,HoO!$17:$17,HoO!$34:$34))</f>
        <v>0</v>
      </c>
      <c r="P41" s="329">
        <f>SUMIF(TM!$1:$1,$Z41,TM!$18:$18)</f>
        <v>0</v>
      </c>
      <c r="Q41" s="196">
        <f>SUMIF(Driver!$1:$1,$Z41,Driver!$19:$19)</f>
        <v>0</v>
      </c>
      <c r="R41" s="196">
        <f>SUMIF(PP!$1:$1,$Z41,PP!$85:$85)</f>
        <v>0</v>
      </c>
      <c r="S41" s="196">
        <f>SUMIF(PC!$1:$1,$Z41,PC!$86:$86)</f>
        <v>0</v>
      </c>
      <c r="T41" s="196">
        <f>SUMIF(RF!$1:$1,$Z41,RF!$22:$22)</f>
        <v>0</v>
      </c>
      <c r="U41" s="325">
        <f>SUMIF(SC!$1:$1,$Z41,IF(DAY(PayDay1)=1,SC!$18:$18,SC!$36:$36))</f>
        <v>0</v>
      </c>
      <c r="V41" s="330">
        <f>SUMIF(OT!$1:$1,$Z41,OT!$214:$214)</f>
        <v>0</v>
      </c>
      <c r="W41" s="556"/>
      <c r="X41" s="331">
        <f t="shared" si="6"/>
        <v>0</v>
      </c>
      <c r="Y41" s="321"/>
      <c r="Z41" s="321" t="str">
        <f t="shared" si="7"/>
        <v xml:space="preserve"> </v>
      </c>
    </row>
    <row r="42" spans="1:26" s="332" customFormat="1" x14ac:dyDescent="0.2">
      <c r="A42" s="634"/>
      <c r="B42" s="569"/>
      <c r="C42" s="569"/>
      <c r="D42" s="322">
        <f t="shared" si="4"/>
        <v>0</v>
      </c>
      <c r="E42" s="323">
        <f t="shared" si="5"/>
        <v>0</v>
      </c>
      <c r="F42" s="324">
        <f>SUMIF(PP!$1:$1,$Z42,PP!$86:$86)+SUMIF(PC!$1:$1,$Z42,PC!$87:$87)</f>
        <v>0</v>
      </c>
      <c r="G42" s="325">
        <f>SUMIF(Driver!$1:$1,$Z42,Driver!$18:$18)</f>
        <v>0</v>
      </c>
      <c r="H42" s="326">
        <f>SUMIF(PP!$1:$1,$Z42,PP!$84:$84)</f>
        <v>0</v>
      </c>
      <c r="I42" s="327">
        <f>SUMIF(PC!$1:$1,$Z42,PC!$85:$85)</f>
        <v>0</v>
      </c>
      <c r="J42" s="325">
        <f>SUMIF(FH!$1:$1,$Z42,FH!$99:$99)</f>
        <v>0</v>
      </c>
      <c r="K42" s="328">
        <f>SUMIF('T22'!$1:$1,$Z42,'T22'!$99:$99)</f>
        <v>0</v>
      </c>
      <c r="L42" s="325">
        <f>SUMIF(RF!$1:$1,$Z42,RF!$18:$18)</f>
        <v>0</v>
      </c>
      <c r="M42" s="325">
        <f>SUMIF(SC!$1:$1,$Z42,IF(DAY(PayDay1)=1,SC!$17:$17,SC!$35:$35))</f>
        <v>0</v>
      </c>
      <c r="N42" s="325">
        <f>SUMIF('RC'!$1:$1,$Z42,'RC'!$18:$18)</f>
        <v>0</v>
      </c>
      <c r="O42" s="325">
        <f>SUMIF(HoO!$1:$1,$Z42,IF(DAY(PayDay1)=1,HoO!$17:$17,HoO!$34:$34))</f>
        <v>0</v>
      </c>
      <c r="P42" s="329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5">
        <f>SUMIF(SC!$1:$1,$Z42,IF(DAY(PayDay1)=1,SC!$18:$18,SC!$36:$36))</f>
        <v>0</v>
      </c>
      <c r="V42" s="330">
        <f>SUMIF(OT!$1:$1,$Z42,OT!$214:$214)</f>
        <v>0</v>
      </c>
      <c r="W42" s="556"/>
      <c r="X42" s="331">
        <f t="shared" si="6"/>
        <v>0</v>
      </c>
      <c r="Y42" s="321"/>
      <c r="Z42" s="321" t="str">
        <f t="shared" si="7"/>
        <v xml:space="preserve"> </v>
      </c>
    </row>
    <row r="43" spans="1:26" s="332" customFormat="1" x14ac:dyDescent="0.2">
      <c r="A43" s="634"/>
      <c r="B43" s="569"/>
      <c r="C43" s="569"/>
      <c r="D43" s="322">
        <f t="shared" si="4"/>
        <v>0</v>
      </c>
      <c r="E43" s="323">
        <f t="shared" si="5"/>
        <v>0</v>
      </c>
      <c r="F43" s="324">
        <f>SUMIF(PP!$1:$1,$Z43,PP!$86:$86)+SUMIF(PC!$1:$1,$Z43,PC!$87:$87)</f>
        <v>0</v>
      </c>
      <c r="G43" s="325">
        <f>SUMIF(Driver!$1:$1,$Z43,Driver!$18:$18)</f>
        <v>0</v>
      </c>
      <c r="H43" s="326">
        <f>SUMIF(PP!$1:$1,$Z43,PP!$84:$84)</f>
        <v>0</v>
      </c>
      <c r="I43" s="327">
        <f>SUMIF(PC!$1:$1,$Z43,PC!$85:$85)</f>
        <v>0</v>
      </c>
      <c r="J43" s="325">
        <f>SUMIF(FH!$1:$1,$Z43,FH!$99:$99)</f>
        <v>0</v>
      </c>
      <c r="K43" s="328">
        <f>SUMIF('T22'!$1:$1,$Z43,'T22'!$99:$99)</f>
        <v>0</v>
      </c>
      <c r="L43" s="325">
        <f>SUMIF(RF!$1:$1,$Z43,RF!$18:$18)</f>
        <v>0</v>
      </c>
      <c r="M43" s="325">
        <f>SUMIF(SC!$1:$1,$Z43,IF(DAY(PayDay1)=1,SC!$17:$17,SC!$35:$35))</f>
        <v>0</v>
      </c>
      <c r="N43" s="325">
        <f>SUMIF('RC'!$1:$1,$Z43,'RC'!$18:$18)</f>
        <v>0</v>
      </c>
      <c r="O43" s="325">
        <f>SUMIF(HoO!$1:$1,$Z43,IF(DAY(PayDay1)=1,HoO!$17:$17,HoO!$34:$34))</f>
        <v>0</v>
      </c>
      <c r="P43" s="329">
        <f>SUMIF(TM!$1:$1,$Z43,TM!$18:$18)</f>
        <v>0</v>
      </c>
      <c r="Q43" s="196">
        <f>SUMIF(Driver!$1:$1,$Z43,Driver!$19:$19)</f>
        <v>0</v>
      </c>
      <c r="R43" s="196">
        <f>SUMIF(PP!$1:$1,$Z43,PP!$85:$85)</f>
        <v>0</v>
      </c>
      <c r="S43" s="196">
        <f>SUMIF(PC!$1:$1,$Z43,PC!$86:$86)</f>
        <v>0</v>
      </c>
      <c r="T43" s="196">
        <f>SUMIF(RF!$1:$1,$Z43,RF!$22:$22)</f>
        <v>0</v>
      </c>
      <c r="U43" s="325">
        <f>SUMIF(SC!$1:$1,$Z43,IF(DAY(PayDay1)=1,SC!$18:$18,SC!$36:$36))</f>
        <v>0</v>
      </c>
      <c r="V43" s="330">
        <f>SUMIF(OT!$1:$1,$Z43,OT!$214:$214)</f>
        <v>0</v>
      </c>
      <c r="W43" s="556"/>
      <c r="X43" s="331">
        <f t="shared" si="6"/>
        <v>0</v>
      </c>
      <c r="Y43" s="321"/>
      <c r="Z43" s="321" t="str">
        <f t="shared" si="7"/>
        <v xml:space="preserve"> </v>
      </c>
    </row>
    <row r="44" spans="1:26" s="332" customFormat="1" x14ac:dyDescent="0.2">
      <c r="A44" s="634"/>
      <c r="B44" s="569"/>
      <c r="C44" s="569"/>
      <c r="D44" s="322">
        <f t="shared" si="4"/>
        <v>0</v>
      </c>
      <c r="E44" s="323">
        <f t="shared" si="5"/>
        <v>0</v>
      </c>
      <c r="F44" s="324">
        <f>SUMIF(PP!$1:$1,$Z44,PP!$86:$86)+SUMIF(PC!$1:$1,$Z44,PC!$87:$87)</f>
        <v>0</v>
      </c>
      <c r="G44" s="325">
        <f>SUMIF(Driver!$1:$1,$Z44,Driver!$18:$18)</f>
        <v>0</v>
      </c>
      <c r="H44" s="326">
        <f>SUMIF(PP!$1:$1,$Z44,PP!$84:$84)</f>
        <v>0</v>
      </c>
      <c r="I44" s="327">
        <f>SUMIF(PC!$1:$1,$Z44,PC!$85:$85)</f>
        <v>0</v>
      </c>
      <c r="J44" s="325">
        <f>SUMIF(FH!$1:$1,$Z44,FH!$99:$99)</f>
        <v>0</v>
      </c>
      <c r="K44" s="328">
        <f>SUMIF('T22'!$1:$1,$Z44,'T22'!$99:$99)</f>
        <v>0</v>
      </c>
      <c r="L44" s="325">
        <f>SUMIF(RF!$1:$1,$Z44,RF!$18:$18)</f>
        <v>0</v>
      </c>
      <c r="M44" s="325">
        <f>SUMIF(SC!$1:$1,$Z44,IF(DAY(PayDay1)=1,SC!$17:$17,SC!$35:$35))</f>
        <v>0</v>
      </c>
      <c r="N44" s="325">
        <f>SUMIF('RC'!$1:$1,$Z44,'RC'!$18:$18)</f>
        <v>0</v>
      </c>
      <c r="O44" s="325">
        <f>SUMIF(HoO!$1:$1,$Z44,IF(DAY(PayDay1)=1,HoO!$17:$17,HoO!$34:$34))</f>
        <v>0</v>
      </c>
      <c r="P44" s="329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5">
        <f>SUMIF(SC!$1:$1,$Z44,IF(DAY(PayDay1)=1,SC!$18:$18,SC!$36:$36))</f>
        <v>0</v>
      </c>
      <c r="V44" s="330">
        <f>SUMIF(OT!$1:$1,$Z44,OT!$214:$214)</f>
        <v>0</v>
      </c>
      <c r="W44" s="556"/>
      <c r="X44" s="331">
        <f t="shared" si="6"/>
        <v>0</v>
      </c>
      <c r="Y44" s="321"/>
      <c r="Z44" s="321" t="str">
        <f t="shared" si="7"/>
        <v xml:space="preserve"> </v>
      </c>
    </row>
    <row r="45" spans="1:26" s="332" customFormat="1" x14ac:dyDescent="0.2">
      <c r="A45" s="634"/>
      <c r="B45" s="569"/>
      <c r="C45" s="569"/>
      <c r="D45" s="322">
        <f t="shared" si="4"/>
        <v>0</v>
      </c>
      <c r="E45" s="323">
        <f t="shared" si="5"/>
        <v>0</v>
      </c>
      <c r="F45" s="324">
        <f>SUMIF(PP!$1:$1,$Z45,PP!$86:$86)+SUMIF(PC!$1:$1,$Z45,PC!$87:$87)</f>
        <v>0</v>
      </c>
      <c r="G45" s="325">
        <f>SUMIF(Driver!$1:$1,$Z45,Driver!$18:$18)</f>
        <v>0</v>
      </c>
      <c r="H45" s="326">
        <f>SUMIF(PP!$1:$1,$Z45,PP!$84:$84)</f>
        <v>0</v>
      </c>
      <c r="I45" s="327">
        <f>SUMIF(PC!$1:$1,$Z45,PC!$85:$85)</f>
        <v>0</v>
      </c>
      <c r="J45" s="325">
        <f>SUMIF(FH!$1:$1,$Z45,FH!$99:$99)</f>
        <v>0</v>
      </c>
      <c r="K45" s="328">
        <f>SUMIF('T22'!$1:$1,$Z45,'T22'!$99:$99)</f>
        <v>0</v>
      </c>
      <c r="L45" s="325">
        <f>SUMIF(RF!$1:$1,$Z45,RF!$18:$18)</f>
        <v>0</v>
      </c>
      <c r="M45" s="325">
        <f>SUMIF(SC!$1:$1,$Z45,IF(DAY(PayDay1)=1,SC!$17:$17,SC!$35:$35))</f>
        <v>0</v>
      </c>
      <c r="N45" s="325">
        <f>SUMIF('RC'!$1:$1,$Z45,'RC'!$18:$18)</f>
        <v>0</v>
      </c>
      <c r="O45" s="325">
        <f>SUMIF(HoO!$1:$1,$Z45,IF(DAY(PayDay1)=1,HoO!$17:$17,HoO!$34:$34))</f>
        <v>0</v>
      </c>
      <c r="P45" s="329">
        <f>SUMIF(TM!$1:$1,$Z45,TM!$18:$18)</f>
        <v>0</v>
      </c>
      <c r="Q45" s="196">
        <f>SUMIF(Driver!$1:$1,$Z45,Driver!$19:$19)</f>
        <v>0</v>
      </c>
      <c r="R45" s="196">
        <f>SUMIF(PP!$1:$1,$Z45,PP!$85:$85)</f>
        <v>0</v>
      </c>
      <c r="S45" s="196">
        <f>SUMIF(PC!$1:$1,$Z45,PC!$86:$86)</f>
        <v>0</v>
      </c>
      <c r="T45" s="196">
        <f>SUMIF(RF!$1:$1,$Z45,RF!$22:$22)</f>
        <v>0</v>
      </c>
      <c r="U45" s="325">
        <f>SUMIF(SC!$1:$1,$Z45,IF(DAY(PayDay1)=1,SC!$18:$18,SC!$36:$36))</f>
        <v>0</v>
      </c>
      <c r="V45" s="330">
        <f>SUMIF(OT!$1:$1,$Z45,OT!$214:$214)</f>
        <v>0</v>
      </c>
      <c r="W45" s="556"/>
      <c r="X45" s="331">
        <f t="shared" si="6"/>
        <v>0</v>
      </c>
      <c r="Y45" s="321"/>
      <c r="Z45" s="321" t="str">
        <f t="shared" si="7"/>
        <v xml:space="preserve"> </v>
      </c>
    </row>
    <row r="46" spans="1:26" s="332" customFormat="1" x14ac:dyDescent="0.2">
      <c r="A46" s="634"/>
      <c r="B46" s="569"/>
      <c r="C46" s="569"/>
      <c r="D46" s="322">
        <f t="shared" si="4"/>
        <v>0</v>
      </c>
      <c r="E46" s="323">
        <f t="shared" si="5"/>
        <v>0</v>
      </c>
      <c r="F46" s="324">
        <f>SUMIF(PP!$1:$1,$Z46,PP!$86:$86)+SUMIF(PC!$1:$1,$Z46,PC!$87:$87)</f>
        <v>0</v>
      </c>
      <c r="G46" s="325">
        <f>SUMIF(Driver!$1:$1,$Z46,Driver!$18:$18)</f>
        <v>0</v>
      </c>
      <c r="H46" s="326">
        <f>SUMIF(PP!$1:$1,$Z46,PP!$84:$84)</f>
        <v>0</v>
      </c>
      <c r="I46" s="327">
        <f>SUMIF(PC!$1:$1,$Z46,PC!$85:$85)</f>
        <v>0</v>
      </c>
      <c r="J46" s="325">
        <f>SUMIF(FH!$1:$1,$Z46,FH!$99:$99)</f>
        <v>0</v>
      </c>
      <c r="K46" s="328">
        <f>SUMIF('T22'!$1:$1,$Z46,'T22'!$99:$99)</f>
        <v>0</v>
      </c>
      <c r="L46" s="325">
        <f>SUMIF(RF!$1:$1,$Z46,RF!$18:$18)</f>
        <v>0</v>
      </c>
      <c r="M46" s="325">
        <f>SUMIF(SC!$1:$1,$Z46,IF(DAY(PayDay1)=1,SC!$17:$17,SC!$35:$35))</f>
        <v>0</v>
      </c>
      <c r="N46" s="325">
        <f>SUMIF('RC'!$1:$1,$Z46,'RC'!$18:$18)</f>
        <v>0</v>
      </c>
      <c r="O46" s="325">
        <f>SUMIF(HoO!$1:$1,$Z46,IF(DAY(PayDay1)=1,HoO!$17:$17,HoO!$34:$34))</f>
        <v>0</v>
      </c>
      <c r="P46" s="329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5">
        <f>SUMIF(SC!$1:$1,$Z46,IF(DAY(PayDay1)=1,SC!$18:$18,SC!$36:$36))</f>
        <v>0</v>
      </c>
      <c r="V46" s="330">
        <f>SUMIF(OT!$1:$1,$Z46,OT!$214:$214)</f>
        <v>0</v>
      </c>
      <c r="W46" s="556"/>
      <c r="X46" s="331">
        <f t="shared" si="6"/>
        <v>0</v>
      </c>
      <c r="Y46" s="321"/>
      <c r="Z46" s="321" t="str">
        <f t="shared" si="7"/>
        <v xml:space="preserve"> </v>
      </c>
    </row>
    <row r="47" spans="1:26" s="332" customFormat="1" x14ac:dyDescent="0.2">
      <c r="A47" s="634"/>
      <c r="B47" s="569"/>
      <c r="C47" s="569"/>
      <c r="D47" s="322">
        <f t="shared" si="4"/>
        <v>0</v>
      </c>
      <c r="E47" s="323">
        <f t="shared" si="5"/>
        <v>0</v>
      </c>
      <c r="F47" s="324">
        <f>SUMIF(PP!$1:$1,$Z47,PP!$86:$86)+SUMIF(PC!$1:$1,$Z47,PC!$87:$87)</f>
        <v>0</v>
      </c>
      <c r="G47" s="325">
        <f>SUMIF(Driver!$1:$1,$Z47,Driver!$18:$18)</f>
        <v>0</v>
      </c>
      <c r="H47" s="326">
        <f>SUMIF(PP!$1:$1,$Z47,PP!$84:$84)</f>
        <v>0</v>
      </c>
      <c r="I47" s="327">
        <f>SUMIF(PC!$1:$1,$Z47,PC!$85:$85)</f>
        <v>0</v>
      </c>
      <c r="J47" s="325">
        <f>SUMIF(FH!$1:$1,$Z47,FH!$99:$99)</f>
        <v>0</v>
      </c>
      <c r="K47" s="328">
        <f>SUMIF('T22'!$1:$1,$Z47,'T22'!$99:$99)</f>
        <v>0</v>
      </c>
      <c r="L47" s="325">
        <f>SUMIF(RF!$1:$1,$Z47,RF!$18:$18)</f>
        <v>0</v>
      </c>
      <c r="M47" s="325">
        <f>SUMIF(SC!$1:$1,$Z47,IF(DAY(PayDay1)=1,SC!$17:$17,SC!$35:$35))</f>
        <v>0</v>
      </c>
      <c r="N47" s="325">
        <f>SUMIF('RC'!$1:$1,$Z47,'RC'!$18:$18)</f>
        <v>0</v>
      </c>
      <c r="O47" s="325">
        <f>SUMIF(HoO!$1:$1,$Z47,IF(DAY(PayDay1)=1,HoO!$17:$17,HoO!$34:$34))</f>
        <v>0</v>
      </c>
      <c r="P47" s="329">
        <f>SUMIF(TM!$1:$1,$Z47,TM!$18:$18)</f>
        <v>0</v>
      </c>
      <c r="Q47" s="196">
        <f>SUMIF(Driver!$1:$1,$Z47,Driver!$19:$19)</f>
        <v>0</v>
      </c>
      <c r="R47" s="196">
        <f>SUMIF(PP!$1:$1,$Z47,PP!$85:$85)</f>
        <v>0</v>
      </c>
      <c r="S47" s="196">
        <f>SUMIF(PC!$1:$1,$Z47,PC!$86:$86)</f>
        <v>0</v>
      </c>
      <c r="T47" s="196">
        <f>SUMIF(RF!$1:$1,$Z47,RF!$22:$22)</f>
        <v>0</v>
      </c>
      <c r="U47" s="325">
        <f>SUMIF(SC!$1:$1,$Z47,IF(DAY(PayDay1)=1,SC!$18:$18,SC!$36:$36))</f>
        <v>0</v>
      </c>
      <c r="V47" s="330">
        <f>SUMIF(OT!$1:$1,$Z47,OT!$214:$214)</f>
        <v>0</v>
      </c>
      <c r="W47" s="556"/>
      <c r="X47" s="331">
        <f t="shared" si="6"/>
        <v>0</v>
      </c>
      <c r="Y47" s="321"/>
      <c r="Z47" s="321" t="str">
        <f t="shared" si="7"/>
        <v xml:space="preserve"> </v>
      </c>
    </row>
    <row r="48" spans="1:26" s="332" customFormat="1" x14ac:dyDescent="0.2">
      <c r="A48" s="634"/>
      <c r="B48" s="569"/>
      <c r="C48" s="569"/>
      <c r="D48" s="322">
        <f t="shared" si="4"/>
        <v>0</v>
      </c>
      <c r="E48" s="323">
        <f t="shared" si="5"/>
        <v>0</v>
      </c>
      <c r="F48" s="324">
        <f>SUMIF(PP!$1:$1,$Z48,PP!$86:$86)+SUMIF(PC!$1:$1,$Z48,PC!$87:$87)</f>
        <v>0</v>
      </c>
      <c r="G48" s="325">
        <f>SUMIF(Driver!$1:$1,$Z48,Driver!$18:$18)</f>
        <v>0</v>
      </c>
      <c r="H48" s="326">
        <f>SUMIF(PP!$1:$1,$Z48,PP!$84:$84)</f>
        <v>0</v>
      </c>
      <c r="I48" s="327">
        <f>SUMIF(PC!$1:$1,$Z48,PC!$85:$85)</f>
        <v>0</v>
      </c>
      <c r="J48" s="325">
        <f>SUMIF(FH!$1:$1,$Z48,FH!$99:$99)</f>
        <v>0</v>
      </c>
      <c r="K48" s="328">
        <f>SUMIF('T22'!$1:$1,$Z48,'T22'!$99:$99)</f>
        <v>0</v>
      </c>
      <c r="L48" s="325">
        <f>SUMIF(RF!$1:$1,$Z48,RF!$18:$18)</f>
        <v>0</v>
      </c>
      <c r="M48" s="325">
        <f>SUMIF(SC!$1:$1,$Z48,IF(DAY(PayDay1)=1,SC!$17:$17,SC!$35:$35))</f>
        <v>0</v>
      </c>
      <c r="N48" s="325">
        <f>SUMIF('RC'!$1:$1,$Z48,'RC'!$18:$18)</f>
        <v>0</v>
      </c>
      <c r="O48" s="325">
        <f>SUMIF(HoO!$1:$1,$Z48,IF(DAY(PayDay1)=1,HoO!$17:$17,HoO!$34:$34))</f>
        <v>0</v>
      </c>
      <c r="P48" s="329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5">
        <f>SUMIF(SC!$1:$1,$Z48,IF(DAY(PayDay1)=1,SC!$18:$18,SC!$36:$36))</f>
        <v>0</v>
      </c>
      <c r="V48" s="330">
        <f>SUMIF(OT!$1:$1,$Z48,OT!$214:$214)</f>
        <v>0</v>
      </c>
      <c r="W48" s="556"/>
      <c r="X48" s="331">
        <f t="shared" si="6"/>
        <v>0</v>
      </c>
      <c r="Y48" s="321"/>
      <c r="Z48" s="321" t="str">
        <f t="shared" si="7"/>
        <v xml:space="preserve"> </v>
      </c>
    </row>
    <row r="49" spans="1:26" s="332" customFormat="1" x14ac:dyDescent="0.2">
      <c r="A49" s="634"/>
      <c r="B49" s="569"/>
      <c r="C49" s="569"/>
      <c r="D49" s="322">
        <f t="shared" si="4"/>
        <v>0</v>
      </c>
      <c r="E49" s="323">
        <f t="shared" si="5"/>
        <v>0</v>
      </c>
      <c r="F49" s="324">
        <f>SUMIF(PP!$1:$1,$Z49,PP!$86:$86)+SUMIF(PC!$1:$1,$Z49,PC!$87:$87)</f>
        <v>0</v>
      </c>
      <c r="G49" s="325">
        <f>SUMIF(Driver!$1:$1,$Z49,Driver!$18:$18)</f>
        <v>0</v>
      </c>
      <c r="H49" s="326">
        <f>SUMIF(PP!$1:$1,$Z49,PP!$84:$84)</f>
        <v>0</v>
      </c>
      <c r="I49" s="327">
        <f>SUMIF(PC!$1:$1,$Z49,PC!$85:$85)</f>
        <v>0</v>
      </c>
      <c r="J49" s="325">
        <f>SUMIF(FH!$1:$1,$Z49,FH!$99:$99)</f>
        <v>0</v>
      </c>
      <c r="K49" s="328">
        <f>SUMIF('T22'!$1:$1,$Z49,'T22'!$99:$99)</f>
        <v>0</v>
      </c>
      <c r="L49" s="325">
        <f>SUMIF(RF!$1:$1,$Z49,RF!$18:$18)</f>
        <v>0</v>
      </c>
      <c r="M49" s="325">
        <f>SUMIF(SC!$1:$1,$Z49,IF(DAY(PayDay1)=1,SC!$17:$17,SC!$35:$35))</f>
        <v>0</v>
      </c>
      <c r="N49" s="325">
        <f>SUMIF('RC'!$1:$1,$Z49,'RC'!$18:$18)</f>
        <v>0</v>
      </c>
      <c r="O49" s="325">
        <f>SUMIF(HoO!$1:$1,$Z49,IF(DAY(PayDay1)=1,HoO!$17:$17,HoO!$34:$34))</f>
        <v>0</v>
      </c>
      <c r="P49" s="329">
        <f>SUMIF(TM!$1:$1,$Z49,TM!$18:$18)</f>
        <v>0</v>
      </c>
      <c r="Q49" s="196">
        <f>SUMIF(Driver!$1:$1,$Z49,Driver!$19:$19)</f>
        <v>0</v>
      </c>
      <c r="R49" s="196">
        <f>SUMIF(PP!$1:$1,$Z49,PP!$85:$85)</f>
        <v>0</v>
      </c>
      <c r="S49" s="196">
        <f>SUMIF(PC!$1:$1,$Z49,PC!$86:$86)</f>
        <v>0</v>
      </c>
      <c r="T49" s="196">
        <f>SUMIF(RF!$1:$1,$Z49,RF!$22:$22)</f>
        <v>0</v>
      </c>
      <c r="U49" s="325">
        <f>SUMIF(SC!$1:$1,$Z49,IF(DAY(PayDay1)=1,SC!$18:$18,SC!$36:$36))</f>
        <v>0</v>
      </c>
      <c r="V49" s="330">
        <f>SUMIF(OT!$1:$1,$Z49,OT!$214:$214)</f>
        <v>0</v>
      </c>
      <c r="W49" s="556"/>
      <c r="X49" s="331">
        <f t="shared" si="6"/>
        <v>0</v>
      </c>
      <c r="Y49" s="321"/>
      <c r="Z49" s="321" t="str">
        <f t="shared" si="7"/>
        <v xml:space="preserve"> </v>
      </c>
    </row>
    <row r="50" spans="1:26" s="332" customFormat="1" x14ac:dyDescent="0.2">
      <c r="A50" s="634"/>
      <c r="B50" s="569"/>
      <c r="C50" s="569"/>
      <c r="D50" s="322">
        <f t="shared" si="4"/>
        <v>0</v>
      </c>
      <c r="E50" s="323">
        <f t="shared" si="5"/>
        <v>0</v>
      </c>
      <c r="F50" s="324">
        <f>SUMIF(PP!$1:$1,$Z50,PP!$86:$86)+SUMIF(PC!$1:$1,$Z50,PC!$87:$87)</f>
        <v>0</v>
      </c>
      <c r="G50" s="325">
        <f>SUMIF(Driver!$1:$1,$Z50,Driver!$18:$18)</f>
        <v>0</v>
      </c>
      <c r="H50" s="326">
        <f>SUMIF(PP!$1:$1,$Z50,PP!$84:$84)</f>
        <v>0</v>
      </c>
      <c r="I50" s="327">
        <f>SUMIF(PC!$1:$1,$Z50,PC!$85:$85)</f>
        <v>0</v>
      </c>
      <c r="J50" s="325">
        <f>SUMIF(FH!$1:$1,$Z50,FH!$99:$99)</f>
        <v>0</v>
      </c>
      <c r="K50" s="328">
        <f>SUMIF('T22'!$1:$1,$Z50,'T22'!$99:$99)</f>
        <v>0</v>
      </c>
      <c r="L50" s="325">
        <f>SUMIF(RF!$1:$1,$Z50,RF!$18:$18)</f>
        <v>0</v>
      </c>
      <c r="M50" s="325">
        <f>SUMIF(SC!$1:$1,$Z50,IF(DAY(PayDay1)=1,SC!$17:$17,SC!$35:$35))</f>
        <v>0</v>
      </c>
      <c r="N50" s="325">
        <f>SUMIF('RC'!$1:$1,$Z50,'RC'!$18:$18)</f>
        <v>0</v>
      </c>
      <c r="O50" s="325">
        <f>SUMIF(HoO!$1:$1,$Z50,IF(DAY(PayDay1)=1,HoO!$17:$17,HoO!$34:$34))</f>
        <v>0</v>
      </c>
      <c r="P50" s="329">
        <f>SUMIF(TM!$1:$1,$Z50,TM!$18:$18)</f>
        <v>0</v>
      </c>
      <c r="Q50" s="196">
        <f>SUMIF(Driver!$1:$1,$Z50,Driver!$19:$19)</f>
        <v>0</v>
      </c>
      <c r="R50" s="196">
        <f>SUMIF(PP!$1:$1,$Z50,PP!$85:$85)</f>
        <v>0</v>
      </c>
      <c r="S50" s="196">
        <f>SUMIF(PC!$1:$1,$Z50,PC!$86:$86)</f>
        <v>0</v>
      </c>
      <c r="T50" s="196">
        <f>SUMIF(RF!$1:$1,$Z50,RF!$22:$22)</f>
        <v>0</v>
      </c>
      <c r="U50" s="325">
        <f>SUMIF(SC!$1:$1,$Z50,IF(DAY(PayDay1)=1,SC!$18:$18,SC!$36:$36))</f>
        <v>0</v>
      </c>
      <c r="V50" s="330">
        <f>SUMIF(OT!$1:$1,$Z50,OT!$214:$214)</f>
        <v>0</v>
      </c>
      <c r="W50" s="556"/>
      <c r="X50" s="331">
        <f t="shared" si="6"/>
        <v>0</v>
      </c>
      <c r="Y50" s="321"/>
      <c r="Z50" s="321" t="str">
        <f t="shared" si="7"/>
        <v xml:space="preserve"> </v>
      </c>
    </row>
    <row r="51" spans="1:26" s="332" customFormat="1" ht="12" thickBot="1" x14ac:dyDescent="0.25">
      <c r="A51" s="634"/>
      <c r="B51" s="569"/>
      <c r="C51" s="569"/>
      <c r="D51" s="322">
        <f t="shared" si="4"/>
        <v>0</v>
      </c>
      <c r="E51" s="323">
        <f t="shared" si="5"/>
        <v>0</v>
      </c>
      <c r="F51" s="324">
        <f>SUMIF(PP!$1:$1,$Z51,PP!$86:$86)+SUMIF(PC!$1:$1,$Z51,PC!$87:$87)</f>
        <v>0</v>
      </c>
      <c r="G51" s="325">
        <f>SUMIF(Driver!$1:$1,$Z51,Driver!$18:$18)</f>
        <v>0</v>
      </c>
      <c r="H51" s="326">
        <f>SUMIF(PP!$1:$1,$Z51,PP!$84:$84)</f>
        <v>0</v>
      </c>
      <c r="I51" s="327">
        <f>SUMIF(PC!$1:$1,$Z51,PC!$85:$85)</f>
        <v>0</v>
      </c>
      <c r="J51" s="325">
        <f>SUMIF(FH!$1:$1,$Z51,FH!$99:$99)</f>
        <v>0</v>
      </c>
      <c r="K51" s="328">
        <f>SUMIF('T22'!$1:$1,$Z51,'T22'!$99:$99)</f>
        <v>0</v>
      </c>
      <c r="L51" s="325">
        <f>SUMIF(RF!$1:$1,$Z51,RF!$18:$18)</f>
        <v>0</v>
      </c>
      <c r="M51" s="325">
        <f>SUMIF(SC!$1:$1,$Z51,IF(DAY(PayDay1)=1,SC!$17:$17,SC!$35:$35))</f>
        <v>0</v>
      </c>
      <c r="N51" s="325">
        <f>SUMIF('RC'!$1:$1,$Z51,'RC'!$18:$18)</f>
        <v>0</v>
      </c>
      <c r="O51" s="325">
        <f>SUMIF(HoO!$1:$1,$Z51,IF(DAY(PayDay1)=1,HoO!$17:$17,HoO!$34:$34))</f>
        <v>0</v>
      </c>
      <c r="P51" s="329">
        <f>SUMIF(TM!$1:$1,$Z51,TM!$18:$18)</f>
        <v>0</v>
      </c>
      <c r="Q51" s="196">
        <f>SUMIF(Driver!$1:$1,$Z51,Driver!$19:$19)</f>
        <v>0</v>
      </c>
      <c r="R51" s="196">
        <f>SUMIF(PP!$1:$1,$Z51,PP!$85:$85)</f>
        <v>0</v>
      </c>
      <c r="S51" s="196">
        <f>SUMIF(PC!$1:$1,$Z51,PC!$86:$86)</f>
        <v>0</v>
      </c>
      <c r="T51" s="196">
        <f>SUMIF(RF!$1:$1,$Z51,RF!$22:$22)</f>
        <v>0</v>
      </c>
      <c r="U51" s="325">
        <f>SUMIF(SC!$1:$1,$Z51,IF(DAY(PayDay1)=1,SC!$18:$18,SC!$36:$36))</f>
        <v>0</v>
      </c>
      <c r="V51" s="330">
        <f>SUMIF(OT!$1:$1,$Z51,OT!$214:$214)</f>
        <v>0</v>
      </c>
      <c r="W51" s="556"/>
      <c r="X51" s="331">
        <f t="shared" si="6"/>
        <v>0</v>
      </c>
      <c r="Y51" s="321"/>
      <c r="Z51" s="321" t="str">
        <f t="shared" si="7"/>
        <v xml:space="preserve"> </v>
      </c>
    </row>
    <row r="52" spans="1:26" s="332" customFormat="1" ht="12" thickBot="1" x14ac:dyDescent="0.25">
      <c r="A52" s="333" t="s">
        <v>3</v>
      </c>
      <c r="B52" s="334"/>
      <c r="C52" s="465"/>
      <c r="D52" s="335">
        <f t="shared" ref="D52:X52" si="8">SUM(D2:D51)</f>
        <v>291.96000000000004</v>
      </c>
      <c r="E52" s="336">
        <f t="shared" si="8"/>
        <v>282.55</v>
      </c>
      <c r="F52" s="334">
        <f t="shared" si="8"/>
        <v>0</v>
      </c>
      <c r="G52" s="337">
        <f t="shared" si="8"/>
        <v>8.75</v>
      </c>
      <c r="H52" s="338">
        <f t="shared" si="8"/>
        <v>103</v>
      </c>
      <c r="I52" s="339">
        <f t="shared" si="8"/>
        <v>0</v>
      </c>
      <c r="J52" s="337">
        <f t="shared" si="8"/>
        <v>0</v>
      </c>
      <c r="K52" s="340">
        <f t="shared" si="8"/>
        <v>0</v>
      </c>
      <c r="L52" s="337">
        <f t="shared" si="8"/>
        <v>68</v>
      </c>
      <c r="M52" s="337">
        <f t="shared" si="8"/>
        <v>20.75</v>
      </c>
      <c r="N52" s="337">
        <f t="shared" si="8"/>
        <v>65.960000000000008</v>
      </c>
      <c r="O52" s="337">
        <f t="shared" si="8"/>
        <v>15.5</v>
      </c>
      <c r="P52" s="341">
        <f t="shared" si="8"/>
        <v>10</v>
      </c>
      <c r="Q52" s="334">
        <f t="shared" si="8"/>
        <v>0</v>
      </c>
      <c r="R52" s="334">
        <f t="shared" si="8"/>
        <v>70</v>
      </c>
      <c r="S52" s="334">
        <f t="shared" si="8"/>
        <v>0</v>
      </c>
      <c r="T52" s="334">
        <f t="shared" si="8"/>
        <v>87.5</v>
      </c>
      <c r="U52" s="334">
        <f t="shared" si="8"/>
        <v>41.5</v>
      </c>
      <c r="V52" s="334">
        <f t="shared" si="8"/>
        <v>83.550000000000011</v>
      </c>
      <c r="W52" s="461">
        <f t="shared" si="8"/>
        <v>0</v>
      </c>
      <c r="X52" s="342">
        <f t="shared" si="8"/>
        <v>3202.15</v>
      </c>
      <c r="Y52" s="457"/>
      <c r="Z52" s="457"/>
    </row>
    <row r="53" spans="1:26" s="332" customFormat="1" ht="12" thickBot="1" x14ac:dyDescent="0.25">
      <c r="A53" s="343"/>
      <c r="B53" s="344"/>
      <c r="C53" s="344"/>
      <c r="D53" s="345"/>
      <c r="E53" s="346"/>
      <c r="F53" s="347"/>
      <c r="G53" s="94"/>
      <c r="H53" s="348"/>
      <c r="I53" s="349"/>
      <c r="J53" s="94"/>
      <c r="K53" s="350"/>
      <c r="L53" s="94"/>
      <c r="M53" s="94"/>
      <c r="N53" s="94"/>
      <c r="O53" s="94"/>
      <c r="P53" s="351"/>
      <c r="Q53" s="344"/>
      <c r="R53" s="344"/>
      <c r="S53" s="344"/>
      <c r="T53" s="344"/>
      <c r="U53" s="344"/>
      <c r="V53" s="352"/>
      <c r="W53" s="462"/>
      <c r="X53" s="458"/>
      <c r="Y53" s="208"/>
      <c r="Z53" s="208"/>
    </row>
    <row r="54" spans="1:26" s="332" customFormat="1" x14ac:dyDescent="0.2">
      <c r="A54" s="353" t="s">
        <v>13</v>
      </c>
      <c r="B54" s="354"/>
      <c r="C54" s="354"/>
      <c r="D54" s="355">
        <f>SUM(G54:P54)</f>
        <v>291.96000000000004</v>
      </c>
      <c r="E54" s="356">
        <f>SUM(Q54:W54)</f>
        <v>282.55</v>
      </c>
      <c r="F54" s="357">
        <f>PP!C86+PC!C87</f>
        <v>0</v>
      </c>
      <c r="G54" s="358">
        <f>Driver!B18</f>
        <v>8.75</v>
      </c>
      <c r="H54" s="359">
        <f>PP!C84</f>
        <v>103</v>
      </c>
      <c r="I54" s="360">
        <f>PC!C85</f>
        <v>0</v>
      </c>
      <c r="J54" s="358">
        <f>FH!C99</f>
        <v>0</v>
      </c>
      <c r="K54" s="361">
        <f>'T22'!C99</f>
        <v>0</v>
      </c>
      <c r="L54" s="358">
        <f>RF!C18</f>
        <v>68</v>
      </c>
      <c r="M54" s="358">
        <f>IF(DAY(PayDay1)=1,SC!B17,SC!B35)</f>
        <v>20.75</v>
      </c>
      <c r="N54" s="358">
        <f>'RC'!C18</f>
        <v>65.960000000000008</v>
      </c>
      <c r="O54" s="358">
        <f>IF(DAY(PayDay1)=1,HoO!B17,HoO!B34)</f>
        <v>15.5</v>
      </c>
      <c r="P54" s="362">
        <f>TM!C18</f>
        <v>10</v>
      </c>
      <c r="Q54" s="354">
        <f>Driver!B19</f>
        <v>0</v>
      </c>
      <c r="R54" s="354">
        <f>PP!C85</f>
        <v>70</v>
      </c>
      <c r="S54" s="354">
        <f>PC!C86</f>
        <v>0</v>
      </c>
      <c r="T54" s="354">
        <f>SUM(RF!H22:AO22)</f>
        <v>87.5</v>
      </c>
      <c r="U54" s="354">
        <f>IF(DAY(PayDay1)=1,SC!C18,SC!C36)</f>
        <v>41.5</v>
      </c>
      <c r="V54" s="363">
        <f>OT!B214</f>
        <v>83.550000000000011</v>
      </c>
      <c r="W54" s="463">
        <f>W52</f>
        <v>0</v>
      </c>
      <c r="X54" s="459"/>
      <c r="Y54" s="218"/>
      <c r="Z54" s="99"/>
    </row>
    <row r="55" spans="1:26" s="332" customFormat="1" ht="12" thickBot="1" x14ac:dyDescent="0.25">
      <c r="A55" s="364" t="s">
        <v>12</v>
      </c>
      <c r="B55" s="365"/>
      <c r="C55" s="365"/>
      <c r="D55" s="366">
        <f>D52-D54</f>
        <v>0</v>
      </c>
      <c r="E55" s="367">
        <f>E52-E54</f>
        <v>0</v>
      </c>
      <c r="F55" s="368">
        <f t="shared" ref="F55:W55" si="9">F52-F54</f>
        <v>0</v>
      </c>
      <c r="G55" s="369">
        <f t="shared" si="9"/>
        <v>0</v>
      </c>
      <c r="H55" s="370">
        <f t="shared" si="9"/>
        <v>0</v>
      </c>
      <c r="I55" s="371">
        <f t="shared" si="9"/>
        <v>0</v>
      </c>
      <c r="J55" s="369">
        <f t="shared" si="9"/>
        <v>0</v>
      </c>
      <c r="K55" s="372">
        <f t="shared" si="9"/>
        <v>0</v>
      </c>
      <c r="L55" s="369">
        <f t="shared" si="9"/>
        <v>0</v>
      </c>
      <c r="M55" s="369">
        <f t="shared" si="9"/>
        <v>0</v>
      </c>
      <c r="N55" s="369">
        <f>N52-N54</f>
        <v>0</v>
      </c>
      <c r="O55" s="369"/>
      <c r="P55" s="373">
        <f t="shared" si="9"/>
        <v>0</v>
      </c>
      <c r="Q55" s="365">
        <f t="shared" si="9"/>
        <v>0</v>
      </c>
      <c r="R55" s="365">
        <f t="shared" si="9"/>
        <v>0</v>
      </c>
      <c r="S55" s="365">
        <f t="shared" si="9"/>
        <v>0</v>
      </c>
      <c r="T55" s="365">
        <f t="shared" si="9"/>
        <v>0</v>
      </c>
      <c r="U55" s="365">
        <f>U52-U54</f>
        <v>0</v>
      </c>
      <c r="V55" s="374">
        <f t="shared" si="9"/>
        <v>0</v>
      </c>
      <c r="W55" s="464">
        <f t="shared" si="9"/>
        <v>0</v>
      </c>
      <c r="X55" s="460">
        <f>SUM(D55:G55)</f>
        <v>0</v>
      </c>
      <c r="Y55" s="62"/>
      <c r="Z55" s="62"/>
    </row>
    <row r="56" spans="1:26" s="332" customFormat="1" ht="12" thickBot="1" x14ac:dyDescent="0.25">
      <c r="A56" s="375"/>
      <c r="B56" s="376"/>
      <c r="C56" s="376"/>
      <c r="D56" s="325"/>
      <c r="E56" s="196"/>
      <c r="F56" s="95"/>
      <c r="G56" s="233"/>
      <c r="H56" s="377"/>
      <c r="I56" s="377"/>
      <c r="J56" s="233"/>
      <c r="K56" s="233"/>
      <c r="L56" s="233"/>
      <c r="M56" s="233"/>
      <c r="N56" s="233"/>
      <c r="O56" s="233"/>
      <c r="P56" s="233"/>
      <c r="Q56" s="95"/>
      <c r="R56" s="95"/>
      <c r="S56" s="95"/>
      <c r="T56" s="95"/>
      <c r="U56" s="95"/>
      <c r="V56" s="95"/>
      <c r="W56" s="378"/>
      <c r="X56" s="196"/>
      <c r="Y56" s="62"/>
      <c r="Z56" s="62"/>
    </row>
    <row r="57" spans="1:26" s="332" customFormat="1" ht="12" thickBot="1" x14ac:dyDescent="0.25">
      <c r="A57" s="379"/>
      <c r="B57" s="376"/>
      <c r="C57" s="376"/>
      <c r="D57" s="380" t="s">
        <v>19</v>
      </c>
      <c r="E57" s="381" t="s">
        <v>26</v>
      </c>
      <c r="F57" s="381" t="s">
        <v>32</v>
      </c>
      <c r="G57" s="382" t="s">
        <v>3</v>
      </c>
      <c r="H57" s="326"/>
      <c r="I57" s="326"/>
      <c r="J57" s="325"/>
      <c r="K57" s="325"/>
      <c r="L57" s="325"/>
      <c r="M57" s="233"/>
      <c r="N57" s="233"/>
      <c r="O57" s="233"/>
      <c r="P57" s="233"/>
      <c r="Q57" s="196"/>
      <c r="R57" s="196"/>
      <c r="S57" s="196"/>
      <c r="T57" s="196"/>
      <c r="U57" s="196"/>
      <c r="V57" s="196"/>
      <c r="W57" s="325"/>
      <c r="X57" s="325"/>
      <c r="Y57" s="62"/>
      <c r="Z57" s="62"/>
    </row>
    <row r="58" spans="1:26" s="332" customFormat="1" ht="12" thickBot="1" x14ac:dyDescent="0.25">
      <c r="A58" s="333" t="s">
        <v>48</v>
      </c>
      <c r="B58" s="334"/>
      <c r="C58" s="334"/>
      <c r="D58" s="337">
        <f>D52-SUM(D2:D3)</f>
        <v>291.96000000000004</v>
      </c>
      <c r="E58" s="334">
        <f>E52-SUM(E2:E3)</f>
        <v>282.55</v>
      </c>
      <c r="F58" s="334">
        <f>F52-SUM(F2:F3)</f>
        <v>0</v>
      </c>
      <c r="G58" s="342">
        <f>X52-SUM(X2:X3)</f>
        <v>3202.15</v>
      </c>
      <c r="H58" s="383"/>
      <c r="I58" s="383"/>
      <c r="J58" s="384"/>
      <c r="K58" s="384"/>
      <c r="L58" s="384"/>
      <c r="M58" s="208"/>
      <c r="N58" s="208"/>
      <c r="O58" s="208"/>
      <c r="P58" s="208"/>
      <c r="Q58" s="99"/>
      <c r="R58" s="99"/>
      <c r="S58" s="99"/>
      <c r="T58" s="218"/>
      <c r="U58" s="218"/>
      <c r="V58" s="218"/>
      <c r="W58" s="384"/>
      <c r="X58" s="99"/>
      <c r="Z58" s="62"/>
    </row>
    <row r="59" spans="1:26" s="332" customFormat="1" ht="12" thickBot="1" x14ac:dyDescent="0.25">
      <c r="A59" s="385"/>
      <c r="B59" s="378"/>
      <c r="C59" s="378"/>
      <c r="D59" s="233"/>
      <c r="E59" s="95"/>
      <c r="F59" s="95"/>
      <c r="G59" s="233"/>
      <c r="H59" s="99"/>
      <c r="I59" s="377"/>
      <c r="J59" s="233"/>
      <c r="K59" s="233"/>
      <c r="L59" s="233"/>
      <c r="M59" s="99"/>
      <c r="N59" s="99"/>
      <c r="O59" s="99"/>
      <c r="P59" s="99"/>
      <c r="Q59" s="95"/>
      <c r="R59" s="95"/>
      <c r="S59" s="95"/>
      <c r="T59" s="95"/>
      <c r="U59" s="95"/>
      <c r="V59" s="95"/>
      <c r="W59" s="233"/>
      <c r="X59" s="233"/>
      <c r="Y59" s="99"/>
      <c r="Z59" s="62"/>
    </row>
    <row r="60" spans="1:26" s="332" customFormat="1" x14ac:dyDescent="0.2">
      <c r="A60" s="386" t="s">
        <v>25</v>
      </c>
      <c r="B60" s="387">
        <f>X52</f>
        <v>3202.15</v>
      </c>
      <c r="C60" s="218"/>
      <c r="D60" s="233"/>
      <c r="E60" s="95"/>
      <c r="F60" s="95"/>
      <c r="G60" s="233"/>
      <c r="H60" s="377"/>
      <c r="I60" s="377"/>
      <c r="J60" s="233"/>
      <c r="K60" s="233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233"/>
      <c r="X60" s="233"/>
      <c r="Y60" s="208"/>
    </row>
    <row r="61" spans="1:26" s="332" customFormat="1" ht="12" thickBot="1" x14ac:dyDescent="0.25">
      <c r="A61" s="388" t="s">
        <v>61</v>
      </c>
      <c r="B61" s="389">
        <f>(B60-F52)*0.26</f>
        <v>832.55900000000008</v>
      </c>
      <c r="C61" s="95"/>
      <c r="D61" s="233"/>
      <c r="E61" s="95"/>
      <c r="F61" s="95"/>
      <c r="G61" s="233"/>
      <c r="H61" s="377"/>
      <c r="I61" s="377"/>
      <c r="J61" s="233"/>
      <c r="K61" s="233"/>
      <c r="L61" s="233"/>
      <c r="M61" s="233"/>
      <c r="N61" s="233"/>
      <c r="O61" s="233"/>
      <c r="P61" s="233"/>
      <c r="Q61" s="95"/>
      <c r="R61" s="95"/>
      <c r="S61" s="95"/>
      <c r="T61" s="95"/>
      <c r="U61" s="95"/>
      <c r="V61" s="95"/>
      <c r="W61" s="233"/>
      <c r="X61" s="233"/>
      <c r="Y61" s="105"/>
      <c r="Z61" s="99"/>
    </row>
    <row r="62" spans="1:26" s="332" customFormat="1" x14ac:dyDescent="0.2">
      <c r="A62" s="99"/>
      <c r="B62" s="378"/>
      <c r="C62" s="378"/>
      <c r="D62" s="233"/>
      <c r="E62" s="95"/>
      <c r="F62" s="95"/>
      <c r="G62" s="233"/>
      <c r="H62" s="377"/>
      <c r="I62" s="348"/>
      <c r="J62" s="233"/>
      <c r="K62" s="167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78"/>
      <c r="X62" s="95"/>
      <c r="Y62" s="167"/>
      <c r="Z62" s="62"/>
    </row>
    <row r="63" spans="1:26" s="332" customFormat="1" x14ac:dyDescent="0.2">
      <c r="A63" s="99"/>
      <c r="B63" s="378"/>
      <c r="C63" s="378"/>
      <c r="D63" s="233"/>
      <c r="E63" s="95"/>
      <c r="F63" s="95"/>
      <c r="G63" s="233"/>
      <c r="H63" s="377"/>
      <c r="I63" s="348"/>
      <c r="J63" s="233"/>
      <c r="K63" s="94"/>
      <c r="L63" s="233"/>
      <c r="M63" s="233"/>
      <c r="N63" s="233"/>
      <c r="O63" s="233"/>
      <c r="P63" s="233"/>
      <c r="Q63" s="218"/>
      <c r="R63" s="95"/>
      <c r="S63" s="95"/>
      <c r="T63" s="95"/>
      <c r="U63" s="95"/>
      <c r="V63" s="95"/>
      <c r="W63" s="378"/>
      <c r="X63" s="95"/>
      <c r="Y63" s="167"/>
      <c r="Z63" s="62"/>
    </row>
    <row r="64" spans="1:26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94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78"/>
      <c r="X64" s="95"/>
      <c r="Y64" s="384"/>
      <c r="Z64" s="62"/>
    </row>
    <row r="65" spans="1:73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77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78"/>
      <c r="X65" s="95"/>
      <c r="Y65" s="94"/>
      <c r="Z65" s="62"/>
    </row>
    <row r="66" spans="1:73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77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78"/>
      <c r="X66" s="95"/>
      <c r="Y66" s="94"/>
      <c r="Z66" s="62"/>
    </row>
    <row r="67" spans="1:73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78"/>
      <c r="X67" s="95"/>
      <c r="Y67" s="94"/>
      <c r="Z67" s="62"/>
    </row>
    <row r="68" spans="1:73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78"/>
      <c r="X68" s="95"/>
      <c r="Y68" s="99"/>
      <c r="Z68" s="62"/>
      <c r="AA68" s="332"/>
      <c r="AB68" s="33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</row>
    <row r="69" spans="1:73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78"/>
      <c r="X69" s="95"/>
      <c r="Z69" s="62"/>
      <c r="AA69" s="332"/>
      <c r="AB69" s="33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</row>
    <row r="70" spans="1:73" x14ac:dyDescent="0.2">
      <c r="A70" s="385"/>
      <c r="J70" s="233"/>
      <c r="K70" s="233"/>
      <c r="L70" s="233"/>
      <c r="Y70" s="99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A71" s="188"/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78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78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32"/>
      <c r="AB77" s="332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</row>
    <row r="78" spans="1:73" x14ac:dyDescent="0.2"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A80" s="385"/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A90" s="385"/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A98" s="385"/>
      <c r="J98" s="233"/>
      <c r="K98" s="233"/>
      <c r="L98" s="233"/>
    </row>
    <row r="99" spans="1:12" x14ac:dyDescent="0.2">
      <c r="J99" s="233"/>
      <c r="K99" s="233"/>
      <c r="L99" s="233"/>
    </row>
    <row r="100" spans="1:12" x14ac:dyDescent="0.2"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</sheetData>
  <sheetProtection algorithmName="SHA-512" hashValue="JUFDZPpHJOARNYl7D02BRYrMFVb2/gWFUG20t2Io6SR4MGznzaLrMyhGjm9sI3gzoB4yHLBWUoXOnl638oDk5w==" saltValue="nHcyb5sOm/iNALswn+H1qw==" spinCount="100000" sheet="1" objects="1" scenarios="1"/>
  <sortState ref="A4:Z51">
    <sortCondition ref="A4:A51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5">
    <cfRule type="cellIs" dxfId="34" priority="10" operator="greaterThan">
      <formula>0</formula>
    </cfRule>
  </conditionalFormatting>
  <conditionalFormatting sqref="Z1:Z49 Y2:Y49 Y50:Z53">
    <cfRule type="containsBlanks" priority="7" stopIfTrue="1">
      <formula>LEN(TRIM(Y1))=0</formula>
    </cfRule>
  </conditionalFormatting>
  <conditionalFormatting sqref="B4:B51">
    <cfRule type="expression" dxfId="33" priority="3">
      <formula>AND(B4="",A4&lt;&gt;"")</formula>
    </cfRule>
  </conditionalFormatting>
  <conditionalFormatting sqref="C4:C51">
    <cfRule type="expression" dxfId="32" priority="2">
      <formula>AND(C4="",A4&lt;&gt;"")</formula>
    </cfRule>
  </conditionalFormatting>
  <conditionalFormatting sqref="Z4:Z51 A4:X51">
    <cfRule type="expression" dxfId="31" priority="1">
      <formula>MOD(ROW(),2)=1</formula>
    </cfRule>
  </conditionalFormatting>
  <conditionalFormatting sqref="Y2:Z53">
    <cfRule type="duplicateValues" dxfId="30" priority="2267"/>
  </conditionalFormatting>
  <conditionalFormatting sqref="A2:A51">
    <cfRule type="duplicateValues" dxfId="29" priority="2269"/>
  </conditionalFormatting>
  <dataValidations count="1">
    <dataValidation type="custom" allowBlank="1" showInputMessage="1" showErrorMessage="1" errorTitle="Invalid Entry" error="Please input new employees in the format: &quot;Lastname, Firstname&quot;" sqref="A2:A51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10.42578125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390" t="s">
        <v>77</v>
      </c>
      <c r="B1" s="391" t="s">
        <v>40</v>
      </c>
      <c r="C1" s="529" t="s">
        <v>190</v>
      </c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IF(Import!V7&lt;&gt;"",Import!V7,"")</f>
        <v>42537</v>
      </c>
      <c r="B2" s="392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392">
        <f t="shared" si="0"/>
        <v>4.5</v>
      </c>
      <c r="C3" s="150">
        <f>SUMIFS(Import!$G:$G,Import!$A:$A,C$1,Import!$B:$B,$A3,Import!$C:$C,$A$1)</f>
        <v>4.5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392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392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392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392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392">
        <f t="shared" si="0"/>
        <v>4.25</v>
      </c>
      <c r="C10" s="150">
        <f>SUMIFS(Import!$G:$G,Import!$A:$A,C$1,Import!$B:$B,$A10,Import!$C:$C,$A$1)</f>
        <v>4.25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392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392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392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392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2" thickBot="1" x14ac:dyDescent="0.25">
      <c r="A18" s="213" t="s">
        <v>3</v>
      </c>
      <c r="B18" s="393">
        <f t="shared" ref="B18" si="1">SUM(B2:B17)</f>
        <v>8.75</v>
      </c>
      <c r="C18" s="102">
        <f t="shared" ref="C18:V18" si="2">SUM(C2:C17)</f>
        <v>8.75</v>
      </c>
      <c r="D18" s="102">
        <f t="shared" si="2"/>
        <v>0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4">
        <f t="shared" si="2"/>
        <v>0</v>
      </c>
    </row>
    <row r="19" spans="1:22" s="397" customFormat="1" ht="12" thickBot="1" x14ac:dyDescent="0.25">
      <c r="A19" s="395" t="s">
        <v>44</v>
      </c>
      <c r="B19" s="396">
        <f>SUM(C19:V19)</f>
        <v>0</v>
      </c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iexk5+W4PA7qLEl1A7D2WENX2aNpnpRq/sLj35Ig1itnu0ATSKasT+ouO2ezvostcPFoyf4ko1bKdyBXnhz6pQ==" saltValue="tNMOP3u5Zt2xcwhxBqPYcA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8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6.85546875" style="33" bestFit="1" customWidth="1"/>
    <col min="2" max="2" width="17.42578125" style="41" bestFit="1" customWidth="1"/>
    <col min="3" max="3" width="10" style="53" bestFit="1" customWidth="1"/>
    <col min="4" max="4" width="9.140625" style="48" bestFit="1" customWidth="1"/>
    <col min="5" max="5" width="8" style="48" bestFit="1" customWidth="1"/>
    <col min="6" max="6" width="7.85546875" style="48" bestFit="1" customWidth="1"/>
    <col min="7" max="7" width="9.28515625" style="48" bestFit="1" customWidth="1"/>
    <col min="8" max="8" width="8.28515625" style="48" bestFit="1" customWidth="1"/>
    <col min="9" max="9" width="9.85546875" style="48" bestFit="1" customWidth="1"/>
    <col min="10" max="10" width="6.5703125" style="48" bestFit="1" customWidth="1"/>
    <col min="11" max="11" width="9.5703125" style="48" bestFit="1" customWidth="1"/>
    <col min="12" max="12" width="10.85546875" style="48" bestFit="1" customWidth="1"/>
    <col min="13" max="13" width="12.5703125" style="48" bestFit="1" customWidth="1"/>
    <col min="14" max="14" width="7.42578125" style="48" bestFit="1" customWidth="1"/>
    <col min="15" max="15" width="9" style="48" bestFit="1" customWidth="1"/>
    <col min="16" max="16" width="8.85546875" style="48" bestFit="1" customWidth="1"/>
    <col min="17" max="17" width="9.42578125" style="48" bestFit="1" customWidth="1"/>
    <col min="18" max="18" width="6.5703125" style="48" bestFit="1" customWidth="1"/>
    <col min="19" max="19" width="9" style="48" bestFit="1" customWidth="1"/>
    <col min="20" max="20" width="9.140625" style="48" bestFit="1" customWidth="1"/>
    <col min="21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60" t="s">
        <v>186</v>
      </c>
      <c r="E1" s="560" t="s">
        <v>156</v>
      </c>
      <c r="F1" s="560" t="s">
        <v>189</v>
      </c>
      <c r="G1" s="560" t="s">
        <v>188</v>
      </c>
      <c r="H1" s="560" t="s">
        <v>178</v>
      </c>
      <c r="I1" s="560" t="s">
        <v>184</v>
      </c>
      <c r="J1" s="560" t="s">
        <v>210</v>
      </c>
      <c r="K1" s="560" t="s">
        <v>220</v>
      </c>
      <c r="L1" s="560" t="s">
        <v>180</v>
      </c>
      <c r="M1" s="560" t="s">
        <v>227</v>
      </c>
      <c r="N1" s="560" t="s">
        <v>233</v>
      </c>
      <c r="O1" s="560" t="s">
        <v>157</v>
      </c>
      <c r="P1" s="560" t="s">
        <v>211</v>
      </c>
      <c r="Q1" s="560" t="s">
        <v>187</v>
      </c>
      <c r="R1" s="560" t="s">
        <v>209</v>
      </c>
      <c r="S1" s="560" t="s">
        <v>182</v>
      </c>
      <c r="T1" s="560" t="s">
        <v>183</v>
      </c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0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0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O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/>
      <c r="B8" s="19" t="s">
        <v>117</v>
      </c>
      <c r="C8" s="437">
        <f>SUM(D8:BD8)</f>
        <v>0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0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O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80.5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5.25</v>
      </c>
      <c r="H12" s="18">
        <f>SUMIFS(Import!$G:$G,Import!$A:$A,H$1,Import!$B:$B,$A12,Import!$C:$C,$A$1)</f>
        <v>4.75</v>
      </c>
      <c r="I12" s="18">
        <f>SUMIFS(Import!$G:$G,Import!$A:$A,I$1,Import!$B:$B,$A12,Import!$C:$C,$A$1)</f>
        <v>11.75</v>
      </c>
      <c r="J12" s="18">
        <f>SUMIFS(Import!$G:$G,Import!$A:$A,J$1,Import!$B:$B,$A12,Import!$C:$C,$A$1)</f>
        <v>4.75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11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1.75</v>
      </c>
      <c r="O12" s="18">
        <f>SUMIFS(Import!$G:$G,Import!$A:$A,O$1,Import!$B:$B,$A12,Import!$C:$C,$A$1)</f>
        <v>11.75</v>
      </c>
      <c r="P12" s="18">
        <f>SUMIFS(Import!$G:$G,Import!$A:$A,P$1,Import!$B:$B,$A12,Import!$C:$C,$A$1)</f>
        <v>4.75</v>
      </c>
      <c r="Q12" s="18">
        <f>SUMIFS(Import!$G:$G,Import!$A:$A,Q$1,Import!$B:$B,$A12,Import!$C:$C,$A$1)</f>
        <v>11.75</v>
      </c>
      <c r="R12" s="18">
        <f>SUMIFS(Import!$G:$G,Import!$A:$A,R$1,Import!$B:$B,$A12,Import!$C:$C,$A$1)</f>
        <v>4.75</v>
      </c>
      <c r="S12" s="18">
        <f>SUMIFS(Import!$G:$G,Import!$A:$A,S$1,Import!$B:$B,$A12,Import!$C:$C,$A$1)</f>
        <v>3.5</v>
      </c>
      <c r="T12" s="18">
        <f>SUMIFS(Import!$G:$G,Import!$A:$A,T$1,Import!$B:$B,$A12,Import!$C:$C,$A$1)</f>
        <v>4.75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117</v>
      </c>
      <c r="C13" s="437">
        <f>SUM(D13:BD13)</f>
        <v>40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25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0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15</v>
      </c>
      <c r="R13" s="435">
        <f>SUMIFS(Import!$H:$H,Import!$A:$A,R$1,Import!$B:$B,$A12,Import!$D:$D,"PP Lead")</f>
        <v>0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0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0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 t="str">
        <f>IFERROR("Total Cost: $"&amp;ROUND((C16-0.46*C15)*1.26+(0.46*C15),2)&amp;" - "&amp;"Hourly: $"&amp;ROUND(((C16-0.46*C15)*1.26+(0.46*C15))/C12,2),0)</f>
        <v>Total Cost: $1064.7 - Hourly: $13.23</v>
      </c>
      <c r="B16" s="23" t="s">
        <v>93</v>
      </c>
      <c r="C16" s="23">
        <f>SUM(D16:BD16)</f>
        <v>845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52.5</v>
      </c>
      <c r="H16" s="23">
        <f t="shared" si="4"/>
        <v>47.5</v>
      </c>
      <c r="I16" s="23">
        <f t="shared" si="4"/>
        <v>117.5</v>
      </c>
      <c r="J16" s="23">
        <f t="shared" si="4"/>
        <v>47.5</v>
      </c>
      <c r="K16" s="23">
        <f t="shared" si="4"/>
        <v>0</v>
      </c>
      <c r="L16" s="23">
        <f t="shared" si="4"/>
        <v>135</v>
      </c>
      <c r="M16" s="23">
        <f t="shared" si="4"/>
        <v>0</v>
      </c>
      <c r="N16" s="23">
        <f t="shared" si="4"/>
        <v>17.5</v>
      </c>
      <c r="O16" s="23">
        <f t="shared" si="4"/>
        <v>117.5</v>
      </c>
      <c r="P16" s="23">
        <f t="shared" si="4"/>
        <v>47.5</v>
      </c>
      <c r="Q16" s="23">
        <f t="shared" si="4"/>
        <v>132.5</v>
      </c>
      <c r="R16" s="23">
        <f t="shared" si="4"/>
        <v>47.5</v>
      </c>
      <c r="S16" s="23">
        <f t="shared" si="4"/>
        <v>35</v>
      </c>
      <c r="T16" s="23">
        <f t="shared" si="4"/>
        <v>47.5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O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117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O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117</v>
      </c>
      <c r="C23" s="437">
        <f>SUM(D23:BD23)</f>
        <v>0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0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8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O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12.25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2.5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3.25</v>
      </c>
      <c r="L27" s="18">
        <f>SUMIFS(Import!$G:$G,Import!$A:$A,L$1,Import!$B:$B,$A27,Import!$C:$C,$A$1)</f>
        <v>3.5</v>
      </c>
      <c r="M27" s="18">
        <f>SUMIFS(Import!$G:$G,Import!$A:$A,M$1,Import!$B:$B,$A27,Import!$C:$C,$A$1)</f>
        <v>3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117</v>
      </c>
      <c r="C28" s="437">
        <f>SUM(D28:BD28)</f>
        <v>15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15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0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0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 t="str">
        <f>IFERROR("Total Cost: $"&amp;ROUND((C31-0.46*C30)*1.26+(0.46*C30),2)&amp;" - "&amp;"Hourly: $"&amp;ROUND(((C31-0.46*C30)*1.26+(0.46*C30))/C27,2),0)</f>
        <v>Total Cost: $173.25 - Hourly: $14.14</v>
      </c>
      <c r="B31" s="23" t="s">
        <v>93</v>
      </c>
      <c r="C31" s="23">
        <f>SUM(D31:BD31)</f>
        <v>137.5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25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32.5</v>
      </c>
      <c r="L31" s="23">
        <f t="shared" si="10"/>
        <v>50</v>
      </c>
      <c r="M31" s="23">
        <f t="shared" si="10"/>
        <v>30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O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10.25</v>
      </c>
      <c r="D32" s="432">
        <f>SUMIFS(Import!$G:$G,Import!$A:$A,D$1,Import!$B:$B,$A32,Import!$C:$C,$A$1)</f>
        <v>2.5</v>
      </c>
      <c r="E32" s="18">
        <f>SUMIFS(Import!$G:$G,Import!$A:$A,E$1,Import!$B:$B,$A32,Import!$C:$C,$A$1)</f>
        <v>2.5</v>
      </c>
      <c r="F32" s="18">
        <f>SUMIFS(Import!$G:$G,Import!$A:$A,F$1,Import!$B:$B,$A32,Import!$C:$C,$A$1)</f>
        <v>2.5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2.75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15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0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15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0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0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 t="str">
        <f>IFERROR("Total Cost: $"&amp;ROUND((C36-0.46*C35)*1.26+(0.46*C35),2)&amp;" - "&amp;"Hourly: $"&amp;ROUND(((C36-0.46*C35)*1.26+(0.46*C35))/C32,2),0)</f>
        <v>Total Cost: $148.05 - Hourly: $14.44</v>
      </c>
      <c r="B36" s="23" t="s">
        <v>93</v>
      </c>
      <c r="C36" s="23">
        <f>SUM(D36:BD36)</f>
        <v>117.5</v>
      </c>
      <c r="D36" s="24">
        <f t="shared" ref="D36:AI36" si="12">((D32*D$82)+D33+(D34*D32)+ROUNDUP(D35*0.46,0))</f>
        <v>25</v>
      </c>
      <c r="E36" s="23">
        <f t="shared" si="12"/>
        <v>25</v>
      </c>
      <c r="F36" s="23">
        <f t="shared" si="12"/>
        <v>25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42.5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O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0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0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0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0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O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0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0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0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0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O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0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0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0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O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0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O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0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0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O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0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0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O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0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0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O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0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O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O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10</v>
      </c>
      <c r="E82" s="5">
        <f t="shared" si="32"/>
        <v>10</v>
      </c>
      <c r="F82" s="5">
        <f t="shared" si="32"/>
        <v>10</v>
      </c>
      <c r="G82" s="5">
        <f t="shared" si="32"/>
        <v>10</v>
      </c>
      <c r="H82" s="5">
        <f t="shared" si="32"/>
        <v>10</v>
      </c>
      <c r="I82" s="5">
        <f t="shared" si="32"/>
        <v>10</v>
      </c>
      <c r="J82" s="5">
        <f t="shared" si="32"/>
        <v>10</v>
      </c>
      <c r="K82" s="5">
        <f t="shared" si="32"/>
        <v>10</v>
      </c>
      <c r="L82" s="5">
        <f t="shared" si="32"/>
        <v>10</v>
      </c>
      <c r="M82" s="5">
        <f t="shared" si="32"/>
        <v>10</v>
      </c>
      <c r="N82" s="5">
        <f t="shared" si="32"/>
        <v>10</v>
      </c>
      <c r="O82" s="5">
        <f t="shared" si="32"/>
        <v>10</v>
      </c>
      <c r="P82" s="5">
        <f t="shared" si="32"/>
        <v>10</v>
      </c>
      <c r="Q82" s="5">
        <f t="shared" si="32"/>
        <v>10</v>
      </c>
      <c r="R82" s="5">
        <f t="shared" si="32"/>
        <v>10</v>
      </c>
      <c r="S82" s="5">
        <f t="shared" si="32"/>
        <v>10</v>
      </c>
      <c r="T82" s="5">
        <f t="shared" si="32"/>
        <v>10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4"/>
      <c r="G83" s="42"/>
      <c r="H83" s="44"/>
      <c r="I83" s="42"/>
      <c r="J83" s="42"/>
      <c r="K83" s="42"/>
      <c r="L83" s="42"/>
      <c r="M83" s="42"/>
      <c r="N83" s="44"/>
      <c r="O83" s="44"/>
      <c r="P83" s="42"/>
      <c r="Q83" s="42"/>
      <c r="R83" s="42"/>
      <c r="S83" s="42"/>
      <c r="T83" s="42"/>
      <c r="U83" s="44"/>
      <c r="V83" s="42"/>
      <c r="W83" s="44"/>
      <c r="X83" s="44"/>
      <c r="Y83" s="44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103</v>
      </c>
      <c r="D84" s="8">
        <f t="shared" ref="D84:AI84" si="34">SUM(D2,D7,D12,D17,D22,D27,D32,D37,D42,D47,D52,D57,D62,D67,D72,D77)</f>
        <v>2.5</v>
      </c>
      <c r="E84" s="9">
        <f t="shared" si="34"/>
        <v>2.5</v>
      </c>
      <c r="F84" s="9">
        <f t="shared" si="34"/>
        <v>2.5</v>
      </c>
      <c r="G84" s="9">
        <f t="shared" si="34"/>
        <v>7.75</v>
      </c>
      <c r="H84" s="9">
        <f t="shared" si="34"/>
        <v>4.75</v>
      </c>
      <c r="I84" s="9">
        <f t="shared" si="34"/>
        <v>11.75</v>
      </c>
      <c r="J84" s="9">
        <f t="shared" si="34"/>
        <v>4.75</v>
      </c>
      <c r="K84" s="9">
        <f t="shared" si="34"/>
        <v>3.25</v>
      </c>
      <c r="L84" s="9">
        <f t="shared" si="34"/>
        <v>17.25</v>
      </c>
      <c r="M84" s="9">
        <f t="shared" si="34"/>
        <v>3</v>
      </c>
      <c r="N84" s="9">
        <f t="shared" si="34"/>
        <v>1.75</v>
      </c>
      <c r="O84" s="9">
        <f t="shared" si="34"/>
        <v>11.75</v>
      </c>
      <c r="P84" s="9">
        <f t="shared" si="34"/>
        <v>4.75</v>
      </c>
      <c r="Q84" s="9">
        <f t="shared" si="34"/>
        <v>11.75</v>
      </c>
      <c r="R84" s="9">
        <f t="shared" si="34"/>
        <v>4.75</v>
      </c>
      <c r="S84" s="9">
        <f t="shared" si="34"/>
        <v>3.5</v>
      </c>
      <c r="T84" s="9">
        <f t="shared" si="34"/>
        <v>4.75</v>
      </c>
      <c r="U84" s="9">
        <f t="shared" si="34"/>
        <v>0</v>
      </c>
      <c r="V84" s="9">
        <f t="shared" si="34"/>
        <v>0</v>
      </c>
      <c r="W84" s="9">
        <f t="shared" si="34"/>
        <v>0</v>
      </c>
      <c r="X84" s="9">
        <f t="shared" si="34"/>
        <v>0</v>
      </c>
      <c r="Y84" s="9">
        <f t="shared" si="34"/>
        <v>0</v>
      </c>
      <c r="Z84" s="9">
        <f t="shared" si="34"/>
        <v>0</v>
      </c>
      <c r="AA84" s="9">
        <f t="shared" si="34"/>
        <v>0</v>
      </c>
      <c r="AB84" s="9">
        <f t="shared" si="34"/>
        <v>0</v>
      </c>
      <c r="AC84" s="9">
        <f t="shared" si="34"/>
        <v>0</v>
      </c>
      <c r="AD84" s="9">
        <f t="shared" si="34"/>
        <v>0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2" thickBot="1" x14ac:dyDescent="0.25">
      <c r="B85" s="28" t="s">
        <v>94</v>
      </c>
      <c r="C85" s="29">
        <f>SUM(D85:BD85)</f>
        <v>70</v>
      </c>
      <c r="D85" s="11">
        <f t="shared" ref="D85:AI85" si="36">SUM(D6,D11,D16,D21,D26,D31,D36,D41,D46,D51,D56,D61,D66,D71,D76,D81,)-(D82*D84)-D86</f>
        <v>0</v>
      </c>
      <c r="E85" s="12">
        <f t="shared" si="36"/>
        <v>0</v>
      </c>
      <c r="F85" s="12">
        <f t="shared" si="36"/>
        <v>0</v>
      </c>
      <c r="G85" s="12">
        <f t="shared" si="36"/>
        <v>0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55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15</v>
      </c>
      <c r="R85" s="12">
        <f t="shared" si="36"/>
        <v>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O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0</v>
      </c>
      <c r="H86" s="15">
        <f t="shared" si="38"/>
        <v>0</v>
      </c>
      <c r="I86" s="15">
        <f t="shared" si="38"/>
        <v>0</v>
      </c>
      <c r="J86" s="15">
        <f t="shared" si="38"/>
        <v>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0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$1386 - Hourly: $13.46</v>
      </c>
      <c r="B87" s="31" t="s">
        <v>28</v>
      </c>
      <c r="C87" s="32">
        <f>SUM(C6,C11,C16,C21,C26,C31,C36,C41,C46,C51,C56,C61,C66,C71,C76,C8)</f>
        <v>1100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b27NfUy2L+QrJjdOCGWXcaa0SjXjoQcfkxkl47FEKi2a7P38+kUP8M4pj1mScnd2KXjBq9kpZd9Tr/rndPH8fQ==" saltValue="kVfLkflyJlW7CIWrIF6kZA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7" priority="13">
      <formula>LEN(TRIM(A30))&gt;0</formula>
    </cfRule>
  </conditionalFormatting>
  <conditionalFormatting sqref="D1:H1">
    <cfRule type="duplicateValues" dxfId="26" priority="10"/>
  </conditionalFormatting>
  <conditionalFormatting sqref="I1:BD1">
    <cfRule type="duplicateValues" dxfId="25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SUMIFS(Import!$H:$H,Import!$A:$A,D$1,Import!$B:$B,$A2,Import!$D:$D,"PC Lead")</f>
        <v>0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O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117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O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117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O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117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O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117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O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117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O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O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O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O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O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O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O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O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O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O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O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46"/>
      <c r="B83" s="41"/>
      <c r="C83" s="17" t="s">
        <v>80</v>
      </c>
      <c r="D83" s="447">
        <f t="shared" ref="D83:AI83" si="34">SUMIF(EmployeeList,D$1,TotalSecWage)</f>
        <v>0</v>
      </c>
      <c r="E83" s="448">
        <f t="shared" si="34"/>
        <v>0</v>
      </c>
      <c r="F83" s="448">
        <f t="shared" si="34"/>
        <v>0</v>
      </c>
      <c r="G83" s="448">
        <f t="shared" si="34"/>
        <v>0</v>
      </c>
      <c r="H83" s="448">
        <f t="shared" si="34"/>
        <v>0</v>
      </c>
      <c r="I83" s="448">
        <f t="shared" si="34"/>
        <v>0</v>
      </c>
      <c r="J83" s="448">
        <f t="shared" si="34"/>
        <v>0</v>
      </c>
      <c r="K83" s="448">
        <f t="shared" si="34"/>
        <v>0</v>
      </c>
      <c r="L83" s="448">
        <f t="shared" si="34"/>
        <v>0</v>
      </c>
      <c r="M83" s="448">
        <f t="shared" si="34"/>
        <v>0</v>
      </c>
      <c r="N83" s="448">
        <f t="shared" si="34"/>
        <v>0</v>
      </c>
      <c r="O83" s="448">
        <f t="shared" si="34"/>
        <v>0</v>
      </c>
      <c r="P83" s="448">
        <f t="shared" si="34"/>
        <v>0</v>
      </c>
      <c r="Q83" s="448">
        <f t="shared" si="34"/>
        <v>0</v>
      </c>
      <c r="R83" s="448">
        <f t="shared" si="34"/>
        <v>0</v>
      </c>
      <c r="S83" s="448">
        <f t="shared" si="34"/>
        <v>0</v>
      </c>
      <c r="T83" s="448">
        <f t="shared" si="34"/>
        <v>0</v>
      </c>
      <c r="U83" s="448">
        <f t="shared" si="34"/>
        <v>0</v>
      </c>
      <c r="V83" s="448">
        <f t="shared" si="34"/>
        <v>0</v>
      </c>
      <c r="W83" s="448">
        <f t="shared" si="34"/>
        <v>0</v>
      </c>
      <c r="X83" s="448">
        <f t="shared" si="34"/>
        <v>0</v>
      </c>
      <c r="Y83" s="448">
        <f t="shared" si="34"/>
        <v>0</v>
      </c>
      <c r="Z83" s="448">
        <f t="shared" si="34"/>
        <v>0</v>
      </c>
      <c r="AA83" s="448">
        <f t="shared" si="34"/>
        <v>0</v>
      </c>
      <c r="AB83" s="448">
        <f t="shared" si="34"/>
        <v>0</v>
      </c>
      <c r="AC83" s="448">
        <f t="shared" si="34"/>
        <v>0</v>
      </c>
      <c r="AD83" s="448">
        <f t="shared" si="34"/>
        <v>0</v>
      </c>
      <c r="AE83" s="448">
        <f t="shared" si="34"/>
        <v>0</v>
      </c>
      <c r="AF83" s="448">
        <f t="shared" si="34"/>
        <v>0</v>
      </c>
      <c r="AG83" s="448">
        <f t="shared" si="34"/>
        <v>0</v>
      </c>
      <c r="AH83" s="448">
        <f t="shared" si="34"/>
        <v>0</v>
      </c>
      <c r="AI83" s="449">
        <f t="shared" si="34"/>
        <v>0</v>
      </c>
      <c r="AJ83" s="448">
        <f t="shared" ref="AJ83:BD83" si="35">SUMIF(EmployeeList,AJ$1,TotalSecWage)</f>
        <v>0</v>
      </c>
      <c r="AK83" s="448">
        <f t="shared" si="35"/>
        <v>0</v>
      </c>
      <c r="AL83" s="448">
        <f t="shared" si="35"/>
        <v>0</v>
      </c>
      <c r="AM83" s="448">
        <f t="shared" si="35"/>
        <v>0</v>
      </c>
      <c r="AN83" s="448">
        <f t="shared" si="35"/>
        <v>0</v>
      </c>
      <c r="AO83" s="448">
        <f t="shared" si="35"/>
        <v>0</v>
      </c>
      <c r="AP83" s="448">
        <f t="shared" si="35"/>
        <v>0</v>
      </c>
      <c r="AQ83" s="448">
        <f t="shared" si="35"/>
        <v>0</v>
      </c>
      <c r="AR83" s="448">
        <f t="shared" si="35"/>
        <v>0</v>
      </c>
      <c r="AS83" s="448">
        <f t="shared" si="35"/>
        <v>0</v>
      </c>
      <c r="AT83" s="448">
        <f t="shared" si="35"/>
        <v>0</v>
      </c>
      <c r="AU83" s="448">
        <f t="shared" si="35"/>
        <v>0</v>
      </c>
      <c r="AV83" s="448">
        <f t="shared" si="35"/>
        <v>0</v>
      </c>
      <c r="AW83" s="448">
        <f t="shared" si="35"/>
        <v>0</v>
      </c>
      <c r="AX83" s="448">
        <f t="shared" si="35"/>
        <v>0</v>
      </c>
      <c r="AY83" s="448">
        <f t="shared" si="35"/>
        <v>0</v>
      </c>
      <c r="AZ83" s="448">
        <f t="shared" si="35"/>
        <v>0</v>
      </c>
      <c r="BA83" s="448">
        <f t="shared" si="35"/>
        <v>0</v>
      </c>
      <c r="BB83" s="448">
        <f t="shared" si="35"/>
        <v>0</v>
      </c>
      <c r="BC83" s="448">
        <f t="shared" si="35"/>
        <v>0</v>
      </c>
      <c r="BD83" s="450">
        <f t="shared" si="35"/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2" thickBot="1" x14ac:dyDescent="0.25">
      <c r="B86" s="28" t="s">
        <v>94</v>
      </c>
      <c r="C86" s="29">
        <f>SUM(D86:BD86)</f>
        <v>0</v>
      </c>
      <c r="D86" s="451">
        <f t="shared" ref="D86:AI86" si="38">SUM(D6,D11,D16,D21,D26,D31,D36,D41,D46,D51,D56,D61,D66,D71,D76,D81,)-(D82*D85)+((D83-D82)*D85)-D87</f>
        <v>0</v>
      </c>
      <c r="E86" s="452">
        <f t="shared" si="38"/>
        <v>0</v>
      </c>
      <c r="F86" s="452">
        <f t="shared" si="38"/>
        <v>0</v>
      </c>
      <c r="G86" s="452">
        <f t="shared" si="38"/>
        <v>0</v>
      </c>
      <c r="H86" s="452">
        <f t="shared" si="38"/>
        <v>0</v>
      </c>
      <c r="I86" s="452">
        <f t="shared" si="38"/>
        <v>0</v>
      </c>
      <c r="J86" s="452">
        <f t="shared" si="38"/>
        <v>0</v>
      </c>
      <c r="K86" s="452">
        <f t="shared" si="38"/>
        <v>0</v>
      </c>
      <c r="L86" s="452">
        <f t="shared" si="38"/>
        <v>0</v>
      </c>
      <c r="M86" s="452">
        <f t="shared" si="38"/>
        <v>0</v>
      </c>
      <c r="N86" s="452">
        <f t="shared" si="38"/>
        <v>0</v>
      </c>
      <c r="O86" s="452">
        <f t="shared" si="38"/>
        <v>0</v>
      </c>
      <c r="P86" s="452">
        <f t="shared" si="38"/>
        <v>0</v>
      </c>
      <c r="Q86" s="452">
        <f t="shared" si="38"/>
        <v>0</v>
      </c>
      <c r="R86" s="452">
        <f t="shared" si="38"/>
        <v>0</v>
      </c>
      <c r="S86" s="452">
        <f t="shared" si="38"/>
        <v>0</v>
      </c>
      <c r="T86" s="452">
        <f t="shared" si="38"/>
        <v>0</v>
      </c>
      <c r="U86" s="452">
        <f t="shared" si="38"/>
        <v>0</v>
      </c>
      <c r="V86" s="452">
        <f t="shared" si="38"/>
        <v>0</v>
      </c>
      <c r="W86" s="452">
        <f t="shared" si="38"/>
        <v>0</v>
      </c>
      <c r="X86" s="452">
        <f t="shared" si="38"/>
        <v>0</v>
      </c>
      <c r="Y86" s="452">
        <f t="shared" si="38"/>
        <v>0</v>
      </c>
      <c r="Z86" s="452">
        <f t="shared" si="38"/>
        <v>0</v>
      </c>
      <c r="AA86" s="452">
        <f t="shared" si="38"/>
        <v>0</v>
      </c>
      <c r="AB86" s="452">
        <f t="shared" si="38"/>
        <v>0</v>
      </c>
      <c r="AC86" s="452">
        <f t="shared" si="38"/>
        <v>0</v>
      </c>
      <c r="AD86" s="452">
        <f t="shared" si="38"/>
        <v>0</v>
      </c>
      <c r="AE86" s="452">
        <f t="shared" si="38"/>
        <v>0</v>
      </c>
      <c r="AF86" s="452">
        <f t="shared" si="38"/>
        <v>0</v>
      </c>
      <c r="AG86" s="452">
        <f t="shared" si="38"/>
        <v>0</v>
      </c>
      <c r="AH86" s="452">
        <f t="shared" si="38"/>
        <v>0</v>
      </c>
      <c r="AI86" s="452">
        <f t="shared" si="38"/>
        <v>0</v>
      </c>
      <c r="AJ86" s="452">
        <f t="shared" ref="AJ86:BO86" si="39">SUM(AJ6,AJ11,AJ16,AJ21,AJ26,AJ31,AJ36,AJ41,AJ46,AJ51,AJ56,AJ61,AJ66,AJ71,AJ76,AJ81,)-(AJ82*AJ85)+((AJ83-AJ82)*AJ85)-AJ87</f>
        <v>0</v>
      </c>
      <c r="AK86" s="452">
        <f t="shared" si="39"/>
        <v>0</v>
      </c>
      <c r="AL86" s="452">
        <f t="shared" si="39"/>
        <v>0</v>
      </c>
      <c r="AM86" s="452">
        <f t="shared" si="39"/>
        <v>0</v>
      </c>
      <c r="AN86" s="452">
        <f t="shared" si="39"/>
        <v>0</v>
      </c>
      <c r="AO86" s="452">
        <f t="shared" si="39"/>
        <v>0</v>
      </c>
      <c r="AP86" s="452">
        <f t="shared" si="39"/>
        <v>0</v>
      </c>
      <c r="AQ86" s="452">
        <f t="shared" si="39"/>
        <v>0</v>
      </c>
      <c r="AR86" s="452">
        <f t="shared" si="39"/>
        <v>0</v>
      </c>
      <c r="AS86" s="452">
        <f t="shared" si="39"/>
        <v>0</v>
      </c>
      <c r="AT86" s="452">
        <f t="shared" si="39"/>
        <v>0</v>
      </c>
      <c r="AU86" s="452">
        <f t="shared" si="39"/>
        <v>0</v>
      </c>
      <c r="AV86" s="452">
        <f t="shared" si="39"/>
        <v>0</v>
      </c>
      <c r="AW86" s="452">
        <f t="shared" si="39"/>
        <v>0</v>
      </c>
      <c r="AX86" s="452">
        <f t="shared" si="39"/>
        <v>0</v>
      </c>
      <c r="AY86" s="452">
        <f t="shared" si="39"/>
        <v>0</v>
      </c>
      <c r="AZ86" s="452">
        <f t="shared" si="39"/>
        <v>0</v>
      </c>
      <c r="BA86" s="452">
        <f t="shared" si="39"/>
        <v>0</v>
      </c>
      <c r="BB86" s="452">
        <f t="shared" si="39"/>
        <v>0</v>
      </c>
      <c r="BC86" s="452">
        <f t="shared" si="39"/>
        <v>0</v>
      </c>
      <c r="BD86" s="453">
        <f t="shared" si="39"/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+1hpDO7KOAflo5uMEPId5Aye9zwBmSCE7O0i3NESlGoUs04o+ZKnHhuHMs52pw9Hxez5AguPXSz2pATY2cV8ag==" saltValue="SbBS8GCLObs3LxocOodkhg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4" priority="7"/>
  </conditionalFormatting>
  <conditionalFormatting sqref="D1:H1">
    <cfRule type="duplicateValues" dxfId="23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855468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05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04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05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04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08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05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04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05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04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04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04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04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04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04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05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04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04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Monday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04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02"/>
      <c r="BB73" s="402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02"/>
      <c r="BB76" s="402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Tuesday</v>
      </c>
      <c r="B78" s="64" t="s">
        <v>23</v>
      </c>
      <c r="C78" s="405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04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04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05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04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 t="shared" ref="E97:AZ97" si="31">HRS(E95,E96)</f>
        <v>0</v>
      </c>
      <c r="F97" s="424">
        <f t="shared" si="31"/>
        <v>0</v>
      </c>
      <c r="G97" s="424">
        <f t="shared" si="31"/>
        <v>0</v>
      </c>
      <c r="H97" s="424">
        <f t="shared" si="31"/>
        <v>0</v>
      </c>
      <c r="I97" s="424">
        <f t="shared" si="31"/>
        <v>0</v>
      </c>
      <c r="J97" s="424">
        <f t="shared" si="31"/>
        <v>0</v>
      </c>
      <c r="K97" s="424">
        <f t="shared" si="31"/>
        <v>0</v>
      </c>
      <c r="L97" s="424">
        <f t="shared" si="31"/>
        <v>0</v>
      </c>
      <c r="M97" s="424">
        <f t="shared" si="31"/>
        <v>0</v>
      </c>
      <c r="N97" s="424">
        <f t="shared" si="31"/>
        <v>0</v>
      </c>
      <c r="O97" s="424">
        <f t="shared" si="31"/>
        <v>0</v>
      </c>
      <c r="P97" s="424">
        <f t="shared" si="31"/>
        <v>0</v>
      </c>
      <c r="Q97" s="424">
        <f t="shared" si="31"/>
        <v>0</v>
      </c>
      <c r="R97" s="424">
        <f t="shared" si="31"/>
        <v>0</v>
      </c>
      <c r="S97" s="424">
        <f t="shared" si="31"/>
        <v>0</v>
      </c>
      <c r="T97" s="424">
        <f t="shared" si="31"/>
        <v>0</v>
      </c>
      <c r="U97" s="424">
        <f t="shared" si="31"/>
        <v>0</v>
      </c>
      <c r="V97" s="424">
        <f t="shared" si="31"/>
        <v>0</v>
      </c>
      <c r="W97" s="424">
        <f t="shared" si="31"/>
        <v>0</v>
      </c>
      <c r="X97" s="424">
        <f t="shared" si="31"/>
        <v>0</v>
      </c>
      <c r="Y97" s="424">
        <f t="shared" si="31"/>
        <v>0</v>
      </c>
      <c r="Z97" s="424">
        <f t="shared" si="31"/>
        <v>0</v>
      </c>
      <c r="AA97" s="424">
        <f t="shared" si="31"/>
        <v>0</v>
      </c>
      <c r="AB97" s="424">
        <f t="shared" si="31"/>
        <v>0</v>
      </c>
      <c r="AC97" s="424">
        <f t="shared" si="31"/>
        <v>0</v>
      </c>
      <c r="AD97" s="424">
        <f t="shared" si="31"/>
        <v>0</v>
      </c>
      <c r="AE97" s="424">
        <f t="shared" si="31"/>
        <v>0</v>
      </c>
      <c r="AF97" s="424">
        <f t="shared" si="31"/>
        <v>0</v>
      </c>
      <c r="AG97" s="424">
        <f t="shared" si="31"/>
        <v>0</v>
      </c>
      <c r="AH97" s="424">
        <f t="shared" si="31"/>
        <v>0</v>
      </c>
      <c r="AI97" s="424">
        <f t="shared" si="31"/>
        <v>0</v>
      </c>
      <c r="AJ97" s="424">
        <f t="shared" si="31"/>
        <v>0</v>
      </c>
      <c r="AK97" s="424">
        <f t="shared" si="31"/>
        <v>0</v>
      </c>
      <c r="AL97" s="424">
        <f t="shared" si="31"/>
        <v>0</v>
      </c>
      <c r="AM97" s="424">
        <f t="shared" si="31"/>
        <v>0</v>
      </c>
      <c r="AN97" s="424">
        <f t="shared" si="31"/>
        <v>0</v>
      </c>
      <c r="AO97" s="424">
        <f t="shared" si="31"/>
        <v>0</v>
      </c>
      <c r="AP97" s="424">
        <f t="shared" si="31"/>
        <v>0</v>
      </c>
      <c r="AQ97" s="424">
        <f t="shared" si="31"/>
        <v>0</v>
      </c>
      <c r="AR97" s="424">
        <f t="shared" si="31"/>
        <v>0</v>
      </c>
      <c r="AS97" s="424">
        <f t="shared" si="31"/>
        <v>0</v>
      </c>
      <c r="AT97" s="424">
        <f t="shared" si="31"/>
        <v>0</v>
      </c>
      <c r="AU97" s="424">
        <f t="shared" si="31"/>
        <v>0</v>
      </c>
      <c r="AV97" s="424">
        <f t="shared" si="31"/>
        <v>0</v>
      </c>
      <c r="AW97" s="424">
        <f t="shared" si="31"/>
        <v>0</v>
      </c>
      <c r="AX97" s="424">
        <f t="shared" si="31"/>
        <v>0</v>
      </c>
      <c r="AY97" s="424">
        <f t="shared" si="31"/>
        <v>0</v>
      </c>
      <c r="AZ97" s="425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EpanYqAQ1wgfTSqRWt7OI4gX6kepQsE+QGk+ucrJenlgTSA09ze8zY7x0Sj+pdZ1cgN+aRgyV/pshbl1ECyOXQ==" saltValue="pgXSk14xpGGu+UtvI4f8Rg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2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1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0" priority="63">
      <formula>Y4&gt;10</formula>
    </cfRule>
  </conditionalFormatting>
  <conditionalFormatting sqref="T97:X97">
    <cfRule type="expression" dxfId="19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2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22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2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22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2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22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2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22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2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22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2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22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2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22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2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22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2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22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2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22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2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22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2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22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2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22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2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22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2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22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 t="shared" ref="E97:AZ97" si="31">HRS(E95,E96)</f>
        <v>0</v>
      </c>
      <c r="F97" s="424">
        <f t="shared" si="31"/>
        <v>0</v>
      </c>
      <c r="G97" s="424">
        <f t="shared" si="31"/>
        <v>0</v>
      </c>
      <c r="H97" s="424">
        <f t="shared" si="31"/>
        <v>0</v>
      </c>
      <c r="I97" s="424">
        <f t="shared" si="31"/>
        <v>0</v>
      </c>
      <c r="J97" s="424">
        <f t="shared" si="31"/>
        <v>0</v>
      </c>
      <c r="K97" s="424">
        <f t="shared" si="31"/>
        <v>0</v>
      </c>
      <c r="L97" s="424">
        <f t="shared" si="31"/>
        <v>0</v>
      </c>
      <c r="M97" s="424">
        <f t="shared" si="31"/>
        <v>0</v>
      </c>
      <c r="N97" s="424">
        <f t="shared" si="31"/>
        <v>0</v>
      </c>
      <c r="O97" s="424">
        <f t="shared" si="31"/>
        <v>0</v>
      </c>
      <c r="P97" s="424">
        <f t="shared" si="31"/>
        <v>0</v>
      </c>
      <c r="Q97" s="424">
        <f t="shared" si="31"/>
        <v>0</v>
      </c>
      <c r="R97" s="424">
        <f t="shared" si="31"/>
        <v>0</v>
      </c>
      <c r="S97" s="424">
        <f t="shared" si="31"/>
        <v>0</v>
      </c>
      <c r="T97" s="424">
        <f t="shared" si="31"/>
        <v>0</v>
      </c>
      <c r="U97" s="424">
        <f t="shared" si="31"/>
        <v>0</v>
      </c>
      <c r="V97" s="424">
        <f t="shared" si="31"/>
        <v>0</v>
      </c>
      <c r="W97" s="424">
        <f t="shared" si="31"/>
        <v>0</v>
      </c>
      <c r="X97" s="424">
        <f t="shared" si="31"/>
        <v>0</v>
      </c>
      <c r="Y97" s="424">
        <f t="shared" si="31"/>
        <v>0</v>
      </c>
      <c r="Z97" s="424">
        <f t="shared" si="31"/>
        <v>0</v>
      </c>
      <c r="AA97" s="424">
        <f t="shared" si="31"/>
        <v>0</v>
      </c>
      <c r="AB97" s="424">
        <f t="shared" si="31"/>
        <v>0</v>
      </c>
      <c r="AC97" s="424">
        <f t="shared" si="31"/>
        <v>0</v>
      </c>
      <c r="AD97" s="424">
        <f t="shared" si="31"/>
        <v>0</v>
      </c>
      <c r="AE97" s="424">
        <f t="shared" si="31"/>
        <v>0</v>
      </c>
      <c r="AF97" s="424">
        <f t="shared" si="31"/>
        <v>0</v>
      </c>
      <c r="AG97" s="424">
        <f t="shared" si="31"/>
        <v>0</v>
      </c>
      <c r="AH97" s="424">
        <f t="shared" si="31"/>
        <v>0</v>
      </c>
      <c r="AI97" s="424">
        <f t="shared" si="31"/>
        <v>0</v>
      </c>
      <c r="AJ97" s="424">
        <f t="shared" si="31"/>
        <v>0</v>
      </c>
      <c r="AK97" s="424">
        <f t="shared" si="31"/>
        <v>0</v>
      </c>
      <c r="AL97" s="424">
        <f t="shared" si="31"/>
        <v>0</v>
      </c>
      <c r="AM97" s="424">
        <f t="shared" si="31"/>
        <v>0</v>
      </c>
      <c r="AN97" s="424">
        <f t="shared" si="31"/>
        <v>0</v>
      </c>
      <c r="AO97" s="424">
        <f t="shared" si="31"/>
        <v>0</v>
      </c>
      <c r="AP97" s="424">
        <f t="shared" si="31"/>
        <v>0</v>
      </c>
      <c r="AQ97" s="424">
        <f t="shared" si="31"/>
        <v>0</v>
      </c>
      <c r="AR97" s="424">
        <f t="shared" si="31"/>
        <v>0</v>
      </c>
      <c r="AS97" s="424">
        <f t="shared" si="31"/>
        <v>0</v>
      </c>
      <c r="AT97" s="424">
        <f t="shared" si="31"/>
        <v>0</v>
      </c>
      <c r="AU97" s="424">
        <f t="shared" si="31"/>
        <v>0</v>
      </c>
      <c r="AV97" s="424">
        <f t="shared" si="31"/>
        <v>0</v>
      </c>
      <c r="AW97" s="424">
        <f t="shared" si="31"/>
        <v>0</v>
      </c>
      <c r="AX97" s="424">
        <f t="shared" si="31"/>
        <v>0</v>
      </c>
      <c r="AY97" s="424">
        <f t="shared" si="31"/>
        <v>0</v>
      </c>
      <c r="AZ97" s="425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1isTttA/QdFdT44L12nnx/V4yid6Ve/gcprBlSwj0wd2vRZRf7jwbFOsVySmQ3lPGG4ARv0EaFL3fH+P6HgI1g==" saltValue="OPkUG8IlRRv2zD1t1dkic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9.140625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7.42578125" style="62" bestFit="1" customWidth="1"/>
    <col min="9" max="10" width="8" style="110" bestFit="1" customWidth="1"/>
    <col min="11" max="11" width="7.42578125" style="110" bestFit="1" customWidth="1"/>
    <col min="12" max="12" width="6.5703125" style="62" bestFit="1" customWidth="1"/>
    <col min="13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 t="s">
        <v>208</v>
      </c>
      <c r="I1" s="535" t="s">
        <v>156</v>
      </c>
      <c r="J1" s="535" t="s">
        <v>156</v>
      </c>
      <c r="K1" s="535" t="s">
        <v>193</v>
      </c>
      <c r="L1" s="535" t="s">
        <v>177</v>
      </c>
      <c r="M1" s="535"/>
      <c r="N1" s="535"/>
      <c r="O1" s="535"/>
      <c r="P1" s="535"/>
      <c r="Q1" s="535"/>
      <c r="R1" s="531"/>
      <c r="S1" s="535"/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IF(Import!V7&lt;&gt;"",Import!V7,"")</f>
        <v>42537</v>
      </c>
      <c r="B2" s="548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0</v>
      </c>
      <c r="F2" s="145">
        <f>E2-(D2*1.26)</f>
        <v>-75.599999999999994</v>
      </c>
      <c r="G2" s="544"/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IF(Import!V8&lt;&gt;"",Import!V8,"")</f>
        <v>42538</v>
      </c>
      <c r="B3" s="548"/>
      <c r="C3" s="149">
        <f t="shared" si="0"/>
        <v>11</v>
      </c>
      <c r="D3" s="144">
        <f t="shared" si="1"/>
        <v>122</v>
      </c>
      <c r="E3" s="144">
        <f t="shared" ref="E3:E17" si="2">G3*8</f>
        <v>0</v>
      </c>
      <c r="F3" s="145">
        <f t="shared" ref="F3:F17" si="3">E3-(D3*1.26)</f>
        <v>-153.72</v>
      </c>
      <c r="G3" s="545"/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IF(Import!V9&lt;&gt;"",Import!V9,"")</f>
        <v>42539</v>
      </c>
      <c r="B4" s="548"/>
      <c r="C4" s="149">
        <f t="shared" si="0"/>
        <v>16</v>
      </c>
      <c r="D4" s="144">
        <f t="shared" si="1"/>
        <v>172.5</v>
      </c>
      <c r="E4" s="144">
        <f t="shared" si="2"/>
        <v>0</v>
      </c>
      <c r="F4" s="145">
        <f t="shared" si="3"/>
        <v>-217.35</v>
      </c>
      <c r="G4" s="546"/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4.5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IF(Import!V10&lt;&gt;"",Import!V10,"")</f>
        <v>42540</v>
      </c>
      <c r="B5" s="548"/>
      <c r="C5" s="149">
        <f t="shared" si="0"/>
        <v>9.75</v>
      </c>
      <c r="D5" s="144">
        <f t="shared" si="1"/>
        <v>108</v>
      </c>
      <c r="E5" s="144">
        <f t="shared" si="2"/>
        <v>0</v>
      </c>
      <c r="F5" s="145">
        <f t="shared" si="3"/>
        <v>-136.08000000000001</v>
      </c>
      <c r="G5" s="545"/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4.5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IF(Import!V11&lt;&gt;"",Import!V11,"")</f>
        <v>42541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IF(Import!V12&lt;&gt;"",Import!V12,"")</f>
        <v>42542</v>
      </c>
      <c r="B7" s="548"/>
      <c r="C7" s="149">
        <f t="shared" si="0"/>
        <v>5.25</v>
      </c>
      <c r="D7" s="144">
        <f t="shared" si="1"/>
        <v>63</v>
      </c>
      <c r="E7" s="144">
        <f t="shared" si="2"/>
        <v>0</v>
      </c>
      <c r="F7" s="145">
        <f t="shared" si="3"/>
        <v>-79.38</v>
      </c>
      <c r="G7" s="545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5.25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IF(Import!V13&lt;&gt;"",Import!V13,"")</f>
        <v>42543</v>
      </c>
      <c r="B8" s="548"/>
      <c r="C8" s="149">
        <f t="shared" si="0"/>
        <v>5.25</v>
      </c>
      <c r="D8" s="144">
        <f t="shared" si="1"/>
        <v>63</v>
      </c>
      <c r="E8" s="144">
        <f t="shared" si="2"/>
        <v>0</v>
      </c>
      <c r="F8" s="144">
        <f t="shared" si="3"/>
        <v>-79.38</v>
      </c>
      <c r="G8" s="547"/>
      <c r="H8" s="146">
        <f>SUMIFS(Import!$G:$G,Import!$A:$A,H$1,Import!$B:$B,$A8,Import!$C:$C,$A$1,Import!$D:$D,H$21)</f>
        <v>5.25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IF(Import!V14&lt;&gt;"",Import!V14,"")</f>
        <v>42544</v>
      </c>
      <c r="B9" s="548"/>
      <c r="C9" s="149">
        <f t="shared" si="0"/>
        <v>5</v>
      </c>
      <c r="D9" s="144">
        <f t="shared" si="1"/>
        <v>60</v>
      </c>
      <c r="E9" s="144">
        <f t="shared" si="2"/>
        <v>0</v>
      </c>
      <c r="F9" s="145">
        <f t="shared" si="3"/>
        <v>-75.599999999999994</v>
      </c>
      <c r="G9" s="545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5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IF(Import!V15&lt;&gt;"",Import!V15,"")</f>
        <v>42545</v>
      </c>
      <c r="B10" s="548"/>
      <c r="C10" s="149">
        <f t="shared" si="0"/>
        <v>10.75</v>
      </c>
      <c r="D10" s="144">
        <f t="shared" si="1"/>
        <v>119</v>
      </c>
      <c r="E10" s="144">
        <f t="shared" si="2"/>
        <v>0</v>
      </c>
      <c r="F10" s="145">
        <f t="shared" si="3"/>
        <v>-149.94</v>
      </c>
      <c r="G10" s="546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5.75</v>
      </c>
      <c r="K10" s="150">
        <f>SUMIFS(Import!$G:$G,Import!$A:$A,K$1,Import!$B:$B,$A10,Import!$C:$C,$A$1,Import!$D:$D,K$21)</f>
        <v>5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IF(Import!V16&lt;&gt;"",Import!V16,"")</f>
        <v>42546</v>
      </c>
      <c r="B11" s="548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45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IF(Import!V17&lt;&gt;"",Import!V17,"")</f>
        <v>42547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IF(Import!V18&lt;&gt;"",Import!V18,"")</f>
        <v>42548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IF(Import!V19&lt;&gt;"",Import!V19,"")</f>
        <v>42549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IF(Import!V20&lt;&gt;"",Import!V20,"")</f>
        <v>42550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IF(Import!V21&lt;&gt;"",Import!V21,"")</f>
        <v>42551</v>
      </c>
      <c r="B16" s="548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46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29" t="str">
        <f>IF(Import!V22&lt;&gt;"",Import!V22,"")</f>
        <v/>
      </c>
      <c r="B17" s="548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68</v>
      </c>
      <c r="D18" s="154">
        <f t="shared" si="4"/>
        <v>767.5</v>
      </c>
      <c r="E18" s="155">
        <f t="shared" si="4"/>
        <v>0</v>
      </c>
      <c r="F18" s="156">
        <f t="shared" si="4"/>
        <v>-967.05</v>
      </c>
      <c r="G18" s="157">
        <f t="shared" si="4"/>
        <v>0</v>
      </c>
      <c r="H18" s="135">
        <f t="shared" ref="H18:AO18" si="5">SUM(H2:H17)</f>
        <v>27.75</v>
      </c>
      <c r="I18" s="102">
        <f t="shared" si="5"/>
        <v>10.25</v>
      </c>
      <c r="J18" s="102">
        <f t="shared" si="5"/>
        <v>16</v>
      </c>
      <c r="K18" s="102">
        <f t="shared" si="5"/>
        <v>9.5</v>
      </c>
      <c r="L18" s="102">
        <f t="shared" si="5"/>
        <v>4.5</v>
      </c>
      <c r="M18" s="102">
        <f t="shared" si="5"/>
        <v>0</v>
      </c>
      <c r="N18" s="102">
        <f t="shared" si="5"/>
        <v>0</v>
      </c>
      <c r="O18" s="102">
        <f t="shared" si="5"/>
        <v>0</v>
      </c>
      <c r="P18" s="102">
        <f t="shared" si="5"/>
        <v>0</v>
      </c>
      <c r="Q18" s="102">
        <f t="shared" si="5"/>
        <v>0</v>
      </c>
      <c r="R18" s="102">
        <f t="shared" si="5"/>
        <v>0</v>
      </c>
      <c r="S18" s="102">
        <f t="shared" si="5"/>
        <v>0</v>
      </c>
      <c r="T18" s="102">
        <f t="shared" si="5"/>
        <v>0</v>
      </c>
      <c r="U18" s="102">
        <f t="shared" si="5"/>
        <v>0</v>
      </c>
      <c r="V18" s="102">
        <f t="shared" si="5"/>
        <v>0</v>
      </c>
      <c r="W18" s="102">
        <f t="shared" si="5"/>
        <v>0</v>
      </c>
      <c r="X18" s="102">
        <f t="shared" si="5"/>
        <v>0</v>
      </c>
      <c r="Y18" s="102">
        <f t="shared" si="5"/>
        <v>0</v>
      </c>
      <c r="Z18" s="102">
        <f t="shared" si="5"/>
        <v>0</v>
      </c>
      <c r="AA18" s="102">
        <f t="shared" si="5"/>
        <v>0</v>
      </c>
      <c r="AB18" s="102">
        <f t="shared" si="5"/>
        <v>0</v>
      </c>
      <c r="AC18" s="102">
        <f t="shared" si="5"/>
        <v>0</v>
      </c>
      <c r="AD18" s="102">
        <f t="shared" si="5"/>
        <v>0</v>
      </c>
      <c r="AE18" s="102">
        <f t="shared" si="5"/>
        <v>0</v>
      </c>
      <c r="AF18" s="102">
        <f t="shared" si="5"/>
        <v>0</v>
      </c>
      <c r="AG18" s="102">
        <f t="shared" si="5"/>
        <v>0</v>
      </c>
      <c r="AH18" s="102">
        <f t="shared" si="5"/>
        <v>0</v>
      </c>
      <c r="AI18" s="102">
        <f t="shared" si="5"/>
        <v>0</v>
      </c>
      <c r="AJ18" s="102">
        <f t="shared" si="5"/>
        <v>0</v>
      </c>
      <c r="AK18" s="102">
        <f t="shared" si="5"/>
        <v>0</v>
      </c>
      <c r="AL18" s="102">
        <f t="shared" si="5"/>
        <v>0</v>
      </c>
      <c r="AM18" s="102">
        <f t="shared" si="5"/>
        <v>0</v>
      </c>
      <c r="AN18" s="102">
        <f t="shared" si="5"/>
        <v>0</v>
      </c>
      <c r="AO18" s="104">
        <f t="shared" si="5"/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11.286764705882353</v>
      </c>
      <c r="E19" s="162">
        <f>IFERROR(E18/$C$18,0)</f>
        <v>0</v>
      </c>
      <c r="F19" s="163">
        <f>IFERROR(F18/$C$18,0)</f>
        <v>-14.221323529411764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12</v>
      </c>
      <c r="K19" s="165">
        <f>IF(K21="RF Lead",$C$21,SUMIF(Total!$Z:$Z,K1,Total!$B:$B))</f>
        <v>10</v>
      </c>
      <c r="L19" s="165">
        <f>IF(L21="RF Lead",$C$21,SUMIF(Total!$Z:$Z,L1,Total!$B:$B))</f>
        <v>10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6">H18*H19</f>
        <v>333</v>
      </c>
      <c r="I20" s="174">
        <f t="shared" si="6"/>
        <v>102.5</v>
      </c>
      <c r="J20" s="174">
        <f t="shared" si="6"/>
        <v>192</v>
      </c>
      <c r="K20" s="174">
        <f t="shared" si="6"/>
        <v>95</v>
      </c>
      <c r="L20" s="174">
        <f t="shared" si="6"/>
        <v>45</v>
      </c>
      <c r="M20" s="174">
        <f t="shared" si="6"/>
        <v>0</v>
      </c>
      <c r="N20" s="174">
        <f t="shared" si="6"/>
        <v>0</v>
      </c>
      <c r="O20" s="174">
        <f t="shared" si="6"/>
        <v>0</v>
      </c>
      <c r="P20" s="174">
        <f t="shared" si="6"/>
        <v>0</v>
      </c>
      <c r="Q20" s="174">
        <f t="shared" si="6"/>
        <v>0</v>
      </c>
      <c r="R20" s="174">
        <f t="shared" si="6"/>
        <v>0</v>
      </c>
      <c r="S20" s="174">
        <f t="shared" si="6"/>
        <v>0</v>
      </c>
      <c r="T20" s="174">
        <f t="shared" si="6"/>
        <v>0</v>
      </c>
      <c r="U20" s="174">
        <f t="shared" si="6"/>
        <v>0</v>
      </c>
      <c r="V20" s="174">
        <f t="shared" si="6"/>
        <v>0</v>
      </c>
      <c r="W20" s="174">
        <f t="shared" si="6"/>
        <v>0</v>
      </c>
      <c r="X20" s="174">
        <f t="shared" si="6"/>
        <v>0</v>
      </c>
      <c r="Y20" s="174">
        <f t="shared" si="6"/>
        <v>0</v>
      </c>
      <c r="Z20" s="174">
        <f t="shared" si="6"/>
        <v>0</v>
      </c>
      <c r="AA20" s="174">
        <f t="shared" si="6"/>
        <v>0</v>
      </c>
      <c r="AB20" s="174">
        <f t="shared" si="6"/>
        <v>0</v>
      </c>
      <c r="AC20" s="174">
        <f t="shared" si="6"/>
        <v>0</v>
      </c>
      <c r="AD20" s="174">
        <f t="shared" si="6"/>
        <v>0</v>
      </c>
      <c r="AE20" s="174">
        <f t="shared" si="6"/>
        <v>0</v>
      </c>
      <c r="AF20" s="174">
        <f t="shared" si="6"/>
        <v>0</v>
      </c>
      <c r="AG20" s="174">
        <f t="shared" si="6"/>
        <v>0</v>
      </c>
      <c r="AH20" s="174">
        <f t="shared" si="6"/>
        <v>0</v>
      </c>
      <c r="AI20" s="174">
        <f t="shared" si="6"/>
        <v>0</v>
      </c>
      <c r="AJ20" s="174">
        <f t="shared" si="6"/>
        <v>0</v>
      </c>
      <c r="AK20" s="174">
        <f t="shared" si="6"/>
        <v>0</v>
      </c>
      <c r="AL20" s="174">
        <f t="shared" si="6"/>
        <v>0</v>
      </c>
      <c r="AM20" s="174">
        <f t="shared" si="6"/>
        <v>0</v>
      </c>
      <c r="AN20" s="174">
        <f t="shared" si="6"/>
        <v>0</v>
      </c>
      <c r="AO20" s="175">
        <f t="shared" si="6"/>
        <v>0</v>
      </c>
    </row>
    <row r="21" spans="1:41" ht="12" thickBot="1" x14ac:dyDescent="0.25">
      <c r="B21" s="176" t="s">
        <v>67</v>
      </c>
      <c r="C21" s="456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67</v>
      </c>
      <c r="K21" s="181" t="s">
        <v>97</v>
      </c>
      <c r="L21" s="181" t="s">
        <v>97</v>
      </c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Lead",($C$21-SUMIF(Total!$Z:$Z,H1,Total!$B:$B))*H18,0)</f>
        <v>55.5</v>
      </c>
      <c r="I22" s="186">
        <f>IF(I21="RF Lead",($C$21-SUMIF(Total!$Z:$Z,I1,Total!$B:$B))*I18,0)</f>
        <v>0</v>
      </c>
      <c r="J22" s="186">
        <f>IF(J21="RF Lead",($C$21-SUMIF(Total!$Z:$Z,J1,Total!$B:$B))*J18,0)</f>
        <v>32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-11.286764705882353</v>
      </c>
      <c r="D25" s="109">
        <f>E18-D18</f>
        <v>-767.5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-14.221323529411764</v>
      </c>
      <c r="D26" s="109">
        <f>E18-(1.26*D18)</f>
        <v>-967.05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-15.324264705882353</v>
      </c>
      <c r="D27" s="115">
        <f>D26-75</f>
        <v>-1042.05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bCSPngagK24UcUBtjLoYqowlh8bIqz9hn+HgyI0ZuNFlXo6ch48hQySWfSR9Vw8NB5ppb4PeDjaBG0o48IDBZA==" saltValue="Doc0OTpZC3pGAaXwEhfWeA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8" priority="6" operator="lessThan">
      <formula>0</formula>
    </cfRule>
  </conditionalFormatting>
  <conditionalFormatting sqref="H1:AO1">
    <cfRule type="duplicateValues" dxfId="1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 t="s">
        <v>156</v>
      </c>
      <c r="G1" s="535" t="s">
        <v>157</v>
      </c>
      <c r="H1" s="535" t="s">
        <v>158</v>
      </c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v>42522</v>
      </c>
      <c r="B2" s="616">
        <f t="shared" ref="B2:B16" si="0">SUM(F2:Z2)</f>
        <v>2</v>
      </c>
      <c r="C2" s="617">
        <f t="shared" ref="C2:C16" si="1">B2*12</f>
        <v>24</v>
      </c>
      <c r="D2" s="617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16">
        <f t="shared" si="0"/>
        <v>3</v>
      </c>
      <c r="C3" s="617">
        <f t="shared" si="1"/>
        <v>36</v>
      </c>
      <c r="D3" s="617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16">
        <f t="shared" si="0"/>
        <v>3.75</v>
      </c>
      <c r="C4" s="617">
        <f t="shared" si="1"/>
        <v>45</v>
      </c>
      <c r="D4" s="617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16">
        <f t="shared" si="0"/>
        <v>0</v>
      </c>
      <c r="C5" s="617">
        <f t="shared" si="1"/>
        <v>0</v>
      </c>
      <c r="D5" s="617">
        <f t="shared" si="2"/>
        <v>0</v>
      </c>
      <c r="E5" s="543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16">
        <f t="shared" si="0"/>
        <v>0</v>
      </c>
      <c r="C6" s="617">
        <f t="shared" si="1"/>
        <v>0</v>
      </c>
      <c r="D6" s="617">
        <f t="shared" si="2"/>
        <v>0</v>
      </c>
      <c r="E6" s="543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16">
        <f t="shared" si="0"/>
        <v>3.25</v>
      </c>
      <c r="C7" s="617">
        <f t="shared" si="1"/>
        <v>39</v>
      </c>
      <c r="D7" s="617">
        <f t="shared" si="2"/>
        <v>10.14</v>
      </c>
      <c r="E7" s="543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16">
        <f t="shared" si="0"/>
        <v>9</v>
      </c>
      <c r="C8" s="617">
        <f t="shared" si="1"/>
        <v>108</v>
      </c>
      <c r="D8" s="617">
        <f t="shared" si="2"/>
        <v>28.080000000000002</v>
      </c>
      <c r="E8" s="543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16">
        <f t="shared" si="0"/>
        <v>3.25</v>
      </c>
      <c r="C9" s="617">
        <f t="shared" si="1"/>
        <v>39</v>
      </c>
      <c r="D9" s="617">
        <f t="shared" si="2"/>
        <v>10.14</v>
      </c>
      <c r="E9" s="543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16">
        <f t="shared" si="0"/>
        <v>3</v>
      </c>
      <c r="C10" s="617">
        <f t="shared" si="1"/>
        <v>36</v>
      </c>
      <c r="D10" s="617">
        <f t="shared" si="2"/>
        <v>9.36</v>
      </c>
      <c r="E10" s="543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16">
        <f t="shared" si="0"/>
        <v>3</v>
      </c>
      <c r="C11" s="617">
        <f t="shared" si="1"/>
        <v>36</v>
      </c>
      <c r="D11" s="617">
        <f t="shared" si="2"/>
        <v>9.36</v>
      </c>
      <c r="E11" s="543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16">
        <f t="shared" si="0"/>
        <v>0</v>
      </c>
      <c r="C12" s="617">
        <f t="shared" si="1"/>
        <v>0</v>
      </c>
      <c r="D12" s="617">
        <f t="shared" si="2"/>
        <v>0</v>
      </c>
      <c r="E12" s="543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16">
        <f t="shared" si="0"/>
        <v>0</v>
      </c>
      <c r="C13" s="617">
        <f t="shared" si="1"/>
        <v>0</v>
      </c>
      <c r="D13" s="617">
        <f t="shared" si="2"/>
        <v>0</v>
      </c>
      <c r="E13" s="543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16">
        <f t="shared" si="0"/>
        <v>2</v>
      </c>
      <c r="C14" s="617">
        <f t="shared" si="1"/>
        <v>24</v>
      </c>
      <c r="D14" s="617">
        <f t="shared" si="2"/>
        <v>6.24</v>
      </c>
      <c r="E14" s="543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16">
        <f t="shared" si="0"/>
        <v>3</v>
      </c>
      <c r="C15" s="617">
        <f t="shared" si="1"/>
        <v>36</v>
      </c>
      <c r="D15" s="617">
        <f t="shared" si="2"/>
        <v>9.36</v>
      </c>
      <c r="E15" s="543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16">
        <f t="shared" si="0"/>
        <v>5</v>
      </c>
      <c r="C16" s="617">
        <f t="shared" si="1"/>
        <v>60</v>
      </c>
      <c r="D16" s="617">
        <f t="shared" si="2"/>
        <v>15.600000000000001</v>
      </c>
      <c r="E16" s="543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402.5</v>
      </c>
      <c r="D17" s="204">
        <f>SUM(D2:D16)-D18</f>
        <v>104.64999999999998</v>
      </c>
      <c r="E17" s="205">
        <f t="shared" ref="E17" si="3">SUM(E2:E16)</f>
        <v>0</v>
      </c>
      <c r="F17" s="206">
        <f t="shared" ref="F17:Z17" si="4">SUM(F2:F16)</f>
        <v>6.25</v>
      </c>
      <c r="G17" s="206">
        <f t="shared" si="4"/>
        <v>31</v>
      </c>
      <c r="H17" s="206">
        <f t="shared" si="4"/>
        <v>3</v>
      </c>
      <c r="I17" s="206">
        <f t="shared" si="4"/>
        <v>0</v>
      </c>
      <c r="J17" s="206">
        <f t="shared" si="4"/>
        <v>0</v>
      </c>
      <c r="K17" s="206">
        <f t="shared" si="4"/>
        <v>0</v>
      </c>
      <c r="L17" s="206">
        <f t="shared" si="4"/>
        <v>0</v>
      </c>
      <c r="M17" s="206">
        <f t="shared" si="4"/>
        <v>0</v>
      </c>
      <c r="N17" s="206">
        <f t="shared" si="4"/>
        <v>0</v>
      </c>
      <c r="O17" s="206">
        <f t="shared" si="4"/>
        <v>0</v>
      </c>
      <c r="P17" s="206">
        <f t="shared" si="4"/>
        <v>0</v>
      </c>
      <c r="Q17" s="206">
        <f t="shared" si="4"/>
        <v>0</v>
      </c>
      <c r="R17" s="206">
        <f t="shared" si="4"/>
        <v>0</v>
      </c>
      <c r="S17" s="206">
        <f t="shared" si="4"/>
        <v>0</v>
      </c>
      <c r="T17" s="206">
        <f t="shared" si="4"/>
        <v>0</v>
      </c>
      <c r="U17" s="206">
        <f t="shared" si="4"/>
        <v>0</v>
      </c>
      <c r="V17" s="206">
        <f t="shared" si="4"/>
        <v>0</v>
      </c>
      <c r="W17" s="206">
        <f t="shared" si="4"/>
        <v>0</v>
      </c>
      <c r="X17" s="206">
        <f t="shared" si="4"/>
        <v>0</v>
      </c>
      <c r="Y17" s="206">
        <f t="shared" si="4"/>
        <v>0</v>
      </c>
      <c r="Z17" s="207">
        <f t="shared" si="4"/>
        <v>0</v>
      </c>
    </row>
    <row r="18" spans="1:28" ht="12" thickBot="1" x14ac:dyDescent="0.25">
      <c r="A18" s="209" t="s">
        <v>53</v>
      </c>
      <c r="B18" s="210"/>
      <c r="C18" s="12">
        <f>SUM(F18:Z18)</f>
        <v>80.5</v>
      </c>
      <c r="D18" s="12">
        <f>C18*0.26</f>
        <v>20.93</v>
      </c>
      <c r="E18" s="211" t="s">
        <v>56</v>
      </c>
      <c r="F18" s="12">
        <f t="shared" ref="F18:Z18" si="5">SUM(F2:F16)*(12-F37)</f>
        <v>12.5</v>
      </c>
      <c r="G18" s="12">
        <f t="shared" si="5"/>
        <v>62</v>
      </c>
      <c r="H18" s="12">
        <f t="shared" si="5"/>
        <v>6</v>
      </c>
      <c r="I18" s="12">
        <f t="shared" si="5"/>
        <v>0</v>
      </c>
      <c r="J18" s="12">
        <f t="shared" si="5"/>
        <v>0</v>
      </c>
      <c r="K18" s="12">
        <f t="shared" si="5"/>
        <v>0</v>
      </c>
      <c r="L18" s="12">
        <f t="shared" si="5"/>
        <v>0</v>
      </c>
      <c r="M18" s="12">
        <f t="shared" si="5"/>
        <v>0</v>
      </c>
      <c r="N18" s="12">
        <f t="shared" si="5"/>
        <v>0</v>
      </c>
      <c r="O18" s="12">
        <f t="shared" si="5"/>
        <v>0</v>
      </c>
      <c r="P18" s="12">
        <f t="shared" si="5"/>
        <v>0</v>
      </c>
      <c r="Q18" s="12">
        <f t="shared" si="5"/>
        <v>0</v>
      </c>
      <c r="R18" s="12">
        <f t="shared" si="5"/>
        <v>0</v>
      </c>
      <c r="S18" s="12">
        <f t="shared" si="5"/>
        <v>0</v>
      </c>
      <c r="T18" s="12">
        <f t="shared" si="5"/>
        <v>0</v>
      </c>
      <c r="U18" s="12">
        <f t="shared" si="5"/>
        <v>0</v>
      </c>
      <c r="V18" s="12">
        <f t="shared" si="5"/>
        <v>0</v>
      </c>
      <c r="W18" s="12">
        <f t="shared" si="5"/>
        <v>0</v>
      </c>
      <c r="X18" s="12">
        <f t="shared" si="5"/>
        <v>0</v>
      </c>
      <c r="Y18" s="12">
        <f t="shared" si="5"/>
        <v>0</v>
      </c>
      <c r="Z18" s="13">
        <f t="shared" si="5"/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43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6">SUM(F20:Z20)</f>
        <v>2</v>
      </c>
      <c r="C20" s="144">
        <f t="shared" ref="C20:C28" si="7">B20*12</f>
        <v>24</v>
      </c>
      <c r="D20" s="144">
        <f t="shared" ref="D20:D28" si="8">C20*0.26</f>
        <v>6.24</v>
      </c>
      <c r="E20" s="543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43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43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43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6"/>
        <v>3</v>
      </c>
      <c r="C25" s="144">
        <f t="shared" si="7"/>
        <v>36</v>
      </c>
      <c r="D25" s="144">
        <f t="shared" si="8"/>
        <v>9.36</v>
      </c>
      <c r="E25" s="543"/>
      <c r="F25" s="150">
        <f>SUMIFS(Import!$G:$G,Import!$A:$A,F$1,Import!$B:$B,$A25,Import!$C:$C,$A$1)</f>
        <v>0</v>
      </c>
      <c r="G25" s="150">
        <f>SUMIFS(Import!$G:$G,Import!$A:$A,G$1,Import!$B:$B,$A25,Import!$C:$C,$A$1)</f>
        <v>3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6"/>
        <v>4</v>
      </c>
      <c r="C26" s="144">
        <f t="shared" si="7"/>
        <v>48</v>
      </c>
      <c r="D26" s="144">
        <f t="shared" si="8"/>
        <v>12.48</v>
      </c>
      <c r="E26" s="543"/>
      <c r="F26" s="150">
        <f>SUMIFS(Import!$G:$G,Import!$A:$A,F$1,Import!$B:$B,$A26,Import!$C:$C,$A$1)</f>
        <v>0</v>
      </c>
      <c r="G26" s="150">
        <f>SUMIFS(Import!$G:$G,Import!$A:$A,G$1,Import!$B:$B,$A26,Import!$C:$C,$A$1)</f>
        <v>4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6"/>
        <v>2.75</v>
      </c>
      <c r="C27" s="144">
        <f t="shared" si="7"/>
        <v>33</v>
      </c>
      <c r="D27" s="144">
        <f t="shared" si="8"/>
        <v>8.58</v>
      </c>
      <c r="E27" s="543"/>
      <c r="F27" s="150">
        <f>SUMIFS(Import!$G:$G,Import!$A:$A,F$1,Import!$B:$B,$A27,Import!$C:$C,$A$1)</f>
        <v>0</v>
      </c>
      <c r="G27" s="150">
        <f>SUMIFS(Import!$G:$G,Import!$A:$A,G$1,Import!$B:$B,$A27,Import!$C:$C,$A$1)</f>
        <v>2.75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6"/>
        <v>0</v>
      </c>
      <c r="C28" s="144">
        <f t="shared" si="7"/>
        <v>0</v>
      </c>
      <c r="D28" s="144">
        <f t="shared" si="8"/>
        <v>0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9">SUM(F29:Z29)</f>
        <v>0</v>
      </c>
      <c r="C29" s="144">
        <f t="shared" ref="C29:C34" si="10">B29*12</f>
        <v>0</v>
      </c>
      <c r="D29" s="144">
        <f t="shared" ref="D29:D34" si="11">C29*0.26</f>
        <v>0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9"/>
        <v>0</v>
      </c>
      <c r="C30" s="144">
        <f t="shared" si="10"/>
        <v>0</v>
      </c>
      <c r="D30" s="144">
        <f t="shared" si="11"/>
        <v>0</v>
      </c>
      <c r="E30" s="543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9"/>
        <v>0</v>
      </c>
      <c r="C31" s="144">
        <f t="shared" si="10"/>
        <v>0</v>
      </c>
      <c r="D31" s="144">
        <f t="shared" si="11"/>
        <v>0</v>
      </c>
      <c r="E31" s="543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9"/>
        <v>0</v>
      </c>
      <c r="C32" s="144">
        <f t="shared" si="10"/>
        <v>0</v>
      </c>
      <c r="D32" s="144">
        <f t="shared" si="11"/>
        <v>0</v>
      </c>
      <c r="E32" s="543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9"/>
        <v>0</v>
      </c>
      <c r="C33" s="144">
        <f t="shared" si="10"/>
        <v>0</v>
      </c>
      <c r="D33" s="144">
        <f t="shared" si="11"/>
        <v>0</v>
      </c>
      <c r="E33" s="543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9"/>
        <v>0</v>
      </c>
      <c r="C34" s="144">
        <f t="shared" si="10"/>
        <v>0</v>
      </c>
      <c r="D34" s="144">
        <f t="shared" si="11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20.75</v>
      </c>
      <c r="C35" s="134">
        <f>SUM(C19:C34)-C36</f>
        <v>207.5</v>
      </c>
      <c r="D35" s="134">
        <f>SUM(D19:D34)-D36</f>
        <v>53.949999999999996</v>
      </c>
      <c r="E35" s="214">
        <f t="shared" ref="E35" si="12">SUM(E19:E34)</f>
        <v>0</v>
      </c>
      <c r="F35" s="102">
        <f t="shared" ref="F35:Z35" si="13">SUM(F19:F34)</f>
        <v>0</v>
      </c>
      <c r="G35" s="102">
        <f t="shared" si="13"/>
        <v>20.75</v>
      </c>
      <c r="H35" s="102">
        <f t="shared" si="13"/>
        <v>0</v>
      </c>
      <c r="I35" s="102">
        <f t="shared" si="13"/>
        <v>0</v>
      </c>
      <c r="J35" s="102">
        <f t="shared" si="13"/>
        <v>0</v>
      </c>
      <c r="K35" s="102">
        <f t="shared" si="13"/>
        <v>0</v>
      </c>
      <c r="L35" s="102">
        <f t="shared" si="13"/>
        <v>0</v>
      </c>
      <c r="M35" s="102">
        <f t="shared" si="13"/>
        <v>0</v>
      </c>
      <c r="N35" s="102">
        <f t="shared" si="13"/>
        <v>0</v>
      </c>
      <c r="O35" s="102">
        <f t="shared" si="13"/>
        <v>0</v>
      </c>
      <c r="P35" s="102">
        <f t="shared" si="13"/>
        <v>0</v>
      </c>
      <c r="Q35" s="102">
        <f t="shared" si="13"/>
        <v>0</v>
      </c>
      <c r="R35" s="102">
        <f t="shared" si="13"/>
        <v>0</v>
      </c>
      <c r="S35" s="102">
        <f t="shared" si="13"/>
        <v>0</v>
      </c>
      <c r="T35" s="102">
        <f t="shared" si="13"/>
        <v>0</v>
      </c>
      <c r="U35" s="102">
        <f t="shared" si="13"/>
        <v>0</v>
      </c>
      <c r="V35" s="102">
        <f t="shared" si="13"/>
        <v>0</v>
      </c>
      <c r="W35" s="102">
        <f t="shared" si="13"/>
        <v>0</v>
      </c>
      <c r="X35" s="102">
        <f t="shared" si="13"/>
        <v>0</v>
      </c>
      <c r="Y35" s="102">
        <f t="shared" si="13"/>
        <v>0</v>
      </c>
      <c r="Z35" s="104">
        <f t="shared" si="13"/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41.5</v>
      </c>
      <c r="D36" s="12">
        <f>C36*0.26</f>
        <v>10.790000000000001</v>
      </c>
      <c r="E36" s="211" t="s">
        <v>56</v>
      </c>
      <c r="F36" s="12">
        <f t="shared" ref="F36:Z36" si="14">SUM(F19:F34)*(12-F37)</f>
        <v>0</v>
      </c>
      <c r="G36" s="12">
        <f t="shared" si="14"/>
        <v>41.5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4"/>
        <v>0</v>
      </c>
      <c r="W36" s="12">
        <f t="shared" si="14"/>
        <v>0</v>
      </c>
      <c r="X36" s="12">
        <f t="shared" si="14"/>
        <v>0</v>
      </c>
      <c r="Y36" s="12">
        <f t="shared" si="14"/>
        <v>0</v>
      </c>
      <c r="Z36" s="13">
        <f t="shared" si="14"/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10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 t="shared" ref="F38:Z38" si="15">(F35+F17)*F37+F18+F36</f>
        <v>75</v>
      </c>
      <c r="G38" s="174">
        <f t="shared" si="15"/>
        <v>621</v>
      </c>
      <c r="H38" s="174">
        <f t="shared" si="15"/>
        <v>36</v>
      </c>
      <c r="I38" s="174">
        <f t="shared" si="15"/>
        <v>0</v>
      </c>
      <c r="J38" s="174">
        <f t="shared" si="15"/>
        <v>0</v>
      </c>
      <c r="K38" s="174">
        <f t="shared" si="15"/>
        <v>0</v>
      </c>
      <c r="L38" s="174">
        <f t="shared" si="15"/>
        <v>0</v>
      </c>
      <c r="M38" s="174">
        <f t="shared" si="15"/>
        <v>0</v>
      </c>
      <c r="N38" s="174">
        <f t="shared" si="15"/>
        <v>0</v>
      </c>
      <c r="O38" s="174">
        <f t="shared" si="15"/>
        <v>0</v>
      </c>
      <c r="P38" s="174">
        <f t="shared" si="15"/>
        <v>0</v>
      </c>
      <c r="Q38" s="174">
        <f t="shared" si="15"/>
        <v>0</v>
      </c>
      <c r="R38" s="174">
        <f t="shared" si="15"/>
        <v>0</v>
      </c>
      <c r="S38" s="174">
        <f t="shared" si="15"/>
        <v>0</v>
      </c>
      <c r="T38" s="174">
        <f t="shared" si="15"/>
        <v>0</v>
      </c>
      <c r="U38" s="174">
        <f t="shared" si="15"/>
        <v>0</v>
      </c>
      <c r="V38" s="174">
        <f t="shared" si="15"/>
        <v>0</v>
      </c>
      <c r="W38" s="174">
        <f t="shared" si="15"/>
        <v>0</v>
      </c>
      <c r="X38" s="174">
        <f t="shared" si="15"/>
        <v>0</v>
      </c>
      <c r="Y38" s="174">
        <f t="shared" si="15"/>
        <v>0</v>
      </c>
      <c r="Z38" s="175">
        <f t="shared" si="15"/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922.31999999999994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-418.31999999999994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94s0LdlVJ+Mi1J03lyFE6uZqkg+NUt8IWmvC4Senys6n0eS2U90bcsDwTLebF3HJLQw3jzCklFZ5KUc95G2QaA==" saltValue="Nk79UFGhw51HxPuqehd0ug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40625" defaultRowHeight="11.25" x14ac:dyDescent="0.2"/>
  <cols>
    <col min="1" max="1" width="19.28515625" style="522" bestFit="1" customWidth="1"/>
    <col min="2" max="2" width="9" style="522" bestFit="1" customWidth="1"/>
    <col min="3" max="3" width="9.5703125" style="62" bestFit="1" customWidth="1"/>
    <col min="4" max="4" width="7.7109375" style="519" bestFit="1" customWidth="1"/>
    <col min="5" max="5" width="9.140625" style="520" bestFit="1" customWidth="1"/>
    <col min="6" max="6" width="10.42578125" style="519" bestFit="1" customWidth="1"/>
    <col min="7" max="7" width="10" style="520" bestFit="1" customWidth="1"/>
    <col min="8" max="8" width="5.7109375" style="241" bestFit="1" customWidth="1"/>
    <col min="9" max="16384" width="9.14062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128</v>
      </c>
      <c r="D1" s="501" t="s">
        <v>129</v>
      </c>
      <c r="E1" s="502" t="s">
        <v>130</v>
      </c>
      <c r="F1" s="503" t="s">
        <v>131</v>
      </c>
      <c r="G1" s="502" t="s">
        <v>63</v>
      </c>
      <c r="H1" s="502" t="s">
        <v>132</v>
      </c>
    </row>
    <row r="2" spans="1:8" x14ac:dyDescent="0.2">
      <c r="A2" s="542">
        <v>42522</v>
      </c>
      <c r="B2" s="539" t="s">
        <v>157</v>
      </c>
      <c r="C2" s="540" t="s">
        <v>159</v>
      </c>
      <c r="D2" s="541">
        <v>0</v>
      </c>
      <c r="E2" s="537"/>
      <c r="F2" s="505">
        <v>0</v>
      </c>
      <c r="G2" s="506">
        <v>0</v>
      </c>
      <c r="H2" s="537"/>
    </row>
    <row r="3" spans="1:8" x14ac:dyDescent="0.2">
      <c r="A3" s="542">
        <v>42523</v>
      </c>
      <c r="B3" s="539" t="s">
        <v>157</v>
      </c>
      <c r="C3" s="540" t="s">
        <v>160</v>
      </c>
      <c r="D3" s="541">
        <v>1</v>
      </c>
      <c r="E3" s="537">
        <v>31</v>
      </c>
      <c r="F3" s="505">
        <v>0</v>
      </c>
      <c r="G3" s="506">
        <v>31</v>
      </c>
      <c r="H3" s="537"/>
    </row>
    <row r="4" spans="1:8" x14ac:dyDescent="0.2">
      <c r="A4" s="542">
        <v>42524</v>
      </c>
      <c r="B4" s="539" t="s">
        <v>157</v>
      </c>
      <c r="C4" s="540" t="s">
        <v>161</v>
      </c>
      <c r="D4" s="541">
        <v>2</v>
      </c>
      <c r="E4" s="537">
        <v>68</v>
      </c>
      <c r="F4" s="505">
        <v>0</v>
      </c>
      <c r="G4" s="506">
        <v>68</v>
      </c>
      <c r="H4" s="538"/>
    </row>
    <row r="5" spans="1:8" x14ac:dyDescent="0.2">
      <c r="A5" s="542">
        <v>42525</v>
      </c>
      <c r="B5" s="539"/>
      <c r="C5" s="540"/>
      <c r="D5" s="541"/>
      <c r="E5" s="537"/>
      <c r="F5" s="505">
        <v>0</v>
      </c>
      <c r="G5" s="506">
        <v>0</v>
      </c>
      <c r="H5" s="537"/>
    </row>
    <row r="6" spans="1:8" x14ac:dyDescent="0.2">
      <c r="A6" s="542">
        <v>42526</v>
      </c>
      <c r="B6" s="539"/>
      <c r="C6" s="540"/>
      <c r="D6" s="541"/>
      <c r="E6" s="537"/>
      <c r="F6" s="505">
        <v>0</v>
      </c>
      <c r="G6" s="506">
        <v>0</v>
      </c>
      <c r="H6" s="537"/>
    </row>
    <row r="7" spans="1:8" x14ac:dyDescent="0.2">
      <c r="A7" s="542">
        <v>42527</v>
      </c>
      <c r="B7" s="539" t="s">
        <v>157</v>
      </c>
      <c r="C7" s="540" t="s">
        <v>162</v>
      </c>
      <c r="D7" s="541">
        <v>2</v>
      </c>
      <c r="E7" s="537">
        <v>62</v>
      </c>
      <c r="F7" s="505">
        <v>0</v>
      </c>
      <c r="G7" s="506">
        <v>62</v>
      </c>
      <c r="H7" s="537"/>
    </row>
    <row r="8" spans="1:8" x14ac:dyDescent="0.2">
      <c r="A8" s="542">
        <v>42528</v>
      </c>
      <c r="B8" s="539" t="s">
        <v>157</v>
      </c>
      <c r="C8" s="540" t="s">
        <v>163</v>
      </c>
      <c r="D8" s="541">
        <v>2</v>
      </c>
      <c r="E8" s="537">
        <v>78</v>
      </c>
      <c r="F8" s="505">
        <v>0</v>
      </c>
      <c r="G8" s="506">
        <v>78</v>
      </c>
      <c r="H8" s="537"/>
    </row>
    <row r="9" spans="1:8" x14ac:dyDescent="0.2">
      <c r="A9" s="542">
        <v>42529</v>
      </c>
      <c r="B9" s="539" t="s">
        <v>157</v>
      </c>
      <c r="C9" s="540" t="s">
        <v>164</v>
      </c>
      <c r="D9" s="541">
        <v>2</v>
      </c>
      <c r="E9" s="537">
        <v>60</v>
      </c>
      <c r="F9" s="505">
        <v>0</v>
      </c>
      <c r="G9" s="506">
        <v>60</v>
      </c>
      <c r="H9" s="537"/>
    </row>
    <row r="10" spans="1:8" x14ac:dyDescent="0.2">
      <c r="A10" s="542">
        <v>42530</v>
      </c>
      <c r="B10" s="539" t="s">
        <v>157</v>
      </c>
      <c r="C10" s="540" t="s">
        <v>165</v>
      </c>
      <c r="D10" s="541">
        <v>1</v>
      </c>
      <c r="E10" s="537">
        <v>26</v>
      </c>
      <c r="F10" s="505">
        <v>0</v>
      </c>
      <c r="G10" s="506">
        <v>26</v>
      </c>
      <c r="H10" s="537"/>
    </row>
    <row r="11" spans="1:8" x14ac:dyDescent="0.2">
      <c r="A11" s="542">
        <v>42531</v>
      </c>
      <c r="B11" s="539" t="s">
        <v>157</v>
      </c>
      <c r="C11" s="540" t="s">
        <v>166</v>
      </c>
      <c r="D11" s="541">
        <v>2</v>
      </c>
      <c r="E11" s="537">
        <v>62</v>
      </c>
      <c r="F11" s="505">
        <v>0</v>
      </c>
      <c r="G11" s="506">
        <v>62</v>
      </c>
      <c r="H11" s="537"/>
    </row>
    <row r="12" spans="1:8" x14ac:dyDescent="0.2">
      <c r="A12" s="542">
        <v>42532</v>
      </c>
      <c r="B12" s="539"/>
      <c r="C12" s="540"/>
      <c r="D12" s="541"/>
      <c r="E12" s="537"/>
      <c r="F12" s="505">
        <v>0</v>
      </c>
      <c r="G12" s="506">
        <v>0</v>
      </c>
      <c r="H12" s="537"/>
    </row>
    <row r="13" spans="1:8" x14ac:dyDescent="0.2">
      <c r="A13" s="542">
        <v>42533</v>
      </c>
      <c r="B13" s="539"/>
      <c r="C13" s="540"/>
      <c r="D13" s="541"/>
      <c r="E13" s="537"/>
      <c r="F13" s="505">
        <v>0</v>
      </c>
      <c r="G13" s="506">
        <v>0</v>
      </c>
      <c r="H13" s="537"/>
    </row>
    <row r="14" spans="1:8" x14ac:dyDescent="0.2">
      <c r="A14" s="542">
        <v>42534</v>
      </c>
      <c r="B14" s="539"/>
      <c r="C14" s="540" t="s">
        <v>159</v>
      </c>
      <c r="D14" s="541">
        <v>0</v>
      </c>
      <c r="E14" s="537"/>
      <c r="F14" s="505">
        <v>0</v>
      </c>
      <c r="G14" s="506">
        <v>0</v>
      </c>
      <c r="H14" s="537"/>
    </row>
    <row r="15" spans="1:8" x14ac:dyDescent="0.2">
      <c r="A15" s="542">
        <v>42535</v>
      </c>
      <c r="B15" s="539" t="s">
        <v>157</v>
      </c>
      <c r="C15" s="540" t="s">
        <v>167</v>
      </c>
      <c r="D15" s="541">
        <v>1</v>
      </c>
      <c r="E15" s="537">
        <v>18</v>
      </c>
      <c r="F15" s="505">
        <v>0</v>
      </c>
      <c r="G15" s="506">
        <v>18</v>
      </c>
      <c r="H15" s="537"/>
    </row>
    <row r="16" spans="1:8" ht="12" thickBot="1" x14ac:dyDescent="0.25">
      <c r="A16" s="542">
        <v>42536</v>
      </c>
      <c r="B16" s="539" t="s">
        <v>157</v>
      </c>
      <c r="C16" s="540" t="s">
        <v>168</v>
      </c>
      <c r="D16" s="541">
        <v>3</v>
      </c>
      <c r="E16" s="537">
        <v>99</v>
      </c>
      <c r="F16" s="505">
        <v>0</v>
      </c>
      <c r="G16" s="506">
        <v>99</v>
      </c>
      <c r="H16" s="537"/>
    </row>
    <row r="17" spans="1:10" ht="12" thickBot="1" x14ac:dyDescent="0.25">
      <c r="A17" s="507" t="s">
        <v>133</v>
      </c>
      <c r="B17" s="508"/>
      <c r="C17" s="508"/>
      <c r="D17" s="509">
        <f>SUM(D2:D16)</f>
        <v>16</v>
      </c>
      <c r="E17" s="510">
        <f>SUM(E2:E16)</f>
        <v>504</v>
      </c>
      <c r="F17" s="511">
        <f>SUM(F2:F16)</f>
        <v>0</v>
      </c>
      <c r="G17" s="510">
        <f>SUM(G2:G16)</f>
        <v>504</v>
      </c>
      <c r="H17" s="512"/>
    </row>
    <row r="18" spans="1:10" x14ac:dyDescent="0.2">
      <c r="A18" s="542">
        <f>PayDay1 + 0</f>
        <v>42537</v>
      </c>
      <c r="B18" s="539"/>
      <c r="C18" s="540"/>
      <c r="D18" s="541"/>
      <c r="E18" s="537"/>
      <c r="F18" s="505">
        <f>SUMIFS(Import!G:G,Import!D:D,"SC Doorman",Import!B:B,A18)</f>
        <v>0</v>
      </c>
      <c r="G18" s="506">
        <f t="shared" ref="G18:G32" si="0">E18+F18*23</f>
        <v>0</v>
      </c>
      <c r="H18" s="537"/>
    </row>
    <row r="19" spans="1:10" x14ac:dyDescent="0.2">
      <c r="A19" s="542">
        <f>PayDay1 + 1</f>
        <v>42538</v>
      </c>
      <c r="B19" s="539"/>
      <c r="C19" s="540"/>
      <c r="D19" s="541"/>
      <c r="E19" s="537"/>
      <c r="F19" s="505">
        <f>SUMIFS(Import!G:G,Import!D:D,"SC Doorman",Import!B:B,A19)</f>
        <v>0</v>
      </c>
      <c r="G19" s="506">
        <f t="shared" si="0"/>
        <v>0</v>
      </c>
      <c r="H19" s="537"/>
    </row>
    <row r="20" spans="1:10" x14ac:dyDescent="0.2">
      <c r="A20" s="542">
        <f>PayDay1 + 2</f>
        <v>42539</v>
      </c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0"/>
        <v>0</v>
      </c>
      <c r="H20" s="537"/>
    </row>
    <row r="21" spans="1:10" x14ac:dyDescent="0.2">
      <c r="A21" s="542">
        <f>PayDay1 + 3</f>
        <v>42540</v>
      </c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0"/>
        <v>0</v>
      </c>
      <c r="H21" s="537"/>
    </row>
    <row r="22" spans="1:10" x14ac:dyDescent="0.2">
      <c r="A22" s="542">
        <f>PayDay1 + 4</f>
        <v>42541</v>
      </c>
      <c r="B22" s="539"/>
      <c r="C22" s="540"/>
      <c r="D22" s="541"/>
      <c r="E22" s="537"/>
      <c r="F22" s="505">
        <f>SUMIFS(Import!G:G,Import!D:D,"SC Doorman",Import!B:B,A22)</f>
        <v>0</v>
      </c>
      <c r="G22" s="506">
        <f t="shared" si="0"/>
        <v>0</v>
      </c>
      <c r="H22" s="537"/>
    </row>
    <row r="23" spans="1:10" x14ac:dyDescent="0.2">
      <c r="A23" s="542">
        <f>PayDay1 + 5</f>
        <v>42542</v>
      </c>
      <c r="B23" s="539"/>
      <c r="C23" s="540"/>
      <c r="D23" s="541"/>
      <c r="E23" s="537"/>
      <c r="F23" s="505">
        <f>SUMIFS(Import!G:G,Import!D:D,"SC Doorman",Import!B:B,A23)</f>
        <v>0</v>
      </c>
      <c r="G23" s="506">
        <f t="shared" si="0"/>
        <v>0</v>
      </c>
      <c r="H23" s="537"/>
    </row>
    <row r="24" spans="1:10" x14ac:dyDescent="0.2">
      <c r="A24" s="542">
        <f>PayDay1 + 6</f>
        <v>42543</v>
      </c>
      <c r="B24" s="539"/>
      <c r="C24" s="540"/>
      <c r="D24" s="541"/>
      <c r="E24" s="537"/>
      <c r="F24" s="505">
        <f>SUMIFS(Import!G:G,Import!D:D,"SC Doorman",Import!B:B,A24)</f>
        <v>0</v>
      </c>
      <c r="G24" s="506">
        <f t="shared" si="0"/>
        <v>0</v>
      </c>
      <c r="H24" s="537"/>
    </row>
    <row r="25" spans="1:10" x14ac:dyDescent="0.2">
      <c r="A25" s="542">
        <f>PayDay1 + 7</f>
        <v>42544</v>
      </c>
      <c r="B25" s="539"/>
      <c r="C25" s="540"/>
      <c r="D25" s="541"/>
      <c r="E25" s="537"/>
      <c r="F25" s="505">
        <f>SUMIFS(Import!G:G,Import!D:D,"SC Doorman",Import!B:B,A25)</f>
        <v>0</v>
      </c>
      <c r="G25" s="506">
        <f t="shared" si="0"/>
        <v>0</v>
      </c>
      <c r="H25" s="537"/>
    </row>
    <row r="26" spans="1:10" x14ac:dyDescent="0.2">
      <c r="A26" s="542">
        <f>PayDay1 + 8</f>
        <v>42545</v>
      </c>
      <c r="B26" s="539"/>
      <c r="C26" s="540"/>
      <c r="D26" s="541"/>
      <c r="E26" s="537"/>
      <c r="F26" s="505">
        <f>SUMIFS(Import!G:G,Import!D:D,"SC Doorman",Import!B:B,A26)</f>
        <v>0</v>
      </c>
      <c r="G26" s="506">
        <f t="shared" si="0"/>
        <v>0</v>
      </c>
      <c r="H26" s="537"/>
    </row>
    <row r="27" spans="1:10" x14ac:dyDescent="0.2">
      <c r="A27" s="542">
        <f>PayDay1 + 9</f>
        <v>42546</v>
      </c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0"/>
        <v>0</v>
      </c>
      <c r="H27" s="537"/>
    </row>
    <row r="28" spans="1:10" x14ac:dyDescent="0.2">
      <c r="A28" s="542">
        <f>PayDay1 + 10</f>
        <v>42547</v>
      </c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0"/>
        <v>0</v>
      </c>
      <c r="H28" s="537"/>
    </row>
    <row r="29" spans="1:10" x14ac:dyDescent="0.2">
      <c r="A29" s="542">
        <f>PayDay1 + 11</f>
        <v>42548</v>
      </c>
      <c r="B29" s="539"/>
      <c r="C29" s="540"/>
      <c r="D29" s="541"/>
      <c r="E29" s="537"/>
      <c r="F29" s="505">
        <f>SUMIFS(Import!G:G,Import!D:D,"SC Doorman",Import!B:B,A29)</f>
        <v>0</v>
      </c>
      <c r="G29" s="506">
        <f t="shared" si="0"/>
        <v>0</v>
      </c>
      <c r="H29" s="537"/>
      <c r="J29" s="513"/>
    </row>
    <row r="30" spans="1:10" x14ac:dyDescent="0.2">
      <c r="A30" s="542">
        <f>PayDay1 + 12</f>
        <v>42549</v>
      </c>
      <c r="B30" s="539"/>
      <c r="C30" s="540"/>
      <c r="D30" s="541"/>
      <c r="E30" s="537"/>
      <c r="F30" s="505">
        <f>SUMIFS(Import!G:G,Import!D:D,"SC Doorman",Import!B:B,A30)</f>
        <v>0</v>
      </c>
      <c r="G30" s="506">
        <f t="shared" si="0"/>
        <v>0</v>
      </c>
      <c r="H30" s="537"/>
    </row>
    <row r="31" spans="1:10" x14ac:dyDescent="0.2">
      <c r="A31" s="542">
        <f>IF(PayDay14&gt;0,PayDay14,"")</f>
        <v>42550</v>
      </c>
      <c r="B31" s="539"/>
      <c r="C31" s="540"/>
      <c r="D31" s="541"/>
      <c r="E31" s="537"/>
      <c r="F31" s="505">
        <f>SUMIFS(Import!G:G,Import!D:D,"SC Doorman",Import!B:B,A31)</f>
        <v>0</v>
      </c>
      <c r="G31" s="506">
        <f t="shared" si="0"/>
        <v>0</v>
      </c>
      <c r="H31" s="537"/>
    </row>
    <row r="32" spans="1:10" x14ac:dyDescent="0.2">
      <c r="A32" s="542">
        <f>IF(PayDay15&gt;0,PayDay15,"")</f>
        <v>42551</v>
      </c>
      <c r="B32" s="539"/>
      <c r="C32" s="540"/>
      <c r="D32" s="541"/>
      <c r="E32" s="537"/>
      <c r="F32" s="505">
        <f>SUMIFS(Import!G:G,Import!D:D,"SC Doorman",Import!B:B,A32)</f>
        <v>0</v>
      </c>
      <c r="G32" s="506">
        <f t="shared" si="0"/>
        <v>0</v>
      </c>
      <c r="H32" s="537"/>
    </row>
    <row r="33" spans="1:8" ht="12" thickBot="1" x14ac:dyDescent="0.25">
      <c r="A33" s="542" t="str">
        <f>IF(PayDay16&gt;0,PayDay16,"")</f>
        <v/>
      </c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2" thickBot="1" x14ac:dyDescent="0.25">
      <c r="A34" s="507" t="s">
        <v>133</v>
      </c>
      <c r="B34" s="508"/>
      <c r="C34" s="508"/>
      <c r="D34" s="509">
        <f>SUM(D18:D33)</f>
        <v>0</v>
      </c>
      <c r="E34" s="510">
        <f>SUM(E18:E33)</f>
        <v>0</v>
      </c>
      <c r="F34" s="511">
        <f>SUM(F18:F33)</f>
        <v>0</v>
      </c>
      <c r="G34" s="510">
        <f>SUM(G18:G33)</f>
        <v>0</v>
      </c>
      <c r="H34" s="512"/>
    </row>
    <row r="35" spans="1:8" ht="12" thickBot="1" x14ac:dyDescent="0.25">
      <c r="A35" s="514" t="s">
        <v>134</v>
      </c>
      <c r="B35" s="508"/>
      <c r="C35" s="508"/>
      <c r="D35" s="515">
        <f>D17+D34</f>
        <v>16</v>
      </c>
      <c r="E35" s="516">
        <f>E17+E34</f>
        <v>504</v>
      </c>
      <c r="F35" s="517">
        <f>F17+F34</f>
        <v>0</v>
      </c>
      <c r="G35" s="516">
        <f>G17+G34</f>
        <v>504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EpUyP9jD4EFPvRdF3aQOsgnxuV17HN3Xl1plxSOE3maQVS8G2ZvAP1hK8tEjP7iOzPrwVlHJFR8QL47XRMPkUg==" saltValue="2pg+nkO8e7zM9prXC/TrW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6" width="7.42578125" style="241" bestFit="1" customWidth="1"/>
    <col min="7" max="7" width="9" style="241" bestFit="1" customWidth="1"/>
    <col min="8" max="37" width="4.85546875" style="241" bestFit="1" customWidth="1"/>
    <col min="38" max="16384" width="9.140625" style="241"/>
  </cols>
  <sheetData>
    <row r="1" spans="1:37" ht="12" thickBot="1" x14ac:dyDescent="0.25">
      <c r="A1" s="572" t="s">
        <v>145</v>
      </c>
      <c r="B1" s="292" t="s">
        <v>75</v>
      </c>
      <c r="C1" s="292" t="s">
        <v>40</v>
      </c>
      <c r="D1" s="533" t="s">
        <v>191</v>
      </c>
      <c r="E1" s="531" t="s">
        <v>181</v>
      </c>
      <c r="F1" s="531" t="s">
        <v>213</v>
      </c>
      <c r="G1" s="531" t="s">
        <v>182</v>
      </c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2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2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120</v>
      </c>
      <c r="C4" s="523">
        <f t="shared" si="0"/>
        <v>12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2.75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117.5</v>
      </c>
      <c r="C5" s="52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87.5</v>
      </c>
      <c r="C8" s="523">
        <f t="shared" si="0"/>
        <v>8.75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8.75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82.5</v>
      </c>
      <c r="C9" s="523">
        <f t="shared" si="0"/>
        <v>8.25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8.25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77.5</v>
      </c>
      <c r="C10" s="523">
        <f t="shared" si="0"/>
        <v>7.75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7.75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659.6</v>
      </c>
      <c r="C18" s="294">
        <f t="shared" si="2"/>
        <v>65.960000000000008</v>
      </c>
      <c r="D18" s="102">
        <f t="shared" ref="D18:AK18" si="3">SUM(D2:D17)</f>
        <v>5.25</v>
      </c>
      <c r="E18" s="102">
        <f t="shared" si="3"/>
        <v>44.21</v>
      </c>
      <c r="F18" s="102">
        <f t="shared" si="3"/>
        <v>13.75</v>
      </c>
      <c r="G18" s="102">
        <f t="shared" si="3"/>
        <v>2.75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52.5</v>
      </c>
      <c r="E20" s="174">
        <f t="shared" si="4"/>
        <v>442.1</v>
      </c>
      <c r="F20" s="174">
        <f t="shared" si="4"/>
        <v>137.5</v>
      </c>
      <c r="G20" s="174">
        <f t="shared" si="4"/>
        <v>27.5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171.49600000000001</v>
      </c>
    </row>
    <row r="22" spans="1:37" ht="12" thickBot="1" x14ac:dyDescent="0.25">
      <c r="A22" s="297" t="s">
        <v>18</v>
      </c>
      <c r="B22" s="298">
        <f>B18+B21</f>
        <v>831.096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rsunQuGMPzHd56UdLk8QL3O+qAu4EOq0yOXcEjnYIjXFt8HJckyt+fJHuTbWxAda6JYhKcR+3ZIlaLhiZO9ouQ==" saltValue="04bd753hTxQvfk98u0pZBg==" spinCount="100000" sheet="1" objects="1" scenarios="1"/>
  <sortState columnSort="1" ref="D1:AK20">
    <sortCondition ref="D1:AK1"/>
  </sortState>
  <conditionalFormatting sqref="D1:AK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8.28515625" bestFit="1" customWidth="1"/>
    <col min="6" max="6" width="7.42578125" bestFit="1" customWidth="1"/>
    <col min="7" max="37" width="4.85546875" bestFit="1" customWidth="1"/>
  </cols>
  <sheetData>
    <row r="1" spans="1:36" ht="13.5" thickBot="1" x14ac:dyDescent="0.25">
      <c r="A1" s="608" t="s">
        <v>154</v>
      </c>
      <c r="B1" s="198" t="s">
        <v>9</v>
      </c>
      <c r="C1" s="199" t="s">
        <v>17</v>
      </c>
      <c r="D1" s="609" t="s">
        <v>34</v>
      </c>
      <c r="E1" s="535" t="s">
        <v>178</v>
      </c>
      <c r="F1" s="535" t="s">
        <v>177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84"/>
      <c r="Z1" s="582"/>
      <c r="AA1" s="582"/>
      <c r="AB1" s="582"/>
      <c r="AC1" s="582"/>
      <c r="AD1" s="582"/>
      <c r="AE1" s="583"/>
      <c r="AF1" s="583"/>
      <c r="AG1" s="583"/>
      <c r="AH1" s="583"/>
      <c r="AI1" s="583"/>
      <c r="AJ1" s="583"/>
    </row>
    <row r="2" spans="1:36" x14ac:dyDescent="0.2">
      <c r="A2" s="289">
        <v>42522</v>
      </c>
      <c r="B2" s="200">
        <v>0</v>
      </c>
      <c r="C2" s="144">
        <v>0</v>
      </c>
      <c r="D2" s="610">
        <v>0</v>
      </c>
      <c r="E2" s="147">
        <v>0</v>
      </c>
      <c r="F2" s="631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585">
        <v>0</v>
      </c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</row>
    <row r="3" spans="1:36" x14ac:dyDescent="0.2">
      <c r="A3" s="289">
        <v>42523</v>
      </c>
      <c r="B3" s="200">
        <v>0</v>
      </c>
      <c r="C3" s="144">
        <v>0</v>
      </c>
      <c r="D3" s="610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586">
        <v>0</v>
      </c>
      <c r="Z3" s="325"/>
      <c r="AA3" s="325"/>
      <c r="AB3" s="325"/>
      <c r="AC3" s="325"/>
      <c r="AD3" s="325"/>
      <c r="AE3" s="325"/>
      <c r="AF3" s="325"/>
      <c r="AG3" s="325"/>
      <c r="AH3" s="325"/>
      <c r="AI3" s="325"/>
      <c r="AJ3" s="325"/>
    </row>
    <row r="4" spans="1:36" x14ac:dyDescent="0.2">
      <c r="A4" s="289">
        <v>42524</v>
      </c>
      <c r="B4" s="200">
        <v>0</v>
      </c>
      <c r="C4" s="144">
        <v>0</v>
      </c>
      <c r="D4" s="610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586">
        <v>0</v>
      </c>
      <c r="Z4" s="325"/>
      <c r="AA4" s="325"/>
      <c r="AB4" s="325"/>
      <c r="AC4" s="325"/>
      <c r="AD4" s="325"/>
      <c r="AE4" s="325"/>
      <c r="AF4" s="325"/>
      <c r="AG4" s="325"/>
      <c r="AH4" s="325"/>
      <c r="AI4" s="325"/>
      <c r="AJ4" s="325"/>
    </row>
    <row r="5" spans="1:36" x14ac:dyDescent="0.2">
      <c r="A5" s="289">
        <v>42525</v>
      </c>
      <c r="B5" s="200">
        <v>0</v>
      </c>
      <c r="C5" s="144">
        <v>0</v>
      </c>
      <c r="D5" s="610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586">
        <v>0</v>
      </c>
      <c r="Z5" s="325"/>
      <c r="AA5" s="325"/>
      <c r="AB5" s="325"/>
      <c r="AC5" s="325"/>
      <c r="AD5" s="325"/>
      <c r="AE5" s="325"/>
      <c r="AF5" s="325"/>
      <c r="AG5" s="325"/>
      <c r="AH5" s="325"/>
      <c r="AI5" s="325"/>
      <c r="AJ5" s="325"/>
    </row>
    <row r="6" spans="1:36" x14ac:dyDescent="0.2">
      <c r="A6" s="289">
        <v>42526</v>
      </c>
      <c r="B6" s="200">
        <v>0</v>
      </c>
      <c r="C6" s="144">
        <v>0</v>
      </c>
      <c r="D6" s="610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586">
        <v>0</v>
      </c>
      <c r="Z6" s="325"/>
      <c r="AA6" s="325"/>
      <c r="AB6" s="325"/>
      <c r="AC6" s="325"/>
      <c r="AD6" s="325"/>
      <c r="AE6" s="325"/>
      <c r="AF6" s="325"/>
      <c r="AG6" s="325"/>
      <c r="AH6" s="325"/>
      <c r="AI6" s="325"/>
      <c r="AJ6" s="325"/>
    </row>
    <row r="7" spans="1:36" x14ac:dyDescent="0.2">
      <c r="A7" s="289">
        <v>42527</v>
      </c>
      <c r="B7" s="200">
        <v>0</v>
      </c>
      <c r="C7" s="144">
        <v>0</v>
      </c>
      <c r="D7" s="61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586">
        <v>0</v>
      </c>
      <c r="Z7" s="325"/>
      <c r="AA7" s="325"/>
      <c r="AB7" s="325"/>
      <c r="AC7" s="325"/>
      <c r="AD7" s="325"/>
      <c r="AE7" s="325"/>
      <c r="AF7" s="325"/>
      <c r="AG7" s="325"/>
      <c r="AH7" s="325"/>
      <c r="AI7" s="325"/>
      <c r="AJ7" s="325"/>
    </row>
    <row r="8" spans="1:36" x14ac:dyDescent="0.2">
      <c r="A8" s="289">
        <v>42528</v>
      </c>
      <c r="B8" s="200">
        <v>0</v>
      </c>
      <c r="C8" s="144">
        <v>0</v>
      </c>
      <c r="D8" s="610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586">
        <v>0</v>
      </c>
      <c r="Z8" s="325"/>
      <c r="AA8" s="325"/>
      <c r="AB8" s="325"/>
      <c r="AC8" s="325"/>
      <c r="AD8" s="325"/>
      <c r="AE8" s="325"/>
      <c r="AF8" s="325"/>
      <c r="AG8" s="325"/>
      <c r="AH8" s="325"/>
      <c r="AI8" s="325"/>
      <c r="AJ8" s="325"/>
    </row>
    <row r="9" spans="1:36" x14ac:dyDescent="0.2">
      <c r="A9" s="289">
        <v>42529</v>
      </c>
      <c r="B9" s="200">
        <v>0</v>
      </c>
      <c r="C9" s="144">
        <v>0</v>
      </c>
      <c r="D9" s="610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586">
        <v>0</v>
      </c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</row>
    <row r="10" spans="1:36" x14ac:dyDescent="0.2">
      <c r="A10" s="289">
        <v>42530</v>
      </c>
      <c r="B10" s="200">
        <v>0</v>
      </c>
      <c r="C10" s="144">
        <v>0</v>
      </c>
      <c r="D10" s="610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586">
        <v>0</v>
      </c>
      <c r="Z10" s="325"/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</row>
    <row r="11" spans="1:36" x14ac:dyDescent="0.2">
      <c r="A11" s="289">
        <v>42531</v>
      </c>
      <c r="B11" s="200">
        <v>0</v>
      </c>
      <c r="C11" s="144">
        <v>0</v>
      </c>
      <c r="D11" s="610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586">
        <v>0</v>
      </c>
      <c r="Z11" s="325"/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</row>
    <row r="12" spans="1:36" x14ac:dyDescent="0.2">
      <c r="A12" s="289">
        <v>42532</v>
      </c>
      <c r="B12" s="200">
        <v>0</v>
      </c>
      <c r="C12" s="144">
        <v>0</v>
      </c>
      <c r="D12" s="610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586">
        <v>0</v>
      </c>
      <c r="Z12" s="325"/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</row>
    <row r="13" spans="1:36" x14ac:dyDescent="0.2">
      <c r="A13" s="289">
        <v>42533</v>
      </c>
      <c r="B13" s="200">
        <v>0</v>
      </c>
      <c r="C13" s="144">
        <v>0</v>
      </c>
      <c r="D13" s="610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586">
        <v>0</v>
      </c>
      <c r="Z13" s="325"/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</row>
    <row r="14" spans="1:36" x14ac:dyDescent="0.2">
      <c r="A14" s="289">
        <v>42534</v>
      </c>
      <c r="B14" s="200">
        <v>0</v>
      </c>
      <c r="C14" s="144">
        <v>0</v>
      </c>
      <c r="D14" s="610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586">
        <v>0</v>
      </c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</row>
    <row r="15" spans="1:36" x14ac:dyDescent="0.2">
      <c r="A15" s="289">
        <v>42535</v>
      </c>
      <c r="B15" s="200">
        <v>0</v>
      </c>
      <c r="C15" s="144">
        <v>0</v>
      </c>
      <c r="D15" s="610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586">
        <v>0</v>
      </c>
      <c r="Z15" s="325"/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</row>
    <row r="16" spans="1:36" ht="13.5" thickBot="1" x14ac:dyDescent="0.25">
      <c r="A16" s="289">
        <v>42536</v>
      </c>
      <c r="B16" s="200">
        <v>0</v>
      </c>
      <c r="C16" s="144">
        <v>0</v>
      </c>
      <c r="D16" s="610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587">
        <v>0</v>
      </c>
      <c r="Z16" s="325"/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11">
        <f t="shared" si="0"/>
        <v>0</v>
      </c>
      <c r="E17" s="206">
        <f t="shared" ref="E17:Y17" si="1">SUM(E2:E16)</f>
        <v>0</v>
      </c>
      <c r="F17" s="206">
        <f t="shared" si="1"/>
        <v>0</v>
      </c>
      <c r="G17" s="206">
        <f t="shared" si="1"/>
        <v>0</v>
      </c>
      <c r="H17" s="206">
        <f t="shared" si="1"/>
        <v>0</v>
      </c>
      <c r="I17" s="206">
        <f t="shared" si="1"/>
        <v>0</v>
      </c>
      <c r="J17" s="206">
        <f t="shared" si="1"/>
        <v>0</v>
      </c>
      <c r="K17" s="206">
        <f t="shared" si="1"/>
        <v>0</v>
      </c>
      <c r="L17" s="206">
        <f t="shared" si="1"/>
        <v>0</v>
      </c>
      <c r="M17" s="206">
        <f t="shared" si="1"/>
        <v>0</v>
      </c>
      <c r="N17" s="206">
        <f t="shared" si="1"/>
        <v>0</v>
      </c>
      <c r="O17" s="206">
        <f t="shared" si="1"/>
        <v>0</v>
      </c>
      <c r="P17" s="206">
        <f t="shared" si="1"/>
        <v>0</v>
      </c>
      <c r="Q17" s="206">
        <f t="shared" si="1"/>
        <v>0</v>
      </c>
      <c r="R17" s="206">
        <f t="shared" si="1"/>
        <v>0</v>
      </c>
      <c r="S17" s="206">
        <f t="shared" si="1"/>
        <v>0</v>
      </c>
      <c r="T17" s="206">
        <f t="shared" si="1"/>
        <v>0</v>
      </c>
      <c r="U17" s="206">
        <f t="shared" si="1"/>
        <v>0</v>
      </c>
      <c r="V17" s="206">
        <f t="shared" si="1"/>
        <v>0</v>
      </c>
      <c r="W17" s="206">
        <f t="shared" si="1"/>
        <v>0</v>
      </c>
      <c r="X17" s="206">
        <f t="shared" si="1"/>
        <v>0</v>
      </c>
      <c r="Y17" s="588">
        <f t="shared" si="1"/>
        <v>0</v>
      </c>
      <c r="Z17" s="325"/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10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586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2">SUM(E19:Y19)</f>
        <v>5.5</v>
      </c>
      <c r="C19" s="144">
        <f t="shared" ref="C19:C33" si="3">SUMPRODUCT(E19:Y19,$E$19:$Y$19)</f>
        <v>30.25</v>
      </c>
      <c r="D19" s="610">
        <f t="shared" ref="D19:D33" si="4">C19*0.26</f>
        <v>7.8650000000000002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5.5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586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3"/>
        <v>30.25</v>
      </c>
      <c r="D20" s="610">
        <f>C20*0.26</f>
        <v>7.8650000000000002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5.5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3"/>
        <v>0</v>
      </c>
      <c r="D21" s="610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3"/>
        <v>0</v>
      </c>
      <c r="D22" s="610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3"/>
        <v>0</v>
      </c>
      <c r="D23" s="610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2"/>
        <v>0</v>
      </c>
      <c r="C24" s="144">
        <f t="shared" si="3"/>
        <v>0</v>
      </c>
      <c r="D24" s="610">
        <f t="shared" si="4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2"/>
        <v>0</v>
      </c>
      <c r="C25" s="144">
        <f t="shared" si="3"/>
        <v>0</v>
      </c>
      <c r="D25" s="610">
        <f t="shared" si="4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2"/>
        <v>4.5</v>
      </c>
      <c r="C26" s="144">
        <f t="shared" si="3"/>
        <v>0</v>
      </c>
      <c r="D26" s="610">
        <f t="shared" si="4"/>
        <v>0</v>
      </c>
      <c r="E26" s="150">
        <f>SUMIFS(Import!$G:$G,Import!$A:$A,E$1,Import!$B:$B,$A26,Import!$C:$C,$A$1)</f>
        <v>4.5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2"/>
        <v>0</v>
      </c>
      <c r="C27" s="144">
        <f t="shared" si="3"/>
        <v>0</v>
      </c>
      <c r="D27" s="610">
        <f t="shared" si="4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2"/>
        <v>0</v>
      </c>
      <c r="C28" s="144">
        <f t="shared" si="3"/>
        <v>0</v>
      </c>
      <c r="D28" s="610">
        <f t="shared" si="4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2"/>
        <v>0</v>
      </c>
      <c r="C29" s="144">
        <f t="shared" si="3"/>
        <v>0</v>
      </c>
      <c r="D29" s="610">
        <f t="shared" si="4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2"/>
        <v>0</v>
      </c>
      <c r="C30" s="144">
        <f t="shared" si="3"/>
        <v>0</v>
      </c>
      <c r="D30" s="610">
        <f t="shared" si="4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2"/>
        <v>0</v>
      </c>
      <c r="C31" s="144">
        <f t="shared" si="3"/>
        <v>0</v>
      </c>
      <c r="D31" s="610">
        <f t="shared" si="4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2"/>
        <v>0</v>
      </c>
      <c r="C32" s="144">
        <f t="shared" si="3"/>
        <v>0</v>
      </c>
      <c r="D32" s="610">
        <f t="shared" si="4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2"/>
        <v>0</v>
      </c>
      <c r="C33" s="144">
        <f t="shared" si="3"/>
        <v>0</v>
      </c>
      <c r="D33" s="610">
        <f t="shared" si="4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5">SUM(B18:B33)</f>
        <v>15.5</v>
      </c>
      <c r="C34" s="134">
        <f t="shared" si="5"/>
        <v>60.5</v>
      </c>
      <c r="D34" s="103">
        <f t="shared" si="5"/>
        <v>15.73</v>
      </c>
      <c r="E34" s="102">
        <f t="shared" ref="E34:Y34" si="6">SUM(E18:E33)</f>
        <v>4.5</v>
      </c>
      <c r="F34" s="102">
        <f t="shared" si="6"/>
        <v>11</v>
      </c>
      <c r="G34" s="102">
        <f t="shared" si="6"/>
        <v>0</v>
      </c>
      <c r="H34" s="102">
        <f t="shared" si="6"/>
        <v>0</v>
      </c>
      <c r="I34" s="102">
        <f t="shared" si="6"/>
        <v>0</v>
      </c>
      <c r="J34" s="102">
        <f t="shared" si="6"/>
        <v>0</v>
      </c>
      <c r="K34" s="102">
        <f t="shared" si="6"/>
        <v>0</v>
      </c>
      <c r="L34" s="102">
        <f t="shared" si="6"/>
        <v>0</v>
      </c>
      <c r="M34" s="102">
        <f t="shared" si="6"/>
        <v>0</v>
      </c>
      <c r="N34" s="102">
        <f t="shared" si="6"/>
        <v>0</v>
      </c>
      <c r="O34" s="102">
        <f t="shared" si="6"/>
        <v>0</v>
      </c>
      <c r="P34" s="102">
        <f t="shared" si="6"/>
        <v>0</v>
      </c>
      <c r="Q34" s="102">
        <f t="shared" si="6"/>
        <v>0</v>
      </c>
      <c r="R34" s="102">
        <f t="shared" si="6"/>
        <v>0</v>
      </c>
      <c r="S34" s="102">
        <f t="shared" si="6"/>
        <v>0</v>
      </c>
      <c r="T34" s="102">
        <f t="shared" si="6"/>
        <v>0</v>
      </c>
      <c r="U34" s="102">
        <f t="shared" si="6"/>
        <v>0</v>
      </c>
      <c r="V34" s="102">
        <f t="shared" si="6"/>
        <v>0</v>
      </c>
      <c r="W34" s="102">
        <f t="shared" si="6"/>
        <v>0</v>
      </c>
      <c r="X34" s="102">
        <f t="shared" si="6"/>
        <v>0</v>
      </c>
      <c r="Y34" s="104">
        <f t="shared" si="6"/>
        <v>0</v>
      </c>
    </row>
    <row r="35" spans="1:26" ht="13.5" thickBot="1" x14ac:dyDescent="0.25">
      <c r="A35" s="217"/>
      <c r="B35" s="105"/>
      <c r="C35" s="49"/>
      <c r="D35" s="612" t="s">
        <v>35</v>
      </c>
      <c r="E35" s="194">
        <f>SUMIF(Total!$Z:$Z,E1,Total!$B:$B)</f>
        <v>10</v>
      </c>
      <c r="F35" s="194">
        <f>SUMIF(Total!$Z:$Z,F1,Total!$B:$B)</f>
        <v>10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13" t="s">
        <v>42</v>
      </c>
      <c r="E36" s="174">
        <f t="shared" ref="E36:Y36" si="7">(E34+E17)*E35</f>
        <v>45</v>
      </c>
      <c r="F36" s="174">
        <f t="shared" si="7"/>
        <v>110</v>
      </c>
      <c r="G36" s="174">
        <f t="shared" si="7"/>
        <v>0</v>
      </c>
      <c r="H36" s="174">
        <f t="shared" si="7"/>
        <v>0</v>
      </c>
      <c r="I36" s="174">
        <f t="shared" si="7"/>
        <v>0</v>
      </c>
      <c r="J36" s="174">
        <f t="shared" si="7"/>
        <v>0</v>
      </c>
      <c r="K36" s="174">
        <f t="shared" si="7"/>
        <v>0</v>
      </c>
      <c r="L36" s="174">
        <f t="shared" si="7"/>
        <v>0</v>
      </c>
      <c r="M36" s="174">
        <f t="shared" si="7"/>
        <v>0</v>
      </c>
      <c r="N36" s="174">
        <f t="shared" si="7"/>
        <v>0</v>
      </c>
      <c r="O36" s="174">
        <f t="shared" si="7"/>
        <v>0</v>
      </c>
      <c r="P36" s="174">
        <f t="shared" si="7"/>
        <v>0</v>
      </c>
      <c r="Q36" s="174">
        <f t="shared" si="7"/>
        <v>0</v>
      </c>
      <c r="R36" s="174">
        <f t="shared" si="7"/>
        <v>0</v>
      </c>
      <c r="S36" s="174">
        <f t="shared" si="7"/>
        <v>0</v>
      </c>
      <c r="T36" s="174">
        <f t="shared" si="7"/>
        <v>0</v>
      </c>
      <c r="U36" s="174">
        <f t="shared" si="7"/>
        <v>0</v>
      </c>
      <c r="V36" s="174">
        <f t="shared" si="7"/>
        <v>0</v>
      </c>
      <c r="W36" s="174">
        <f t="shared" si="7"/>
        <v>0</v>
      </c>
      <c r="X36" s="174">
        <f t="shared" si="7"/>
        <v>0</v>
      </c>
      <c r="Y36" s="175">
        <f t="shared" si="7"/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232.5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232.5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156.26999999999998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VyCoL66T4eXsicwE2n6rKlmdzvRIyGTb82nDY/3cdxGwvoonIeCtZotcvkIPJZG7QXypmUKm/DRokeXl4a6vqA==" saltValue="dtYriNc6Cq0Qs21CQqeejA==" spinCount="100000" sheet="1" objects="1" scenarios="1"/>
  <sortState columnSort="1" ref="E1:Y36">
    <sortCondition ref="E1:Y1"/>
  </sortState>
  <conditionalFormatting sqref="Z1:AJ1">
    <cfRule type="duplicateValues" dxfId="14" priority="2"/>
  </conditionalFormatting>
  <conditionalFormatting sqref="E1:Y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8.42578125" style="241" bestFit="1" customWidth="1"/>
    <col min="6" max="6" width="6.5703125" style="241" bestFit="1" customWidth="1"/>
    <col min="7" max="7" width="9.42578125" style="241" bestFit="1" customWidth="1"/>
    <col min="8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33" t="s">
        <v>208</v>
      </c>
      <c r="E1" s="531" t="s">
        <v>214</v>
      </c>
      <c r="F1" s="531" t="s">
        <v>177</v>
      </c>
      <c r="G1" s="531" t="s">
        <v>187</v>
      </c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35</v>
      </c>
      <c r="C2" s="52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1.75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65</v>
      </c>
      <c r="C6" s="523">
        <f t="shared" si="0"/>
        <v>6.5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2.75</v>
      </c>
      <c r="G6" s="150">
        <f>SUMIFS(Import!$G:$G,Import!$A:$A,G$1,Import!$B:$B,$A6,Import!$C:$C,$A$1)</f>
        <v>1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100</v>
      </c>
      <c r="C18" s="294">
        <f t="shared" si="2"/>
        <v>10</v>
      </c>
      <c r="D18" s="102">
        <f t="shared" ref="D18:AK18" si="3">SUM(D2:D17)</f>
        <v>3.25</v>
      </c>
      <c r="E18" s="102">
        <f t="shared" si="3"/>
        <v>1.25</v>
      </c>
      <c r="F18" s="102">
        <f t="shared" si="3"/>
        <v>4.5</v>
      </c>
      <c r="G18" s="102">
        <f t="shared" si="3"/>
        <v>1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32.5</v>
      </c>
      <c r="E20" s="174">
        <f t="shared" si="4"/>
        <v>12.5</v>
      </c>
      <c r="F20" s="174">
        <f t="shared" si="4"/>
        <v>45</v>
      </c>
      <c r="G20" s="174">
        <f t="shared" si="4"/>
        <v>10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26</v>
      </c>
    </row>
    <row r="22" spans="1:37" ht="12" thickBot="1" x14ac:dyDescent="0.25">
      <c r="A22" s="297" t="s">
        <v>18</v>
      </c>
      <c r="B22" s="298">
        <f>B18+B21</f>
        <v>126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MIA2jxctj75YehKVcu0Sm4bA9gTk545qa+r7kyLLk5Es+cgMIeqz2965iQd+N3rfs/zZgAoBPkvXT9+EvjQ2JA==" saltValue="aRFLfOKxK11eE5F60avi7w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K247"/>
  <sheetViews>
    <sheetView zoomScale="85" zoomScaleNormal="85" workbookViewId="0">
      <pane xSplit="2" ySplit="1" topLeftCell="AD188" activePane="bottomRight" state="frozen"/>
      <selection pane="topRight" activeCell="C1" sqref="C1"/>
      <selection pane="bottomLeft" activeCell="A2" sqref="A2"/>
      <selection pane="bottomRight" activeCell="AX1" sqref="AX1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" style="246" bestFit="1" customWidth="1"/>
    <col min="5" max="5" width="8.7109375" style="246" bestFit="1" customWidth="1"/>
    <col min="6" max="6" width="8.42578125" style="246" bestFit="1" customWidth="1"/>
    <col min="7" max="7" width="10.28515625" style="246" bestFit="1" customWidth="1"/>
    <col min="8" max="9" width="9" style="246" bestFit="1" customWidth="1"/>
    <col min="10" max="10" width="10.42578125" style="246" bestFit="1" customWidth="1"/>
    <col min="11" max="11" width="13.42578125" style="246" bestFit="1" customWidth="1"/>
    <col min="12" max="12" width="9.42578125" style="246" bestFit="1" customWidth="1"/>
    <col min="13" max="14" width="8" style="246" bestFit="1" customWidth="1"/>
    <col min="15" max="15" width="7.42578125" style="246" bestFit="1" customWidth="1"/>
    <col min="16" max="16" width="7.140625" style="246" bestFit="1" customWidth="1"/>
    <col min="17" max="17" width="7" style="246" bestFit="1" customWidth="1"/>
    <col min="18" max="18" width="7.42578125" style="246" bestFit="1" customWidth="1"/>
    <col min="19" max="19" width="10.28515625" style="246" bestFit="1" customWidth="1"/>
    <col min="20" max="20" width="7.5703125" style="246" bestFit="1" customWidth="1"/>
    <col min="21" max="21" width="11.5703125" style="246" bestFit="1" customWidth="1"/>
    <col min="22" max="22" width="14.140625" style="246" bestFit="1" customWidth="1"/>
    <col min="23" max="23" width="8" style="246" bestFit="1" customWidth="1"/>
    <col min="24" max="24" width="9.28515625" style="246" bestFit="1" customWidth="1"/>
    <col min="25" max="25" width="10.85546875" style="246" bestFit="1" customWidth="1"/>
    <col min="26" max="26" width="9.7109375" style="246" bestFit="1" customWidth="1"/>
    <col min="27" max="27" width="9.85546875" style="246" bestFit="1" customWidth="1"/>
    <col min="28" max="28" width="10.5703125" style="246" bestFit="1" customWidth="1"/>
    <col min="29" max="29" width="7" style="246" bestFit="1" customWidth="1"/>
    <col min="30" max="30" width="9.42578125" style="246" bestFit="1" customWidth="1"/>
    <col min="31" max="31" width="9.85546875" style="246" bestFit="1" customWidth="1"/>
    <col min="32" max="32" width="7.5703125" style="246" bestFit="1" customWidth="1"/>
    <col min="33" max="33" width="9" style="246" bestFit="1" customWidth="1"/>
    <col min="34" max="34" width="9.42578125" style="246" bestFit="1" customWidth="1"/>
    <col min="35" max="50" width="6.7109375" style="246" bestFit="1" customWidth="1"/>
    <col min="51" max="16384" width="14" style="246"/>
  </cols>
  <sheetData>
    <row r="1" spans="1:50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Dieffenbacher Be</v>
      </c>
      <c r="L1" s="245" t="str">
        <f>Total!$Z13</f>
        <v>Ellescas Ad</v>
      </c>
      <c r="M1" s="245" t="str">
        <f>Total!$Z14</f>
        <v>Flores Os</v>
      </c>
      <c r="N1" s="245" t="str">
        <f>Total!$Z15</f>
        <v>Grecin An</v>
      </c>
      <c r="O1" s="245" t="str">
        <f>Total!$Z16</f>
        <v>Heflin Jo</v>
      </c>
      <c r="P1" s="245" t="str">
        <f>Total!$Z17</f>
        <v>Kane Ro</v>
      </c>
      <c r="Q1" s="245" t="str">
        <f>Total!$Z18</f>
        <v>Klein Mi</v>
      </c>
      <c r="R1" s="245" t="str">
        <f>Total!$Z19</f>
        <v>Knight Al</v>
      </c>
      <c r="S1" s="245" t="str">
        <f>Total!$Z20</f>
        <v>Levesque Qu</v>
      </c>
      <c r="T1" s="245" t="str">
        <f>Total!$Z21</f>
        <v>Martin Ni</v>
      </c>
      <c r="U1" s="245" t="str">
        <f>Total!$Z22</f>
        <v>McLaughlin Da</v>
      </c>
      <c r="V1" s="245" t="str">
        <f>Total!$Z23</f>
        <v>Ocampo-Mora Ce</v>
      </c>
      <c r="W1" s="245" t="str">
        <f>Total!$Z24</f>
        <v>Pribilo Ch</v>
      </c>
      <c r="X1" s="245" t="str">
        <f>Total!$Z25</f>
        <v>Ramsier Sa</v>
      </c>
      <c r="Y1" s="245" t="str">
        <f>Total!$Z26</f>
        <v>Rochester Da</v>
      </c>
      <c r="Z1" s="245" t="str">
        <f>Total!$Z27</f>
        <v>Semeryuk Ti</v>
      </c>
      <c r="AA1" s="245" t="str">
        <f>Total!$Z28</f>
        <v>Simmons Br</v>
      </c>
      <c r="AB1" s="245" t="str">
        <f>Total!$Z29</f>
        <v>Skogberg Ma</v>
      </c>
      <c r="AC1" s="245" t="str">
        <f>Total!$Z30</f>
        <v>Snow Ky</v>
      </c>
      <c r="AD1" s="245" t="str">
        <f>Total!$Z31</f>
        <v>Tedeschi Tr</v>
      </c>
      <c r="AE1" s="245" t="str">
        <f>Total!$Z32</f>
        <v>Thimmes Se</v>
      </c>
      <c r="AF1" s="245" t="str">
        <f>Total!$Z33</f>
        <v>Torres Vi</v>
      </c>
      <c r="AG1" s="245" t="str">
        <f>Total!$Z34</f>
        <v>Veilleux Ma</v>
      </c>
      <c r="AH1" s="245" t="str">
        <f>Total!$Z35</f>
        <v>Wedman Ke</v>
      </c>
      <c r="AI1" s="245" t="str">
        <f>Total!$Z36</f>
        <v xml:space="preserve"> </v>
      </c>
      <c r="AJ1" s="245" t="str">
        <f>Total!$Z37</f>
        <v xml:space="preserve"> 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245" t="str">
        <f>Total!$Z49</f>
        <v xml:space="preserve"> </v>
      </c>
      <c r="AW1" s="245" t="str">
        <f>Total!$Z50</f>
        <v xml:space="preserve"> </v>
      </c>
      <c r="AX1" s="466" t="str">
        <f>Total!$Z51</f>
        <v xml:space="preserve"> </v>
      </c>
    </row>
    <row r="2" spans="1:50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467">
        <f>SUMPRODUCT((Driver!$A$2:$A$17=$A2)*(DriverEmp=AX$1),Driver!$C$2:$V$17)</f>
        <v>0</v>
      </c>
    </row>
    <row r="3" spans="1:50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467">
        <f>SUMPRODUCT((PP!$A$2:$A$80=$A3)*(PPEmp=AX$1),PP!$D$2:$BD$80)</f>
        <v>0</v>
      </c>
    </row>
    <row r="4" spans="1:50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467">
        <f>SUMPRODUCT((FH!$A$2:$A$97=$A4)*(FHEmp=AX$1),FH!$E$2:$AZ$97)</f>
        <v>0</v>
      </c>
    </row>
    <row r="5" spans="1:50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467">
        <f>SUMPRODUCT(('T22'!$A$2:$A$97=$A5)*(T22Emp=AX$1),'T22'!$E$2:$AZ$97)</f>
        <v>0</v>
      </c>
    </row>
    <row r="6" spans="1:50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467">
        <f>SUMPRODUCT((RF!$A$2:$A$17=$A6)*(RFEmp=AX$1)*(RF!$H$21:$AO$21="RF Valet"),RF!$H$2:$AO$17)</f>
        <v>0</v>
      </c>
    </row>
    <row r="7" spans="1:50" x14ac:dyDescent="0.2">
      <c r="A7" s="247">
        <f t="shared" si="0"/>
        <v>42537</v>
      </c>
      <c r="B7" s="571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8.9600000000000009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467">
        <f>SUMPRODUCT(('RC'!$A$2:$A$17=$A7)*(RCEmp=AX$1),'RC'!$D$2:$AK$17)</f>
        <v>0</v>
      </c>
    </row>
    <row r="8" spans="1:50" x14ac:dyDescent="0.2">
      <c r="A8" s="247">
        <f t="shared" si="0"/>
        <v>42537</v>
      </c>
      <c r="B8" s="614" t="s">
        <v>155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250">
        <f>SUMPRODUCT((HoO!$A$2:$A$34=$A8)*(HoOEmp=AV$1),HoO!$E$2:$Y$34)</f>
        <v>0</v>
      </c>
      <c r="AW8" s="250">
        <f>SUMPRODUCT((HoO!$A$2:$A$34=$A8)*(HoOEmp=AW$1),HoO!$E$2:$Y$34)</f>
        <v>0</v>
      </c>
      <c r="AX8" s="467">
        <f>SUMPRODUCT((HoO!$A$2:$A$34=$A8)*(HoOEmp=AX$1),HoO!$E$2:$Y$34)</f>
        <v>0</v>
      </c>
    </row>
    <row r="9" spans="1:50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1.75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250">
        <f>SUMPRODUCT((TM!$A$2:$A$17=$A9)*(TMEmp=AV$1),TM!$D$2:$AK$17)</f>
        <v>0</v>
      </c>
      <c r="AW9" s="250">
        <f>SUMPRODUCT((TM!$A$2:$A$17=$A9)*(TMEmp=AW$1),TM!$D$2:$AK$17)</f>
        <v>0</v>
      </c>
      <c r="AX9" s="467">
        <f>SUMPRODUCT((TM!$A$2:$A$17=$A9)*(TMEmp=AX$1),TM!$D$2:$AK$17)</f>
        <v>0</v>
      </c>
    </row>
    <row r="10" spans="1:50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259">
        <f>SUMPRODUCT((PC!$A$2:$A$80=$A10)*(PCEmp=AV$1),PC!$D$2:$BD$80)</f>
        <v>0</v>
      </c>
      <c r="AW10" s="259">
        <f>SUMPRODUCT((PC!$A$2:$A$80=$A10)*(PCEmp=AW$1),PC!$D$2:$BD$80)</f>
        <v>0</v>
      </c>
      <c r="AX10" s="468">
        <f>SUMPRODUCT((PC!$A$2:$A$80=$A10)*(PCEmp=AX$1),PC!$D$2:$BD$80)</f>
        <v>0</v>
      </c>
    </row>
    <row r="11" spans="1:50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250">
        <f>SUMPRODUCT((RF!$A$2:$A$17=$A11)*(RFEmp=AV$1)*(RF!$H$21:$AO$21="RF Lead"),RF!$H$2:$AO$17)</f>
        <v>0</v>
      </c>
      <c r="AW11" s="250">
        <f>SUMPRODUCT((RF!$A$2:$A$17=$A11)*(RFEmp=AW$1)*(RF!$H$21:$AO$21="RF Lead"),RF!$H$2:$AO$17)</f>
        <v>0</v>
      </c>
      <c r="AX11" s="467">
        <f>SUMPRODUCT((RF!$A$2:$A$17=$A11)*(RFEmp=AX$1)*(RF!$H$21:$AO$21="RF Lead"),RF!$H$2:$AO$17)</f>
        <v>0</v>
      </c>
    </row>
    <row r="12" spans="1:50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3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250">
        <f>SUMPRODUCT((SC!$A$2:$A$34=$A12)*(SCEmp=AV$1),SC!$F$2:$Z$34)</f>
        <v>0</v>
      </c>
      <c r="AW12" s="250">
        <f>SUMPRODUCT((SC!$A$2:$A$34=$A12)*(SCEmp=AW$1),SC!$F$2:$Z$34)</f>
        <v>0</v>
      </c>
      <c r="AX12" s="467">
        <f>SUMPRODUCT((SC!$A$2:$A$34=$A12)*(SCEmp=AX$1),SC!$F$2:$Z$34)</f>
        <v>0</v>
      </c>
    </row>
    <row r="13" spans="1:50" x14ac:dyDescent="0.2">
      <c r="A13" s="262">
        <f t="shared" si="0"/>
        <v>42537</v>
      </c>
      <c r="B13" s="263" t="s">
        <v>87</v>
      </c>
      <c r="C13" s="264">
        <f t="shared" ref="C13:AX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0.96000000000000085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ref="AV13:AW13" si="3">IF(SUM(AV2:AV12)&gt;8,SUM(AV2:AV12)-8,0)+IF(SUM(AV2:AV12)&gt;12,SUM(AV2:AV12)-12,0)</f>
        <v>0</v>
      </c>
      <c r="AW13" s="265">
        <f t="shared" si="3"/>
        <v>0</v>
      </c>
      <c r="AX13" s="469">
        <f t="shared" si="1"/>
        <v>0</v>
      </c>
    </row>
    <row r="14" spans="1:50" x14ac:dyDescent="0.2">
      <c r="A14" s="266">
        <f t="shared" si="0"/>
        <v>42537</v>
      </c>
      <c r="B14" s="267" t="s">
        <v>86</v>
      </c>
      <c r="C14" s="268">
        <f t="shared" ref="C14:AX14" si="4">IFERROR((C$211*SUM(C2:C9)+C$212*SUM(C10:C12))/SUM(C2:C12)/2,0)*C13</f>
        <v>0</v>
      </c>
      <c r="D14" s="269">
        <f t="shared" si="4"/>
        <v>0</v>
      </c>
      <c r="E14" s="269">
        <f t="shared" si="4"/>
        <v>0</v>
      </c>
      <c r="F14" s="269">
        <f t="shared" si="4"/>
        <v>0</v>
      </c>
      <c r="G14" s="269">
        <f t="shared" si="4"/>
        <v>0</v>
      </c>
      <c r="H14" s="269">
        <f t="shared" si="4"/>
        <v>0</v>
      </c>
      <c r="I14" s="269">
        <f t="shared" si="4"/>
        <v>0</v>
      </c>
      <c r="J14" s="269">
        <f t="shared" si="4"/>
        <v>0</v>
      </c>
      <c r="K14" s="269">
        <f t="shared" si="4"/>
        <v>0</v>
      </c>
      <c r="L14" s="269">
        <f t="shared" si="4"/>
        <v>0</v>
      </c>
      <c r="M14" s="269">
        <f t="shared" si="4"/>
        <v>4.8000000000000043</v>
      </c>
      <c r="N14" s="269">
        <f t="shared" si="4"/>
        <v>0</v>
      </c>
      <c r="O14" s="269">
        <f t="shared" si="4"/>
        <v>0</v>
      </c>
      <c r="P14" s="269">
        <f t="shared" si="4"/>
        <v>0</v>
      </c>
      <c r="Q14" s="269">
        <f t="shared" si="4"/>
        <v>0</v>
      </c>
      <c r="R14" s="269">
        <f t="shared" si="4"/>
        <v>0</v>
      </c>
      <c r="S14" s="269">
        <f t="shared" si="4"/>
        <v>0</v>
      </c>
      <c r="T14" s="269">
        <f t="shared" si="4"/>
        <v>0</v>
      </c>
      <c r="U14" s="269">
        <f t="shared" si="4"/>
        <v>0</v>
      </c>
      <c r="V14" s="269">
        <f t="shared" si="4"/>
        <v>0</v>
      </c>
      <c r="W14" s="269">
        <f t="shared" si="4"/>
        <v>0</v>
      </c>
      <c r="X14" s="269">
        <f t="shared" si="4"/>
        <v>0</v>
      </c>
      <c r="Y14" s="269">
        <f t="shared" si="4"/>
        <v>0</v>
      </c>
      <c r="Z14" s="269">
        <f t="shared" si="4"/>
        <v>0</v>
      </c>
      <c r="AA14" s="269">
        <f t="shared" si="4"/>
        <v>0</v>
      </c>
      <c r="AB14" s="269">
        <f t="shared" si="4"/>
        <v>0</v>
      </c>
      <c r="AC14" s="269">
        <f t="shared" si="4"/>
        <v>0</v>
      </c>
      <c r="AD14" s="269">
        <f t="shared" si="4"/>
        <v>0</v>
      </c>
      <c r="AE14" s="269">
        <f t="shared" si="4"/>
        <v>0</v>
      </c>
      <c r="AF14" s="269">
        <f t="shared" si="4"/>
        <v>0</v>
      </c>
      <c r="AG14" s="269">
        <f t="shared" si="4"/>
        <v>0</v>
      </c>
      <c r="AH14" s="269">
        <f t="shared" si="4"/>
        <v>0</v>
      </c>
      <c r="AI14" s="269">
        <f t="shared" si="4"/>
        <v>0</v>
      </c>
      <c r="AJ14" s="269">
        <f t="shared" si="4"/>
        <v>0</v>
      </c>
      <c r="AK14" s="269">
        <f t="shared" si="4"/>
        <v>0</v>
      </c>
      <c r="AL14" s="269">
        <f t="shared" si="4"/>
        <v>0</v>
      </c>
      <c r="AM14" s="269">
        <f t="shared" si="4"/>
        <v>0</v>
      </c>
      <c r="AN14" s="269">
        <f t="shared" si="4"/>
        <v>0</v>
      </c>
      <c r="AO14" s="269">
        <f t="shared" ref="AO14:AU14" si="5">IFERROR((AO$211*SUM(AO2:AO9)+AO$212*SUM(AO10:AO12))/SUM(AO2:AO12)/2,0)*AO13</f>
        <v>0</v>
      </c>
      <c r="AP14" s="269">
        <f t="shared" si="5"/>
        <v>0</v>
      </c>
      <c r="AQ14" s="269">
        <f t="shared" si="5"/>
        <v>0</v>
      </c>
      <c r="AR14" s="269">
        <f t="shared" si="5"/>
        <v>0</v>
      </c>
      <c r="AS14" s="269">
        <f t="shared" si="5"/>
        <v>0</v>
      </c>
      <c r="AT14" s="269">
        <f t="shared" si="5"/>
        <v>0</v>
      </c>
      <c r="AU14" s="269">
        <f t="shared" si="5"/>
        <v>0</v>
      </c>
      <c r="AV14" s="269">
        <f t="shared" ref="AV14:AW14" si="6">IFERROR((AV$211*SUM(AV2:AV9)+AV$212*SUM(AV10:AV12))/SUM(AV2:AV12)/2,0)*AV13</f>
        <v>0</v>
      </c>
      <c r="AW14" s="269">
        <f t="shared" si="6"/>
        <v>0</v>
      </c>
      <c r="AX14" s="470">
        <f t="shared" si="4"/>
        <v>0</v>
      </c>
    </row>
    <row r="15" spans="1:50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4.5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250">
        <f>SUMPRODUCT((Driver!$A$2:$A$17=$A15)*(DriverEmp=AV$1),Driver!$C$2:$V$17)</f>
        <v>0</v>
      </c>
      <c r="AW15" s="250">
        <f>SUMPRODUCT((Driver!$A$2:$A$17=$A15)*(DriverEmp=AW$1),Driver!$C$2:$V$17)</f>
        <v>0</v>
      </c>
      <c r="AX15" s="467">
        <f>SUMPRODUCT((Driver!$A$2:$A$17=$A15)*(DriverEmp=AX$1),Driver!$C$2:$V$17)</f>
        <v>0</v>
      </c>
    </row>
    <row r="16" spans="1:50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250">
        <f>SUMPRODUCT((PP!$A$2:$A$80=$A16)*(PPEmp=AV$1),PP!$D$2:$BD$80)</f>
        <v>0</v>
      </c>
      <c r="AW16" s="250">
        <f>SUMPRODUCT((PP!$A$2:$A$80=$A16)*(PPEmp=AW$1),PP!$D$2:$BD$80)</f>
        <v>0</v>
      </c>
      <c r="AX16" s="467">
        <f>SUMPRODUCT((PP!$A$2:$A$80=$A16)*(PPEmp=AX$1),PP!$D$2:$BD$80)</f>
        <v>0</v>
      </c>
    </row>
    <row r="17" spans="1:63" x14ac:dyDescent="0.2">
      <c r="A17" s="247">
        <f t="shared" ref="A17:A27" si="7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250">
        <f>SUMPRODUCT((FH!$A$2:$A$97=$A17)*(FHEmp=AV$1),FH!$E$2:$AZ$97)</f>
        <v>0</v>
      </c>
      <c r="AW17" s="250">
        <f>SUMPRODUCT((FH!$A$2:$A$97=$A17)*(FHEmp=AW$1),FH!$E$2:$AZ$97)</f>
        <v>0</v>
      </c>
      <c r="AX17" s="467">
        <f>SUMPRODUCT((FH!$A$2:$A$97=$A17)*(FHEmp=AX$1),FH!$E$2:$AZ$97)</f>
        <v>0</v>
      </c>
    </row>
    <row r="18" spans="1:63" x14ac:dyDescent="0.2">
      <c r="A18" s="247">
        <f t="shared" si="7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250">
        <f>SUMPRODUCT(('T22'!$A$2:$A$97=$A18)*(T22Emp=AV$1),'T22'!$E$2:$AZ$97)</f>
        <v>0</v>
      </c>
      <c r="AW18" s="250">
        <f>SUMPRODUCT(('T22'!$A$2:$A$97=$A18)*(T22Emp=AW$1),'T22'!$E$2:$AZ$97)</f>
        <v>0</v>
      </c>
      <c r="AX18" s="467">
        <f>SUMPRODUCT(('T22'!$A$2:$A$97=$A18)*(T22Emp=AX$1),'T22'!$E$2:$AZ$97)</f>
        <v>0</v>
      </c>
    </row>
    <row r="19" spans="1:63" x14ac:dyDescent="0.2">
      <c r="A19" s="247">
        <f t="shared" si="7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250">
        <f>SUMPRODUCT((RF!$A$2:$A$17=$A19)*(RFEmp=AV$1)*(RF!$H$21:$AO$21="RF Valet"),RF!$H$2:$AO$17)</f>
        <v>0</v>
      </c>
      <c r="AW19" s="250">
        <f>SUMPRODUCT((RF!$A$2:$A$17=$A19)*(RFEmp=AW$1)*(RF!$H$21:$AO$21="RF Valet"),RF!$H$2:$AO$17)</f>
        <v>0</v>
      </c>
      <c r="AX19" s="467">
        <f>SUMPRODUCT((RF!$A$2:$A$17=$A19)*(RFEmp=AX$1)*(RF!$H$21:$AO$21="RF Valet"),RF!$H$2:$AO$17)</f>
        <v>0</v>
      </c>
    </row>
    <row r="20" spans="1:63" x14ac:dyDescent="0.2">
      <c r="A20" s="247">
        <f t="shared" si="7"/>
        <v>42538</v>
      </c>
      <c r="B20" s="571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8.5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250">
        <f>SUMPRODUCT(('RC'!$A$2:$A$17=$A20)*(RCEmp=AV$1),'RC'!$D$2:$AK$17)</f>
        <v>0</v>
      </c>
      <c r="AW20" s="250">
        <f>SUMPRODUCT(('RC'!$A$2:$A$17=$A20)*(RCEmp=AW$1),'RC'!$D$2:$AK$17)</f>
        <v>0</v>
      </c>
      <c r="AX20" s="467">
        <f>SUMPRODUCT(('RC'!$A$2:$A$17=$A20)*(RCEmp=AX$1),'RC'!$D$2:$AK$17)</f>
        <v>0</v>
      </c>
    </row>
    <row r="21" spans="1:63" x14ac:dyDescent="0.2">
      <c r="A21" s="247">
        <f t="shared" si="7"/>
        <v>42538</v>
      </c>
      <c r="B21" s="614" t="s">
        <v>155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5.5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250">
        <f>SUMPRODUCT((HoO!$A$2:$A$34=$A21)*(HoOEmp=AV$1),HoO!$E$2:$Y$34)</f>
        <v>0</v>
      </c>
      <c r="AW21" s="250">
        <f>SUMPRODUCT((HoO!$A$2:$A$34=$A21)*(HoOEmp=AW$1),HoO!$E$2:$Y$34)</f>
        <v>0</v>
      </c>
      <c r="AX21" s="467">
        <f>SUMPRODUCT((HoO!$A$2:$A$34=$A21)*(HoOEmp=AX$1),HoO!$E$2:$Y$34)</f>
        <v>0</v>
      </c>
    </row>
    <row r="22" spans="1:63" s="271" customFormat="1" x14ac:dyDescent="0.2">
      <c r="A22" s="247">
        <f t="shared" si="7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250">
        <f>SUMPRODUCT((TM!$A$2:$A$17=$A22)*(TMEmp=AV$1),TM!$D$2:$AK$17)</f>
        <v>0</v>
      </c>
      <c r="AW22" s="250">
        <f>SUMPRODUCT((TM!$A$2:$A$17=$A22)*(TMEmp=AW$1),TM!$D$2:$AK$17)</f>
        <v>0</v>
      </c>
      <c r="AX22" s="467">
        <f>SUMPRODUCT((TM!$A$2:$A$17=$A22)*(TMEmp=AX$1),TM!$D$2:$AK$17)</f>
        <v>0</v>
      </c>
      <c r="AY22" s="270"/>
      <c r="AZ22" s="246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</row>
    <row r="23" spans="1:63" s="271" customFormat="1" x14ac:dyDescent="0.2">
      <c r="A23" s="256">
        <f t="shared" si="7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259">
        <f>SUMPRODUCT((PC!$A$2:$A$80=$A23)*(PCEmp=AV$1),PC!$D$2:$BD$80)</f>
        <v>0</v>
      </c>
      <c r="AW23" s="259">
        <f>SUMPRODUCT((PC!$A$2:$A$80=$A23)*(PCEmp=AW$1),PC!$D$2:$BD$80)</f>
        <v>0</v>
      </c>
      <c r="AX23" s="468">
        <f>SUMPRODUCT((PC!$A$2:$A$80=$A23)*(PCEmp=AX$1),PC!$D$2:$BD$80)</f>
        <v>0</v>
      </c>
      <c r="AZ23" s="246"/>
    </row>
    <row r="24" spans="1:63" s="271" customFormat="1" x14ac:dyDescent="0.2">
      <c r="A24" s="247">
        <f t="shared" si="7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250">
        <f>SUMPRODUCT((RF!$A$2:$A$17=$A24)*(RFEmp=AV$1)*(RF!$H$21:$AO$21="RF Lead"),RF!$H$2:$AO$17)</f>
        <v>0</v>
      </c>
      <c r="AW24" s="250">
        <f>SUMPRODUCT((RF!$A$2:$A$17=$A24)*(RFEmp=AW$1)*(RF!$H$21:$AO$21="RF Lead"),RF!$H$2:$AO$17)</f>
        <v>0</v>
      </c>
      <c r="AX24" s="467">
        <f>SUMPRODUCT((RF!$A$2:$A$17=$A24)*(RFEmp=AX$1)*(RF!$H$21:$AO$21="RF Lead"),RF!$H$2:$AO$17)</f>
        <v>0</v>
      </c>
      <c r="AZ24" s="246"/>
    </row>
    <row r="25" spans="1:63" s="271" customFormat="1" x14ac:dyDescent="0.2">
      <c r="A25" s="260">
        <f t="shared" si="7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2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250">
        <f>SUMPRODUCT((SC!$A$2:$A$34=$A25)*(SCEmp=AV$1),SC!$F$2:$Z$34)</f>
        <v>0</v>
      </c>
      <c r="AW25" s="250">
        <f>SUMPRODUCT((SC!$A$2:$A$34=$A25)*(SCEmp=AW$1),SC!$F$2:$Z$34)</f>
        <v>0</v>
      </c>
      <c r="AX25" s="467">
        <f>SUMPRODUCT((SC!$A$2:$A$34=$A25)*(SCEmp=AX$1),SC!$F$2:$Z$34)</f>
        <v>0</v>
      </c>
      <c r="AZ25" s="246"/>
    </row>
    <row r="26" spans="1:63" s="271" customFormat="1" x14ac:dyDescent="0.2">
      <c r="A26" s="262">
        <f t="shared" si="7"/>
        <v>42538</v>
      </c>
      <c r="B26" s="263" t="s">
        <v>87</v>
      </c>
      <c r="C26" s="264">
        <f t="shared" ref="C26:AN26" si="8">IF(SUM(C15:C25)&gt;8,SUM(C15:C25)-8,0)+IF(SUM(C15:C25)&gt;12,SUM(C15:C25)-12,0)</f>
        <v>0</v>
      </c>
      <c r="D26" s="265">
        <f t="shared" si="8"/>
        <v>0</v>
      </c>
      <c r="E26" s="265">
        <f t="shared" si="8"/>
        <v>0</v>
      </c>
      <c r="F26" s="265">
        <f t="shared" si="8"/>
        <v>0</v>
      </c>
      <c r="G26" s="265">
        <f t="shared" si="8"/>
        <v>0</v>
      </c>
      <c r="H26" s="265">
        <f t="shared" si="8"/>
        <v>0</v>
      </c>
      <c r="I26" s="265">
        <f t="shared" si="8"/>
        <v>0</v>
      </c>
      <c r="J26" s="265">
        <f t="shared" si="8"/>
        <v>0</v>
      </c>
      <c r="K26" s="265">
        <f t="shared" si="8"/>
        <v>0</v>
      </c>
      <c r="L26" s="265">
        <f t="shared" si="8"/>
        <v>0</v>
      </c>
      <c r="M26" s="265">
        <f t="shared" si="8"/>
        <v>0.5</v>
      </c>
      <c r="N26" s="265">
        <f t="shared" si="8"/>
        <v>0</v>
      </c>
      <c r="O26" s="265">
        <f t="shared" si="8"/>
        <v>0</v>
      </c>
      <c r="P26" s="265">
        <f t="shared" si="8"/>
        <v>0</v>
      </c>
      <c r="Q26" s="265">
        <f t="shared" si="8"/>
        <v>0</v>
      </c>
      <c r="R26" s="265">
        <f t="shared" si="8"/>
        <v>0</v>
      </c>
      <c r="S26" s="265">
        <f t="shared" si="8"/>
        <v>0</v>
      </c>
      <c r="T26" s="265">
        <f t="shared" si="8"/>
        <v>0</v>
      </c>
      <c r="U26" s="265">
        <f t="shared" si="8"/>
        <v>0</v>
      </c>
      <c r="V26" s="265">
        <f t="shared" si="8"/>
        <v>0</v>
      </c>
      <c r="W26" s="265">
        <f t="shared" si="8"/>
        <v>0</v>
      </c>
      <c r="X26" s="265">
        <f t="shared" si="8"/>
        <v>0</v>
      </c>
      <c r="Y26" s="265">
        <f t="shared" si="8"/>
        <v>0</v>
      </c>
      <c r="Z26" s="265">
        <f t="shared" si="8"/>
        <v>0</v>
      </c>
      <c r="AA26" s="265">
        <f t="shared" si="8"/>
        <v>0</v>
      </c>
      <c r="AB26" s="265">
        <f t="shared" si="8"/>
        <v>0</v>
      </c>
      <c r="AC26" s="265">
        <f t="shared" si="8"/>
        <v>0</v>
      </c>
      <c r="AD26" s="265">
        <f t="shared" si="8"/>
        <v>0</v>
      </c>
      <c r="AE26" s="265">
        <f t="shared" si="8"/>
        <v>0</v>
      </c>
      <c r="AF26" s="265">
        <f t="shared" si="8"/>
        <v>0</v>
      </c>
      <c r="AG26" s="265">
        <f t="shared" si="8"/>
        <v>0</v>
      </c>
      <c r="AH26" s="265">
        <f t="shared" si="8"/>
        <v>0</v>
      </c>
      <c r="AI26" s="265">
        <f t="shared" si="8"/>
        <v>0</v>
      </c>
      <c r="AJ26" s="265">
        <f t="shared" si="8"/>
        <v>0</v>
      </c>
      <c r="AK26" s="265">
        <f t="shared" si="8"/>
        <v>0</v>
      </c>
      <c r="AL26" s="265">
        <f t="shared" si="8"/>
        <v>0</v>
      </c>
      <c r="AM26" s="265">
        <f t="shared" si="8"/>
        <v>0</v>
      </c>
      <c r="AN26" s="265">
        <f t="shared" si="8"/>
        <v>0</v>
      </c>
      <c r="AO26" s="265">
        <f t="shared" ref="AO26:AU26" si="9">IF(SUM(AO15:AO25)&gt;8,SUM(AO15:AO25)-8,0)+IF(SUM(AO15:AO25)&gt;12,SUM(AO15:AO25)-12,0)</f>
        <v>0</v>
      </c>
      <c r="AP26" s="265">
        <f t="shared" si="9"/>
        <v>0</v>
      </c>
      <c r="AQ26" s="265">
        <f t="shared" si="9"/>
        <v>0</v>
      </c>
      <c r="AR26" s="265">
        <f t="shared" si="9"/>
        <v>0</v>
      </c>
      <c r="AS26" s="265">
        <f t="shared" si="9"/>
        <v>0</v>
      </c>
      <c r="AT26" s="265">
        <f t="shared" si="9"/>
        <v>0</v>
      </c>
      <c r="AU26" s="265">
        <f t="shared" si="9"/>
        <v>0</v>
      </c>
      <c r="AV26" s="265">
        <f t="shared" ref="AV26:AW26" si="10">IF(SUM(AV15:AV25)&gt;8,SUM(AV15:AV25)-8,0)+IF(SUM(AV15:AV25)&gt;12,SUM(AV15:AV25)-12,0)</f>
        <v>0</v>
      </c>
      <c r="AW26" s="265">
        <f t="shared" si="10"/>
        <v>0</v>
      </c>
      <c r="AX26" s="469">
        <f>IF(SUM(AX15:AX25)&gt;8,SUM(AX15:AX25)-8,0)+IF(SUM(AX15:AX25)&gt;12,SUM(AX15:AX25)-12,0)</f>
        <v>0</v>
      </c>
      <c r="AZ26" s="246"/>
    </row>
    <row r="27" spans="1:63" s="271" customFormat="1" x14ac:dyDescent="0.2">
      <c r="A27" s="266">
        <f t="shared" si="7"/>
        <v>42538</v>
      </c>
      <c r="B27" s="267" t="s">
        <v>86</v>
      </c>
      <c r="C27" s="268">
        <f t="shared" ref="C27:AN27" si="11">IFERROR((C$211*SUM(C15:C22)+C$212*SUM(C23:C25))/SUM(C15:C25)/2,0)*C26</f>
        <v>0</v>
      </c>
      <c r="D27" s="269">
        <f t="shared" si="11"/>
        <v>0</v>
      </c>
      <c r="E27" s="269">
        <f t="shared" si="11"/>
        <v>0</v>
      </c>
      <c r="F27" s="269">
        <f t="shared" si="11"/>
        <v>0</v>
      </c>
      <c r="G27" s="269">
        <f t="shared" si="11"/>
        <v>0</v>
      </c>
      <c r="H27" s="269">
        <f t="shared" si="11"/>
        <v>0</v>
      </c>
      <c r="I27" s="269">
        <f t="shared" si="11"/>
        <v>0</v>
      </c>
      <c r="J27" s="269">
        <f t="shared" si="11"/>
        <v>0</v>
      </c>
      <c r="K27" s="269">
        <f t="shared" si="11"/>
        <v>0</v>
      </c>
      <c r="L27" s="269">
        <f t="shared" si="11"/>
        <v>0</v>
      </c>
      <c r="M27" s="269">
        <f t="shared" si="11"/>
        <v>2.5</v>
      </c>
      <c r="N27" s="269">
        <f t="shared" si="11"/>
        <v>0</v>
      </c>
      <c r="O27" s="269">
        <f t="shared" si="11"/>
        <v>0</v>
      </c>
      <c r="P27" s="269">
        <f t="shared" si="11"/>
        <v>0</v>
      </c>
      <c r="Q27" s="269">
        <f t="shared" si="11"/>
        <v>0</v>
      </c>
      <c r="R27" s="269">
        <f t="shared" si="11"/>
        <v>0</v>
      </c>
      <c r="S27" s="269">
        <f t="shared" si="11"/>
        <v>0</v>
      </c>
      <c r="T27" s="269">
        <f t="shared" si="11"/>
        <v>0</v>
      </c>
      <c r="U27" s="269">
        <f t="shared" si="11"/>
        <v>0</v>
      </c>
      <c r="V27" s="269">
        <f t="shared" si="11"/>
        <v>0</v>
      </c>
      <c r="W27" s="269">
        <f t="shared" si="11"/>
        <v>0</v>
      </c>
      <c r="X27" s="269">
        <f t="shared" si="11"/>
        <v>0</v>
      </c>
      <c r="Y27" s="269">
        <f t="shared" si="11"/>
        <v>0</v>
      </c>
      <c r="Z27" s="269">
        <f t="shared" si="11"/>
        <v>0</v>
      </c>
      <c r="AA27" s="269">
        <f t="shared" si="11"/>
        <v>0</v>
      </c>
      <c r="AB27" s="269">
        <f t="shared" si="11"/>
        <v>0</v>
      </c>
      <c r="AC27" s="269">
        <f t="shared" si="11"/>
        <v>0</v>
      </c>
      <c r="AD27" s="269">
        <f t="shared" si="11"/>
        <v>0</v>
      </c>
      <c r="AE27" s="269">
        <f t="shared" si="11"/>
        <v>0</v>
      </c>
      <c r="AF27" s="269">
        <f t="shared" si="11"/>
        <v>0</v>
      </c>
      <c r="AG27" s="269">
        <f t="shared" si="11"/>
        <v>0</v>
      </c>
      <c r="AH27" s="269">
        <f t="shared" si="11"/>
        <v>0</v>
      </c>
      <c r="AI27" s="269">
        <f t="shared" si="11"/>
        <v>0</v>
      </c>
      <c r="AJ27" s="269">
        <f t="shared" si="11"/>
        <v>0</v>
      </c>
      <c r="AK27" s="269">
        <f t="shared" si="11"/>
        <v>0</v>
      </c>
      <c r="AL27" s="269">
        <f t="shared" si="11"/>
        <v>0</v>
      </c>
      <c r="AM27" s="269">
        <f t="shared" si="11"/>
        <v>0</v>
      </c>
      <c r="AN27" s="269">
        <f t="shared" si="11"/>
        <v>0</v>
      </c>
      <c r="AO27" s="269">
        <f t="shared" ref="AO27:AU27" si="12">IFERROR((AO$211*SUM(AO15:AO22)+AO$212*SUM(AO23:AO25))/SUM(AO15:AO25)/2,0)*AO26</f>
        <v>0</v>
      </c>
      <c r="AP27" s="269">
        <f t="shared" si="12"/>
        <v>0</v>
      </c>
      <c r="AQ27" s="269">
        <f t="shared" si="12"/>
        <v>0</v>
      </c>
      <c r="AR27" s="269">
        <f t="shared" si="12"/>
        <v>0</v>
      </c>
      <c r="AS27" s="269">
        <f t="shared" si="12"/>
        <v>0</v>
      </c>
      <c r="AT27" s="269">
        <f t="shared" si="12"/>
        <v>0</v>
      </c>
      <c r="AU27" s="269">
        <f t="shared" si="12"/>
        <v>0</v>
      </c>
      <c r="AV27" s="269">
        <f t="shared" ref="AV27:AW27" si="13">IFERROR((AV$211*SUM(AV15:AV22)+AV$212*SUM(AV23:AV25))/SUM(AV15:AV25)/2,0)*AV26</f>
        <v>0</v>
      </c>
      <c r="AW27" s="269">
        <f t="shared" si="13"/>
        <v>0</v>
      </c>
      <c r="AX27" s="470">
        <f>IFERROR((AX$211*SUM(AX15:AX22)+AX$212*SUM(AX23:AX25))/SUM(AX15:AX25)/2,0)*AX26</f>
        <v>0</v>
      </c>
      <c r="AZ27" s="246"/>
    </row>
    <row r="28" spans="1:63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250">
        <f>SUMPRODUCT((Driver!$A$2:$A$17=$A28)*(DriverEmp=AV$1),Driver!$C$2:$V$17)</f>
        <v>0</v>
      </c>
      <c r="AW28" s="250">
        <f>SUMPRODUCT((Driver!$A$2:$A$17=$A28)*(DriverEmp=AW$1),Driver!$C$2:$V$17)</f>
        <v>0</v>
      </c>
      <c r="AX28" s="467">
        <f>SUMPRODUCT((Driver!$A$2:$A$17=$A28)*(DriverEmp=AX$1),Driver!$C$2:$V$17)</f>
        <v>0</v>
      </c>
      <c r="AZ28" s="246"/>
    </row>
    <row r="29" spans="1:63" x14ac:dyDescent="0.2">
      <c r="A29" s="247">
        <f t="shared" ref="A29:A92" si="14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11.75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4.75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11</v>
      </c>
      <c r="V29" s="250">
        <f>SUMPRODUCT((PP!$A$2:$A$80=$A29)*(PPEmp=V$1),PP!$D$2:$BD$80)</f>
        <v>0</v>
      </c>
      <c r="W29" s="250">
        <f>SUMPRODUCT((PP!$A$2:$A$80=$A29)*(PPEmp=W$1),PP!$D$2:$BD$80)</f>
        <v>1.75</v>
      </c>
      <c r="X29" s="250">
        <f>SUMPRODUCT((PP!$A$2:$A$80=$A29)*(PPEmp=X$1),PP!$D$2:$BD$80)</f>
        <v>0</v>
      </c>
      <c r="Y29" s="250">
        <f>SUMPRODUCT((PP!$A$2:$A$80=$A29)*(PPEmp=Y$1),PP!$D$2:$BD$80)</f>
        <v>0</v>
      </c>
      <c r="Z29" s="250">
        <f>SUMPRODUCT((PP!$A$2:$A$80=$A29)*(PPEmp=Z$1),PP!$D$2:$BD$80)</f>
        <v>11.75</v>
      </c>
      <c r="AA29" s="250">
        <f>SUMPRODUCT((PP!$A$2:$A$80=$A29)*(PPEmp=AA$1),PP!$D$2:$BD$80)</f>
        <v>4.75</v>
      </c>
      <c r="AB29" s="250">
        <f>SUMPRODUCT((PP!$A$2:$A$80=$A29)*(PPEmp=AB$1),PP!$D$2:$BD$80)</f>
        <v>11.75</v>
      </c>
      <c r="AC29" s="250">
        <f>SUMPRODUCT((PP!$A$2:$A$80=$A29)*(PPEmp=AC$1),PP!$D$2:$BD$80)</f>
        <v>4.75</v>
      </c>
      <c r="AD29" s="250">
        <f>SUMPRODUCT((PP!$A$2:$A$80=$A29)*(PPEmp=AD$1),PP!$D$2:$BD$80)</f>
        <v>0</v>
      </c>
      <c r="AE29" s="250">
        <f>SUMPRODUCT((PP!$A$2:$A$80=$A29)*(PPEmp=AE$1),PP!$D$2:$BD$80)</f>
        <v>3.5</v>
      </c>
      <c r="AF29" s="250">
        <f>SUMPRODUCT((PP!$A$2:$A$80=$A29)*(PPEmp=AF$1),PP!$D$2:$BD$80)</f>
        <v>0</v>
      </c>
      <c r="AG29" s="250">
        <f>SUMPRODUCT((PP!$A$2:$A$80=$A29)*(PPEmp=AG$1),PP!$D$2:$BD$80)</f>
        <v>0</v>
      </c>
      <c r="AH29" s="250">
        <f>SUMPRODUCT((PP!$A$2:$A$80=$A29)*(PPEmp=AH$1),PP!$D$2:$BD$80)</f>
        <v>4.75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250">
        <f>SUMPRODUCT((PP!$A$2:$A$80=$A29)*(PPEmp=AV$1),PP!$D$2:$BD$80)</f>
        <v>0</v>
      </c>
      <c r="AW29" s="250">
        <f>SUMPRODUCT((PP!$A$2:$A$80=$A29)*(PPEmp=AW$1),PP!$D$2:$BD$80)</f>
        <v>0</v>
      </c>
      <c r="AX29" s="467">
        <f>SUMPRODUCT((PP!$A$2:$A$80=$A29)*(PPEmp=AX$1),PP!$D$2:$BD$80)</f>
        <v>0</v>
      </c>
    </row>
    <row r="30" spans="1:63" x14ac:dyDescent="0.2">
      <c r="A30" s="247">
        <f t="shared" si="14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250">
        <f>SUMPRODUCT((FH!$A$2:$A$97=$A30)*(FHEmp=AV$1),FH!$E$2:$AZ$97)</f>
        <v>0</v>
      </c>
      <c r="AW30" s="250">
        <f>SUMPRODUCT((FH!$A$2:$A$97=$A30)*(FHEmp=AW$1),FH!$E$2:$AZ$97)</f>
        <v>0</v>
      </c>
      <c r="AX30" s="467">
        <f>SUMPRODUCT((FH!$A$2:$A$97=$A30)*(FHEmp=AX$1),FH!$E$2:$AZ$97)</f>
        <v>0</v>
      </c>
    </row>
    <row r="31" spans="1:63" s="271" customFormat="1" x14ac:dyDescent="0.2">
      <c r="A31" s="247">
        <f t="shared" si="14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250">
        <f>SUMPRODUCT(('T22'!$A$2:$A$97=$A31)*(T22Emp=AV$1),'T22'!$E$2:$AZ$97)</f>
        <v>0</v>
      </c>
      <c r="AW31" s="250">
        <f>SUMPRODUCT(('T22'!$A$2:$A$97=$A31)*(T22Emp=AW$1),'T22'!$E$2:$AZ$97)</f>
        <v>0</v>
      </c>
      <c r="AX31" s="467">
        <f>SUMPRODUCT(('T22'!$A$2:$A$97=$A31)*(T22Emp=AX$1),'T22'!$E$2:$AZ$97)</f>
        <v>0</v>
      </c>
      <c r="AZ31" s="246"/>
    </row>
    <row r="32" spans="1:63" s="271" customFormat="1" x14ac:dyDescent="0.2">
      <c r="A32" s="247">
        <f t="shared" si="14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4.5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250">
        <f>SUMPRODUCT((RF!$A$2:$A$17=$A32)*(RFEmp=AV$1)*(RF!$H$21:$AO$21="RF Valet"),RF!$H$2:$AO$17)</f>
        <v>0</v>
      </c>
      <c r="AW32" s="250">
        <f>SUMPRODUCT((RF!$A$2:$A$17=$A32)*(RFEmp=AW$1)*(RF!$H$21:$AO$21="RF Valet"),RF!$H$2:$AO$17)</f>
        <v>0</v>
      </c>
      <c r="AX32" s="467">
        <f>SUMPRODUCT((RF!$A$2:$A$17=$A32)*(RFEmp=AX$1)*(RF!$H$21:$AO$21="RF Valet"),RF!$H$2:$AO$17)</f>
        <v>0</v>
      </c>
      <c r="AZ32" s="246"/>
    </row>
    <row r="33" spans="1:52" s="271" customFormat="1" x14ac:dyDescent="0.2">
      <c r="A33" s="247">
        <f t="shared" si="14"/>
        <v>42539</v>
      </c>
      <c r="B33" s="571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5.25</v>
      </c>
      <c r="L33" s="250">
        <f>SUMPRODUCT(('RC'!$A$2:$A$17=$A33)*(RCEmp=L$1),'RC'!$D$2:$AK$17)</f>
        <v>0</v>
      </c>
      <c r="M33" s="250">
        <f>SUMPRODUCT(('RC'!$A$2:$A$17=$A33)*(RCEmp=M$1),'RC'!$D$2:$AK$17)</f>
        <v>4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2.75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250">
        <f>SUMPRODUCT(('RC'!$A$2:$A$17=$A33)*(RCEmp=AV$1),'RC'!$D$2:$AK$17)</f>
        <v>0</v>
      </c>
      <c r="AW33" s="250">
        <f>SUMPRODUCT(('RC'!$A$2:$A$17=$A33)*(RCEmp=AW$1),'RC'!$D$2:$AK$17)</f>
        <v>0</v>
      </c>
      <c r="AX33" s="467">
        <f>SUMPRODUCT(('RC'!$A$2:$A$17=$A33)*(RCEmp=AX$1),'RC'!$D$2:$AK$17)</f>
        <v>0</v>
      </c>
      <c r="AZ33" s="246"/>
    </row>
    <row r="34" spans="1:52" s="271" customFormat="1" x14ac:dyDescent="0.2">
      <c r="A34" s="247">
        <f t="shared" si="14"/>
        <v>42539</v>
      </c>
      <c r="B34" s="614" t="s">
        <v>155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5.5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250">
        <f>SUMPRODUCT((HoO!$A$2:$A$34=$A34)*(HoOEmp=AV$1),HoO!$E$2:$Y$34)</f>
        <v>0</v>
      </c>
      <c r="AW34" s="250">
        <f>SUMPRODUCT((HoO!$A$2:$A$34=$A34)*(HoOEmp=AW$1),HoO!$E$2:$Y$34)</f>
        <v>0</v>
      </c>
      <c r="AX34" s="467">
        <f>SUMPRODUCT((HoO!$A$2:$A$34=$A34)*(HoOEmp=AX$1),HoO!$E$2:$Y$34)</f>
        <v>0</v>
      </c>
      <c r="AZ34" s="246"/>
    </row>
    <row r="35" spans="1:52" s="271" customFormat="1" x14ac:dyDescent="0.2">
      <c r="A35" s="247">
        <f t="shared" si="14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250">
        <f>SUMPRODUCT((TM!$A$2:$A$17=$A35)*(TMEmp=AV$1),TM!$D$2:$AK$17)</f>
        <v>0</v>
      </c>
      <c r="AW35" s="250">
        <f>SUMPRODUCT((TM!$A$2:$A$17=$A35)*(TMEmp=AW$1),TM!$D$2:$AK$17)</f>
        <v>0</v>
      </c>
      <c r="AX35" s="467">
        <f>SUMPRODUCT((TM!$A$2:$A$17=$A35)*(TMEmp=AX$1),TM!$D$2:$AK$17)</f>
        <v>0</v>
      </c>
      <c r="AZ35" s="246"/>
    </row>
    <row r="36" spans="1:52" s="271" customFormat="1" x14ac:dyDescent="0.2">
      <c r="A36" s="256">
        <f t="shared" si="14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259">
        <f>SUMPRODUCT((PC!$A$2:$A$80=$A36)*(PCEmp=AV$1),PC!$D$2:$BD$80)</f>
        <v>0</v>
      </c>
      <c r="AW36" s="259">
        <f>SUMPRODUCT((PC!$A$2:$A$80=$A36)*(PCEmp=AW$1),PC!$D$2:$BD$80)</f>
        <v>0</v>
      </c>
      <c r="AX36" s="468">
        <f>SUMPRODUCT((PC!$A$2:$A$80=$A36)*(PCEmp=AX$1),PC!$D$2:$BD$80)</f>
        <v>0</v>
      </c>
      <c r="AZ36" s="246"/>
    </row>
    <row r="37" spans="1:52" s="271" customFormat="1" x14ac:dyDescent="0.2">
      <c r="A37" s="247">
        <f t="shared" si="14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250">
        <f>SUMPRODUCT((RF!$A$2:$A$17=$A37)*(RFEmp=AV$1)*(RF!$H$21:$AO$21="RF Lead"),RF!$H$2:$AO$17)</f>
        <v>0</v>
      </c>
      <c r="AW37" s="250">
        <f>SUMPRODUCT((RF!$A$2:$A$17=$A37)*(RFEmp=AW$1)*(RF!$H$21:$AO$21="RF Lead"),RF!$H$2:$AO$17)</f>
        <v>0</v>
      </c>
      <c r="AX37" s="467">
        <f>SUMPRODUCT((RF!$A$2:$A$17=$A37)*(RFEmp=AX$1)*(RF!$H$21:$AO$21="RF Lead"),RF!$H$2:$AO$17)</f>
        <v>0</v>
      </c>
      <c r="AZ37" s="246"/>
    </row>
    <row r="38" spans="1:52" s="271" customFormat="1" x14ac:dyDescent="0.2">
      <c r="A38" s="260">
        <f t="shared" si="14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250">
        <f>SUMPRODUCT((SC!$A$2:$A$34=$A38)*(SCEmp=AV$1),SC!$F$2:$Z$34)</f>
        <v>0</v>
      </c>
      <c r="AW38" s="250">
        <f>SUMPRODUCT((SC!$A$2:$A$34=$A38)*(SCEmp=AW$1),SC!$F$2:$Z$34)</f>
        <v>0</v>
      </c>
      <c r="AX38" s="467">
        <f>SUMPRODUCT((SC!$A$2:$A$34=$A38)*(SCEmp=AX$1),SC!$F$2:$Z$34)</f>
        <v>0</v>
      </c>
      <c r="AZ38" s="246"/>
    </row>
    <row r="39" spans="1:52" s="271" customFormat="1" x14ac:dyDescent="0.2">
      <c r="A39" s="262">
        <f t="shared" si="14"/>
        <v>42539</v>
      </c>
      <c r="B39" s="263" t="s">
        <v>87</v>
      </c>
      <c r="C39" s="264">
        <f t="shared" ref="C39:AN39" si="15">IF(SUM(C28:C38)&gt;8,SUM(C28:C38)-8,0)+IF(SUM(C28:C38)&gt;12,SUM(C28:C38)-12,0)</f>
        <v>0</v>
      </c>
      <c r="D39" s="265">
        <f t="shared" si="15"/>
        <v>0</v>
      </c>
      <c r="E39" s="265">
        <f t="shared" si="15"/>
        <v>0</v>
      </c>
      <c r="F39" s="265">
        <f t="shared" si="15"/>
        <v>0</v>
      </c>
      <c r="G39" s="265">
        <f t="shared" si="15"/>
        <v>0</v>
      </c>
      <c r="H39" s="265">
        <f t="shared" si="15"/>
        <v>0</v>
      </c>
      <c r="I39" s="265">
        <f t="shared" si="15"/>
        <v>0</v>
      </c>
      <c r="J39" s="265">
        <f t="shared" si="15"/>
        <v>3.75</v>
      </c>
      <c r="K39" s="265">
        <f t="shared" si="15"/>
        <v>0</v>
      </c>
      <c r="L39" s="265">
        <f t="shared" si="15"/>
        <v>0</v>
      </c>
      <c r="M39" s="265">
        <f t="shared" si="15"/>
        <v>0</v>
      </c>
      <c r="N39" s="265">
        <f t="shared" si="15"/>
        <v>0</v>
      </c>
      <c r="O39" s="265">
        <f t="shared" si="15"/>
        <v>0</v>
      </c>
      <c r="P39" s="265">
        <f t="shared" si="15"/>
        <v>0</v>
      </c>
      <c r="Q39" s="265">
        <f t="shared" si="15"/>
        <v>0</v>
      </c>
      <c r="R39" s="265">
        <f t="shared" si="15"/>
        <v>0</v>
      </c>
      <c r="S39" s="265">
        <f t="shared" si="15"/>
        <v>0</v>
      </c>
      <c r="T39" s="265">
        <f t="shared" si="15"/>
        <v>0</v>
      </c>
      <c r="U39" s="265">
        <f t="shared" si="15"/>
        <v>3</v>
      </c>
      <c r="V39" s="265">
        <f t="shared" si="15"/>
        <v>0</v>
      </c>
      <c r="W39" s="265">
        <f t="shared" si="15"/>
        <v>0</v>
      </c>
      <c r="X39" s="265">
        <f t="shared" si="15"/>
        <v>0</v>
      </c>
      <c r="Y39" s="265">
        <f t="shared" si="15"/>
        <v>0</v>
      </c>
      <c r="Z39" s="265">
        <f t="shared" si="15"/>
        <v>3.75</v>
      </c>
      <c r="AA39" s="265">
        <f t="shared" si="15"/>
        <v>0</v>
      </c>
      <c r="AB39" s="265">
        <f t="shared" si="15"/>
        <v>3.75</v>
      </c>
      <c r="AC39" s="265">
        <f t="shared" si="15"/>
        <v>0</v>
      </c>
      <c r="AD39" s="265">
        <f t="shared" si="15"/>
        <v>0</v>
      </c>
      <c r="AE39" s="265">
        <f t="shared" si="15"/>
        <v>0</v>
      </c>
      <c r="AF39" s="265">
        <f t="shared" si="15"/>
        <v>0</v>
      </c>
      <c r="AG39" s="265">
        <f t="shared" si="15"/>
        <v>0</v>
      </c>
      <c r="AH39" s="265">
        <f t="shared" si="15"/>
        <v>0</v>
      </c>
      <c r="AI39" s="265">
        <f t="shared" si="15"/>
        <v>0</v>
      </c>
      <c r="AJ39" s="265">
        <f t="shared" si="15"/>
        <v>0</v>
      </c>
      <c r="AK39" s="265">
        <f t="shared" si="15"/>
        <v>0</v>
      </c>
      <c r="AL39" s="265">
        <f t="shared" si="15"/>
        <v>0</v>
      </c>
      <c r="AM39" s="265">
        <f t="shared" si="15"/>
        <v>0</v>
      </c>
      <c r="AN39" s="265">
        <f t="shared" si="15"/>
        <v>0</v>
      </c>
      <c r="AO39" s="265">
        <f t="shared" ref="AO39:AU39" si="16">IF(SUM(AO28:AO38)&gt;8,SUM(AO28:AO38)-8,0)+IF(SUM(AO28:AO38)&gt;12,SUM(AO28:AO38)-12,0)</f>
        <v>0</v>
      </c>
      <c r="AP39" s="265">
        <f t="shared" si="16"/>
        <v>0</v>
      </c>
      <c r="AQ39" s="265">
        <f t="shared" si="16"/>
        <v>0</v>
      </c>
      <c r="AR39" s="265">
        <f t="shared" si="16"/>
        <v>0</v>
      </c>
      <c r="AS39" s="265">
        <f t="shared" si="16"/>
        <v>0</v>
      </c>
      <c r="AT39" s="265">
        <f t="shared" si="16"/>
        <v>0</v>
      </c>
      <c r="AU39" s="265">
        <f t="shared" si="16"/>
        <v>0</v>
      </c>
      <c r="AV39" s="265">
        <f t="shared" ref="AV39:AW39" si="17">IF(SUM(AV28:AV38)&gt;8,SUM(AV28:AV38)-8,0)+IF(SUM(AV28:AV38)&gt;12,SUM(AV28:AV38)-12,0)</f>
        <v>0</v>
      </c>
      <c r="AW39" s="265">
        <f t="shared" si="17"/>
        <v>0</v>
      </c>
      <c r="AX39" s="469">
        <f>IF(SUM(AX28:AX38)&gt;8,SUM(AX28:AX38)-8,0)+IF(SUM(AX28:AX38)&gt;12,SUM(AX28:AX38)-12,0)</f>
        <v>0</v>
      </c>
      <c r="AZ39" s="246"/>
    </row>
    <row r="40" spans="1:52" s="271" customFormat="1" x14ac:dyDescent="0.2">
      <c r="A40" s="266">
        <f t="shared" si="14"/>
        <v>42539</v>
      </c>
      <c r="B40" s="267" t="s">
        <v>86</v>
      </c>
      <c r="C40" s="268">
        <f t="shared" ref="C40:AN40" si="18">IFERROR((C$211*SUM(C28:C35)+C$212*SUM(C36:C38))/SUM(C28:C38)/2,0)*C39</f>
        <v>0</v>
      </c>
      <c r="D40" s="269">
        <f t="shared" si="18"/>
        <v>0</v>
      </c>
      <c r="E40" s="269">
        <f t="shared" si="18"/>
        <v>0</v>
      </c>
      <c r="F40" s="269">
        <f t="shared" si="18"/>
        <v>0</v>
      </c>
      <c r="G40" s="269">
        <f t="shared" si="18"/>
        <v>0</v>
      </c>
      <c r="H40" s="269">
        <f t="shared" si="18"/>
        <v>0</v>
      </c>
      <c r="I40" s="269">
        <f t="shared" si="18"/>
        <v>0</v>
      </c>
      <c r="J40" s="269">
        <f t="shared" si="18"/>
        <v>18.75</v>
      </c>
      <c r="K40" s="269">
        <f t="shared" si="18"/>
        <v>0</v>
      </c>
      <c r="L40" s="269">
        <f t="shared" si="18"/>
        <v>0</v>
      </c>
      <c r="M40" s="269">
        <f t="shared" si="18"/>
        <v>0</v>
      </c>
      <c r="N40" s="269">
        <f t="shared" si="18"/>
        <v>0</v>
      </c>
      <c r="O40" s="269">
        <f t="shared" si="18"/>
        <v>0</v>
      </c>
      <c r="P40" s="269">
        <f t="shared" si="18"/>
        <v>0</v>
      </c>
      <c r="Q40" s="269">
        <f t="shared" si="18"/>
        <v>0</v>
      </c>
      <c r="R40" s="269">
        <f t="shared" si="18"/>
        <v>0</v>
      </c>
      <c r="S40" s="269">
        <f t="shared" si="18"/>
        <v>0</v>
      </c>
      <c r="T40" s="269">
        <f t="shared" si="18"/>
        <v>0</v>
      </c>
      <c r="U40" s="269">
        <f t="shared" si="18"/>
        <v>15</v>
      </c>
      <c r="V40" s="269">
        <f t="shared" si="18"/>
        <v>0</v>
      </c>
      <c r="W40" s="269">
        <f t="shared" si="18"/>
        <v>0</v>
      </c>
      <c r="X40" s="269">
        <f t="shared" si="18"/>
        <v>0</v>
      </c>
      <c r="Y40" s="269">
        <f t="shared" si="18"/>
        <v>0</v>
      </c>
      <c r="Z40" s="269">
        <f t="shared" si="18"/>
        <v>18.75</v>
      </c>
      <c r="AA40" s="269">
        <f t="shared" si="18"/>
        <v>0</v>
      </c>
      <c r="AB40" s="269">
        <f t="shared" si="18"/>
        <v>18.75</v>
      </c>
      <c r="AC40" s="269">
        <f t="shared" si="18"/>
        <v>0</v>
      </c>
      <c r="AD40" s="269">
        <f t="shared" si="18"/>
        <v>0</v>
      </c>
      <c r="AE40" s="269">
        <f t="shared" si="18"/>
        <v>0</v>
      </c>
      <c r="AF40" s="269">
        <f t="shared" si="18"/>
        <v>0</v>
      </c>
      <c r="AG40" s="269">
        <f t="shared" si="18"/>
        <v>0</v>
      </c>
      <c r="AH40" s="269">
        <f t="shared" si="18"/>
        <v>0</v>
      </c>
      <c r="AI40" s="269">
        <f t="shared" si="18"/>
        <v>0</v>
      </c>
      <c r="AJ40" s="269">
        <f t="shared" si="18"/>
        <v>0</v>
      </c>
      <c r="AK40" s="269">
        <f t="shared" si="18"/>
        <v>0</v>
      </c>
      <c r="AL40" s="269">
        <f t="shared" si="18"/>
        <v>0</v>
      </c>
      <c r="AM40" s="269">
        <f t="shared" si="18"/>
        <v>0</v>
      </c>
      <c r="AN40" s="269">
        <f t="shared" si="18"/>
        <v>0</v>
      </c>
      <c r="AO40" s="269">
        <f t="shared" ref="AO40:AU40" si="19">IFERROR((AO$211*SUM(AO28:AO35)+AO$212*SUM(AO36:AO38))/SUM(AO28:AO38)/2,0)*AO39</f>
        <v>0</v>
      </c>
      <c r="AP40" s="269">
        <f t="shared" si="19"/>
        <v>0</v>
      </c>
      <c r="AQ40" s="269">
        <f t="shared" si="19"/>
        <v>0</v>
      </c>
      <c r="AR40" s="269">
        <f t="shared" si="19"/>
        <v>0</v>
      </c>
      <c r="AS40" s="269">
        <f t="shared" si="19"/>
        <v>0</v>
      </c>
      <c r="AT40" s="269">
        <f t="shared" si="19"/>
        <v>0</v>
      </c>
      <c r="AU40" s="269">
        <f t="shared" si="19"/>
        <v>0</v>
      </c>
      <c r="AV40" s="269">
        <f t="shared" ref="AV40:AW40" si="20">IFERROR((AV$211*SUM(AV28:AV35)+AV$212*SUM(AV36:AV38))/SUM(AV28:AV38)/2,0)*AV39</f>
        <v>0</v>
      </c>
      <c r="AW40" s="269">
        <f t="shared" si="20"/>
        <v>0</v>
      </c>
      <c r="AX40" s="470">
        <f>IFERROR((AX$211*SUM(AX28:AX35)+AX$212*SUM(AX36:AX38))/SUM(AX28:AX38)/2,0)*AX39</f>
        <v>0</v>
      </c>
      <c r="AZ40" s="246"/>
    </row>
    <row r="41" spans="1:52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250">
        <f>SUMPRODUCT((Driver!$A$2:$A$17=$A41)*(DriverEmp=AV$1),Driver!$C$2:$V$17)</f>
        <v>0</v>
      </c>
      <c r="AW41" s="250">
        <f>SUMPRODUCT((Driver!$A$2:$A$17=$A41)*(DriverEmp=AW$1),Driver!$C$2:$V$17)</f>
        <v>0</v>
      </c>
      <c r="AX41" s="467">
        <f>SUMPRODUCT((Driver!$A$2:$A$17=$A41)*(DriverEmp=AX$1),Driver!$C$2:$V$17)</f>
        <v>0</v>
      </c>
      <c r="AZ41" s="246"/>
    </row>
    <row r="42" spans="1:52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250">
        <f>SUMPRODUCT((PP!$A$2:$A$80=$A42)*(PPEmp=AV$1),PP!$D$2:$BD$80)</f>
        <v>0</v>
      </c>
      <c r="AW42" s="250">
        <f>SUMPRODUCT((PP!$A$2:$A$80=$A42)*(PPEmp=AW$1),PP!$D$2:$BD$80)</f>
        <v>0</v>
      </c>
      <c r="AX42" s="467">
        <f>SUMPRODUCT((PP!$A$2:$A$80=$A42)*(PPEmp=AX$1),PP!$D$2:$BD$80)</f>
        <v>0</v>
      </c>
      <c r="AZ42" s="246"/>
    </row>
    <row r="43" spans="1:52" s="271" customFormat="1" x14ac:dyDescent="0.2">
      <c r="A43" s="247">
        <f t="shared" si="14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250">
        <f>SUMPRODUCT((FH!$A$2:$A$97=$A43)*(FHEmp=AV$1),FH!$E$2:$AZ$97)</f>
        <v>0</v>
      </c>
      <c r="AW43" s="250">
        <f>SUMPRODUCT((FH!$A$2:$A$97=$A43)*(FHEmp=AW$1),FH!$E$2:$AZ$97)</f>
        <v>0</v>
      </c>
      <c r="AX43" s="467">
        <f>SUMPRODUCT((FH!$A$2:$A$97=$A43)*(FHEmp=AX$1),FH!$E$2:$AZ$97)</f>
        <v>0</v>
      </c>
      <c r="AZ43" s="246"/>
    </row>
    <row r="44" spans="1:52" s="271" customFormat="1" x14ac:dyDescent="0.2">
      <c r="A44" s="247">
        <f t="shared" si="14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250">
        <f>SUMPRODUCT(('T22'!$A$2:$A$97=$A44)*(T22Emp=AV$1),'T22'!$E$2:$AZ$97)</f>
        <v>0</v>
      </c>
      <c r="AW44" s="250">
        <f>SUMPRODUCT(('T22'!$A$2:$A$97=$A44)*(T22Emp=AW$1),'T22'!$E$2:$AZ$97)</f>
        <v>0</v>
      </c>
      <c r="AX44" s="467">
        <f>SUMPRODUCT(('T22'!$A$2:$A$97=$A44)*(T22Emp=AX$1),'T22'!$E$2:$AZ$97)</f>
        <v>0</v>
      </c>
      <c r="AZ44" s="246"/>
    </row>
    <row r="45" spans="1:52" s="271" customFormat="1" x14ac:dyDescent="0.2">
      <c r="A45" s="247">
        <f t="shared" si="14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4.5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250">
        <f>SUMPRODUCT((RF!$A$2:$A$17=$A45)*(RFEmp=AV$1)*(RF!$H$21:$AO$21="RF Valet"),RF!$H$2:$AO$17)</f>
        <v>0</v>
      </c>
      <c r="AW45" s="250">
        <f>SUMPRODUCT((RF!$A$2:$A$17=$A45)*(RFEmp=AW$1)*(RF!$H$21:$AO$21="RF Valet"),RF!$H$2:$AO$17)</f>
        <v>0</v>
      </c>
      <c r="AX45" s="467">
        <f>SUMPRODUCT((RF!$A$2:$A$17=$A45)*(RFEmp=AX$1)*(RF!$H$21:$AO$21="RF Valet"),RF!$H$2:$AO$17)</f>
        <v>0</v>
      </c>
      <c r="AZ45" s="246"/>
    </row>
    <row r="46" spans="1:52" s="271" customFormat="1" x14ac:dyDescent="0.2">
      <c r="A46" s="247">
        <f t="shared" si="14"/>
        <v>42540</v>
      </c>
      <c r="B46" s="571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6.25</v>
      </c>
      <c r="N46" s="250">
        <f>SUMPRODUCT(('RC'!$A$2:$A$17=$A46)*(RCEmp=N$1),'RC'!$D$2:$AK$17)</f>
        <v>0</v>
      </c>
      <c r="O46" s="250">
        <f>SUMPRODUCT(('RC'!$A$2:$A$17=$A46)*(RCEmp=O$1),'RC'!$D$2:$AK$17)</f>
        <v>5.5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250">
        <f>SUMPRODUCT(('RC'!$A$2:$A$17=$A46)*(RCEmp=AV$1),'RC'!$D$2:$AK$17)</f>
        <v>0</v>
      </c>
      <c r="AW46" s="250">
        <f>SUMPRODUCT(('RC'!$A$2:$A$17=$A46)*(RCEmp=AW$1),'RC'!$D$2:$AK$17)</f>
        <v>0</v>
      </c>
      <c r="AX46" s="467">
        <f>SUMPRODUCT(('RC'!$A$2:$A$17=$A46)*(RCEmp=AX$1),'RC'!$D$2:$AK$17)</f>
        <v>0</v>
      </c>
      <c r="AZ46" s="246"/>
    </row>
    <row r="47" spans="1:52" s="271" customFormat="1" x14ac:dyDescent="0.2">
      <c r="A47" s="247">
        <f t="shared" si="14"/>
        <v>42540</v>
      </c>
      <c r="B47" s="614" t="s">
        <v>155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250">
        <f>SUMPRODUCT((HoO!$A$2:$A$34=$A47)*(HoOEmp=AV$1),HoO!$E$2:$Y$34)</f>
        <v>0</v>
      </c>
      <c r="AW47" s="250">
        <f>SUMPRODUCT((HoO!$A$2:$A$34=$A47)*(HoOEmp=AW$1),HoO!$E$2:$Y$34)</f>
        <v>0</v>
      </c>
      <c r="AX47" s="467">
        <f>SUMPRODUCT((HoO!$A$2:$A$34=$A47)*(HoOEmp=AX$1),HoO!$E$2:$Y$34)</f>
        <v>0</v>
      </c>
      <c r="AZ47" s="246"/>
    </row>
    <row r="48" spans="1:52" s="271" customFormat="1" x14ac:dyDescent="0.2">
      <c r="A48" s="247">
        <f t="shared" si="14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250">
        <f>SUMPRODUCT((TM!$A$2:$A$17=$A48)*(TMEmp=AV$1),TM!$D$2:$AK$17)</f>
        <v>0</v>
      </c>
      <c r="AW48" s="250">
        <f>SUMPRODUCT((TM!$A$2:$A$17=$A48)*(TMEmp=AW$1),TM!$D$2:$AK$17)</f>
        <v>0</v>
      </c>
      <c r="AX48" s="467">
        <f>SUMPRODUCT((TM!$A$2:$A$17=$A48)*(TMEmp=AX$1),TM!$D$2:$AK$17)</f>
        <v>0</v>
      </c>
      <c r="AZ48" s="246"/>
    </row>
    <row r="49" spans="1:52" s="271" customFormat="1" x14ac:dyDescent="0.2">
      <c r="A49" s="256">
        <f t="shared" si="14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259">
        <f>SUMPRODUCT((PC!$A$2:$A$80=$A49)*(PCEmp=AV$1),PC!$D$2:$BD$80)</f>
        <v>0</v>
      </c>
      <c r="AW49" s="259">
        <f>SUMPRODUCT((PC!$A$2:$A$80=$A49)*(PCEmp=AW$1),PC!$D$2:$BD$80)</f>
        <v>0</v>
      </c>
      <c r="AX49" s="468">
        <f>SUMPRODUCT((PC!$A$2:$A$80=$A49)*(PCEmp=AX$1),PC!$D$2:$BD$80)</f>
        <v>0</v>
      </c>
      <c r="AZ49" s="246"/>
    </row>
    <row r="50" spans="1:52" s="271" customFormat="1" x14ac:dyDescent="0.2">
      <c r="A50" s="247">
        <f t="shared" si="14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250">
        <f>SUMPRODUCT((RF!$A$2:$A$17=$A50)*(RFEmp=AV$1)*(RF!$H$21:$AO$21="RF Lead"),RF!$H$2:$AO$17)</f>
        <v>0</v>
      </c>
      <c r="AW50" s="250">
        <f>SUMPRODUCT((RF!$A$2:$A$17=$A50)*(RFEmp=AW$1)*(RF!$H$21:$AO$21="RF Lead"),RF!$H$2:$AO$17)</f>
        <v>0</v>
      </c>
      <c r="AX50" s="467">
        <f>SUMPRODUCT((RF!$A$2:$A$17=$A50)*(RFEmp=AX$1)*(RF!$H$21:$AO$21="RF Lead"),RF!$H$2:$AO$17)</f>
        <v>0</v>
      </c>
      <c r="AZ50" s="246"/>
    </row>
    <row r="51" spans="1:52" s="271" customFormat="1" x14ac:dyDescent="0.2">
      <c r="A51" s="260">
        <f t="shared" si="14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250">
        <f>SUMPRODUCT((SC!$A$2:$A$34=$A51)*(SCEmp=AV$1),SC!$F$2:$Z$34)</f>
        <v>0</v>
      </c>
      <c r="AW51" s="250">
        <f>SUMPRODUCT((SC!$A$2:$A$34=$A51)*(SCEmp=AW$1),SC!$F$2:$Z$34)</f>
        <v>0</v>
      </c>
      <c r="AX51" s="467">
        <f>SUMPRODUCT((SC!$A$2:$A$34=$A51)*(SCEmp=AX$1),SC!$F$2:$Z$34)</f>
        <v>0</v>
      </c>
      <c r="AZ51" s="246"/>
    </row>
    <row r="52" spans="1:52" s="271" customFormat="1" x14ac:dyDescent="0.2">
      <c r="A52" s="262">
        <f t="shared" si="14"/>
        <v>42540</v>
      </c>
      <c r="B52" s="263" t="s">
        <v>87</v>
      </c>
      <c r="C52" s="264">
        <f t="shared" ref="C52:AN52" si="21">IF(SUM(C41:C51)&gt;8,SUM(C41:C51)-8,0)+IF(SUM(C41:C51)&gt;12,SUM(C41:C51)-12,0)</f>
        <v>0</v>
      </c>
      <c r="D52" s="265">
        <f t="shared" si="21"/>
        <v>0</v>
      </c>
      <c r="E52" s="265">
        <f t="shared" si="21"/>
        <v>0</v>
      </c>
      <c r="F52" s="265">
        <f t="shared" si="21"/>
        <v>0</v>
      </c>
      <c r="G52" s="265">
        <f t="shared" si="21"/>
        <v>0</v>
      </c>
      <c r="H52" s="265">
        <f t="shared" si="21"/>
        <v>0</v>
      </c>
      <c r="I52" s="265">
        <f t="shared" si="21"/>
        <v>0</v>
      </c>
      <c r="J52" s="265">
        <f t="shared" si="21"/>
        <v>0</v>
      </c>
      <c r="K52" s="265">
        <f t="shared" si="21"/>
        <v>0</v>
      </c>
      <c r="L52" s="265">
        <f t="shared" si="21"/>
        <v>0</v>
      </c>
      <c r="M52" s="265">
        <f t="shared" si="21"/>
        <v>0</v>
      </c>
      <c r="N52" s="265">
        <f t="shared" si="21"/>
        <v>0</v>
      </c>
      <c r="O52" s="265">
        <f t="shared" si="21"/>
        <v>0</v>
      </c>
      <c r="P52" s="265">
        <f t="shared" si="21"/>
        <v>0</v>
      </c>
      <c r="Q52" s="265">
        <f t="shared" si="21"/>
        <v>0</v>
      </c>
      <c r="R52" s="265">
        <f t="shared" si="21"/>
        <v>0</v>
      </c>
      <c r="S52" s="265">
        <f t="shared" si="21"/>
        <v>0</v>
      </c>
      <c r="T52" s="265">
        <f t="shared" si="21"/>
        <v>0</v>
      </c>
      <c r="U52" s="265">
        <f t="shared" si="21"/>
        <v>0</v>
      </c>
      <c r="V52" s="265">
        <f t="shared" si="21"/>
        <v>0</v>
      </c>
      <c r="W52" s="265">
        <f t="shared" si="21"/>
        <v>0</v>
      </c>
      <c r="X52" s="265">
        <f t="shared" si="21"/>
        <v>0</v>
      </c>
      <c r="Y52" s="265">
        <f t="shared" si="21"/>
        <v>0</v>
      </c>
      <c r="Z52" s="265">
        <f t="shared" si="21"/>
        <v>0</v>
      </c>
      <c r="AA52" s="265">
        <f t="shared" si="21"/>
        <v>0</v>
      </c>
      <c r="AB52" s="265">
        <f t="shared" si="21"/>
        <v>0</v>
      </c>
      <c r="AC52" s="265">
        <f t="shared" si="21"/>
        <v>0</v>
      </c>
      <c r="AD52" s="265">
        <f t="shared" si="21"/>
        <v>0</v>
      </c>
      <c r="AE52" s="265">
        <f t="shared" si="21"/>
        <v>0</v>
      </c>
      <c r="AF52" s="265">
        <f t="shared" si="21"/>
        <v>0</v>
      </c>
      <c r="AG52" s="265">
        <f t="shared" si="21"/>
        <v>0</v>
      </c>
      <c r="AH52" s="265">
        <f t="shared" si="21"/>
        <v>0</v>
      </c>
      <c r="AI52" s="265">
        <f t="shared" si="21"/>
        <v>0</v>
      </c>
      <c r="AJ52" s="265">
        <f t="shared" si="21"/>
        <v>0</v>
      </c>
      <c r="AK52" s="265">
        <f t="shared" si="21"/>
        <v>0</v>
      </c>
      <c r="AL52" s="265">
        <f t="shared" si="21"/>
        <v>0</v>
      </c>
      <c r="AM52" s="265">
        <f t="shared" si="21"/>
        <v>0</v>
      </c>
      <c r="AN52" s="265">
        <f t="shared" si="21"/>
        <v>0</v>
      </c>
      <c r="AO52" s="265">
        <f t="shared" ref="AO52:AU52" si="22">IF(SUM(AO41:AO51)&gt;8,SUM(AO41:AO51)-8,0)+IF(SUM(AO41:AO51)&gt;12,SUM(AO41:AO51)-12,0)</f>
        <v>0</v>
      </c>
      <c r="AP52" s="265">
        <f t="shared" si="22"/>
        <v>0</v>
      </c>
      <c r="AQ52" s="265">
        <f t="shared" si="22"/>
        <v>0</v>
      </c>
      <c r="AR52" s="265">
        <f t="shared" si="22"/>
        <v>0</v>
      </c>
      <c r="AS52" s="265">
        <f t="shared" si="22"/>
        <v>0</v>
      </c>
      <c r="AT52" s="265">
        <f t="shared" si="22"/>
        <v>0</v>
      </c>
      <c r="AU52" s="265">
        <f t="shared" si="22"/>
        <v>0</v>
      </c>
      <c r="AV52" s="265">
        <f t="shared" ref="AV52:AW52" si="23">IF(SUM(AV41:AV51)&gt;8,SUM(AV41:AV51)-8,0)+IF(SUM(AV41:AV51)&gt;12,SUM(AV41:AV51)-12,0)</f>
        <v>0</v>
      </c>
      <c r="AW52" s="265">
        <f t="shared" si="23"/>
        <v>0</v>
      </c>
      <c r="AX52" s="469">
        <f>IF(SUM(AX41:AX51)&gt;8,SUM(AX41:AX51)-8,0)+IF(SUM(AX41:AX51)&gt;12,SUM(AX41:AX51)-12,0)</f>
        <v>0</v>
      </c>
      <c r="AZ52" s="246"/>
    </row>
    <row r="53" spans="1:52" s="271" customFormat="1" x14ac:dyDescent="0.2">
      <c r="A53" s="266">
        <f t="shared" si="14"/>
        <v>42540</v>
      </c>
      <c r="B53" s="267" t="s">
        <v>86</v>
      </c>
      <c r="C53" s="268">
        <f t="shared" ref="C53:AN53" si="24">IFERROR((C$211*SUM(C41:C48)+C$212*SUM(C49:C51))/SUM(C41:C51)/2,0)*C52</f>
        <v>0</v>
      </c>
      <c r="D53" s="269">
        <f t="shared" si="24"/>
        <v>0</v>
      </c>
      <c r="E53" s="269">
        <f t="shared" si="24"/>
        <v>0</v>
      </c>
      <c r="F53" s="269">
        <f t="shared" si="24"/>
        <v>0</v>
      </c>
      <c r="G53" s="269">
        <f t="shared" si="24"/>
        <v>0</v>
      </c>
      <c r="H53" s="269">
        <f t="shared" si="24"/>
        <v>0</v>
      </c>
      <c r="I53" s="269">
        <f t="shared" si="24"/>
        <v>0</v>
      </c>
      <c r="J53" s="269">
        <f t="shared" si="24"/>
        <v>0</v>
      </c>
      <c r="K53" s="269">
        <f t="shared" si="24"/>
        <v>0</v>
      </c>
      <c r="L53" s="269">
        <f t="shared" si="24"/>
        <v>0</v>
      </c>
      <c r="M53" s="269">
        <f t="shared" si="24"/>
        <v>0</v>
      </c>
      <c r="N53" s="269">
        <f t="shared" si="24"/>
        <v>0</v>
      </c>
      <c r="O53" s="269">
        <f t="shared" si="24"/>
        <v>0</v>
      </c>
      <c r="P53" s="269">
        <f t="shared" si="24"/>
        <v>0</v>
      </c>
      <c r="Q53" s="269">
        <f t="shared" si="24"/>
        <v>0</v>
      </c>
      <c r="R53" s="269">
        <f t="shared" si="24"/>
        <v>0</v>
      </c>
      <c r="S53" s="269">
        <f t="shared" si="24"/>
        <v>0</v>
      </c>
      <c r="T53" s="269">
        <f t="shared" si="24"/>
        <v>0</v>
      </c>
      <c r="U53" s="269">
        <f t="shared" si="24"/>
        <v>0</v>
      </c>
      <c r="V53" s="269">
        <f t="shared" si="24"/>
        <v>0</v>
      </c>
      <c r="W53" s="269">
        <f t="shared" si="24"/>
        <v>0</v>
      </c>
      <c r="X53" s="269">
        <f t="shared" si="24"/>
        <v>0</v>
      </c>
      <c r="Y53" s="269">
        <f t="shared" si="24"/>
        <v>0</v>
      </c>
      <c r="Z53" s="269">
        <f t="shared" si="24"/>
        <v>0</v>
      </c>
      <c r="AA53" s="269">
        <f t="shared" si="24"/>
        <v>0</v>
      </c>
      <c r="AB53" s="269">
        <f t="shared" si="24"/>
        <v>0</v>
      </c>
      <c r="AC53" s="269">
        <f t="shared" si="24"/>
        <v>0</v>
      </c>
      <c r="AD53" s="269">
        <f t="shared" si="24"/>
        <v>0</v>
      </c>
      <c r="AE53" s="269">
        <f t="shared" si="24"/>
        <v>0</v>
      </c>
      <c r="AF53" s="269">
        <f t="shared" si="24"/>
        <v>0</v>
      </c>
      <c r="AG53" s="269">
        <f t="shared" si="24"/>
        <v>0</v>
      </c>
      <c r="AH53" s="269">
        <f t="shared" si="24"/>
        <v>0</v>
      </c>
      <c r="AI53" s="269">
        <f t="shared" si="24"/>
        <v>0</v>
      </c>
      <c r="AJ53" s="269">
        <f t="shared" si="24"/>
        <v>0</v>
      </c>
      <c r="AK53" s="269">
        <f t="shared" si="24"/>
        <v>0</v>
      </c>
      <c r="AL53" s="269">
        <f t="shared" si="24"/>
        <v>0</v>
      </c>
      <c r="AM53" s="269">
        <f t="shared" si="24"/>
        <v>0</v>
      </c>
      <c r="AN53" s="269">
        <f t="shared" si="24"/>
        <v>0</v>
      </c>
      <c r="AO53" s="269">
        <f t="shared" ref="AO53:AU53" si="25">IFERROR((AO$211*SUM(AO41:AO48)+AO$212*SUM(AO49:AO51))/SUM(AO41:AO51)/2,0)*AO52</f>
        <v>0</v>
      </c>
      <c r="AP53" s="269">
        <f t="shared" si="25"/>
        <v>0</v>
      </c>
      <c r="AQ53" s="269">
        <f t="shared" si="25"/>
        <v>0</v>
      </c>
      <c r="AR53" s="269">
        <f t="shared" si="25"/>
        <v>0</v>
      </c>
      <c r="AS53" s="269">
        <f t="shared" si="25"/>
        <v>0</v>
      </c>
      <c r="AT53" s="269">
        <f t="shared" si="25"/>
        <v>0</v>
      </c>
      <c r="AU53" s="269">
        <f t="shared" si="25"/>
        <v>0</v>
      </c>
      <c r="AV53" s="269">
        <f t="shared" ref="AV53:AW53" si="26">IFERROR((AV$211*SUM(AV41:AV48)+AV$212*SUM(AV49:AV51))/SUM(AV41:AV51)/2,0)*AV52</f>
        <v>0</v>
      </c>
      <c r="AW53" s="269">
        <f t="shared" si="26"/>
        <v>0</v>
      </c>
      <c r="AX53" s="470">
        <f>IFERROR((AX$211*SUM(AX41:AX48)+AX$212*SUM(AX49:AX51))/SUM(AX41:AX51)/2,0)*AX52</f>
        <v>0</v>
      </c>
      <c r="AZ53" s="246"/>
    </row>
    <row r="54" spans="1:52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250">
        <f>SUMPRODUCT((Driver!$A$2:$A$17=$A54)*(DriverEmp=AV$1),Driver!$C$2:$V$17)</f>
        <v>0</v>
      </c>
      <c r="AW54" s="250">
        <f>SUMPRODUCT((Driver!$A$2:$A$17=$A54)*(DriverEmp=AW$1),Driver!$C$2:$V$17)</f>
        <v>0</v>
      </c>
      <c r="AX54" s="467">
        <f>SUMPRODUCT((Driver!$A$2:$A$17=$A54)*(DriverEmp=AX$1),Driver!$C$2:$V$17)</f>
        <v>0</v>
      </c>
      <c r="AZ54" s="246"/>
    </row>
    <row r="55" spans="1:52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250">
        <f>SUMPRODUCT((PP!$A$2:$A$80=$A55)*(PPEmp=AV$1),PP!$D$2:$BD$80)</f>
        <v>0</v>
      </c>
      <c r="AW55" s="250">
        <f>SUMPRODUCT((PP!$A$2:$A$80=$A55)*(PPEmp=AW$1),PP!$D$2:$BD$80)</f>
        <v>0</v>
      </c>
      <c r="AX55" s="467">
        <f>SUMPRODUCT((PP!$A$2:$A$80=$A55)*(PPEmp=AX$1),PP!$D$2:$BD$80)</f>
        <v>0</v>
      </c>
      <c r="AZ55" s="246"/>
    </row>
    <row r="56" spans="1:52" s="271" customFormat="1" x14ac:dyDescent="0.2">
      <c r="A56" s="247">
        <f t="shared" si="14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250">
        <f>SUMPRODUCT((FH!$A$2:$A$97=$A56)*(FHEmp=AV$1),FH!$E$2:$AZ$97)</f>
        <v>0</v>
      </c>
      <c r="AW56" s="250">
        <f>SUMPRODUCT((FH!$A$2:$A$97=$A56)*(FHEmp=AW$1),FH!$E$2:$AZ$97)</f>
        <v>0</v>
      </c>
      <c r="AX56" s="467">
        <f>SUMPRODUCT((FH!$A$2:$A$97=$A56)*(FHEmp=AX$1),FH!$E$2:$AZ$97)</f>
        <v>0</v>
      </c>
      <c r="AZ56" s="246"/>
    </row>
    <row r="57" spans="1:52" s="271" customFormat="1" x14ac:dyDescent="0.2">
      <c r="A57" s="247">
        <f t="shared" si="14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250">
        <f>SUMPRODUCT(('T22'!$A$2:$A$97=$A57)*(T22Emp=AV$1),'T22'!$E$2:$AZ$97)</f>
        <v>0</v>
      </c>
      <c r="AW57" s="250">
        <f>SUMPRODUCT(('T22'!$A$2:$A$97=$A57)*(T22Emp=AW$1),'T22'!$E$2:$AZ$97)</f>
        <v>0</v>
      </c>
      <c r="AX57" s="467">
        <f>SUMPRODUCT(('T22'!$A$2:$A$97=$A57)*(T22Emp=AX$1),'T22'!$E$2:$AZ$97)</f>
        <v>0</v>
      </c>
      <c r="AZ57" s="246"/>
    </row>
    <row r="58" spans="1:52" s="271" customFormat="1" x14ac:dyDescent="0.2">
      <c r="A58" s="247">
        <f t="shared" si="14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250">
        <f>SUMPRODUCT((RF!$A$2:$A$17=$A58)*(RFEmp=AV$1)*(RF!$H$21:$AO$21="RF Valet"),RF!$H$2:$AO$17)</f>
        <v>0</v>
      </c>
      <c r="AW58" s="250">
        <f>SUMPRODUCT((RF!$A$2:$A$17=$A58)*(RFEmp=AW$1)*(RF!$H$21:$AO$21="RF Valet"),RF!$H$2:$AO$17)</f>
        <v>0</v>
      </c>
      <c r="AX58" s="467">
        <f>SUMPRODUCT((RF!$A$2:$A$17=$A58)*(RFEmp=AX$1)*(RF!$H$21:$AO$21="RF Valet"),RF!$H$2:$AO$17)</f>
        <v>0</v>
      </c>
      <c r="AZ58" s="246"/>
    </row>
    <row r="59" spans="1:52" s="271" customFormat="1" x14ac:dyDescent="0.2">
      <c r="A59" s="247">
        <f t="shared" si="14"/>
        <v>42541</v>
      </c>
      <c r="B59" s="571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250">
        <f>SUMPRODUCT(('RC'!$A$2:$A$17=$A59)*(RCEmp=AV$1),'RC'!$D$2:$AK$17)</f>
        <v>0</v>
      </c>
      <c r="AW59" s="250">
        <f>SUMPRODUCT(('RC'!$A$2:$A$17=$A59)*(RCEmp=AW$1),'RC'!$D$2:$AK$17)</f>
        <v>0</v>
      </c>
      <c r="AX59" s="467">
        <f>SUMPRODUCT(('RC'!$A$2:$A$17=$A59)*(RCEmp=AX$1),'RC'!$D$2:$AK$17)</f>
        <v>0</v>
      </c>
      <c r="AZ59" s="246"/>
    </row>
    <row r="60" spans="1:52" s="271" customFormat="1" x14ac:dyDescent="0.2">
      <c r="A60" s="247">
        <f t="shared" si="14"/>
        <v>42541</v>
      </c>
      <c r="B60" s="614" t="s">
        <v>155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250">
        <f>SUMPRODUCT((HoO!$A$2:$A$34=$A60)*(HoOEmp=AV$1),HoO!$E$2:$Y$34)</f>
        <v>0</v>
      </c>
      <c r="AW60" s="250">
        <f>SUMPRODUCT((HoO!$A$2:$A$34=$A60)*(HoOEmp=AW$1),HoO!$E$2:$Y$34)</f>
        <v>0</v>
      </c>
      <c r="AX60" s="467">
        <f>SUMPRODUCT((HoO!$A$2:$A$34=$A60)*(HoOEmp=AX$1),HoO!$E$2:$Y$34)</f>
        <v>0</v>
      </c>
      <c r="AZ60" s="246"/>
    </row>
    <row r="61" spans="1:52" s="271" customFormat="1" x14ac:dyDescent="0.2">
      <c r="A61" s="247">
        <f t="shared" si="14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1.25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2.75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1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250">
        <f>SUMPRODUCT((TM!$A$2:$A$17=$A61)*(TMEmp=AV$1),TM!$D$2:$AK$17)</f>
        <v>0</v>
      </c>
      <c r="AW61" s="250">
        <f>SUMPRODUCT((TM!$A$2:$A$17=$A61)*(TMEmp=AW$1),TM!$D$2:$AK$17)</f>
        <v>0</v>
      </c>
      <c r="AX61" s="467">
        <f>SUMPRODUCT((TM!$A$2:$A$17=$A61)*(TMEmp=AX$1),TM!$D$2:$AK$17)</f>
        <v>0</v>
      </c>
      <c r="AZ61" s="246"/>
    </row>
    <row r="62" spans="1:52" s="271" customFormat="1" x14ac:dyDescent="0.2">
      <c r="A62" s="256">
        <f t="shared" si="14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259">
        <f>SUMPRODUCT((PC!$A$2:$A$80=$A62)*(PCEmp=AV$1),PC!$D$2:$BD$80)</f>
        <v>0</v>
      </c>
      <c r="AW62" s="259">
        <f>SUMPRODUCT((PC!$A$2:$A$80=$A62)*(PCEmp=AW$1),PC!$D$2:$BD$80)</f>
        <v>0</v>
      </c>
      <c r="AX62" s="468">
        <f>SUMPRODUCT((PC!$A$2:$A$80=$A62)*(PCEmp=AX$1),PC!$D$2:$BD$80)</f>
        <v>0</v>
      </c>
      <c r="AZ62" s="246"/>
    </row>
    <row r="63" spans="1:52" s="271" customFormat="1" x14ac:dyDescent="0.2">
      <c r="A63" s="247">
        <f t="shared" si="14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250">
        <f>SUMPRODUCT((RF!$A$2:$A$17=$A63)*(RFEmp=AV$1)*(RF!$H$21:$AO$21="RF Lead"),RF!$H$2:$AO$17)</f>
        <v>0</v>
      </c>
      <c r="AW63" s="250">
        <f>SUMPRODUCT((RF!$A$2:$A$17=$A63)*(RFEmp=AW$1)*(RF!$H$21:$AO$21="RF Lead"),RF!$H$2:$AO$17)</f>
        <v>0</v>
      </c>
      <c r="AX63" s="467">
        <f>SUMPRODUCT((RF!$A$2:$A$17=$A63)*(RFEmp=AX$1)*(RF!$H$21:$AO$21="RF Lead"),RF!$H$2:$AO$17)</f>
        <v>0</v>
      </c>
      <c r="AZ63" s="246"/>
    </row>
    <row r="64" spans="1:52" s="271" customFormat="1" x14ac:dyDescent="0.2">
      <c r="A64" s="260">
        <f t="shared" si="14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3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250">
        <f>SUMPRODUCT((SC!$A$2:$A$34=$A64)*(SCEmp=AV$1),SC!$F$2:$Z$34)</f>
        <v>0</v>
      </c>
      <c r="AW64" s="250">
        <f>SUMPRODUCT((SC!$A$2:$A$34=$A64)*(SCEmp=AW$1),SC!$F$2:$Z$34)</f>
        <v>0</v>
      </c>
      <c r="AX64" s="467">
        <f>SUMPRODUCT((SC!$A$2:$A$34=$A64)*(SCEmp=AX$1),SC!$F$2:$Z$34)</f>
        <v>0</v>
      </c>
      <c r="AZ64" s="246"/>
    </row>
    <row r="65" spans="1:52" s="271" customFormat="1" x14ac:dyDescent="0.2">
      <c r="A65" s="262">
        <f t="shared" si="14"/>
        <v>42541</v>
      </c>
      <c r="B65" s="263" t="s">
        <v>87</v>
      </c>
      <c r="C65" s="264">
        <f t="shared" ref="C65:AN65" si="27">IF(SUM(C54:C64)&gt;8,SUM(C54:C64)-8,0)+IF(SUM(C54:C64)&gt;12,SUM(C54:C64)-12,0)</f>
        <v>0</v>
      </c>
      <c r="D65" s="265">
        <f t="shared" si="27"/>
        <v>0</v>
      </c>
      <c r="E65" s="265">
        <f t="shared" si="27"/>
        <v>0</v>
      </c>
      <c r="F65" s="265">
        <f t="shared" si="27"/>
        <v>0</v>
      </c>
      <c r="G65" s="265">
        <f t="shared" si="27"/>
        <v>0</v>
      </c>
      <c r="H65" s="265">
        <f t="shared" si="27"/>
        <v>0</v>
      </c>
      <c r="I65" s="265">
        <f t="shared" si="27"/>
        <v>0</v>
      </c>
      <c r="J65" s="265">
        <f t="shared" si="27"/>
        <v>0</v>
      </c>
      <c r="K65" s="265">
        <f t="shared" si="27"/>
        <v>0</v>
      </c>
      <c r="L65" s="265">
        <f t="shared" si="27"/>
        <v>0</v>
      </c>
      <c r="M65" s="265">
        <f t="shared" si="27"/>
        <v>0</v>
      </c>
      <c r="N65" s="265">
        <f t="shared" si="27"/>
        <v>0</v>
      </c>
      <c r="O65" s="265">
        <f t="shared" si="27"/>
        <v>0</v>
      </c>
      <c r="P65" s="265">
        <f t="shared" si="27"/>
        <v>0</v>
      </c>
      <c r="Q65" s="265">
        <f t="shared" si="27"/>
        <v>0</v>
      </c>
      <c r="R65" s="265">
        <f t="shared" si="27"/>
        <v>0</v>
      </c>
      <c r="S65" s="265">
        <f t="shared" si="27"/>
        <v>0</v>
      </c>
      <c r="T65" s="265">
        <f t="shared" si="27"/>
        <v>0</v>
      </c>
      <c r="U65" s="265">
        <f t="shared" si="27"/>
        <v>0</v>
      </c>
      <c r="V65" s="265">
        <f t="shared" si="27"/>
        <v>0</v>
      </c>
      <c r="W65" s="265">
        <f t="shared" si="27"/>
        <v>0</v>
      </c>
      <c r="X65" s="265">
        <f t="shared" si="27"/>
        <v>0</v>
      </c>
      <c r="Y65" s="265">
        <f t="shared" si="27"/>
        <v>0</v>
      </c>
      <c r="Z65" s="265">
        <f t="shared" si="27"/>
        <v>0</v>
      </c>
      <c r="AA65" s="265">
        <f t="shared" si="27"/>
        <v>0</v>
      </c>
      <c r="AB65" s="265">
        <f t="shared" si="27"/>
        <v>0</v>
      </c>
      <c r="AC65" s="265">
        <f t="shared" si="27"/>
        <v>0</v>
      </c>
      <c r="AD65" s="265">
        <f t="shared" si="27"/>
        <v>0</v>
      </c>
      <c r="AE65" s="265">
        <f t="shared" si="27"/>
        <v>0</v>
      </c>
      <c r="AF65" s="265">
        <f t="shared" si="27"/>
        <v>0</v>
      </c>
      <c r="AG65" s="265">
        <f t="shared" si="27"/>
        <v>0</v>
      </c>
      <c r="AH65" s="265">
        <f t="shared" si="27"/>
        <v>0</v>
      </c>
      <c r="AI65" s="265">
        <f t="shared" si="27"/>
        <v>0</v>
      </c>
      <c r="AJ65" s="265">
        <f t="shared" si="27"/>
        <v>0</v>
      </c>
      <c r="AK65" s="265">
        <f t="shared" si="27"/>
        <v>0</v>
      </c>
      <c r="AL65" s="265">
        <f t="shared" si="27"/>
        <v>0</v>
      </c>
      <c r="AM65" s="265">
        <f t="shared" si="27"/>
        <v>0</v>
      </c>
      <c r="AN65" s="265">
        <f t="shared" si="27"/>
        <v>0</v>
      </c>
      <c r="AO65" s="265">
        <f t="shared" ref="AO65:AU65" si="28">IF(SUM(AO54:AO64)&gt;8,SUM(AO54:AO64)-8,0)+IF(SUM(AO54:AO64)&gt;12,SUM(AO54:AO64)-12,0)</f>
        <v>0</v>
      </c>
      <c r="AP65" s="265">
        <f t="shared" si="28"/>
        <v>0</v>
      </c>
      <c r="AQ65" s="265">
        <f t="shared" si="28"/>
        <v>0</v>
      </c>
      <c r="AR65" s="265">
        <f t="shared" si="28"/>
        <v>0</v>
      </c>
      <c r="AS65" s="265">
        <f t="shared" si="28"/>
        <v>0</v>
      </c>
      <c r="AT65" s="265">
        <f t="shared" si="28"/>
        <v>0</v>
      </c>
      <c r="AU65" s="265">
        <f t="shared" si="28"/>
        <v>0</v>
      </c>
      <c r="AV65" s="265">
        <f t="shared" ref="AV65:AW65" si="29">IF(SUM(AV54:AV64)&gt;8,SUM(AV54:AV64)-8,0)+IF(SUM(AV54:AV64)&gt;12,SUM(AV54:AV64)-12,0)</f>
        <v>0</v>
      </c>
      <c r="AW65" s="265">
        <f t="shared" si="29"/>
        <v>0</v>
      </c>
      <c r="AX65" s="469">
        <f>IF(SUM(AX54:AX64)&gt;8,SUM(AX54:AX64)-8,0)+IF(SUM(AX54:AX64)&gt;12,SUM(AX54:AX64)-12,0)</f>
        <v>0</v>
      </c>
      <c r="AZ65" s="246"/>
    </row>
    <row r="66" spans="1:52" s="271" customFormat="1" x14ac:dyDescent="0.2">
      <c r="A66" s="266">
        <f t="shared" si="14"/>
        <v>42541</v>
      </c>
      <c r="B66" s="267" t="s">
        <v>86</v>
      </c>
      <c r="C66" s="268">
        <f t="shared" ref="C66:AN66" si="30">IFERROR((C$211*SUM(C54:C61)+C$212*SUM(C62:C64))/SUM(C54:C64)/2,0)*C65</f>
        <v>0</v>
      </c>
      <c r="D66" s="269">
        <f t="shared" si="30"/>
        <v>0</v>
      </c>
      <c r="E66" s="269">
        <f t="shared" si="30"/>
        <v>0</v>
      </c>
      <c r="F66" s="269">
        <f t="shared" si="30"/>
        <v>0</v>
      </c>
      <c r="G66" s="269">
        <f t="shared" si="30"/>
        <v>0</v>
      </c>
      <c r="H66" s="269">
        <f t="shared" si="30"/>
        <v>0</v>
      </c>
      <c r="I66" s="269">
        <f t="shared" si="30"/>
        <v>0</v>
      </c>
      <c r="J66" s="269">
        <f t="shared" si="30"/>
        <v>0</v>
      </c>
      <c r="K66" s="269">
        <f t="shared" si="30"/>
        <v>0</v>
      </c>
      <c r="L66" s="269">
        <f t="shared" si="30"/>
        <v>0</v>
      </c>
      <c r="M66" s="269">
        <f t="shared" si="30"/>
        <v>0</v>
      </c>
      <c r="N66" s="269">
        <f t="shared" si="30"/>
        <v>0</v>
      </c>
      <c r="O66" s="269">
        <f t="shared" si="30"/>
        <v>0</v>
      </c>
      <c r="P66" s="269">
        <f t="shared" si="30"/>
        <v>0</v>
      </c>
      <c r="Q66" s="269">
        <f t="shared" si="30"/>
        <v>0</v>
      </c>
      <c r="R66" s="269">
        <f t="shared" si="30"/>
        <v>0</v>
      </c>
      <c r="S66" s="269">
        <f t="shared" si="30"/>
        <v>0</v>
      </c>
      <c r="T66" s="269">
        <f t="shared" si="30"/>
        <v>0</v>
      </c>
      <c r="U66" s="269">
        <f t="shared" si="30"/>
        <v>0</v>
      </c>
      <c r="V66" s="269">
        <f t="shared" si="30"/>
        <v>0</v>
      </c>
      <c r="W66" s="269">
        <f t="shared" si="30"/>
        <v>0</v>
      </c>
      <c r="X66" s="269">
        <f t="shared" si="30"/>
        <v>0</v>
      </c>
      <c r="Y66" s="269">
        <f t="shared" si="30"/>
        <v>0</v>
      </c>
      <c r="Z66" s="269">
        <f t="shared" si="30"/>
        <v>0</v>
      </c>
      <c r="AA66" s="269">
        <f t="shared" si="30"/>
        <v>0</v>
      </c>
      <c r="AB66" s="269">
        <f t="shared" si="30"/>
        <v>0</v>
      </c>
      <c r="AC66" s="269">
        <f t="shared" si="30"/>
        <v>0</v>
      </c>
      <c r="AD66" s="269">
        <f t="shared" si="30"/>
        <v>0</v>
      </c>
      <c r="AE66" s="269">
        <f t="shared" si="30"/>
        <v>0</v>
      </c>
      <c r="AF66" s="269">
        <f t="shared" si="30"/>
        <v>0</v>
      </c>
      <c r="AG66" s="269">
        <f t="shared" si="30"/>
        <v>0</v>
      </c>
      <c r="AH66" s="269">
        <f t="shared" si="30"/>
        <v>0</v>
      </c>
      <c r="AI66" s="269">
        <f t="shared" si="30"/>
        <v>0</v>
      </c>
      <c r="AJ66" s="269">
        <f t="shared" si="30"/>
        <v>0</v>
      </c>
      <c r="AK66" s="269">
        <f t="shared" si="30"/>
        <v>0</v>
      </c>
      <c r="AL66" s="269">
        <f t="shared" si="30"/>
        <v>0</v>
      </c>
      <c r="AM66" s="269">
        <f t="shared" si="30"/>
        <v>0</v>
      </c>
      <c r="AN66" s="269">
        <f t="shared" si="30"/>
        <v>0</v>
      </c>
      <c r="AO66" s="269">
        <f t="shared" ref="AO66:AU66" si="31">IFERROR((AO$211*SUM(AO54:AO61)+AO$212*SUM(AO62:AO64))/SUM(AO54:AO64)/2,0)*AO65</f>
        <v>0</v>
      </c>
      <c r="AP66" s="269">
        <f t="shared" si="31"/>
        <v>0</v>
      </c>
      <c r="AQ66" s="269">
        <f t="shared" si="31"/>
        <v>0</v>
      </c>
      <c r="AR66" s="269">
        <f t="shared" si="31"/>
        <v>0</v>
      </c>
      <c r="AS66" s="269">
        <f t="shared" si="31"/>
        <v>0</v>
      </c>
      <c r="AT66" s="269">
        <f t="shared" si="31"/>
        <v>0</v>
      </c>
      <c r="AU66" s="269">
        <f t="shared" si="31"/>
        <v>0</v>
      </c>
      <c r="AV66" s="269">
        <f t="shared" ref="AV66:AW66" si="32">IFERROR((AV$211*SUM(AV54:AV61)+AV$212*SUM(AV62:AV64))/SUM(AV54:AV64)/2,0)*AV65</f>
        <v>0</v>
      </c>
      <c r="AW66" s="269">
        <f t="shared" si="32"/>
        <v>0</v>
      </c>
      <c r="AX66" s="470">
        <f>IFERROR((AX$211*SUM(AX54:AX61)+AX$212*SUM(AX62:AX64))/SUM(AX54:AX64)/2,0)*AX65</f>
        <v>0</v>
      </c>
      <c r="AZ66" s="246"/>
    </row>
    <row r="67" spans="1:52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250">
        <f>SUMPRODUCT((Driver!$A$2:$A$17=$A67)*(DriverEmp=AV$1),Driver!$C$2:$V$17)</f>
        <v>0</v>
      </c>
      <c r="AW67" s="250">
        <f>SUMPRODUCT((Driver!$A$2:$A$17=$A67)*(DriverEmp=AW$1),Driver!$C$2:$V$17)</f>
        <v>0</v>
      </c>
      <c r="AX67" s="467">
        <f>SUMPRODUCT((Driver!$A$2:$A$17=$A67)*(DriverEmp=AX$1),Driver!$C$2:$V$17)</f>
        <v>0</v>
      </c>
      <c r="AZ67" s="246"/>
    </row>
    <row r="68" spans="1:52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2.5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3.25</v>
      </c>
      <c r="T68" s="250">
        <f>SUMPRODUCT((PP!$A$2:$A$80=$A68)*(PPEmp=T$1),PP!$D$2:$BD$80)</f>
        <v>0</v>
      </c>
      <c r="U68" s="250">
        <f>SUMPRODUCT((PP!$A$2:$A$80=$A68)*(PPEmp=U$1),PP!$D$2:$BD$80)</f>
        <v>3.5</v>
      </c>
      <c r="V68" s="250">
        <f>SUMPRODUCT((PP!$A$2:$A$80=$A68)*(PPEmp=V$1),PP!$D$2:$BD$80)</f>
        <v>3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250">
        <f>SUMPRODUCT((PP!$A$2:$A$80=$A68)*(PPEmp=AV$1),PP!$D$2:$BD$80)</f>
        <v>0</v>
      </c>
      <c r="AW68" s="250">
        <f>SUMPRODUCT((PP!$A$2:$A$80=$A68)*(PPEmp=AW$1),PP!$D$2:$BD$80)</f>
        <v>0</v>
      </c>
      <c r="AX68" s="467">
        <f>SUMPRODUCT((PP!$A$2:$A$80=$A68)*(PPEmp=AX$1),PP!$D$2:$BD$80)</f>
        <v>0</v>
      </c>
      <c r="AZ68" s="246"/>
    </row>
    <row r="69" spans="1:52" s="271" customFormat="1" x14ac:dyDescent="0.2">
      <c r="A69" s="247">
        <f t="shared" si="14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250">
        <f>SUMPRODUCT((FH!$A$2:$A$97=$A69)*(FHEmp=AV$1),FH!$E$2:$AZ$97)</f>
        <v>0</v>
      </c>
      <c r="AW69" s="250">
        <f>SUMPRODUCT((FH!$A$2:$A$97=$A69)*(FHEmp=AW$1),FH!$E$2:$AZ$97)</f>
        <v>0</v>
      </c>
      <c r="AX69" s="467">
        <f>SUMPRODUCT((FH!$A$2:$A$97=$A69)*(FHEmp=AX$1),FH!$E$2:$AZ$97)</f>
        <v>0</v>
      </c>
      <c r="AZ69" s="246"/>
    </row>
    <row r="70" spans="1:52" s="271" customFormat="1" x14ac:dyDescent="0.2">
      <c r="A70" s="247">
        <f t="shared" si="14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250">
        <f>SUMPRODUCT(('T22'!$A$2:$A$97=$A70)*(T22Emp=AV$1),'T22'!$E$2:$AZ$97)</f>
        <v>0</v>
      </c>
      <c r="AW70" s="250">
        <f>SUMPRODUCT(('T22'!$A$2:$A$97=$A70)*(T22Emp=AW$1),'T22'!$E$2:$AZ$97)</f>
        <v>0</v>
      </c>
      <c r="AX70" s="467">
        <f>SUMPRODUCT(('T22'!$A$2:$A$97=$A70)*(T22Emp=AX$1),'T22'!$E$2:$AZ$97)</f>
        <v>0</v>
      </c>
      <c r="AZ70" s="246"/>
    </row>
    <row r="71" spans="1:52" s="271" customFormat="1" x14ac:dyDescent="0.2">
      <c r="A71" s="247">
        <f t="shared" si="14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250">
        <f>SUMPRODUCT((RF!$A$2:$A$17=$A71)*(RFEmp=AV$1)*(RF!$H$21:$AO$21="RF Valet"),RF!$H$2:$AO$17)</f>
        <v>0</v>
      </c>
      <c r="AW71" s="250">
        <f>SUMPRODUCT((RF!$A$2:$A$17=$A71)*(RFEmp=AW$1)*(RF!$H$21:$AO$21="RF Valet"),RF!$H$2:$AO$17)</f>
        <v>0</v>
      </c>
      <c r="AX71" s="467">
        <f>SUMPRODUCT((RF!$A$2:$A$17=$A71)*(RFEmp=AX$1)*(RF!$H$21:$AO$21="RF Valet"),RF!$H$2:$AO$17)</f>
        <v>0</v>
      </c>
      <c r="AZ71" s="246"/>
    </row>
    <row r="72" spans="1:52" s="271" customFormat="1" x14ac:dyDescent="0.2">
      <c r="A72" s="247">
        <f t="shared" si="14"/>
        <v>42542</v>
      </c>
      <c r="B72" s="571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250">
        <f>SUMPRODUCT(('RC'!$A$2:$A$17=$A72)*(RCEmp=AV$1),'RC'!$D$2:$AK$17)</f>
        <v>0</v>
      </c>
      <c r="AW72" s="250">
        <f>SUMPRODUCT(('RC'!$A$2:$A$17=$A72)*(RCEmp=AW$1),'RC'!$D$2:$AK$17)</f>
        <v>0</v>
      </c>
      <c r="AX72" s="467">
        <f>SUMPRODUCT(('RC'!$A$2:$A$17=$A72)*(RCEmp=AX$1),'RC'!$D$2:$AK$17)</f>
        <v>0</v>
      </c>
      <c r="AZ72" s="246"/>
    </row>
    <row r="73" spans="1:52" s="271" customFormat="1" x14ac:dyDescent="0.2">
      <c r="A73" s="247">
        <f t="shared" si="14"/>
        <v>42542</v>
      </c>
      <c r="B73" s="614" t="s">
        <v>155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250">
        <f>SUMPRODUCT((HoO!$A$2:$A$34=$A73)*(HoOEmp=AV$1),HoO!$E$2:$Y$34)</f>
        <v>0</v>
      </c>
      <c r="AW73" s="250">
        <f>SUMPRODUCT((HoO!$A$2:$A$34=$A73)*(HoOEmp=AW$1),HoO!$E$2:$Y$34)</f>
        <v>0</v>
      </c>
      <c r="AX73" s="467">
        <f>SUMPRODUCT((HoO!$A$2:$A$34=$A73)*(HoOEmp=AX$1),HoO!$E$2:$Y$34)</f>
        <v>0</v>
      </c>
      <c r="AZ73" s="246"/>
    </row>
    <row r="74" spans="1:52" s="271" customFormat="1" x14ac:dyDescent="0.2">
      <c r="A74" s="247">
        <f t="shared" si="14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250">
        <f>SUMPRODUCT((TM!$A$2:$A$17=$A74)*(TMEmp=AV$1),TM!$D$2:$AK$17)</f>
        <v>0</v>
      </c>
      <c r="AW74" s="250">
        <f>SUMPRODUCT((TM!$A$2:$A$17=$A74)*(TMEmp=AW$1),TM!$D$2:$AK$17)</f>
        <v>0</v>
      </c>
      <c r="AX74" s="467">
        <f>SUMPRODUCT((TM!$A$2:$A$17=$A74)*(TMEmp=AX$1),TM!$D$2:$AK$17)</f>
        <v>0</v>
      </c>
      <c r="AZ74" s="246"/>
    </row>
    <row r="75" spans="1:52" s="271" customFormat="1" x14ac:dyDescent="0.2">
      <c r="A75" s="256">
        <f t="shared" si="14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259">
        <f>SUMPRODUCT((PC!$A$2:$A$80=$A75)*(PCEmp=AV$1),PC!$D$2:$BD$80)</f>
        <v>0</v>
      </c>
      <c r="AW75" s="259">
        <f>SUMPRODUCT((PC!$A$2:$A$80=$A75)*(PCEmp=AW$1),PC!$D$2:$BD$80)</f>
        <v>0</v>
      </c>
      <c r="AX75" s="468">
        <f>SUMPRODUCT((PC!$A$2:$A$80=$A75)*(PCEmp=AX$1),PC!$D$2:$BD$80)</f>
        <v>0</v>
      </c>
      <c r="AZ75" s="246"/>
    </row>
    <row r="76" spans="1:52" s="271" customFormat="1" x14ac:dyDescent="0.2">
      <c r="A76" s="247">
        <f t="shared" si="14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5.25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250">
        <f>SUMPRODUCT((RF!$A$2:$A$17=$A76)*(RFEmp=AV$1)*(RF!$H$21:$AO$21="RF Lead"),RF!$H$2:$AO$17)</f>
        <v>0</v>
      </c>
      <c r="AW76" s="250">
        <f>SUMPRODUCT((RF!$A$2:$A$17=$A76)*(RFEmp=AW$1)*(RF!$H$21:$AO$21="RF Lead"),RF!$H$2:$AO$17)</f>
        <v>0</v>
      </c>
      <c r="AX76" s="467">
        <f>SUMPRODUCT((RF!$A$2:$A$17=$A76)*(RFEmp=AX$1)*(RF!$H$21:$AO$21="RF Lead"),RF!$H$2:$AO$17)</f>
        <v>0</v>
      </c>
      <c r="AZ76" s="246"/>
    </row>
    <row r="77" spans="1:52" s="271" customFormat="1" x14ac:dyDescent="0.2">
      <c r="A77" s="260">
        <f t="shared" si="14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3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250">
        <f>SUMPRODUCT((SC!$A$2:$A$34=$A77)*(SCEmp=AV$1),SC!$F$2:$Z$34)</f>
        <v>0</v>
      </c>
      <c r="AW77" s="250">
        <f>SUMPRODUCT((SC!$A$2:$A$34=$A77)*(SCEmp=AW$1),SC!$F$2:$Z$34)</f>
        <v>0</v>
      </c>
      <c r="AX77" s="467">
        <f>SUMPRODUCT((SC!$A$2:$A$34=$A77)*(SCEmp=AX$1),SC!$F$2:$Z$34)</f>
        <v>0</v>
      </c>
      <c r="AZ77" s="246"/>
    </row>
    <row r="78" spans="1:52" s="271" customFormat="1" x14ac:dyDescent="0.2">
      <c r="A78" s="262">
        <f t="shared" si="14"/>
        <v>42542</v>
      </c>
      <c r="B78" s="263" t="s">
        <v>87</v>
      </c>
      <c r="C78" s="264">
        <f t="shared" ref="C78:AN78" si="33">IF(SUM(C67:C77)&gt;8,SUM(C67:C77)-8,0)+IF(SUM(C67:C77)&gt;12,SUM(C67:C77)-12,0)</f>
        <v>0</v>
      </c>
      <c r="D78" s="265">
        <f t="shared" si="33"/>
        <v>0</v>
      </c>
      <c r="E78" s="265">
        <f t="shared" si="33"/>
        <v>0</v>
      </c>
      <c r="F78" s="265">
        <f t="shared" si="33"/>
        <v>0</v>
      </c>
      <c r="G78" s="265">
        <f t="shared" si="33"/>
        <v>0</v>
      </c>
      <c r="H78" s="265">
        <f t="shared" si="33"/>
        <v>0</v>
      </c>
      <c r="I78" s="265">
        <f t="shared" si="33"/>
        <v>0</v>
      </c>
      <c r="J78" s="265">
        <f t="shared" si="33"/>
        <v>0</v>
      </c>
      <c r="K78" s="265">
        <f t="shared" si="33"/>
        <v>0</v>
      </c>
      <c r="L78" s="265">
        <f t="shared" si="33"/>
        <v>0</v>
      </c>
      <c r="M78" s="265">
        <f t="shared" si="33"/>
        <v>0</v>
      </c>
      <c r="N78" s="265">
        <f t="shared" si="33"/>
        <v>0</v>
      </c>
      <c r="O78" s="265">
        <f t="shared" si="33"/>
        <v>0</v>
      </c>
      <c r="P78" s="265">
        <f t="shared" si="33"/>
        <v>0</v>
      </c>
      <c r="Q78" s="265">
        <f t="shared" si="33"/>
        <v>0</v>
      </c>
      <c r="R78" s="265">
        <f t="shared" si="33"/>
        <v>0</v>
      </c>
      <c r="S78" s="265">
        <f t="shared" si="33"/>
        <v>0</v>
      </c>
      <c r="T78" s="265">
        <f t="shared" si="33"/>
        <v>0</v>
      </c>
      <c r="U78" s="265">
        <f t="shared" si="33"/>
        <v>0</v>
      </c>
      <c r="V78" s="265">
        <f t="shared" si="33"/>
        <v>0</v>
      </c>
      <c r="W78" s="265">
        <f t="shared" si="33"/>
        <v>0</v>
      </c>
      <c r="X78" s="265">
        <f t="shared" si="33"/>
        <v>0</v>
      </c>
      <c r="Y78" s="265">
        <f t="shared" si="33"/>
        <v>0</v>
      </c>
      <c r="Z78" s="265">
        <f t="shared" si="33"/>
        <v>0</v>
      </c>
      <c r="AA78" s="265">
        <f t="shared" si="33"/>
        <v>0</v>
      </c>
      <c r="AB78" s="265">
        <f t="shared" si="33"/>
        <v>0</v>
      </c>
      <c r="AC78" s="265">
        <f t="shared" si="33"/>
        <v>0</v>
      </c>
      <c r="AD78" s="265">
        <f t="shared" si="33"/>
        <v>0</v>
      </c>
      <c r="AE78" s="265">
        <f t="shared" si="33"/>
        <v>0</v>
      </c>
      <c r="AF78" s="265">
        <f t="shared" si="33"/>
        <v>0</v>
      </c>
      <c r="AG78" s="265">
        <f t="shared" si="33"/>
        <v>0</v>
      </c>
      <c r="AH78" s="265">
        <f t="shared" si="33"/>
        <v>0</v>
      </c>
      <c r="AI78" s="265">
        <f t="shared" si="33"/>
        <v>0</v>
      </c>
      <c r="AJ78" s="265">
        <f t="shared" si="33"/>
        <v>0</v>
      </c>
      <c r="AK78" s="265">
        <f t="shared" si="33"/>
        <v>0</v>
      </c>
      <c r="AL78" s="265">
        <f t="shared" si="33"/>
        <v>0</v>
      </c>
      <c r="AM78" s="265">
        <f t="shared" si="33"/>
        <v>0</v>
      </c>
      <c r="AN78" s="265">
        <f t="shared" si="33"/>
        <v>0</v>
      </c>
      <c r="AO78" s="265">
        <f t="shared" ref="AO78:AU78" si="34">IF(SUM(AO67:AO77)&gt;8,SUM(AO67:AO77)-8,0)+IF(SUM(AO67:AO77)&gt;12,SUM(AO67:AO77)-12,0)</f>
        <v>0</v>
      </c>
      <c r="AP78" s="265">
        <f t="shared" si="34"/>
        <v>0</v>
      </c>
      <c r="AQ78" s="265">
        <f t="shared" si="34"/>
        <v>0</v>
      </c>
      <c r="AR78" s="265">
        <f t="shared" si="34"/>
        <v>0</v>
      </c>
      <c r="AS78" s="265">
        <f t="shared" si="34"/>
        <v>0</v>
      </c>
      <c r="AT78" s="265">
        <f t="shared" si="34"/>
        <v>0</v>
      </c>
      <c r="AU78" s="265">
        <f t="shared" si="34"/>
        <v>0</v>
      </c>
      <c r="AV78" s="265">
        <f t="shared" ref="AV78:AW78" si="35">IF(SUM(AV67:AV77)&gt;8,SUM(AV67:AV77)-8,0)+IF(SUM(AV67:AV77)&gt;12,SUM(AV67:AV77)-12,0)</f>
        <v>0</v>
      </c>
      <c r="AW78" s="265">
        <f t="shared" si="35"/>
        <v>0</v>
      </c>
      <c r="AX78" s="469">
        <f>IF(SUM(AX67:AX77)&gt;8,SUM(AX67:AX77)-8,0)+IF(SUM(AX67:AX77)&gt;12,SUM(AX67:AX77)-12,0)</f>
        <v>0</v>
      </c>
      <c r="AZ78" s="246"/>
    </row>
    <row r="79" spans="1:52" s="271" customFormat="1" x14ac:dyDescent="0.2">
      <c r="A79" s="266">
        <f t="shared" si="14"/>
        <v>42542</v>
      </c>
      <c r="B79" s="267" t="s">
        <v>86</v>
      </c>
      <c r="C79" s="268">
        <f t="shared" ref="C79:AN79" si="36">IFERROR((C$211*SUM(C67:C74)+C$212*SUM(C75:C77))/SUM(C67:C77)/2,0)*C78</f>
        <v>0</v>
      </c>
      <c r="D79" s="269">
        <f t="shared" si="36"/>
        <v>0</v>
      </c>
      <c r="E79" s="269">
        <f t="shared" si="36"/>
        <v>0</v>
      </c>
      <c r="F79" s="269">
        <f t="shared" si="36"/>
        <v>0</v>
      </c>
      <c r="G79" s="269">
        <f t="shared" si="36"/>
        <v>0</v>
      </c>
      <c r="H79" s="269">
        <f t="shared" si="36"/>
        <v>0</v>
      </c>
      <c r="I79" s="269">
        <f t="shared" si="36"/>
        <v>0</v>
      </c>
      <c r="J79" s="269">
        <f t="shared" si="36"/>
        <v>0</v>
      </c>
      <c r="K79" s="269">
        <f t="shared" si="36"/>
        <v>0</v>
      </c>
      <c r="L79" s="269">
        <f t="shared" si="36"/>
        <v>0</v>
      </c>
      <c r="M79" s="269">
        <f t="shared" si="36"/>
        <v>0</v>
      </c>
      <c r="N79" s="269">
        <f t="shared" si="36"/>
        <v>0</v>
      </c>
      <c r="O79" s="269">
        <f t="shared" si="36"/>
        <v>0</v>
      </c>
      <c r="P79" s="269">
        <f t="shared" si="36"/>
        <v>0</v>
      </c>
      <c r="Q79" s="269">
        <f t="shared" si="36"/>
        <v>0</v>
      </c>
      <c r="R79" s="269">
        <f t="shared" si="36"/>
        <v>0</v>
      </c>
      <c r="S79" s="269">
        <f t="shared" si="36"/>
        <v>0</v>
      </c>
      <c r="T79" s="269">
        <f t="shared" si="36"/>
        <v>0</v>
      </c>
      <c r="U79" s="269">
        <f t="shared" si="36"/>
        <v>0</v>
      </c>
      <c r="V79" s="269">
        <f t="shared" si="36"/>
        <v>0</v>
      </c>
      <c r="W79" s="269">
        <f t="shared" si="36"/>
        <v>0</v>
      </c>
      <c r="X79" s="269">
        <f t="shared" si="36"/>
        <v>0</v>
      </c>
      <c r="Y79" s="269">
        <f t="shared" si="36"/>
        <v>0</v>
      </c>
      <c r="Z79" s="269">
        <f t="shared" si="36"/>
        <v>0</v>
      </c>
      <c r="AA79" s="269">
        <f t="shared" si="36"/>
        <v>0</v>
      </c>
      <c r="AB79" s="269">
        <f t="shared" si="36"/>
        <v>0</v>
      </c>
      <c r="AC79" s="269">
        <f t="shared" si="36"/>
        <v>0</v>
      </c>
      <c r="AD79" s="269">
        <f t="shared" si="36"/>
        <v>0</v>
      </c>
      <c r="AE79" s="269">
        <f t="shared" si="36"/>
        <v>0</v>
      </c>
      <c r="AF79" s="269">
        <f t="shared" si="36"/>
        <v>0</v>
      </c>
      <c r="AG79" s="269">
        <f t="shared" si="36"/>
        <v>0</v>
      </c>
      <c r="AH79" s="269">
        <f t="shared" si="36"/>
        <v>0</v>
      </c>
      <c r="AI79" s="269">
        <f t="shared" si="36"/>
        <v>0</v>
      </c>
      <c r="AJ79" s="269">
        <f t="shared" si="36"/>
        <v>0</v>
      </c>
      <c r="AK79" s="269">
        <f t="shared" si="36"/>
        <v>0</v>
      </c>
      <c r="AL79" s="269">
        <f t="shared" si="36"/>
        <v>0</v>
      </c>
      <c r="AM79" s="269">
        <f t="shared" si="36"/>
        <v>0</v>
      </c>
      <c r="AN79" s="269">
        <f t="shared" si="36"/>
        <v>0</v>
      </c>
      <c r="AO79" s="269">
        <f t="shared" ref="AO79:AU79" si="37">IFERROR((AO$211*SUM(AO67:AO74)+AO$212*SUM(AO75:AO77))/SUM(AO67:AO77)/2,0)*AO78</f>
        <v>0</v>
      </c>
      <c r="AP79" s="269">
        <f t="shared" si="37"/>
        <v>0</v>
      </c>
      <c r="AQ79" s="269">
        <f t="shared" si="37"/>
        <v>0</v>
      </c>
      <c r="AR79" s="269">
        <f t="shared" si="37"/>
        <v>0</v>
      </c>
      <c r="AS79" s="269">
        <f t="shared" si="37"/>
        <v>0</v>
      </c>
      <c r="AT79" s="269">
        <f t="shared" si="37"/>
        <v>0</v>
      </c>
      <c r="AU79" s="269">
        <f t="shared" si="37"/>
        <v>0</v>
      </c>
      <c r="AV79" s="269">
        <f t="shared" ref="AV79:AW79" si="38">IFERROR((AV$211*SUM(AV67:AV74)+AV$212*SUM(AV75:AV77))/SUM(AV67:AV77)/2,0)*AV78</f>
        <v>0</v>
      </c>
      <c r="AW79" s="269">
        <f t="shared" si="38"/>
        <v>0</v>
      </c>
      <c r="AX79" s="470">
        <f>IFERROR((AX$211*SUM(AX67:AX74)+AX$212*SUM(AX75:AX77))/SUM(AX67:AX77)/2,0)*AX78</f>
        <v>0</v>
      </c>
      <c r="AZ79" s="246"/>
    </row>
    <row r="80" spans="1:52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250">
        <f>SUMPRODUCT((Driver!$A$2:$A$17=$A80)*(DriverEmp=AV$1),Driver!$C$2:$V$17)</f>
        <v>0</v>
      </c>
      <c r="AW80" s="250">
        <f>SUMPRODUCT((Driver!$A$2:$A$17=$A80)*(DriverEmp=AW$1),Driver!$C$2:$V$17)</f>
        <v>0</v>
      </c>
      <c r="AX80" s="467">
        <f>SUMPRODUCT((Driver!$A$2:$A$17=$A80)*(DriverEmp=AX$1),Driver!$C$2:$V$17)</f>
        <v>0</v>
      </c>
      <c r="AZ80" s="246"/>
    </row>
    <row r="81" spans="1:52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2.5</v>
      </c>
      <c r="D81" s="250">
        <f>SUMPRODUCT((PP!$A$2:$A$80=$A81)*(PPEmp=D$1),PP!$D$2:$BD$80)</f>
        <v>0</v>
      </c>
      <c r="E81" s="250">
        <f>SUMPRODUCT((PP!$A$2:$A$80=$A81)*(PPEmp=E$1),PP!$D$2:$BD$80)</f>
        <v>2.5</v>
      </c>
      <c r="F81" s="250">
        <f>SUMPRODUCT((PP!$A$2:$A$80=$A81)*(PPEmp=F$1),PP!$D$2:$BD$80)</f>
        <v>2.5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2.75</v>
      </c>
      <c r="V81" s="250">
        <f>SUMPRODUCT((PP!$A$2:$A$80=$A81)*(PPEmp=V$1),PP!$D$2:$BD$80)</f>
        <v>0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250">
        <f>SUMPRODUCT((PP!$A$2:$A$80=$A81)*(PPEmp=AV$1),PP!$D$2:$BD$80)</f>
        <v>0</v>
      </c>
      <c r="AW81" s="250">
        <f>SUMPRODUCT((PP!$A$2:$A$80=$A81)*(PPEmp=AW$1),PP!$D$2:$BD$80)</f>
        <v>0</v>
      </c>
      <c r="AX81" s="467">
        <f>SUMPRODUCT((PP!$A$2:$A$80=$A81)*(PPEmp=AX$1),PP!$D$2:$BD$80)</f>
        <v>0</v>
      </c>
      <c r="AZ81" s="246"/>
    </row>
    <row r="82" spans="1:52" s="271" customFormat="1" x14ac:dyDescent="0.2">
      <c r="A82" s="247">
        <f t="shared" si="14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250">
        <f>SUMPRODUCT((FH!$A$2:$A$97=$A82)*(FHEmp=AV$1),FH!$E$2:$AZ$97)</f>
        <v>0</v>
      </c>
      <c r="AW82" s="250">
        <f>SUMPRODUCT((FH!$A$2:$A$97=$A82)*(FHEmp=AW$1),FH!$E$2:$AZ$97)</f>
        <v>0</v>
      </c>
      <c r="AX82" s="467">
        <f>SUMPRODUCT((FH!$A$2:$A$97=$A82)*(FHEmp=AX$1),FH!$E$2:$AZ$97)</f>
        <v>0</v>
      </c>
      <c r="AZ82" s="246"/>
    </row>
    <row r="83" spans="1:52" s="271" customFormat="1" x14ac:dyDescent="0.2">
      <c r="A83" s="247">
        <f t="shared" si="14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250">
        <f>SUMPRODUCT(('T22'!$A$2:$A$97=$A83)*(T22Emp=AV$1),'T22'!$E$2:$AZ$97)</f>
        <v>0</v>
      </c>
      <c r="AW83" s="250">
        <f>SUMPRODUCT(('T22'!$A$2:$A$97=$A83)*(T22Emp=AW$1),'T22'!$E$2:$AZ$97)</f>
        <v>0</v>
      </c>
      <c r="AX83" s="467">
        <f>SUMPRODUCT(('T22'!$A$2:$A$97=$A83)*(T22Emp=AX$1),'T22'!$E$2:$AZ$97)</f>
        <v>0</v>
      </c>
      <c r="AZ83" s="246"/>
    </row>
    <row r="84" spans="1:52" s="271" customFormat="1" x14ac:dyDescent="0.2">
      <c r="A84" s="247">
        <f t="shared" si="14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250">
        <f>SUMPRODUCT((RF!$A$2:$A$17=$A84)*(RFEmp=AV$1)*(RF!$H$21:$AO$21="RF Valet"),RF!$H$2:$AO$17)</f>
        <v>0</v>
      </c>
      <c r="AW84" s="250">
        <f>SUMPRODUCT((RF!$A$2:$A$17=$A84)*(RFEmp=AW$1)*(RF!$H$21:$AO$21="RF Valet"),RF!$H$2:$AO$17)</f>
        <v>0</v>
      </c>
      <c r="AX84" s="467">
        <f>SUMPRODUCT((RF!$A$2:$A$17=$A84)*(RFEmp=AX$1)*(RF!$H$21:$AO$21="RF Valet"),RF!$H$2:$AO$17)</f>
        <v>0</v>
      </c>
      <c r="AZ84" s="246"/>
    </row>
    <row r="85" spans="1:52" s="271" customFormat="1" x14ac:dyDescent="0.2">
      <c r="A85" s="247">
        <f t="shared" si="14"/>
        <v>42543</v>
      </c>
      <c r="B85" s="571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8.75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250">
        <f>SUMPRODUCT(('RC'!$A$2:$A$17=$A85)*(RCEmp=AV$1),'RC'!$D$2:$AK$17)</f>
        <v>0</v>
      </c>
      <c r="AW85" s="250">
        <f>SUMPRODUCT(('RC'!$A$2:$A$17=$A85)*(RCEmp=AW$1),'RC'!$D$2:$AK$17)</f>
        <v>0</v>
      </c>
      <c r="AX85" s="467">
        <f>SUMPRODUCT(('RC'!$A$2:$A$17=$A85)*(RCEmp=AX$1),'RC'!$D$2:$AK$17)</f>
        <v>0</v>
      </c>
      <c r="AZ85" s="246"/>
    </row>
    <row r="86" spans="1:52" s="271" customFormat="1" x14ac:dyDescent="0.2">
      <c r="A86" s="247">
        <f t="shared" si="14"/>
        <v>42543</v>
      </c>
      <c r="B86" s="614" t="s">
        <v>155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250">
        <f>SUMPRODUCT((HoO!$A$2:$A$34=$A86)*(HoOEmp=AV$1),HoO!$E$2:$Y$34)</f>
        <v>0</v>
      </c>
      <c r="AW86" s="250">
        <f>SUMPRODUCT((HoO!$A$2:$A$34=$A86)*(HoOEmp=AW$1),HoO!$E$2:$Y$34)</f>
        <v>0</v>
      </c>
      <c r="AX86" s="467">
        <f>SUMPRODUCT((HoO!$A$2:$A$34=$A86)*(HoOEmp=AX$1),HoO!$E$2:$Y$34)</f>
        <v>0</v>
      </c>
      <c r="AZ86" s="246"/>
    </row>
    <row r="87" spans="1:52" s="271" customFormat="1" x14ac:dyDescent="0.2">
      <c r="A87" s="247">
        <f t="shared" si="14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250">
        <f>SUMPRODUCT((TM!$A$2:$A$17=$A87)*(TMEmp=AV$1),TM!$D$2:$AK$17)</f>
        <v>0</v>
      </c>
      <c r="AW87" s="250">
        <f>SUMPRODUCT((TM!$A$2:$A$17=$A87)*(TMEmp=AW$1),TM!$D$2:$AK$17)</f>
        <v>0</v>
      </c>
      <c r="AX87" s="467">
        <f>SUMPRODUCT((TM!$A$2:$A$17=$A87)*(TMEmp=AX$1),TM!$D$2:$AK$17)</f>
        <v>0</v>
      </c>
      <c r="AZ87" s="246"/>
    </row>
    <row r="88" spans="1:52" s="271" customFormat="1" x14ac:dyDescent="0.2">
      <c r="A88" s="256">
        <f t="shared" si="14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259">
        <f>SUMPRODUCT((PC!$A$2:$A$80=$A88)*(PCEmp=AV$1),PC!$D$2:$BD$80)</f>
        <v>0</v>
      </c>
      <c r="AW88" s="259">
        <f>SUMPRODUCT((PC!$A$2:$A$80=$A88)*(PCEmp=AW$1),PC!$D$2:$BD$80)</f>
        <v>0</v>
      </c>
      <c r="AX88" s="468">
        <f>SUMPRODUCT((PC!$A$2:$A$80=$A88)*(PCEmp=AX$1),PC!$D$2:$BD$80)</f>
        <v>0</v>
      </c>
      <c r="AZ88" s="246"/>
    </row>
    <row r="89" spans="1:52" s="271" customFormat="1" x14ac:dyDescent="0.2">
      <c r="A89" s="247">
        <f t="shared" si="14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5.25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250">
        <f>SUMPRODUCT((RF!$A$2:$A$17=$A89)*(RFEmp=AV$1)*(RF!$H$21:$AO$21="RF Lead"),RF!$H$2:$AO$17)</f>
        <v>0</v>
      </c>
      <c r="AW89" s="250">
        <f>SUMPRODUCT((RF!$A$2:$A$17=$A89)*(RFEmp=AW$1)*(RF!$H$21:$AO$21="RF Lead"),RF!$H$2:$AO$17)</f>
        <v>0</v>
      </c>
      <c r="AX89" s="467">
        <f>SUMPRODUCT((RF!$A$2:$A$17=$A89)*(RFEmp=AX$1)*(RF!$H$21:$AO$21="RF Lead"),RF!$H$2:$AO$17)</f>
        <v>0</v>
      </c>
      <c r="AZ89" s="246"/>
    </row>
    <row r="90" spans="1:52" s="271" customFormat="1" x14ac:dyDescent="0.2">
      <c r="A90" s="260">
        <f t="shared" si="14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3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250">
        <f>SUMPRODUCT((SC!$A$2:$A$34=$A90)*(SCEmp=AV$1),SC!$F$2:$Z$34)</f>
        <v>0</v>
      </c>
      <c r="AW90" s="250">
        <f>SUMPRODUCT((SC!$A$2:$A$34=$A90)*(SCEmp=AW$1),SC!$F$2:$Z$34)</f>
        <v>0</v>
      </c>
      <c r="AX90" s="467">
        <f>SUMPRODUCT((SC!$A$2:$A$34=$A90)*(SCEmp=AX$1),SC!$F$2:$Z$34)</f>
        <v>0</v>
      </c>
      <c r="AZ90" s="246"/>
    </row>
    <row r="91" spans="1:52" s="271" customFormat="1" x14ac:dyDescent="0.2">
      <c r="A91" s="262">
        <f t="shared" si="14"/>
        <v>42543</v>
      </c>
      <c r="B91" s="263" t="s">
        <v>87</v>
      </c>
      <c r="C91" s="264">
        <f t="shared" ref="C91:AN91" si="39">IF(SUM(C80:C90)&gt;8,SUM(C80:C90)-8,0)+IF(SUM(C80:C90)&gt;12,SUM(C80:C90)-12,0)</f>
        <v>0</v>
      </c>
      <c r="D91" s="265">
        <f t="shared" si="39"/>
        <v>0</v>
      </c>
      <c r="E91" s="265">
        <f t="shared" si="39"/>
        <v>0</v>
      </c>
      <c r="F91" s="265">
        <f t="shared" si="39"/>
        <v>0</v>
      </c>
      <c r="G91" s="265">
        <f t="shared" si="39"/>
        <v>0</v>
      </c>
      <c r="H91" s="265">
        <f t="shared" si="39"/>
        <v>0</v>
      </c>
      <c r="I91" s="265">
        <f t="shared" si="39"/>
        <v>0</v>
      </c>
      <c r="J91" s="265">
        <f t="shared" si="39"/>
        <v>0</v>
      </c>
      <c r="K91" s="265">
        <f t="shared" si="39"/>
        <v>0</v>
      </c>
      <c r="L91" s="265">
        <f t="shared" si="39"/>
        <v>0</v>
      </c>
      <c r="M91" s="265">
        <f t="shared" si="39"/>
        <v>0.75</v>
      </c>
      <c r="N91" s="265">
        <f t="shared" si="39"/>
        <v>0</v>
      </c>
      <c r="O91" s="265">
        <f t="shared" si="39"/>
        <v>0</v>
      </c>
      <c r="P91" s="265">
        <f t="shared" si="39"/>
        <v>0</v>
      </c>
      <c r="Q91" s="265">
        <f t="shared" si="39"/>
        <v>0</v>
      </c>
      <c r="R91" s="265">
        <f t="shared" si="39"/>
        <v>0</v>
      </c>
      <c r="S91" s="265">
        <f t="shared" si="39"/>
        <v>0</v>
      </c>
      <c r="T91" s="265">
        <f t="shared" si="39"/>
        <v>0</v>
      </c>
      <c r="U91" s="265">
        <f t="shared" si="39"/>
        <v>0</v>
      </c>
      <c r="V91" s="265">
        <f t="shared" si="39"/>
        <v>0</v>
      </c>
      <c r="W91" s="265">
        <f t="shared" si="39"/>
        <v>0</v>
      </c>
      <c r="X91" s="265">
        <f t="shared" si="39"/>
        <v>0</v>
      </c>
      <c r="Y91" s="265">
        <f t="shared" si="39"/>
        <v>0</v>
      </c>
      <c r="Z91" s="265">
        <f t="shared" si="39"/>
        <v>0</v>
      </c>
      <c r="AA91" s="265">
        <f t="shared" si="39"/>
        <v>0</v>
      </c>
      <c r="AB91" s="265">
        <f t="shared" si="39"/>
        <v>0</v>
      </c>
      <c r="AC91" s="265">
        <f t="shared" si="39"/>
        <v>0</v>
      </c>
      <c r="AD91" s="265">
        <f t="shared" si="39"/>
        <v>0</v>
      </c>
      <c r="AE91" s="265">
        <f t="shared" si="39"/>
        <v>0</v>
      </c>
      <c r="AF91" s="265">
        <f t="shared" si="39"/>
        <v>0</v>
      </c>
      <c r="AG91" s="265">
        <f t="shared" si="39"/>
        <v>0</v>
      </c>
      <c r="AH91" s="265">
        <f t="shared" si="39"/>
        <v>0</v>
      </c>
      <c r="AI91" s="265">
        <f t="shared" si="39"/>
        <v>0</v>
      </c>
      <c r="AJ91" s="265">
        <f t="shared" si="39"/>
        <v>0</v>
      </c>
      <c r="AK91" s="265">
        <f t="shared" si="39"/>
        <v>0</v>
      </c>
      <c r="AL91" s="265">
        <f t="shared" si="39"/>
        <v>0</v>
      </c>
      <c r="AM91" s="265">
        <f t="shared" si="39"/>
        <v>0</v>
      </c>
      <c r="AN91" s="265">
        <f t="shared" si="39"/>
        <v>0</v>
      </c>
      <c r="AO91" s="265">
        <f t="shared" ref="AO91:AU91" si="40">IF(SUM(AO80:AO90)&gt;8,SUM(AO80:AO90)-8,0)+IF(SUM(AO80:AO90)&gt;12,SUM(AO80:AO90)-12,0)</f>
        <v>0</v>
      </c>
      <c r="AP91" s="265">
        <f t="shared" si="40"/>
        <v>0</v>
      </c>
      <c r="AQ91" s="265">
        <f t="shared" si="40"/>
        <v>0</v>
      </c>
      <c r="AR91" s="265">
        <f t="shared" si="40"/>
        <v>0</v>
      </c>
      <c r="AS91" s="265">
        <f t="shared" si="40"/>
        <v>0</v>
      </c>
      <c r="AT91" s="265">
        <f t="shared" si="40"/>
        <v>0</v>
      </c>
      <c r="AU91" s="265">
        <f t="shared" si="40"/>
        <v>0</v>
      </c>
      <c r="AV91" s="265">
        <f t="shared" ref="AV91:AW91" si="41">IF(SUM(AV80:AV90)&gt;8,SUM(AV80:AV90)-8,0)+IF(SUM(AV80:AV90)&gt;12,SUM(AV80:AV90)-12,0)</f>
        <v>0</v>
      </c>
      <c r="AW91" s="265">
        <f t="shared" si="41"/>
        <v>0</v>
      </c>
      <c r="AX91" s="469">
        <f>IF(SUM(AX80:AX90)&gt;8,SUM(AX80:AX90)-8,0)+IF(SUM(AX80:AX90)&gt;12,SUM(AX80:AX90)-12,0)</f>
        <v>0</v>
      </c>
      <c r="AZ91" s="246"/>
    </row>
    <row r="92" spans="1:52" s="271" customFormat="1" x14ac:dyDescent="0.2">
      <c r="A92" s="266">
        <f t="shared" si="14"/>
        <v>42543</v>
      </c>
      <c r="B92" s="267" t="s">
        <v>86</v>
      </c>
      <c r="C92" s="268">
        <f t="shared" ref="C92:AN92" si="42">IFERROR((C$211*SUM(C80:C87)+C$212*SUM(C88:C90))/SUM(C80:C90)/2,0)*C91</f>
        <v>0</v>
      </c>
      <c r="D92" s="269">
        <f t="shared" si="42"/>
        <v>0</v>
      </c>
      <c r="E92" s="269">
        <f t="shared" si="42"/>
        <v>0</v>
      </c>
      <c r="F92" s="269">
        <f t="shared" si="42"/>
        <v>0</v>
      </c>
      <c r="G92" s="269">
        <f t="shared" si="42"/>
        <v>0</v>
      </c>
      <c r="H92" s="269">
        <f t="shared" si="42"/>
        <v>0</v>
      </c>
      <c r="I92" s="269">
        <f t="shared" si="42"/>
        <v>0</v>
      </c>
      <c r="J92" s="269">
        <f t="shared" si="42"/>
        <v>0</v>
      </c>
      <c r="K92" s="269">
        <f t="shared" si="42"/>
        <v>0</v>
      </c>
      <c r="L92" s="269">
        <f t="shared" si="42"/>
        <v>0</v>
      </c>
      <c r="M92" s="269">
        <f t="shared" si="42"/>
        <v>3.75</v>
      </c>
      <c r="N92" s="269">
        <f t="shared" si="42"/>
        <v>0</v>
      </c>
      <c r="O92" s="269">
        <f t="shared" si="42"/>
        <v>0</v>
      </c>
      <c r="P92" s="269">
        <f t="shared" si="42"/>
        <v>0</v>
      </c>
      <c r="Q92" s="269">
        <f t="shared" si="42"/>
        <v>0</v>
      </c>
      <c r="R92" s="269">
        <f t="shared" si="42"/>
        <v>0</v>
      </c>
      <c r="S92" s="269">
        <f t="shared" si="42"/>
        <v>0</v>
      </c>
      <c r="T92" s="269">
        <f t="shared" si="42"/>
        <v>0</v>
      </c>
      <c r="U92" s="269">
        <f t="shared" si="42"/>
        <v>0</v>
      </c>
      <c r="V92" s="269">
        <f t="shared" si="42"/>
        <v>0</v>
      </c>
      <c r="W92" s="269">
        <f t="shared" si="42"/>
        <v>0</v>
      </c>
      <c r="X92" s="269">
        <f t="shared" si="42"/>
        <v>0</v>
      </c>
      <c r="Y92" s="269">
        <f t="shared" si="42"/>
        <v>0</v>
      </c>
      <c r="Z92" s="269">
        <f t="shared" si="42"/>
        <v>0</v>
      </c>
      <c r="AA92" s="269">
        <f t="shared" si="42"/>
        <v>0</v>
      </c>
      <c r="AB92" s="269">
        <f t="shared" si="42"/>
        <v>0</v>
      </c>
      <c r="AC92" s="269">
        <f t="shared" si="42"/>
        <v>0</v>
      </c>
      <c r="AD92" s="269">
        <f t="shared" si="42"/>
        <v>0</v>
      </c>
      <c r="AE92" s="269">
        <f t="shared" si="42"/>
        <v>0</v>
      </c>
      <c r="AF92" s="269">
        <f t="shared" si="42"/>
        <v>0</v>
      </c>
      <c r="AG92" s="269">
        <f t="shared" si="42"/>
        <v>0</v>
      </c>
      <c r="AH92" s="269">
        <f t="shared" si="42"/>
        <v>0</v>
      </c>
      <c r="AI92" s="269">
        <f t="shared" si="42"/>
        <v>0</v>
      </c>
      <c r="AJ92" s="269">
        <f t="shared" si="42"/>
        <v>0</v>
      </c>
      <c r="AK92" s="269">
        <f t="shared" si="42"/>
        <v>0</v>
      </c>
      <c r="AL92" s="269">
        <f t="shared" si="42"/>
        <v>0</v>
      </c>
      <c r="AM92" s="269">
        <f t="shared" si="42"/>
        <v>0</v>
      </c>
      <c r="AN92" s="269">
        <f t="shared" si="42"/>
        <v>0</v>
      </c>
      <c r="AO92" s="269">
        <f t="shared" ref="AO92:AU92" si="43">IFERROR((AO$211*SUM(AO80:AO87)+AO$212*SUM(AO88:AO90))/SUM(AO80:AO90)/2,0)*AO91</f>
        <v>0</v>
      </c>
      <c r="AP92" s="269">
        <f t="shared" si="43"/>
        <v>0</v>
      </c>
      <c r="AQ92" s="269">
        <f t="shared" si="43"/>
        <v>0</v>
      </c>
      <c r="AR92" s="269">
        <f t="shared" si="43"/>
        <v>0</v>
      </c>
      <c r="AS92" s="269">
        <f t="shared" si="43"/>
        <v>0</v>
      </c>
      <c r="AT92" s="269">
        <f t="shared" si="43"/>
        <v>0</v>
      </c>
      <c r="AU92" s="269">
        <f t="shared" si="43"/>
        <v>0</v>
      </c>
      <c r="AV92" s="269">
        <f t="shared" ref="AV92:AW92" si="44">IFERROR((AV$211*SUM(AV80:AV87)+AV$212*SUM(AV88:AV90))/SUM(AV80:AV90)/2,0)*AV91</f>
        <v>0</v>
      </c>
      <c r="AW92" s="269">
        <f t="shared" si="44"/>
        <v>0</v>
      </c>
      <c r="AX92" s="470">
        <f>IFERROR((AX$211*SUM(AX80:AX87)+AX$212*SUM(AX88:AX90))/SUM(AX80:AX90)/2,0)*AX91</f>
        <v>0</v>
      </c>
      <c r="AZ92" s="246"/>
    </row>
    <row r="93" spans="1:52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250">
        <f>SUMPRODUCT((Driver!$A$2:$A$17=$A93)*(DriverEmp=AV$1),Driver!$C$2:$V$17)</f>
        <v>0</v>
      </c>
      <c r="AW93" s="250">
        <f>SUMPRODUCT((Driver!$A$2:$A$17=$A93)*(DriverEmp=AW$1),Driver!$C$2:$V$17)</f>
        <v>0</v>
      </c>
      <c r="AX93" s="467">
        <f>SUMPRODUCT((Driver!$A$2:$A$17=$A93)*(DriverEmp=AX$1),Driver!$C$2:$V$17)</f>
        <v>0</v>
      </c>
      <c r="AZ93" s="246"/>
    </row>
    <row r="94" spans="1:52" s="271" customFormat="1" x14ac:dyDescent="0.2">
      <c r="A94" s="247">
        <f t="shared" ref="A94:A157" si="45">A93</f>
        <v>42544</v>
      </c>
      <c r="B94" s="251" t="str">
        <f>Total!$H$1</f>
        <v>PP</v>
      </c>
      <c r="C94" s="249">
        <f>SUMPRODUCT((PP!$A$2:$A$80=$A94)*(PPEmp=C$1),PP!$D$2:$BD$80)</f>
        <v>0</v>
      </c>
      <c r="D94" s="250">
        <f>SUMPRODUCT((PP!$A$2:$A$80=$A94)*(PPEmp=D$1),PP!$D$2:$BD$80)</f>
        <v>0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0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0</v>
      </c>
      <c r="AD94" s="250">
        <f>SUMPRODUCT((PP!$A$2:$A$80=$A94)*(PPEmp=AD$1),PP!$D$2:$BD$80)</f>
        <v>0</v>
      </c>
      <c r="AE94" s="250">
        <f>SUMPRODUCT((PP!$A$2:$A$80=$A94)*(PPEmp=AE$1),PP!$D$2:$BD$80)</f>
        <v>0</v>
      </c>
      <c r="AF94" s="250">
        <f>SUMPRODUCT((PP!$A$2:$A$80=$A94)*(PPEmp=AF$1),PP!$D$2:$BD$80)</f>
        <v>0</v>
      </c>
      <c r="AG94" s="250">
        <f>SUMPRODUCT((PP!$A$2:$A$80=$A94)*(PPEmp=AG$1),PP!$D$2:$BD$80)</f>
        <v>0</v>
      </c>
      <c r="AH94" s="250">
        <f>SUMPRODUCT((PP!$A$2:$A$80=$A94)*(PPEmp=AH$1),PP!$D$2:$BD$80)</f>
        <v>0</v>
      </c>
      <c r="AI94" s="250">
        <f>SUMPRODUCT((PP!$A$2:$A$80=$A94)*(PPEmp=AI$1),PP!$D$2:$BD$80)</f>
        <v>0</v>
      </c>
      <c r="AJ94" s="250">
        <f>SUMPRODUCT((PP!$A$2:$A$80=$A94)*(PPEmp=AJ$1),PP!$D$2:$BD$80)</f>
        <v>0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250">
        <f>SUMPRODUCT((PP!$A$2:$A$80=$A94)*(PPEmp=AV$1),PP!$D$2:$BD$80)</f>
        <v>0</v>
      </c>
      <c r="AW94" s="250">
        <f>SUMPRODUCT((PP!$A$2:$A$80=$A94)*(PPEmp=AW$1),PP!$D$2:$BD$80)</f>
        <v>0</v>
      </c>
      <c r="AX94" s="467">
        <f>SUMPRODUCT((PP!$A$2:$A$80=$A94)*(PPEmp=AX$1),PP!$D$2:$BD$80)</f>
        <v>0</v>
      </c>
      <c r="AZ94" s="246"/>
    </row>
    <row r="95" spans="1:52" s="271" customFormat="1" x14ac:dyDescent="0.2">
      <c r="A95" s="247">
        <f t="shared" si="45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250">
        <f>SUMPRODUCT((FH!$A$2:$A$97=$A95)*(FHEmp=AV$1),FH!$E$2:$AZ$97)</f>
        <v>0</v>
      </c>
      <c r="AW95" s="250">
        <f>SUMPRODUCT((FH!$A$2:$A$97=$A95)*(FHEmp=AW$1),FH!$E$2:$AZ$97)</f>
        <v>0</v>
      </c>
      <c r="AX95" s="467">
        <f>SUMPRODUCT((FH!$A$2:$A$97=$A95)*(FHEmp=AX$1),FH!$E$2:$AZ$97)</f>
        <v>0</v>
      </c>
      <c r="AZ95" s="246"/>
    </row>
    <row r="96" spans="1:52" s="271" customFormat="1" x14ac:dyDescent="0.2">
      <c r="A96" s="247">
        <f t="shared" si="45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250">
        <f>SUMPRODUCT(('T22'!$A$2:$A$97=$A96)*(T22Emp=AV$1),'T22'!$E$2:$AZ$97)</f>
        <v>0</v>
      </c>
      <c r="AW96" s="250">
        <f>SUMPRODUCT(('T22'!$A$2:$A$97=$A96)*(T22Emp=AW$1),'T22'!$E$2:$AZ$97)</f>
        <v>0</v>
      </c>
      <c r="AX96" s="467">
        <f>SUMPRODUCT(('T22'!$A$2:$A$97=$A96)*(T22Emp=AX$1),'T22'!$E$2:$AZ$97)</f>
        <v>0</v>
      </c>
      <c r="AZ96" s="246"/>
    </row>
    <row r="97" spans="1:52" s="271" customFormat="1" x14ac:dyDescent="0.2">
      <c r="A97" s="247">
        <f t="shared" si="45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250">
        <f>SUMPRODUCT((RF!$A$2:$A$17=$A97)*(RFEmp=AV$1)*(RF!$H$21:$AO$21="RF Valet"),RF!$H$2:$AO$17)</f>
        <v>0</v>
      </c>
      <c r="AW97" s="250">
        <f>SUMPRODUCT((RF!$A$2:$A$17=$A97)*(RFEmp=AW$1)*(RF!$H$21:$AO$21="RF Valet"),RF!$H$2:$AO$17)</f>
        <v>0</v>
      </c>
      <c r="AX97" s="467">
        <f>SUMPRODUCT((RF!$A$2:$A$17=$A97)*(RFEmp=AX$1)*(RF!$H$21:$AO$21="RF Valet"),RF!$H$2:$AO$17)</f>
        <v>0</v>
      </c>
      <c r="AZ97" s="246"/>
    </row>
    <row r="98" spans="1:52" s="271" customFormat="1" x14ac:dyDescent="0.2">
      <c r="A98" s="247">
        <f t="shared" si="45"/>
        <v>42544</v>
      </c>
      <c r="B98" s="571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8.25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250">
        <f>SUMPRODUCT(('RC'!$A$2:$A$17=$A98)*(RCEmp=AV$1),'RC'!$D$2:$AK$17)</f>
        <v>0</v>
      </c>
      <c r="AW98" s="250">
        <f>SUMPRODUCT(('RC'!$A$2:$A$17=$A98)*(RCEmp=AW$1),'RC'!$D$2:$AK$17)</f>
        <v>0</v>
      </c>
      <c r="AX98" s="467">
        <f>SUMPRODUCT(('RC'!$A$2:$A$17=$A98)*(RCEmp=AX$1),'RC'!$D$2:$AK$17)</f>
        <v>0</v>
      </c>
      <c r="AZ98" s="246"/>
    </row>
    <row r="99" spans="1:52" s="271" customFormat="1" x14ac:dyDescent="0.2">
      <c r="A99" s="247">
        <f t="shared" si="45"/>
        <v>42544</v>
      </c>
      <c r="B99" s="614" t="s">
        <v>155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250">
        <f>SUMPRODUCT((HoO!$A$2:$A$34=$A99)*(HoOEmp=AV$1),HoO!$E$2:$Y$34)</f>
        <v>0</v>
      </c>
      <c r="AW99" s="250">
        <f>SUMPRODUCT((HoO!$A$2:$A$34=$A99)*(HoOEmp=AW$1),HoO!$E$2:$Y$34)</f>
        <v>0</v>
      </c>
      <c r="AX99" s="467">
        <f>SUMPRODUCT((HoO!$A$2:$A$34=$A99)*(HoOEmp=AX$1),HoO!$E$2:$Y$34)</f>
        <v>0</v>
      </c>
      <c r="AZ99" s="246"/>
    </row>
    <row r="100" spans="1:52" s="271" customFormat="1" x14ac:dyDescent="0.2">
      <c r="A100" s="247">
        <f t="shared" si="45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250">
        <f>SUMPRODUCT((TM!$A$2:$A$17=$A100)*(TMEmp=AV$1),TM!$D$2:$AK$17)</f>
        <v>0</v>
      </c>
      <c r="AW100" s="250">
        <f>SUMPRODUCT((TM!$A$2:$A$17=$A100)*(TMEmp=AW$1),TM!$D$2:$AK$17)</f>
        <v>0</v>
      </c>
      <c r="AX100" s="467">
        <f>SUMPRODUCT((TM!$A$2:$A$17=$A100)*(TMEmp=AX$1),TM!$D$2:$AK$17)</f>
        <v>0</v>
      </c>
      <c r="AZ100" s="246"/>
    </row>
    <row r="101" spans="1:52" s="271" customFormat="1" x14ac:dyDescent="0.2">
      <c r="A101" s="256">
        <f t="shared" si="45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259">
        <f>SUMPRODUCT((PC!$A$2:$A$80=$A101)*(PCEmp=AV$1),PC!$D$2:$BD$80)</f>
        <v>0</v>
      </c>
      <c r="AW101" s="259">
        <f>SUMPRODUCT((PC!$A$2:$A$80=$A101)*(PCEmp=AW$1),PC!$D$2:$BD$80)</f>
        <v>0</v>
      </c>
      <c r="AX101" s="468">
        <f>SUMPRODUCT((PC!$A$2:$A$80=$A101)*(PCEmp=AX$1),PC!$D$2:$BD$80)</f>
        <v>0</v>
      </c>
      <c r="AZ101" s="246"/>
    </row>
    <row r="102" spans="1:52" s="271" customFormat="1" x14ac:dyDescent="0.2">
      <c r="A102" s="247">
        <f t="shared" si="45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5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250">
        <f>SUMPRODUCT((RF!$A$2:$A$17=$A102)*(RFEmp=AV$1)*(RF!$H$21:$AO$21="RF Lead"),RF!$H$2:$AO$17)</f>
        <v>0</v>
      </c>
      <c r="AW102" s="250">
        <f>SUMPRODUCT((RF!$A$2:$A$17=$A102)*(RFEmp=AW$1)*(RF!$H$21:$AO$21="RF Lead"),RF!$H$2:$AO$17)</f>
        <v>0</v>
      </c>
      <c r="AX102" s="467">
        <f>SUMPRODUCT((RF!$A$2:$A$17=$A102)*(RFEmp=AX$1)*(RF!$H$21:$AO$21="RF Lead"),RF!$H$2:$AO$17)</f>
        <v>0</v>
      </c>
      <c r="AZ102" s="246"/>
    </row>
    <row r="103" spans="1:52" s="271" customFormat="1" x14ac:dyDescent="0.2">
      <c r="A103" s="260">
        <f t="shared" si="45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4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250">
        <f>SUMPRODUCT((SC!$A$2:$A$34=$A103)*(SCEmp=AV$1),SC!$F$2:$Z$34)</f>
        <v>0</v>
      </c>
      <c r="AW103" s="250">
        <f>SUMPRODUCT((SC!$A$2:$A$34=$A103)*(SCEmp=AW$1),SC!$F$2:$Z$34)</f>
        <v>0</v>
      </c>
      <c r="AX103" s="467">
        <f>SUMPRODUCT((SC!$A$2:$A$34=$A103)*(SCEmp=AX$1),SC!$F$2:$Z$34)</f>
        <v>0</v>
      </c>
      <c r="AZ103" s="246"/>
    </row>
    <row r="104" spans="1:52" s="271" customFormat="1" x14ac:dyDescent="0.2">
      <c r="A104" s="262">
        <f t="shared" si="45"/>
        <v>42544</v>
      </c>
      <c r="B104" s="263" t="s">
        <v>87</v>
      </c>
      <c r="C104" s="264">
        <f t="shared" ref="C104:AN104" si="46">IF(SUM(C93:C103)&gt;8,SUM(C93:C103)-8,0)+IF(SUM(C93:C103)&gt;12,SUM(C93:C103)-12,0)</f>
        <v>0</v>
      </c>
      <c r="D104" s="265">
        <f t="shared" si="46"/>
        <v>0</v>
      </c>
      <c r="E104" s="265">
        <f t="shared" si="46"/>
        <v>0</v>
      </c>
      <c r="F104" s="265">
        <f t="shared" si="46"/>
        <v>0</v>
      </c>
      <c r="G104" s="265">
        <f t="shared" si="46"/>
        <v>0</v>
      </c>
      <c r="H104" s="265">
        <f t="shared" si="46"/>
        <v>0</v>
      </c>
      <c r="I104" s="265">
        <f t="shared" si="46"/>
        <v>0</v>
      </c>
      <c r="J104" s="265">
        <f t="shared" si="46"/>
        <v>0</v>
      </c>
      <c r="K104" s="265">
        <f t="shared" si="46"/>
        <v>0</v>
      </c>
      <c r="L104" s="265">
        <f t="shared" si="46"/>
        <v>0</v>
      </c>
      <c r="M104" s="265">
        <f t="shared" si="46"/>
        <v>0</v>
      </c>
      <c r="N104" s="265">
        <f t="shared" si="46"/>
        <v>0</v>
      </c>
      <c r="O104" s="265">
        <f t="shared" si="46"/>
        <v>0.25</v>
      </c>
      <c r="P104" s="265">
        <f t="shared" si="46"/>
        <v>0</v>
      </c>
      <c r="Q104" s="265">
        <f t="shared" si="46"/>
        <v>0</v>
      </c>
      <c r="R104" s="265">
        <f t="shared" si="46"/>
        <v>0</v>
      </c>
      <c r="S104" s="265">
        <f t="shared" si="46"/>
        <v>0</v>
      </c>
      <c r="T104" s="265">
        <f t="shared" si="46"/>
        <v>0</v>
      </c>
      <c r="U104" s="265">
        <f t="shared" si="46"/>
        <v>0</v>
      </c>
      <c r="V104" s="265">
        <f t="shared" si="46"/>
        <v>0</v>
      </c>
      <c r="W104" s="265">
        <f t="shared" si="46"/>
        <v>0</v>
      </c>
      <c r="X104" s="265">
        <f t="shared" si="46"/>
        <v>0</v>
      </c>
      <c r="Y104" s="265">
        <f t="shared" si="46"/>
        <v>0</v>
      </c>
      <c r="Z104" s="265">
        <f t="shared" si="46"/>
        <v>0</v>
      </c>
      <c r="AA104" s="265">
        <f t="shared" si="46"/>
        <v>0</v>
      </c>
      <c r="AB104" s="265">
        <f t="shared" si="46"/>
        <v>0</v>
      </c>
      <c r="AC104" s="265">
        <f t="shared" si="46"/>
        <v>0</v>
      </c>
      <c r="AD104" s="265">
        <f t="shared" si="46"/>
        <v>0</v>
      </c>
      <c r="AE104" s="265">
        <f t="shared" si="46"/>
        <v>0</v>
      </c>
      <c r="AF104" s="265">
        <f t="shared" si="46"/>
        <v>0</v>
      </c>
      <c r="AG104" s="265">
        <f t="shared" si="46"/>
        <v>0</v>
      </c>
      <c r="AH104" s="265">
        <f t="shared" si="46"/>
        <v>0</v>
      </c>
      <c r="AI104" s="265">
        <f t="shared" si="46"/>
        <v>0</v>
      </c>
      <c r="AJ104" s="265">
        <f t="shared" si="46"/>
        <v>0</v>
      </c>
      <c r="AK104" s="265">
        <f t="shared" si="46"/>
        <v>0</v>
      </c>
      <c r="AL104" s="265">
        <f t="shared" si="46"/>
        <v>0</v>
      </c>
      <c r="AM104" s="265">
        <f t="shared" si="46"/>
        <v>0</v>
      </c>
      <c r="AN104" s="265">
        <f t="shared" si="46"/>
        <v>0</v>
      </c>
      <c r="AO104" s="265">
        <f t="shared" ref="AO104:AU104" si="47">IF(SUM(AO93:AO103)&gt;8,SUM(AO93:AO103)-8,0)+IF(SUM(AO93:AO103)&gt;12,SUM(AO93:AO103)-12,0)</f>
        <v>0</v>
      </c>
      <c r="AP104" s="265">
        <f t="shared" si="47"/>
        <v>0</v>
      </c>
      <c r="AQ104" s="265">
        <f t="shared" si="47"/>
        <v>0</v>
      </c>
      <c r="AR104" s="265">
        <f t="shared" si="47"/>
        <v>0</v>
      </c>
      <c r="AS104" s="265">
        <f t="shared" si="47"/>
        <v>0</v>
      </c>
      <c r="AT104" s="265">
        <f t="shared" si="47"/>
        <v>0</v>
      </c>
      <c r="AU104" s="265">
        <f t="shared" si="47"/>
        <v>0</v>
      </c>
      <c r="AV104" s="265">
        <f t="shared" ref="AV104:AW104" si="48">IF(SUM(AV93:AV103)&gt;8,SUM(AV93:AV103)-8,0)+IF(SUM(AV93:AV103)&gt;12,SUM(AV93:AV103)-12,0)</f>
        <v>0</v>
      </c>
      <c r="AW104" s="265">
        <f t="shared" si="48"/>
        <v>0</v>
      </c>
      <c r="AX104" s="469">
        <f>IF(SUM(AX93:AX103)&gt;8,SUM(AX93:AX103)-8,0)+IF(SUM(AX93:AX103)&gt;12,SUM(AX93:AX103)-12,0)</f>
        <v>0</v>
      </c>
      <c r="AZ104" s="246"/>
    </row>
    <row r="105" spans="1:52" s="271" customFormat="1" x14ac:dyDescent="0.2">
      <c r="A105" s="266">
        <f t="shared" si="45"/>
        <v>42544</v>
      </c>
      <c r="B105" s="267" t="s">
        <v>86</v>
      </c>
      <c r="C105" s="268">
        <f t="shared" ref="C105:AN105" si="49">IFERROR((C$211*SUM(C93:C100)+C$212*SUM(C101:C103))/SUM(C93:C103)/2,0)*C104</f>
        <v>0</v>
      </c>
      <c r="D105" s="269">
        <f t="shared" si="49"/>
        <v>0</v>
      </c>
      <c r="E105" s="269">
        <f t="shared" si="49"/>
        <v>0</v>
      </c>
      <c r="F105" s="269">
        <f t="shared" si="49"/>
        <v>0</v>
      </c>
      <c r="G105" s="269">
        <f t="shared" si="49"/>
        <v>0</v>
      </c>
      <c r="H105" s="269">
        <f t="shared" si="49"/>
        <v>0</v>
      </c>
      <c r="I105" s="269">
        <f t="shared" si="49"/>
        <v>0</v>
      </c>
      <c r="J105" s="269">
        <f t="shared" si="49"/>
        <v>0</v>
      </c>
      <c r="K105" s="269">
        <f t="shared" si="49"/>
        <v>0</v>
      </c>
      <c r="L105" s="269">
        <f t="shared" si="49"/>
        <v>0</v>
      </c>
      <c r="M105" s="269">
        <f t="shared" si="49"/>
        <v>0</v>
      </c>
      <c r="N105" s="269">
        <f t="shared" si="49"/>
        <v>0</v>
      </c>
      <c r="O105" s="269">
        <f t="shared" si="49"/>
        <v>1.25</v>
      </c>
      <c r="P105" s="269">
        <f t="shared" si="49"/>
        <v>0</v>
      </c>
      <c r="Q105" s="269">
        <f t="shared" si="49"/>
        <v>0</v>
      </c>
      <c r="R105" s="269">
        <f t="shared" si="49"/>
        <v>0</v>
      </c>
      <c r="S105" s="269">
        <f t="shared" si="49"/>
        <v>0</v>
      </c>
      <c r="T105" s="269">
        <f t="shared" si="49"/>
        <v>0</v>
      </c>
      <c r="U105" s="269">
        <f t="shared" si="49"/>
        <v>0</v>
      </c>
      <c r="V105" s="269">
        <f t="shared" si="49"/>
        <v>0</v>
      </c>
      <c r="W105" s="269">
        <f t="shared" si="49"/>
        <v>0</v>
      </c>
      <c r="X105" s="269">
        <f t="shared" si="49"/>
        <v>0</v>
      </c>
      <c r="Y105" s="269">
        <f t="shared" si="49"/>
        <v>0</v>
      </c>
      <c r="Z105" s="269">
        <f t="shared" si="49"/>
        <v>0</v>
      </c>
      <c r="AA105" s="269">
        <f t="shared" si="49"/>
        <v>0</v>
      </c>
      <c r="AB105" s="269">
        <f t="shared" si="49"/>
        <v>0</v>
      </c>
      <c r="AC105" s="269">
        <f t="shared" si="49"/>
        <v>0</v>
      </c>
      <c r="AD105" s="269">
        <f t="shared" si="49"/>
        <v>0</v>
      </c>
      <c r="AE105" s="269">
        <f t="shared" si="49"/>
        <v>0</v>
      </c>
      <c r="AF105" s="269">
        <f t="shared" si="49"/>
        <v>0</v>
      </c>
      <c r="AG105" s="269">
        <f t="shared" si="49"/>
        <v>0</v>
      </c>
      <c r="AH105" s="269">
        <f t="shared" si="49"/>
        <v>0</v>
      </c>
      <c r="AI105" s="269">
        <f t="shared" si="49"/>
        <v>0</v>
      </c>
      <c r="AJ105" s="269">
        <f t="shared" si="49"/>
        <v>0</v>
      </c>
      <c r="AK105" s="269">
        <f t="shared" si="49"/>
        <v>0</v>
      </c>
      <c r="AL105" s="269">
        <f t="shared" si="49"/>
        <v>0</v>
      </c>
      <c r="AM105" s="269">
        <f t="shared" si="49"/>
        <v>0</v>
      </c>
      <c r="AN105" s="269">
        <f t="shared" si="49"/>
        <v>0</v>
      </c>
      <c r="AO105" s="269">
        <f t="shared" ref="AO105:AU105" si="50">IFERROR((AO$211*SUM(AO93:AO100)+AO$212*SUM(AO101:AO103))/SUM(AO93:AO103)/2,0)*AO104</f>
        <v>0</v>
      </c>
      <c r="AP105" s="269">
        <f t="shared" si="50"/>
        <v>0</v>
      </c>
      <c r="AQ105" s="269">
        <f t="shared" si="50"/>
        <v>0</v>
      </c>
      <c r="AR105" s="269">
        <f t="shared" si="50"/>
        <v>0</v>
      </c>
      <c r="AS105" s="269">
        <f t="shared" si="50"/>
        <v>0</v>
      </c>
      <c r="AT105" s="269">
        <f t="shared" si="50"/>
        <v>0</v>
      </c>
      <c r="AU105" s="269">
        <f t="shared" si="50"/>
        <v>0</v>
      </c>
      <c r="AV105" s="269">
        <f t="shared" ref="AV105:AW105" si="51">IFERROR((AV$211*SUM(AV93:AV100)+AV$212*SUM(AV101:AV103))/SUM(AV93:AV103)/2,0)*AV104</f>
        <v>0</v>
      </c>
      <c r="AW105" s="269">
        <f t="shared" si="51"/>
        <v>0</v>
      </c>
      <c r="AX105" s="470">
        <f>IFERROR((AX$211*SUM(AX93:AX100)+AX$212*SUM(AX101:AX103))/SUM(AX93:AX103)/2,0)*AX104</f>
        <v>0</v>
      </c>
      <c r="AZ105" s="246"/>
    </row>
    <row r="106" spans="1:52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4.25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250">
        <f>SUMPRODUCT((Driver!$A$2:$A$17=$A106)*(DriverEmp=AV$1),Driver!$C$2:$V$17)</f>
        <v>0</v>
      </c>
      <c r="AW106" s="250">
        <f>SUMPRODUCT((Driver!$A$2:$A$17=$A106)*(DriverEmp=AW$1),Driver!$C$2:$V$17)</f>
        <v>0</v>
      </c>
      <c r="AX106" s="467">
        <f>SUMPRODUCT((Driver!$A$2:$A$17=$A106)*(DriverEmp=AX$1),Driver!$C$2:$V$17)</f>
        <v>0</v>
      </c>
      <c r="AZ106" s="246"/>
    </row>
    <row r="107" spans="1:52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0</v>
      </c>
      <c r="E107" s="250">
        <f>SUMPRODUCT((PP!$A$2:$A$80=$A107)*(PPEmp=E$1),PP!$D$2:$BD$80)</f>
        <v>0</v>
      </c>
      <c r="F107" s="250">
        <f>SUMPRODUCT((PP!$A$2:$A$80=$A107)*(PPEmp=F$1),PP!$D$2:$BD$80)</f>
        <v>0</v>
      </c>
      <c r="G107" s="250">
        <f>SUMPRODUCT((PP!$A$2:$A$80=$A107)*(PPEmp=G$1),PP!$D$2:$BD$80)</f>
        <v>0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0</v>
      </c>
      <c r="K107" s="250">
        <f>SUMPRODUCT((PP!$A$2:$A$80=$A107)*(PPEmp=K$1),PP!$D$2:$BD$80)</f>
        <v>0</v>
      </c>
      <c r="L107" s="250">
        <f>SUMPRODUCT((PP!$A$2:$A$80=$A107)*(PPEmp=L$1),PP!$D$2:$BD$80)</f>
        <v>0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0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0</v>
      </c>
      <c r="AD107" s="250">
        <f>SUMPRODUCT((PP!$A$2:$A$80=$A107)*(PPEmp=AD$1),PP!$D$2:$BD$80)</f>
        <v>0</v>
      </c>
      <c r="AE107" s="250">
        <f>SUMPRODUCT((PP!$A$2:$A$80=$A107)*(PPEmp=AE$1),PP!$D$2:$BD$80)</f>
        <v>0</v>
      </c>
      <c r="AF107" s="250">
        <f>SUMPRODUCT((PP!$A$2:$A$80=$A107)*(PPEmp=AF$1),PP!$D$2:$BD$80)</f>
        <v>0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250">
        <f>SUMPRODUCT((PP!$A$2:$A$80=$A107)*(PPEmp=AV$1),PP!$D$2:$BD$80)</f>
        <v>0</v>
      </c>
      <c r="AW107" s="250">
        <f>SUMPRODUCT((PP!$A$2:$A$80=$A107)*(PPEmp=AW$1),PP!$D$2:$BD$80)</f>
        <v>0</v>
      </c>
      <c r="AX107" s="467">
        <f>SUMPRODUCT((PP!$A$2:$A$80=$A107)*(PPEmp=AX$1),PP!$D$2:$BD$80)</f>
        <v>0</v>
      </c>
      <c r="AZ107" s="246"/>
    </row>
    <row r="108" spans="1:52" s="271" customFormat="1" x14ac:dyDescent="0.2">
      <c r="A108" s="247">
        <f t="shared" si="45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250">
        <f>SUMPRODUCT((FH!$A$2:$A$97=$A108)*(FHEmp=AV$1),FH!$E$2:$AZ$97)</f>
        <v>0</v>
      </c>
      <c r="AW108" s="250">
        <f>SUMPRODUCT((FH!$A$2:$A$97=$A108)*(FHEmp=AW$1),FH!$E$2:$AZ$97)</f>
        <v>0</v>
      </c>
      <c r="AX108" s="467">
        <f>SUMPRODUCT((FH!$A$2:$A$97=$A108)*(FHEmp=AX$1),FH!$E$2:$AZ$97)</f>
        <v>0</v>
      </c>
      <c r="AZ108" s="246"/>
    </row>
    <row r="109" spans="1:52" s="271" customFormat="1" x14ac:dyDescent="0.2">
      <c r="A109" s="247">
        <f t="shared" si="45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250">
        <f>SUMPRODUCT(('T22'!$A$2:$A$97=$A109)*(T22Emp=AV$1),'T22'!$E$2:$AZ$97)</f>
        <v>0</v>
      </c>
      <c r="AW109" s="250">
        <f>SUMPRODUCT(('T22'!$A$2:$A$97=$A109)*(T22Emp=AW$1),'T22'!$E$2:$AZ$97)</f>
        <v>0</v>
      </c>
      <c r="AX109" s="467">
        <f>SUMPRODUCT(('T22'!$A$2:$A$97=$A109)*(T22Emp=AX$1),'T22'!$E$2:$AZ$97)</f>
        <v>0</v>
      </c>
      <c r="AZ109" s="246"/>
    </row>
    <row r="110" spans="1:52" s="271" customFormat="1" x14ac:dyDescent="0.2">
      <c r="A110" s="247">
        <f t="shared" si="45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5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250">
        <f>SUMPRODUCT((RF!$A$2:$A$17=$A110)*(RFEmp=AV$1)*(RF!$H$21:$AO$21="RF Valet"),RF!$H$2:$AO$17)</f>
        <v>0</v>
      </c>
      <c r="AW110" s="250">
        <f>SUMPRODUCT((RF!$A$2:$A$17=$A110)*(RFEmp=AW$1)*(RF!$H$21:$AO$21="RF Valet"),RF!$H$2:$AO$17)</f>
        <v>0</v>
      </c>
      <c r="AX110" s="467">
        <f>SUMPRODUCT((RF!$A$2:$A$17=$A110)*(RFEmp=AX$1)*(RF!$H$21:$AO$21="RF Valet"),RF!$H$2:$AO$17)</f>
        <v>0</v>
      </c>
      <c r="AZ110" s="246"/>
    </row>
    <row r="111" spans="1:52" s="271" customFormat="1" x14ac:dyDescent="0.2">
      <c r="A111" s="247">
        <f t="shared" si="45"/>
        <v>42545</v>
      </c>
      <c r="B111" s="571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7.75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250">
        <f>SUMPRODUCT(('RC'!$A$2:$A$17=$A111)*(RCEmp=AV$1),'RC'!$D$2:$AK$17)</f>
        <v>0</v>
      </c>
      <c r="AW111" s="250">
        <f>SUMPRODUCT(('RC'!$A$2:$A$17=$A111)*(RCEmp=AW$1),'RC'!$D$2:$AK$17)</f>
        <v>0</v>
      </c>
      <c r="AX111" s="467">
        <f>SUMPRODUCT(('RC'!$A$2:$A$17=$A111)*(RCEmp=AX$1),'RC'!$D$2:$AK$17)</f>
        <v>0</v>
      </c>
      <c r="AZ111" s="246"/>
    </row>
    <row r="112" spans="1:52" s="271" customFormat="1" x14ac:dyDescent="0.2">
      <c r="A112" s="247">
        <f t="shared" si="45"/>
        <v>42545</v>
      </c>
      <c r="B112" s="614" t="s">
        <v>155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4.5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250">
        <f>SUMPRODUCT((HoO!$A$2:$A$34=$A112)*(HoOEmp=AV$1),HoO!$E$2:$Y$34)</f>
        <v>0</v>
      </c>
      <c r="AW112" s="250">
        <f>SUMPRODUCT((HoO!$A$2:$A$34=$A112)*(HoOEmp=AW$1),HoO!$E$2:$Y$34)</f>
        <v>0</v>
      </c>
      <c r="AX112" s="467">
        <f>SUMPRODUCT((HoO!$A$2:$A$34=$A112)*(HoOEmp=AX$1),HoO!$E$2:$Y$34)</f>
        <v>0</v>
      </c>
      <c r="AZ112" s="246"/>
    </row>
    <row r="113" spans="1:52" s="271" customFormat="1" x14ac:dyDescent="0.2">
      <c r="A113" s="247">
        <f t="shared" si="45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250">
        <f>SUMPRODUCT((TM!$A$2:$A$17=$A113)*(TMEmp=AV$1),TM!$D$2:$AK$17)</f>
        <v>0</v>
      </c>
      <c r="AW113" s="250">
        <f>SUMPRODUCT((TM!$A$2:$A$17=$A113)*(TMEmp=AW$1),TM!$D$2:$AK$17)</f>
        <v>0</v>
      </c>
      <c r="AX113" s="467">
        <f>SUMPRODUCT((TM!$A$2:$A$17=$A113)*(TMEmp=AX$1),TM!$D$2:$AK$17)</f>
        <v>0</v>
      </c>
      <c r="AZ113" s="246"/>
    </row>
    <row r="114" spans="1:52" s="271" customFormat="1" x14ac:dyDescent="0.2">
      <c r="A114" s="256">
        <f t="shared" si="45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259">
        <f>SUMPRODUCT((PC!$A$2:$A$80=$A114)*(PCEmp=AV$1),PC!$D$2:$BD$80)</f>
        <v>0</v>
      </c>
      <c r="AW114" s="259">
        <f>SUMPRODUCT((PC!$A$2:$A$80=$A114)*(PCEmp=AW$1),PC!$D$2:$BD$80)</f>
        <v>0</v>
      </c>
      <c r="AX114" s="468">
        <f>SUMPRODUCT((PC!$A$2:$A$80=$A114)*(PCEmp=AX$1),PC!$D$2:$BD$80)</f>
        <v>0</v>
      </c>
      <c r="AZ114" s="246"/>
    </row>
    <row r="115" spans="1:52" s="271" customFormat="1" x14ac:dyDescent="0.2">
      <c r="A115" s="247">
        <f t="shared" si="45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5.75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250">
        <f>SUMPRODUCT((RF!$A$2:$A$17=$A115)*(RFEmp=AV$1)*(RF!$H$21:$AO$21="RF Lead"),RF!$H$2:$AO$17)</f>
        <v>0</v>
      </c>
      <c r="AW115" s="250">
        <f>SUMPRODUCT((RF!$A$2:$A$17=$A115)*(RFEmp=AW$1)*(RF!$H$21:$AO$21="RF Lead"),RF!$H$2:$AO$17)</f>
        <v>0</v>
      </c>
      <c r="AX115" s="467">
        <f>SUMPRODUCT((RF!$A$2:$A$17=$A115)*(RFEmp=AX$1)*(RF!$H$21:$AO$21="RF Lead"),RF!$H$2:$AO$17)</f>
        <v>0</v>
      </c>
    </row>
    <row r="116" spans="1:52" s="271" customFormat="1" x14ac:dyDescent="0.2">
      <c r="A116" s="260">
        <f t="shared" si="45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2.75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250">
        <f>SUMPRODUCT((SC!$A$2:$A$34=$A116)*(SCEmp=AV$1),SC!$F$2:$Z$34)</f>
        <v>0</v>
      </c>
      <c r="AW116" s="250">
        <f>SUMPRODUCT((SC!$A$2:$A$34=$A116)*(SCEmp=AW$1),SC!$F$2:$Z$34)</f>
        <v>0</v>
      </c>
      <c r="AX116" s="467">
        <f>SUMPRODUCT((SC!$A$2:$A$34=$A116)*(SCEmp=AX$1),SC!$F$2:$Z$34)</f>
        <v>0</v>
      </c>
    </row>
    <row r="117" spans="1:52" s="271" customFormat="1" x14ac:dyDescent="0.2">
      <c r="A117" s="262">
        <f t="shared" si="45"/>
        <v>42545</v>
      </c>
      <c r="B117" s="263" t="s">
        <v>87</v>
      </c>
      <c r="C117" s="264">
        <f t="shared" ref="C117:AN117" si="52">IF(SUM(C106:C116)&gt;8,SUM(C106:C116)-8,0)+IF(SUM(C106:C116)&gt;12,SUM(C106:C116)-12,0)</f>
        <v>0</v>
      </c>
      <c r="D117" s="265">
        <f t="shared" si="52"/>
        <v>0</v>
      </c>
      <c r="E117" s="265">
        <f t="shared" si="52"/>
        <v>0</v>
      </c>
      <c r="F117" s="265">
        <f t="shared" si="52"/>
        <v>0</v>
      </c>
      <c r="G117" s="265">
        <f t="shared" si="52"/>
        <v>0</v>
      </c>
      <c r="H117" s="265">
        <f t="shared" si="52"/>
        <v>0</v>
      </c>
      <c r="I117" s="265">
        <f t="shared" si="52"/>
        <v>0</v>
      </c>
      <c r="J117" s="265">
        <f t="shared" si="52"/>
        <v>0</v>
      </c>
      <c r="K117" s="265">
        <f t="shared" si="52"/>
        <v>0</v>
      </c>
      <c r="L117" s="265">
        <f t="shared" si="52"/>
        <v>0</v>
      </c>
      <c r="M117" s="265">
        <f t="shared" si="52"/>
        <v>0</v>
      </c>
      <c r="N117" s="265">
        <f t="shared" si="52"/>
        <v>0</v>
      </c>
      <c r="O117" s="265">
        <f t="shared" si="52"/>
        <v>0</v>
      </c>
      <c r="P117" s="265">
        <f t="shared" si="52"/>
        <v>0</v>
      </c>
      <c r="Q117" s="265">
        <f t="shared" si="52"/>
        <v>0</v>
      </c>
      <c r="R117" s="265">
        <f t="shared" si="52"/>
        <v>0</v>
      </c>
      <c r="S117" s="265">
        <f t="shared" si="52"/>
        <v>0</v>
      </c>
      <c r="T117" s="265">
        <f t="shared" si="52"/>
        <v>0</v>
      </c>
      <c r="U117" s="265">
        <f t="shared" si="52"/>
        <v>0</v>
      </c>
      <c r="V117" s="265">
        <f t="shared" si="52"/>
        <v>0</v>
      </c>
      <c r="W117" s="265">
        <f t="shared" si="52"/>
        <v>0</v>
      </c>
      <c r="X117" s="265">
        <f t="shared" si="52"/>
        <v>0</v>
      </c>
      <c r="Y117" s="265">
        <f t="shared" si="52"/>
        <v>0</v>
      </c>
      <c r="Z117" s="265">
        <f t="shared" si="52"/>
        <v>0</v>
      </c>
      <c r="AA117" s="265">
        <f t="shared" si="52"/>
        <v>0</v>
      </c>
      <c r="AB117" s="265">
        <f t="shared" si="52"/>
        <v>0</v>
      </c>
      <c r="AC117" s="265">
        <f t="shared" si="52"/>
        <v>0</v>
      </c>
      <c r="AD117" s="265">
        <f t="shared" si="52"/>
        <v>0</v>
      </c>
      <c r="AE117" s="265">
        <f t="shared" si="52"/>
        <v>0</v>
      </c>
      <c r="AF117" s="265">
        <f t="shared" si="52"/>
        <v>0</v>
      </c>
      <c r="AG117" s="265">
        <f t="shared" si="52"/>
        <v>0</v>
      </c>
      <c r="AH117" s="265">
        <f t="shared" si="52"/>
        <v>0</v>
      </c>
      <c r="AI117" s="265">
        <f t="shared" si="52"/>
        <v>0</v>
      </c>
      <c r="AJ117" s="265">
        <f t="shared" si="52"/>
        <v>0</v>
      </c>
      <c r="AK117" s="265">
        <f t="shared" si="52"/>
        <v>0</v>
      </c>
      <c r="AL117" s="265">
        <f t="shared" si="52"/>
        <v>0</v>
      </c>
      <c r="AM117" s="265">
        <f t="shared" si="52"/>
        <v>0</v>
      </c>
      <c r="AN117" s="265">
        <f t="shared" si="52"/>
        <v>0</v>
      </c>
      <c r="AO117" s="265">
        <f t="shared" ref="AO117:AU117" si="53">IF(SUM(AO106:AO116)&gt;8,SUM(AO106:AO116)-8,0)+IF(SUM(AO106:AO116)&gt;12,SUM(AO106:AO116)-12,0)</f>
        <v>0</v>
      </c>
      <c r="AP117" s="265">
        <f t="shared" si="53"/>
        <v>0</v>
      </c>
      <c r="AQ117" s="265">
        <f t="shared" si="53"/>
        <v>0</v>
      </c>
      <c r="AR117" s="265">
        <f t="shared" si="53"/>
        <v>0</v>
      </c>
      <c r="AS117" s="265">
        <f t="shared" si="53"/>
        <v>0</v>
      </c>
      <c r="AT117" s="265">
        <f t="shared" si="53"/>
        <v>0</v>
      </c>
      <c r="AU117" s="265">
        <f t="shared" si="53"/>
        <v>0</v>
      </c>
      <c r="AV117" s="265">
        <f t="shared" ref="AV117:AW117" si="54">IF(SUM(AV106:AV116)&gt;8,SUM(AV106:AV116)-8,0)+IF(SUM(AV106:AV116)&gt;12,SUM(AV106:AV116)-12,0)</f>
        <v>0</v>
      </c>
      <c r="AW117" s="265">
        <f t="shared" si="54"/>
        <v>0</v>
      </c>
      <c r="AX117" s="469">
        <f>IF(SUM(AX106:AX116)&gt;8,SUM(AX106:AX116)-8,0)+IF(SUM(AX106:AX116)&gt;12,SUM(AX106:AX116)-12,0)</f>
        <v>0</v>
      </c>
    </row>
    <row r="118" spans="1:52" s="271" customFormat="1" x14ac:dyDescent="0.2">
      <c r="A118" s="266">
        <f t="shared" si="45"/>
        <v>42545</v>
      </c>
      <c r="B118" s="267" t="s">
        <v>86</v>
      </c>
      <c r="C118" s="268">
        <f t="shared" ref="C118:AN118" si="55">IFERROR((C$211*SUM(C106:C113)+C$212*SUM(C114:C116))/SUM(C106:C116)/2,0)*C117</f>
        <v>0</v>
      </c>
      <c r="D118" s="269">
        <f t="shared" si="55"/>
        <v>0</v>
      </c>
      <c r="E118" s="269">
        <f t="shared" si="55"/>
        <v>0</v>
      </c>
      <c r="F118" s="269">
        <f t="shared" si="55"/>
        <v>0</v>
      </c>
      <c r="G118" s="269">
        <f t="shared" si="55"/>
        <v>0</v>
      </c>
      <c r="H118" s="269">
        <f t="shared" si="55"/>
        <v>0</v>
      </c>
      <c r="I118" s="269">
        <f t="shared" si="55"/>
        <v>0</v>
      </c>
      <c r="J118" s="269">
        <f t="shared" si="55"/>
        <v>0</v>
      </c>
      <c r="K118" s="269">
        <f t="shared" si="55"/>
        <v>0</v>
      </c>
      <c r="L118" s="269">
        <f t="shared" si="55"/>
        <v>0</v>
      </c>
      <c r="M118" s="269">
        <f t="shared" si="55"/>
        <v>0</v>
      </c>
      <c r="N118" s="269">
        <f t="shared" si="55"/>
        <v>0</v>
      </c>
      <c r="O118" s="269">
        <f t="shared" si="55"/>
        <v>0</v>
      </c>
      <c r="P118" s="269">
        <f t="shared" si="55"/>
        <v>0</v>
      </c>
      <c r="Q118" s="269">
        <f t="shared" si="55"/>
        <v>0</v>
      </c>
      <c r="R118" s="269">
        <f t="shared" si="55"/>
        <v>0</v>
      </c>
      <c r="S118" s="269">
        <f t="shared" si="55"/>
        <v>0</v>
      </c>
      <c r="T118" s="269">
        <f t="shared" si="55"/>
        <v>0</v>
      </c>
      <c r="U118" s="269">
        <f t="shared" si="55"/>
        <v>0</v>
      </c>
      <c r="V118" s="269">
        <f t="shared" si="55"/>
        <v>0</v>
      </c>
      <c r="W118" s="269">
        <f t="shared" si="55"/>
        <v>0</v>
      </c>
      <c r="X118" s="269">
        <f t="shared" si="55"/>
        <v>0</v>
      </c>
      <c r="Y118" s="269">
        <f t="shared" si="55"/>
        <v>0</v>
      </c>
      <c r="Z118" s="269">
        <f t="shared" si="55"/>
        <v>0</v>
      </c>
      <c r="AA118" s="269">
        <f t="shared" si="55"/>
        <v>0</v>
      </c>
      <c r="AB118" s="269">
        <f t="shared" si="55"/>
        <v>0</v>
      </c>
      <c r="AC118" s="269">
        <f t="shared" si="55"/>
        <v>0</v>
      </c>
      <c r="AD118" s="269">
        <f t="shared" si="55"/>
        <v>0</v>
      </c>
      <c r="AE118" s="269">
        <f t="shared" si="55"/>
        <v>0</v>
      </c>
      <c r="AF118" s="269">
        <f t="shared" si="55"/>
        <v>0</v>
      </c>
      <c r="AG118" s="269">
        <f t="shared" si="55"/>
        <v>0</v>
      </c>
      <c r="AH118" s="269">
        <f t="shared" si="55"/>
        <v>0</v>
      </c>
      <c r="AI118" s="269">
        <f t="shared" si="55"/>
        <v>0</v>
      </c>
      <c r="AJ118" s="269">
        <f t="shared" si="55"/>
        <v>0</v>
      </c>
      <c r="AK118" s="269">
        <f t="shared" si="55"/>
        <v>0</v>
      </c>
      <c r="AL118" s="269">
        <f t="shared" si="55"/>
        <v>0</v>
      </c>
      <c r="AM118" s="269">
        <f t="shared" si="55"/>
        <v>0</v>
      </c>
      <c r="AN118" s="269">
        <f t="shared" si="55"/>
        <v>0</v>
      </c>
      <c r="AO118" s="269">
        <f t="shared" ref="AO118:AU118" si="56">IFERROR((AO$211*SUM(AO106:AO113)+AO$212*SUM(AO114:AO116))/SUM(AO106:AO116)/2,0)*AO117</f>
        <v>0</v>
      </c>
      <c r="AP118" s="269">
        <f t="shared" si="56"/>
        <v>0</v>
      </c>
      <c r="AQ118" s="269">
        <f t="shared" si="56"/>
        <v>0</v>
      </c>
      <c r="AR118" s="269">
        <f t="shared" si="56"/>
        <v>0</v>
      </c>
      <c r="AS118" s="269">
        <f t="shared" si="56"/>
        <v>0</v>
      </c>
      <c r="AT118" s="269">
        <f t="shared" si="56"/>
        <v>0</v>
      </c>
      <c r="AU118" s="269">
        <f t="shared" si="56"/>
        <v>0</v>
      </c>
      <c r="AV118" s="269">
        <f t="shared" ref="AV118:AW118" si="57">IFERROR((AV$211*SUM(AV106:AV113)+AV$212*SUM(AV114:AV116))/SUM(AV106:AV116)/2,0)*AV117</f>
        <v>0</v>
      </c>
      <c r="AW118" s="269">
        <f t="shared" si="57"/>
        <v>0</v>
      </c>
      <c r="AX118" s="470">
        <f>IFERROR((AX$211*SUM(AX106:AX113)+AX$212*SUM(AX114:AX116))/SUM(AX106:AX116)/2,0)*AX117</f>
        <v>0</v>
      </c>
    </row>
    <row r="119" spans="1:52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250">
        <f>SUMPRODUCT((Driver!$A$2:$A$17=$A119)*(DriverEmp=AV$1),Driver!$C$2:$V$17)</f>
        <v>0</v>
      </c>
      <c r="AW119" s="250">
        <f>SUMPRODUCT((Driver!$A$2:$A$17=$A119)*(DriverEmp=AW$1),Driver!$C$2:$V$17)</f>
        <v>0</v>
      </c>
      <c r="AX119" s="467">
        <f>SUMPRODUCT((Driver!$A$2:$A$17=$A119)*(DriverEmp=AX$1),Driver!$C$2:$V$17)</f>
        <v>0</v>
      </c>
    </row>
    <row r="120" spans="1:52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0</v>
      </c>
      <c r="E120" s="250">
        <f>SUMPRODUCT((PP!$A$2:$A$80=$A120)*(PPEmp=E$1),PP!$D$2:$BD$80)</f>
        <v>0</v>
      </c>
      <c r="F120" s="250">
        <f>SUMPRODUCT((PP!$A$2:$A$80=$A120)*(PPEmp=F$1),PP!$D$2:$BD$80)</f>
        <v>0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0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0</v>
      </c>
      <c r="AA120" s="250">
        <f>SUMPRODUCT((PP!$A$2:$A$80=$A120)*(PPEmp=AA$1),PP!$D$2:$BD$80)</f>
        <v>0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0</v>
      </c>
      <c r="AF120" s="250">
        <f>SUMPRODUCT((PP!$A$2:$A$80=$A120)*(PPEmp=AF$1),PP!$D$2:$BD$80)</f>
        <v>0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250">
        <f>SUMPRODUCT((PP!$A$2:$A$80=$A120)*(PPEmp=AV$1),PP!$D$2:$BD$80)</f>
        <v>0</v>
      </c>
      <c r="AW120" s="250">
        <f>SUMPRODUCT((PP!$A$2:$A$80=$A120)*(PPEmp=AW$1),PP!$D$2:$BD$80)</f>
        <v>0</v>
      </c>
      <c r="AX120" s="467">
        <f>SUMPRODUCT((PP!$A$2:$A$80=$A120)*(PPEmp=AX$1),PP!$D$2:$BD$80)</f>
        <v>0</v>
      </c>
    </row>
    <row r="121" spans="1:52" s="271" customFormat="1" x14ac:dyDescent="0.2">
      <c r="A121" s="247">
        <f t="shared" si="45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250">
        <f>SUMPRODUCT((FH!$A$2:$A$97=$A121)*(FHEmp=AV$1),FH!$E$2:$AZ$97)</f>
        <v>0</v>
      </c>
      <c r="AW121" s="250">
        <f>SUMPRODUCT((FH!$A$2:$A$97=$A121)*(FHEmp=AW$1),FH!$E$2:$AZ$97)</f>
        <v>0</v>
      </c>
      <c r="AX121" s="467">
        <f>SUMPRODUCT((FH!$A$2:$A$97=$A121)*(FHEmp=AX$1),FH!$E$2:$AZ$97)</f>
        <v>0</v>
      </c>
    </row>
    <row r="122" spans="1:52" s="271" customFormat="1" x14ac:dyDescent="0.2">
      <c r="A122" s="247">
        <f t="shared" si="45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250">
        <f>SUMPRODUCT(('T22'!$A$2:$A$97=$A122)*(T22Emp=AV$1),'T22'!$E$2:$AZ$97)</f>
        <v>0</v>
      </c>
      <c r="AW122" s="250">
        <f>SUMPRODUCT(('T22'!$A$2:$A$97=$A122)*(T22Emp=AW$1),'T22'!$E$2:$AZ$97)</f>
        <v>0</v>
      </c>
      <c r="AX122" s="467">
        <f>SUMPRODUCT(('T22'!$A$2:$A$97=$A122)*(T22Emp=AX$1),'T22'!$E$2:$AZ$97)</f>
        <v>0</v>
      </c>
    </row>
    <row r="123" spans="1:52" s="271" customFormat="1" x14ac:dyDescent="0.2">
      <c r="A123" s="247">
        <f t="shared" si="45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250">
        <f>SUMPRODUCT((RF!$A$2:$A$17=$A123)*(RFEmp=AV$1)*(RF!$H$21:$AO$21="RF Valet"),RF!$H$2:$AO$17)</f>
        <v>0</v>
      </c>
      <c r="AW123" s="250">
        <f>SUMPRODUCT((RF!$A$2:$A$17=$A123)*(RFEmp=AW$1)*(RF!$H$21:$AO$21="RF Valet"),RF!$H$2:$AO$17)</f>
        <v>0</v>
      </c>
      <c r="AX123" s="467">
        <f>SUMPRODUCT((RF!$A$2:$A$17=$A123)*(RFEmp=AX$1)*(RF!$H$21:$AO$21="RF Valet"),RF!$H$2:$AO$17)</f>
        <v>0</v>
      </c>
    </row>
    <row r="124" spans="1:52" s="271" customFormat="1" x14ac:dyDescent="0.2">
      <c r="A124" s="247">
        <f t="shared" si="45"/>
        <v>42546</v>
      </c>
      <c r="B124" s="571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250">
        <f>SUMPRODUCT(('RC'!$A$2:$A$17=$A124)*(RCEmp=AV$1),'RC'!$D$2:$AK$17)</f>
        <v>0</v>
      </c>
      <c r="AW124" s="250">
        <f>SUMPRODUCT(('RC'!$A$2:$A$17=$A124)*(RCEmp=AW$1),'RC'!$D$2:$AK$17)</f>
        <v>0</v>
      </c>
      <c r="AX124" s="467">
        <f>SUMPRODUCT(('RC'!$A$2:$A$17=$A124)*(RCEmp=AX$1),'RC'!$D$2:$AK$17)</f>
        <v>0</v>
      </c>
    </row>
    <row r="125" spans="1:52" s="271" customFormat="1" x14ac:dyDescent="0.2">
      <c r="A125" s="247">
        <f t="shared" si="45"/>
        <v>42546</v>
      </c>
      <c r="B125" s="614" t="s">
        <v>155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0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250">
        <f>SUMPRODUCT((HoO!$A$2:$A$34=$A125)*(HoOEmp=AV$1),HoO!$E$2:$Y$34)</f>
        <v>0</v>
      </c>
      <c r="AW125" s="250">
        <f>SUMPRODUCT((HoO!$A$2:$A$34=$A125)*(HoOEmp=AW$1),HoO!$E$2:$Y$34)</f>
        <v>0</v>
      </c>
      <c r="AX125" s="467">
        <f>SUMPRODUCT((HoO!$A$2:$A$34=$A125)*(HoOEmp=AX$1),HoO!$E$2:$Y$34)</f>
        <v>0</v>
      </c>
    </row>
    <row r="126" spans="1:52" s="271" customFormat="1" x14ac:dyDescent="0.2">
      <c r="A126" s="247">
        <f t="shared" si="45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250">
        <f>SUMPRODUCT((TM!$A$2:$A$17=$A126)*(TMEmp=AV$1),TM!$D$2:$AK$17)</f>
        <v>0</v>
      </c>
      <c r="AW126" s="250">
        <f>SUMPRODUCT((TM!$A$2:$A$17=$A126)*(TMEmp=AW$1),TM!$D$2:$AK$17)</f>
        <v>0</v>
      </c>
      <c r="AX126" s="467">
        <f>SUMPRODUCT((TM!$A$2:$A$17=$A126)*(TMEmp=AX$1),TM!$D$2:$AK$17)</f>
        <v>0</v>
      </c>
    </row>
    <row r="127" spans="1:52" s="271" customFormat="1" x14ac:dyDescent="0.2">
      <c r="A127" s="256">
        <f t="shared" si="45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259">
        <f>SUMPRODUCT((PC!$A$2:$A$80=$A127)*(PCEmp=AV$1),PC!$D$2:$BD$80)</f>
        <v>0</v>
      </c>
      <c r="AW127" s="259">
        <f>SUMPRODUCT((PC!$A$2:$A$80=$A127)*(PCEmp=AW$1),PC!$D$2:$BD$80)</f>
        <v>0</v>
      </c>
      <c r="AX127" s="468">
        <f>SUMPRODUCT((PC!$A$2:$A$80=$A127)*(PCEmp=AX$1),PC!$D$2:$BD$80)</f>
        <v>0</v>
      </c>
    </row>
    <row r="128" spans="1:52" s="271" customFormat="1" x14ac:dyDescent="0.2">
      <c r="A128" s="247">
        <f t="shared" si="45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250">
        <f>SUMPRODUCT((RF!$A$2:$A$17=$A128)*(RFEmp=AV$1)*(RF!$H$21:$AO$21="RF Lead"),RF!$H$2:$AO$17)</f>
        <v>0</v>
      </c>
      <c r="AW128" s="250">
        <f>SUMPRODUCT((RF!$A$2:$A$17=$A128)*(RFEmp=AW$1)*(RF!$H$21:$AO$21="RF Lead"),RF!$H$2:$AO$17)</f>
        <v>0</v>
      </c>
      <c r="AX128" s="467">
        <f>SUMPRODUCT((RF!$A$2:$A$17=$A128)*(RFEmp=AX$1)*(RF!$H$21:$AO$21="RF Lead"),RF!$H$2:$AO$17)</f>
        <v>0</v>
      </c>
    </row>
    <row r="129" spans="1:50" s="271" customFormat="1" x14ac:dyDescent="0.2">
      <c r="A129" s="260">
        <f t="shared" si="45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250">
        <f>SUMPRODUCT((SC!$A$2:$A$34=$A129)*(SCEmp=AV$1),SC!$F$2:$Z$34)</f>
        <v>0</v>
      </c>
      <c r="AW129" s="250">
        <f>SUMPRODUCT((SC!$A$2:$A$34=$A129)*(SCEmp=AW$1),SC!$F$2:$Z$34)</f>
        <v>0</v>
      </c>
      <c r="AX129" s="467">
        <f>SUMPRODUCT((SC!$A$2:$A$34=$A129)*(SCEmp=AX$1),SC!$F$2:$Z$34)</f>
        <v>0</v>
      </c>
    </row>
    <row r="130" spans="1:50" s="271" customFormat="1" x14ac:dyDescent="0.2">
      <c r="A130" s="262">
        <f t="shared" si="45"/>
        <v>42546</v>
      </c>
      <c r="B130" s="263" t="s">
        <v>87</v>
      </c>
      <c r="C130" s="264">
        <f t="shared" ref="C130:AN130" si="58">IF(SUM(C119:C129)&gt;8,SUM(C119:C129)-8,0)+IF(SUM(C119:C129)&gt;12,SUM(C119:C129)-12,0)</f>
        <v>0</v>
      </c>
      <c r="D130" s="265">
        <f t="shared" si="58"/>
        <v>0</v>
      </c>
      <c r="E130" s="265">
        <f t="shared" si="58"/>
        <v>0</v>
      </c>
      <c r="F130" s="265">
        <f t="shared" si="58"/>
        <v>0</v>
      </c>
      <c r="G130" s="265">
        <f t="shared" si="58"/>
        <v>0</v>
      </c>
      <c r="H130" s="265">
        <f t="shared" si="58"/>
        <v>0</v>
      </c>
      <c r="I130" s="265">
        <f t="shared" si="58"/>
        <v>0</v>
      </c>
      <c r="J130" s="265">
        <f t="shared" si="58"/>
        <v>0</v>
      </c>
      <c r="K130" s="265">
        <f t="shared" si="58"/>
        <v>0</v>
      </c>
      <c r="L130" s="265">
        <f t="shared" si="58"/>
        <v>0</v>
      </c>
      <c r="M130" s="265">
        <f t="shared" si="58"/>
        <v>0</v>
      </c>
      <c r="N130" s="265">
        <f t="shared" si="58"/>
        <v>0</v>
      </c>
      <c r="O130" s="265">
        <f t="shared" si="58"/>
        <v>0</v>
      </c>
      <c r="P130" s="265">
        <f t="shared" si="58"/>
        <v>0</v>
      </c>
      <c r="Q130" s="265">
        <f t="shared" si="58"/>
        <v>0</v>
      </c>
      <c r="R130" s="265">
        <f t="shared" si="58"/>
        <v>0</v>
      </c>
      <c r="S130" s="265">
        <f t="shared" si="58"/>
        <v>0</v>
      </c>
      <c r="T130" s="265">
        <f t="shared" si="58"/>
        <v>0</v>
      </c>
      <c r="U130" s="265">
        <f t="shared" si="58"/>
        <v>0</v>
      </c>
      <c r="V130" s="265">
        <f t="shared" si="58"/>
        <v>0</v>
      </c>
      <c r="W130" s="265">
        <f t="shared" si="58"/>
        <v>0</v>
      </c>
      <c r="X130" s="265">
        <f t="shared" si="58"/>
        <v>0</v>
      </c>
      <c r="Y130" s="265">
        <f t="shared" si="58"/>
        <v>0</v>
      </c>
      <c r="Z130" s="265">
        <f t="shared" si="58"/>
        <v>0</v>
      </c>
      <c r="AA130" s="265">
        <f t="shared" si="58"/>
        <v>0</v>
      </c>
      <c r="AB130" s="265">
        <f t="shared" si="58"/>
        <v>0</v>
      </c>
      <c r="AC130" s="265">
        <f t="shared" si="58"/>
        <v>0</v>
      </c>
      <c r="AD130" s="265">
        <f t="shared" si="58"/>
        <v>0</v>
      </c>
      <c r="AE130" s="265">
        <f t="shared" si="58"/>
        <v>0</v>
      </c>
      <c r="AF130" s="265">
        <f t="shared" si="58"/>
        <v>0</v>
      </c>
      <c r="AG130" s="265">
        <f t="shared" si="58"/>
        <v>0</v>
      </c>
      <c r="AH130" s="265">
        <f t="shared" si="58"/>
        <v>0</v>
      </c>
      <c r="AI130" s="265">
        <f t="shared" si="58"/>
        <v>0</v>
      </c>
      <c r="AJ130" s="265">
        <f t="shared" si="58"/>
        <v>0</v>
      </c>
      <c r="AK130" s="265">
        <f t="shared" si="58"/>
        <v>0</v>
      </c>
      <c r="AL130" s="265">
        <f t="shared" si="58"/>
        <v>0</v>
      </c>
      <c r="AM130" s="265">
        <f t="shared" si="58"/>
        <v>0</v>
      </c>
      <c r="AN130" s="265">
        <f t="shared" si="58"/>
        <v>0</v>
      </c>
      <c r="AO130" s="265">
        <f t="shared" ref="AO130:AU130" si="59">IF(SUM(AO119:AO129)&gt;8,SUM(AO119:AO129)-8,0)+IF(SUM(AO119:AO129)&gt;12,SUM(AO119:AO129)-12,0)</f>
        <v>0</v>
      </c>
      <c r="AP130" s="265">
        <f t="shared" si="59"/>
        <v>0</v>
      </c>
      <c r="AQ130" s="265">
        <f t="shared" si="59"/>
        <v>0</v>
      </c>
      <c r="AR130" s="265">
        <f t="shared" si="59"/>
        <v>0</v>
      </c>
      <c r="AS130" s="265">
        <f t="shared" si="59"/>
        <v>0</v>
      </c>
      <c r="AT130" s="265">
        <f t="shared" si="59"/>
        <v>0</v>
      </c>
      <c r="AU130" s="265">
        <f t="shared" si="59"/>
        <v>0</v>
      </c>
      <c r="AV130" s="265">
        <f t="shared" ref="AV130:AW130" si="60">IF(SUM(AV119:AV129)&gt;8,SUM(AV119:AV129)-8,0)+IF(SUM(AV119:AV129)&gt;12,SUM(AV119:AV129)-12,0)</f>
        <v>0</v>
      </c>
      <c r="AW130" s="265">
        <f t="shared" si="60"/>
        <v>0</v>
      </c>
      <c r="AX130" s="469">
        <f>IF(SUM(AX119:AX129)&gt;8,SUM(AX119:AX129)-8,0)+IF(SUM(AX119:AX129)&gt;12,SUM(AX119:AX129)-12,0)</f>
        <v>0</v>
      </c>
    </row>
    <row r="131" spans="1:50" s="271" customFormat="1" x14ac:dyDescent="0.2">
      <c r="A131" s="266">
        <f t="shared" si="45"/>
        <v>42546</v>
      </c>
      <c r="B131" s="267" t="s">
        <v>86</v>
      </c>
      <c r="C131" s="268">
        <f t="shared" ref="C131:AN131" si="61">IFERROR((C$211*SUM(C119:C126)+C$212*SUM(C127:C129))/SUM(C119:C129)/2,0)*C130</f>
        <v>0</v>
      </c>
      <c r="D131" s="269">
        <f t="shared" si="61"/>
        <v>0</v>
      </c>
      <c r="E131" s="269">
        <f t="shared" si="61"/>
        <v>0</v>
      </c>
      <c r="F131" s="269">
        <f t="shared" si="61"/>
        <v>0</v>
      </c>
      <c r="G131" s="269">
        <f t="shared" si="61"/>
        <v>0</v>
      </c>
      <c r="H131" s="269">
        <f t="shared" si="61"/>
        <v>0</v>
      </c>
      <c r="I131" s="269">
        <f t="shared" si="61"/>
        <v>0</v>
      </c>
      <c r="J131" s="269">
        <f t="shared" si="61"/>
        <v>0</v>
      </c>
      <c r="K131" s="269">
        <f t="shared" si="61"/>
        <v>0</v>
      </c>
      <c r="L131" s="269">
        <f t="shared" si="61"/>
        <v>0</v>
      </c>
      <c r="M131" s="269">
        <f t="shared" si="61"/>
        <v>0</v>
      </c>
      <c r="N131" s="269">
        <f t="shared" si="61"/>
        <v>0</v>
      </c>
      <c r="O131" s="269">
        <f t="shared" si="61"/>
        <v>0</v>
      </c>
      <c r="P131" s="269">
        <f t="shared" si="61"/>
        <v>0</v>
      </c>
      <c r="Q131" s="269">
        <f t="shared" si="61"/>
        <v>0</v>
      </c>
      <c r="R131" s="269">
        <f t="shared" si="61"/>
        <v>0</v>
      </c>
      <c r="S131" s="269">
        <f t="shared" si="61"/>
        <v>0</v>
      </c>
      <c r="T131" s="269">
        <f t="shared" si="61"/>
        <v>0</v>
      </c>
      <c r="U131" s="269">
        <f t="shared" si="61"/>
        <v>0</v>
      </c>
      <c r="V131" s="269">
        <f t="shared" si="61"/>
        <v>0</v>
      </c>
      <c r="W131" s="269">
        <f t="shared" si="61"/>
        <v>0</v>
      </c>
      <c r="X131" s="269">
        <f t="shared" si="61"/>
        <v>0</v>
      </c>
      <c r="Y131" s="269">
        <f t="shared" si="61"/>
        <v>0</v>
      </c>
      <c r="Z131" s="269">
        <f t="shared" si="61"/>
        <v>0</v>
      </c>
      <c r="AA131" s="269">
        <f t="shared" si="61"/>
        <v>0</v>
      </c>
      <c r="AB131" s="269">
        <f t="shared" si="61"/>
        <v>0</v>
      </c>
      <c r="AC131" s="269">
        <f t="shared" si="61"/>
        <v>0</v>
      </c>
      <c r="AD131" s="269">
        <f t="shared" si="61"/>
        <v>0</v>
      </c>
      <c r="AE131" s="269">
        <f t="shared" si="61"/>
        <v>0</v>
      </c>
      <c r="AF131" s="269">
        <f t="shared" si="61"/>
        <v>0</v>
      </c>
      <c r="AG131" s="269">
        <f t="shared" si="61"/>
        <v>0</v>
      </c>
      <c r="AH131" s="269">
        <f t="shared" si="61"/>
        <v>0</v>
      </c>
      <c r="AI131" s="269">
        <f t="shared" si="61"/>
        <v>0</v>
      </c>
      <c r="AJ131" s="269">
        <f t="shared" si="61"/>
        <v>0</v>
      </c>
      <c r="AK131" s="269">
        <f t="shared" si="61"/>
        <v>0</v>
      </c>
      <c r="AL131" s="269">
        <f t="shared" si="61"/>
        <v>0</v>
      </c>
      <c r="AM131" s="269">
        <f t="shared" si="61"/>
        <v>0</v>
      </c>
      <c r="AN131" s="269">
        <f t="shared" si="61"/>
        <v>0</v>
      </c>
      <c r="AO131" s="269">
        <f t="shared" ref="AO131:AU131" si="62">IFERROR((AO$211*SUM(AO119:AO126)+AO$212*SUM(AO127:AO129))/SUM(AO119:AO129)/2,0)*AO130</f>
        <v>0</v>
      </c>
      <c r="AP131" s="269">
        <f t="shared" si="62"/>
        <v>0</v>
      </c>
      <c r="AQ131" s="269">
        <f t="shared" si="62"/>
        <v>0</v>
      </c>
      <c r="AR131" s="269">
        <f t="shared" si="62"/>
        <v>0</v>
      </c>
      <c r="AS131" s="269">
        <f t="shared" si="62"/>
        <v>0</v>
      </c>
      <c r="AT131" s="269">
        <f t="shared" si="62"/>
        <v>0</v>
      </c>
      <c r="AU131" s="269">
        <f t="shared" si="62"/>
        <v>0</v>
      </c>
      <c r="AV131" s="269">
        <f t="shared" ref="AV131:AW131" si="63">IFERROR((AV$211*SUM(AV119:AV126)+AV$212*SUM(AV127:AV129))/SUM(AV119:AV129)/2,0)*AV130</f>
        <v>0</v>
      </c>
      <c r="AW131" s="269">
        <f t="shared" si="63"/>
        <v>0</v>
      </c>
      <c r="AX131" s="470">
        <f>IFERROR((AX$211*SUM(AX119:AX126)+AX$212*SUM(AX127:AX129))/SUM(AX119:AX129)/2,0)*AX130</f>
        <v>0</v>
      </c>
    </row>
    <row r="132" spans="1:50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250">
        <f>SUMPRODUCT((Driver!$A$2:$A$17=$A132)*(DriverEmp=AV$1),Driver!$C$2:$V$17)</f>
        <v>0</v>
      </c>
      <c r="AW132" s="250">
        <f>SUMPRODUCT((Driver!$A$2:$A$17=$A132)*(DriverEmp=AW$1),Driver!$C$2:$V$17)</f>
        <v>0</v>
      </c>
      <c r="AX132" s="467">
        <f>SUMPRODUCT((Driver!$A$2:$A$17=$A132)*(DriverEmp=AX$1),Driver!$C$2:$V$17)</f>
        <v>0</v>
      </c>
    </row>
    <row r="133" spans="1:50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0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250">
        <f>SUMPRODUCT((PP!$A$2:$A$80=$A133)*(PPEmp=AV$1),PP!$D$2:$BD$80)</f>
        <v>0</v>
      </c>
      <c r="AW133" s="250">
        <f>SUMPRODUCT((PP!$A$2:$A$80=$A133)*(PPEmp=AW$1),PP!$D$2:$BD$80)</f>
        <v>0</v>
      </c>
      <c r="AX133" s="467">
        <f>SUMPRODUCT((PP!$A$2:$A$80=$A133)*(PPEmp=AX$1),PP!$D$2:$BD$80)</f>
        <v>0</v>
      </c>
    </row>
    <row r="134" spans="1:50" s="271" customFormat="1" x14ac:dyDescent="0.2">
      <c r="A134" s="247">
        <f t="shared" si="45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250">
        <f>SUMPRODUCT((FH!$A$2:$A$97=$A134)*(FHEmp=AV$1),FH!$E$2:$AZ$97)</f>
        <v>0</v>
      </c>
      <c r="AW134" s="250">
        <f>SUMPRODUCT((FH!$A$2:$A$97=$A134)*(FHEmp=AW$1),FH!$E$2:$AZ$97)</f>
        <v>0</v>
      </c>
      <c r="AX134" s="467">
        <f>SUMPRODUCT((FH!$A$2:$A$97=$A134)*(FHEmp=AX$1),FH!$E$2:$AZ$97)</f>
        <v>0</v>
      </c>
    </row>
    <row r="135" spans="1:50" s="271" customFormat="1" x14ac:dyDescent="0.2">
      <c r="A135" s="247">
        <f t="shared" si="45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250">
        <f>SUMPRODUCT(('T22'!$A$2:$A$97=$A135)*(T22Emp=AV$1),'T22'!$E$2:$AZ$97)</f>
        <v>0</v>
      </c>
      <c r="AW135" s="250">
        <f>SUMPRODUCT(('T22'!$A$2:$A$97=$A135)*(T22Emp=AW$1),'T22'!$E$2:$AZ$97)</f>
        <v>0</v>
      </c>
      <c r="AX135" s="467">
        <f>SUMPRODUCT(('T22'!$A$2:$A$97=$A135)*(T22Emp=AX$1),'T22'!$E$2:$AZ$97)</f>
        <v>0</v>
      </c>
    </row>
    <row r="136" spans="1:50" s="271" customFormat="1" x14ac:dyDescent="0.2">
      <c r="A136" s="247">
        <f t="shared" si="45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250">
        <f>SUMPRODUCT((RF!$A$2:$A$17=$A136)*(RFEmp=AV$1)*(RF!$H$21:$AO$21="RF Valet"),RF!$H$2:$AO$17)</f>
        <v>0</v>
      </c>
      <c r="AW136" s="250">
        <f>SUMPRODUCT((RF!$A$2:$A$17=$A136)*(RFEmp=AW$1)*(RF!$H$21:$AO$21="RF Valet"),RF!$H$2:$AO$17)</f>
        <v>0</v>
      </c>
      <c r="AX136" s="467">
        <f>SUMPRODUCT((RF!$A$2:$A$17=$A136)*(RFEmp=AX$1)*(RF!$H$21:$AO$21="RF Valet"),RF!$H$2:$AO$17)</f>
        <v>0</v>
      </c>
    </row>
    <row r="137" spans="1:50" s="271" customFormat="1" x14ac:dyDescent="0.2">
      <c r="A137" s="247">
        <f t="shared" si="45"/>
        <v>42547</v>
      </c>
      <c r="B137" s="571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250">
        <f>SUMPRODUCT(('RC'!$A$2:$A$17=$A137)*(RCEmp=AV$1),'RC'!$D$2:$AK$17)</f>
        <v>0</v>
      </c>
      <c r="AW137" s="250">
        <f>SUMPRODUCT(('RC'!$A$2:$A$17=$A137)*(RCEmp=AW$1),'RC'!$D$2:$AK$17)</f>
        <v>0</v>
      </c>
      <c r="AX137" s="467">
        <f>SUMPRODUCT(('RC'!$A$2:$A$17=$A137)*(RCEmp=AX$1),'RC'!$D$2:$AK$17)</f>
        <v>0</v>
      </c>
    </row>
    <row r="138" spans="1:50" s="271" customFormat="1" x14ac:dyDescent="0.2">
      <c r="A138" s="247">
        <f t="shared" si="45"/>
        <v>42547</v>
      </c>
      <c r="B138" s="614" t="s">
        <v>155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250">
        <f>SUMPRODUCT((HoO!$A$2:$A$34=$A138)*(HoOEmp=AV$1),HoO!$E$2:$Y$34)</f>
        <v>0</v>
      </c>
      <c r="AW138" s="250">
        <f>SUMPRODUCT((HoO!$A$2:$A$34=$A138)*(HoOEmp=AW$1),HoO!$E$2:$Y$34)</f>
        <v>0</v>
      </c>
      <c r="AX138" s="467">
        <f>SUMPRODUCT((HoO!$A$2:$A$34=$A138)*(HoOEmp=AX$1),HoO!$E$2:$Y$34)</f>
        <v>0</v>
      </c>
    </row>
    <row r="139" spans="1:50" s="271" customFormat="1" x14ac:dyDescent="0.2">
      <c r="A139" s="247">
        <f t="shared" si="45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250">
        <f>SUMPRODUCT((TM!$A$2:$A$17=$A139)*(TMEmp=AV$1),TM!$D$2:$AK$17)</f>
        <v>0</v>
      </c>
      <c r="AW139" s="250">
        <f>SUMPRODUCT((TM!$A$2:$A$17=$A139)*(TMEmp=AW$1),TM!$D$2:$AK$17)</f>
        <v>0</v>
      </c>
      <c r="AX139" s="467">
        <f>SUMPRODUCT((TM!$A$2:$A$17=$A139)*(TMEmp=AX$1),TM!$D$2:$AK$17)</f>
        <v>0</v>
      </c>
    </row>
    <row r="140" spans="1:50" s="271" customFormat="1" x14ac:dyDescent="0.2">
      <c r="A140" s="256">
        <f t="shared" si="45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259">
        <f>SUMPRODUCT((PC!$A$2:$A$80=$A140)*(PCEmp=AV$1),PC!$D$2:$BD$80)</f>
        <v>0</v>
      </c>
      <c r="AW140" s="259">
        <f>SUMPRODUCT((PC!$A$2:$A$80=$A140)*(PCEmp=AW$1),PC!$D$2:$BD$80)</f>
        <v>0</v>
      </c>
      <c r="AX140" s="468">
        <f>SUMPRODUCT((PC!$A$2:$A$80=$A140)*(PCEmp=AX$1),PC!$D$2:$BD$80)</f>
        <v>0</v>
      </c>
    </row>
    <row r="141" spans="1:50" s="271" customFormat="1" x14ac:dyDescent="0.2">
      <c r="A141" s="247">
        <f t="shared" si="45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250">
        <f>SUMPRODUCT((RF!$A$2:$A$17=$A141)*(RFEmp=AV$1)*(RF!$H$21:$AO$21="RF Lead"),RF!$H$2:$AO$17)</f>
        <v>0</v>
      </c>
      <c r="AW141" s="250">
        <f>SUMPRODUCT((RF!$A$2:$A$17=$A141)*(RFEmp=AW$1)*(RF!$H$21:$AO$21="RF Lead"),RF!$H$2:$AO$17)</f>
        <v>0</v>
      </c>
      <c r="AX141" s="467">
        <f>SUMPRODUCT((RF!$A$2:$A$17=$A141)*(RFEmp=AX$1)*(RF!$H$21:$AO$21="RF Lead"),RF!$H$2:$AO$17)</f>
        <v>0</v>
      </c>
    </row>
    <row r="142" spans="1:50" s="271" customFormat="1" x14ac:dyDescent="0.2">
      <c r="A142" s="260">
        <f t="shared" si="45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250">
        <f>SUMPRODUCT((SC!$A$2:$A$34=$A142)*(SCEmp=AV$1),SC!$F$2:$Z$34)</f>
        <v>0</v>
      </c>
      <c r="AW142" s="250">
        <f>SUMPRODUCT((SC!$A$2:$A$34=$A142)*(SCEmp=AW$1),SC!$F$2:$Z$34)</f>
        <v>0</v>
      </c>
      <c r="AX142" s="467">
        <f>SUMPRODUCT((SC!$A$2:$A$34=$A142)*(SCEmp=AX$1),SC!$F$2:$Z$34)</f>
        <v>0</v>
      </c>
    </row>
    <row r="143" spans="1:50" s="271" customFormat="1" x14ac:dyDescent="0.2">
      <c r="A143" s="262">
        <f t="shared" si="45"/>
        <v>42547</v>
      </c>
      <c r="B143" s="263" t="s">
        <v>87</v>
      </c>
      <c r="C143" s="264">
        <f t="shared" ref="C143:AN143" si="64">IF(SUM(C132:C142)&gt;8,SUM(C132:C142)-8,0)+IF(SUM(C132:C142)&gt;12,SUM(C132:C142)-12,0)</f>
        <v>0</v>
      </c>
      <c r="D143" s="265">
        <f t="shared" si="64"/>
        <v>0</v>
      </c>
      <c r="E143" s="265">
        <f t="shared" si="64"/>
        <v>0</v>
      </c>
      <c r="F143" s="265">
        <f t="shared" si="64"/>
        <v>0</v>
      </c>
      <c r="G143" s="265">
        <f t="shared" si="64"/>
        <v>0</v>
      </c>
      <c r="H143" s="265">
        <f t="shared" si="64"/>
        <v>0</v>
      </c>
      <c r="I143" s="265">
        <f t="shared" si="64"/>
        <v>0</v>
      </c>
      <c r="J143" s="265">
        <f t="shared" si="64"/>
        <v>0</v>
      </c>
      <c r="K143" s="265">
        <f t="shared" si="64"/>
        <v>0</v>
      </c>
      <c r="L143" s="265">
        <f t="shared" si="64"/>
        <v>0</v>
      </c>
      <c r="M143" s="265">
        <f t="shared" si="64"/>
        <v>0</v>
      </c>
      <c r="N143" s="265">
        <f t="shared" si="64"/>
        <v>0</v>
      </c>
      <c r="O143" s="265">
        <f t="shared" si="64"/>
        <v>0</v>
      </c>
      <c r="P143" s="265">
        <f t="shared" si="64"/>
        <v>0</v>
      </c>
      <c r="Q143" s="265">
        <f t="shared" si="64"/>
        <v>0</v>
      </c>
      <c r="R143" s="265">
        <f t="shared" si="64"/>
        <v>0</v>
      </c>
      <c r="S143" s="265">
        <f t="shared" si="64"/>
        <v>0</v>
      </c>
      <c r="T143" s="265">
        <f t="shared" si="64"/>
        <v>0</v>
      </c>
      <c r="U143" s="265">
        <f t="shared" si="64"/>
        <v>0</v>
      </c>
      <c r="V143" s="265">
        <f t="shared" si="64"/>
        <v>0</v>
      </c>
      <c r="W143" s="265">
        <f t="shared" si="64"/>
        <v>0</v>
      </c>
      <c r="X143" s="265">
        <f t="shared" si="64"/>
        <v>0</v>
      </c>
      <c r="Y143" s="265">
        <f t="shared" si="64"/>
        <v>0</v>
      </c>
      <c r="Z143" s="265">
        <f t="shared" si="64"/>
        <v>0</v>
      </c>
      <c r="AA143" s="265">
        <f t="shared" si="64"/>
        <v>0</v>
      </c>
      <c r="AB143" s="265">
        <f t="shared" si="64"/>
        <v>0</v>
      </c>
      <c r="AC143" s="265">
        <f t="shared" si="64"/>
        <v>0</v>
      </c>
      <c r="AD143" s="265">
        <f t="shared" si="64"/>
        <v>0</v>
      </c>
      <c r="AE143" s="265">
        <f t="shared" si="64"/>
        <v>0</v>
      </c>
      <c r="AF143" s="265">
        <f t="shared" si="64"/>
        <v>0</v>
      </c>
      <c r="AG143" s="265">
        <f t="shared" si="64"/>
        <v>0</v>
      </c>
      <c r="AH143" s="265">
        <f t="shared" si="64"/>
        <v>0</v>
      </c>
      <c r="AI143" s="265">
        <f t="shared" si="64"/>
        <v>0</v>
      </c>
      <c r="AJ143" s="265">
        <f t="shared" si="64"/>
        <v>0</v>
      </c>
      <c r="AK143" s="265">
        <f t="shared" si="64"/>
        <v>0</v>
      </c>
      <c r="AL143" s="265">
        <f t="shared" si="64"/>
        <v>0</v>
      </c>
      <c r="AM143" s="265">
        <f t="shared" si="64"/>
        <v>0</v>
      </c>
      <c r="AN143" s="265">
        <f t="shared" si="64"/>
        <v>0</v>
      </c>
      <c r="AO143" s="265">
        <f t="shared" ref="AO143:AU143" si="65">IF(SUM(AO132:AO142)&gt;8,SUM(AO132:AO142)-8,0)+IF(SUM(AO132:AO142)&gt;12,SUM(AO132:AO142)-12,0)</f>
        <v>0</v>
      </c>
      <c r="AP143" s="265">
        <f t="shared" si="65"/>
        <v>0</v>
      </c>
      <c r="AQ143" s="265">
        <f t="shared" si="65"/>
        <v>0</v>
      </c>
      <c r="AR143" s="265">
        <f t="shared" si="65"/>
        <v>0</v>
      </c>
      <c r="AS143" s="265">
        <f t="shared" si="65"/>
        <v>0</v>
      </c>
      <c r="AT143" s="265">
        <f t="shared" si="65"/>
        <v>0</v>
      </c>
      <c r="AU143" s="265">
        <f t="shared" si="65"/>
        <v>0</v>
      </c>
      <c r="AV143" s="265">
        <f t="shared" ref="AV143:AW143" si="66">IF(SUM(AV132:AV142)&gt;8,SUM(AV132:AV142)-8,0)+IF(SUM(AV132:AV142)&gt;12,SUM(AV132:AV142)-12,0)</f>
        <v>0</v>
      </c>
      <c r="AW143" s="265">
        <f t="shared" si="66"/>
        <v>0</v>
      </c>
      <c r="AX143" s="469">
        <f>IF(SUM(AX132:AX142)&gt;8,SUM(AX132:AX142)-8,0)+IF(SUM(AX132:AX142)&gt;12,SUM(AX132:AX142)-12,0)</f>
        <v>0</v>
      </c>
    </row>
    <row r="144" spans="1:50" s="271" customFormat="1" x14ac:dyDescent="0.2">
      <c r="A144" s="266">
        <f t="shared" si="45"/>
        <v>42547</v>
      </c>
      <c r="B144" s="267" t="s">
        <v>86</v>
      </c>
      <c r="C144" s="268">
        <f t="shared" ref="C144:AN144" si="67">IFERROR((C$211*SUM(C132:C139)+C$212*SUM(C140:C142))/SUM(C132:C142)/2,0)*C143</f>
        <v>0</v>
      </c>
      <c r="D144" s="269">
        <f t="shared" si="67"/>
        <v>0</v>
      </c>
      <c r="E144" s="269">
        <f t="shared" si="67"/>
        <v>0</v>
      </c>
      <c r="F144" s="269">
        <f t="shared" si="67"/>
        <v>0</v>
      </c>
      <c r="G144" s="269">
        <f t="shared" si="67"/>
        <v>0</v>
      </c>
      <c r="H144" s="269">
        <f t="shared" si="67"/>
        <v>0</v>
      </c>
      <c r="I144" s="269">
        <f t="shared" si="67"/>
        <v>0</v>
      </c>
      <c r="J144" s="269">
        <f t="shared" si="67"/>
        <v>0</v>
      </c>
      <c r="K144" s="269">
        <f t="shared" si="67"/>
        <v>0</v>
      </c>
      <c r="L144" s="269">
        <f t="shared" si="67"/>
        <v>0</v>
      </c>
      <c r="M144" s="269">
        <f t="shared" si="67"/>
        <v>0</v>
      </c>
      <c r="N144" s="269">
        <f t="shared" si="67"/>
        <v>0</v>
      </c>
      <c r="O144" s="269">
        <f t="shared" si="67"/>
        <v>0</v>
      </c>
      <c r="P144" s="269">
        <f t="shared" si="67"/>
        <v>0</v>
      </c>
      <c r="Q144" s="269">
        <f t="shared" si="67"/>
        <v>0</v>
      </c>
      <c r="R144" s="269">
        <f t="shared" si="67"/>
        <v>0</v>
      </c>
      <c r="S144" s="269">
        <f t="shared" si="67"/>
        <v>0</v>
      </c>
      <c r="T144" s="269">
        <f t="shared" si="67"/>
        <v>0</v>
      </c>
      <c r="U144" s="269">
        <f t="shared" si="67"/>
        <v>0</v>
      </c>
      <c r="V144" s="269">
        <f t="shared" si="67"/>
        <v>0</v>
      </c>
      <c r="W144" s="269">
        <f t="shared" si="67"/>
        <v>0</v>
      </c>
      <c r="X144" s="269">
        <f t="shared" si="67"/>
        <v>0</v>
      </c>
      <c r="Y144" s="269">
        <f t="shared" si="67"/>
        <v>0</v>
      </c>
      <c r="Z144" s="269">
        <f t="shared" si="67"/>
        <v>0</v>
      </c>
      <c r="AA144" s="269">
        <f t="shared" si="67"/>
        <v>0</v>
      </c>
      <c r="AB144" s="269">
        <f t="shared" si="67"/>
        <v>0</v>
      </c>
      <c r="AC144" s="269">
        <f t="shared" si="67"/>
        <v>0</v>
      </c>
      <c r="AD144" s="269">
        <f t="shared" si="67"/>
        <v>0</v>
      </c>
      <c r="AE144" s="269">
        <f t="shared" si="67"/>
        <v>0</v>
      </c>
      <c r="AF144" s="269">
        <f t="shared" si="67"/>
        <v>0</v>
      </c>
      <c r="AG144" s="269">
        <f t="shared" si="67"/>
        <v>0</v>
      </c>
      <c r="AH144" s="269">
        <f t="shared" si="67"/>
        <v>0</v>
      </c>
      <c r="AI144" s="269">
        <f t="shared" si="67"/>
        <v>0</v>
      </c>
      <c r="AJ144" s="269">
        <f t="shared" si="67"/>
        <v>0</v>
      </c>
      <c r="AK144" s="269">
        <f t="shared" si="67"/>
        <v>0</v>
      </c>
      <c r="AL144" s="269">
        <f t="shared" si="67"/>
        <v>0</v>
      </c>
      <c r="AM144" s="269">
        <f t="shared" si="67"/>
        <v>0</v>
      </c>
      <c r="AN144" s="269">
        <f t="shared" si="67"/>
        <v>0</v>
      </c>
      <c r="AO144" s="269">
        <f t="shared" ref="AO144:AU144" si="68">IFERROR((AO$211*SUM(AO132:AO139)+AO$212*SUM(AO140:AO142))/SUM(AO132:AO142)/2,0)*AO143</f>
        <v>0</v>
      </c>
      <c r="AP144" s="269">
        <f t="shared" si="68"/>
        <v>0</v>
      </c>
      <c r="AQ144" s="269">
        <f t="shared" si="68"/>
        <v>0</v>
      </c>
      <c r="AR144" s="269">
        <f t="shared" si="68"/>
        <v>0</v>
      </c>
      <c r="AS144" s="269">
        <f t="shared" si="68"/>
        <v>0</v>
      </c>
      <c r="AT144" s="269">
        <f t="shared" si="68"/>
        <v>0</v>
      </c>
      <c r="AU144" s="269">
        <f t="shared" si="68"/>
        <v>0</v>
      </c>
      <c r="AV144" s="269">
        <f t="shared" ref="AV144:AW144" si="69">IFERROR((AV$211*SUM(AV132:AV139)+AV$212*SUM(AV140:AV142))/SUM(AV132:AV142)/2,0)*AV143</f>
        <v>0</v>
      </c>
      <c r="AW144" s="269">
        <f t="shared" si="69"/>
        <v>0</v>
      </c>
      <c r="AX144" s="470">
        <f>IFERROR((AX$211*SUM(AX132:AX139)+AX$212*SUM(AX140:AX142))/SUM(AX132:AX142)/2,0)*AX143</f>
        <v>0</v>
      </c>
    </row>
    <row r="145" spans="1:50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250">
        <f>SUMPRODUCT((Driver!$A$2:$A$17=$A145)*(DriverEmp=AV$1),Driver!$C$2:$V$17)</f>
        <v>0</v>
      </c>
      <c r="AW145" s="250">
        <f>SUMPRODUCT((Driver!$A$2:$A$17=$A145)*(DriverEmp=AW$1),Driver!$C$2:$V$17)</f>
        <v>0</v>
      </c>
      <c r="AX145" s="467">
        <f>SUMPRODUCT((Driver!$A$2:$A$17=$A145)*(DriverEmp=AX$1),Driver!$C$2:$V$17)</f>
        <v>0</v>
      </c>
    </row>
    <row r="146" spans="1:50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250">
        <f>SUMPRODUCT((PP!$A$2:$A$80=$A146)*(PPEmp=AV$1),PP!$D$2:$BD$80)</f>
        <v>0</v>
      </c>
      <c r="AW146" s="250">
        <f>SUMPRODUCT((PP!$A$2:$A$80=$A146)*(PPEmp=AW$1),PP!$D$2:$BD$80)</f>
        <v>0</v>
      </c>
      <c r="AX146" s="467">
        <f>SUMPRODUCT((PP!$A$2:$A$80=$A146)*(PPEmp=AX$1),PP!$D$2:$BD$80)</f>
        <v>0</v>
      </c>
    </row>
    <row r="147" spans="1:50" s="271" customFormat="1" x14ac:dyDescent="0.2">
      <c r="A147" s="247">
        <f t="shared" si="45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250">
        <f>SUMPRODUCT((FH!$A$2:$A$97=$A147)*(FHEmp=AV$1),FH!$E$2:$AZ$97)</f>
        <v>0</v>
      </c>
      <c r="AW147" s="250">
        <f>SUMPRODUCT((FH!$A$2:$A$97=$A147)*(FHEmp=AW$1),FH!$E$2:$AZ$97)</f>
        <v>0</v>
      </c>
      <c r="AX147" s="467">
        <f>SUMPRODUCT((FH!$A$2:$A$97=$A147)*(FHEmp=AX$1),FH!$E$2:$AZ$97)</f>
        <v>0</v>
      </c>
    </row>
    <row r="148" spans="1:50" s="271" customFormat="1" x14ac:dyDescent="0.2">
      <c r="A148" s="247">
        <f t="shared" si="45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250">
        <f>SUMPRODUCT(('T22'!$A$2:$A$97=$A148)*(T22Emp=AV$1),'T22'!$E$2:$AZ$97)</f>
        <v>0</v>
      </c>
      <c r="AW148" s="250">
        <f>SUMPRODUCT(('T22'!$A$2:$A$97=$A148)*(T22Emp=AW$1),'T22'!$E$2:$AZ$97)</f>
        <v>0</v>
      </c>
      <c r="AX148" s="467">
        <f>SUMPRODUCT(('T22'!$A$2:$A$97=$A148)*(T22Emp=AX$1),'T22'!$E$2:$AZ$97)</f>
        <v>0</v>
      </c>
    </row>
    <row r="149" spans="1:50" s="271" customFormat="1" x14ac:dyDescent="0.2">
      <c r="A149" s="247">
        <f t="shared" si="45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250">
        <f>SUMPRODUCT((RF!$A$2:$A$17=$A149)*(RFEmp=AV$1)*(RF!$H$21:$AO$21="RF Valet"),RF!$H$2:$AO$17)</f>
        <v>0</v>
      </c>
      <c r="AW149" s="250">
        <f>SUMPRODUCT((RF!$A$2:$A$17=$A149)*(RFEmp=AW$1)*(RF!$H$21:$AO$21="RF Valet"),RF!$H$2:$AO$17)</f>
        <v>0</v>
      </c>
      <c r="AX149" s="467">
        <f>SUMPRODUCT((RF!$A$2:$A$17=$A149)*(RFEmp=AX$1)*(RF!$H$21:$AO$21="RF Valet"),RF!$H$2:$AO$17)</f>
        <v>0</v>
      </c>
    </row>
    <row r="150" spans="1:50" s="271" customFormat="1" x14ac:dyDescent="0.2">
      <c r="A150" s="247">
        <f t="shared" si="45"/>
        <v>42548</v>
      </c>
      <c r="B150" s="571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250">
        <f>SUMPRODUCT(('RC'!$A$2:$A$17=$A150)*(RCEmp=AV$1),'RC'!$D$2:$AK$17)</f>
        <v>0</v>
      </c>
      <c r="AW150" s="250">
        <f>SUMPRODUCT(('RC'!$A$2:$A$17=$A150)*(RCEmp=AW$1),'RC'!$D$2:$AK$17)</f>
        <v>0</v>
      </c>
      <c r="AX150" s="467">
        <f>SUMPRODUCT(('RC'!$A$2:$A$17=$A150)*(RCEmp=AX$1),'RC'!$D$2:$AK$17)</f>
        <v>0</v>
      </c>
    </row>
    <row r="151" spans="1:50" s="271" customFormat="1" x14ac:dyDescent="0.2">
      <c r="A151" s="247">
        <f t="shared" si="45"/>
        <v>42548</v>
      </c>
      <c r="B151" s="614" t="s">
        <v>155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250">
        <f>SUMPRODUCT((HoO!$A$2:$A$34=$A151)*(HoOEmp=AV$1),HoO!$E$2:$Y$34)</f>
        <v>0</v>
      </c>
      <c r="AW151" s="250">
        <f>SUMPRODUCT((HoO!$A$2:$A$34=$A151)*(HoOEmp=AW$1),HoO!$E$2:$Y$34)</f>
        <v>0</v>
      </c>
      <c r="AX151" s="467">
        <f>SUMPRODUCT((HoO!$A$2:$A$34=$A151)*(HoOEmp=AX$1),HoO!$E$2:$Y$34)</f>
        <v>0</v>
      </c>
    </row>
    <row r="152" spans="1:50" s="271" customFormat="1" x14ac:dyDescent="0.2">
      <c r="A152" s="247">
        <f t="shared" si="45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250">
        <f>SUMPRODUCT((TM!$A$2:$A$17=$A152)*(TMEmp=AV$1),TM!$D$2:$AK$17)</f>
        <v>0</v>
      </c>
      <c r="AW152" s="250">
        <f>SUMPRODUCT((TM!$A$2:$A$17=$A152)*(TMEmp=AW$1),TM!$D$2:$AK$17)</f>
        <v>0</v>
      </c>
      <c r="AX152" s="467">
        <f>SUMPRODUCT((TM!$A$2:$A$17=$A152)*(TMEmp=AX$1),TM!$D$2:$AK$17)</f>
        <v>0</v>
      </c>
    </row>
    <row r="153" spans="1:50" s="271" customFormat="1" x14ac:dyDescent="0.2">
      <c r="A153" s="256">
        <f t="shared" si="45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259">
        <f>SUMPRODUCT((PC!$A$2:$A$80=$A153)*(PCEmp=AV$1),PC!$D$2:$BD$80)</f>
        <v>0</v>
      </c>
      <c r="AW153" s="259">
        <f>SUMPRODUCT((PC!$A$2:$A$80=$A153)*(PCEmp=AW$1),PC!$D$2:$BD$80)</f>
        <v>0</v>
      </c>
      <c r="AX153" s="468">
        <f>SUMPRODUCT((PC!$A$2:$A$80=$A153)*(PCEmp=AX$1),PC!$D$2:$BD$80)</f>
        <v>0</v>
      </c>
    </row>
    <row r="154" spans="1:50" s="271" customFormat="1" x14ac:dyDescent="0.2">
      <c r="A154" s="247">
        <f t="shared" si="45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250">
        <f>SUMPRODUCT((RF!$A$2:$A$17=$A154)*(RFEmp=AV$1)*(RF!$H$21:$AO$21="RF Lead"),RF!$H$2:$AO$17)</f>
        <v>0</v>
      </c>
      <c r="AW154" s="250">
        <f>SUMPRODUCT((RF!$A$2:$A$17=$A154)*(RFEmp=AW$1)*(RF!$H$21:$AO$21="RF Lead"),RF!$H$2:$AO$17)</f>
        <v>0</v>
      </c>
      <c r="AX154" s="467">
        <f>SUMPRODUCT((RF!$A$2:$A$17=$A154)*(RFEmp=AX$1)*(RF!$H$21:$AO$21="RF Lead"),RF!$H$2:$AO$17)</f>
        <v>0</v>
      </c>
    </row>
    <row r="155" spans="1:50" s="271" customFormat="1" x14ac:dyDescent="0.2">
      <c r="A155" s="260">
        <f t="shared" si="45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250">
        <f>SUMPRODUCT((SC!$A$2:$A$34=$A155)*(SCEmp=AV$1),SC!$F$2:$Z$34)</f>
        <v>0</v>
      </c>
      <c r="AW155" s="250">
        <f>SUMPRODUCT((SC!$A$2:$A$34=$A155)*(SCEmp=AW$1),SC!$F$2:$Z$34)</f>
        <v>0</v>
      </c>
      <c r="AX155" s="467">
        <f>SUMPRODUCT((SC!$A$2:$A$34=$A155)*(SCEmp=AX$1),SC!$F$2:$Z$34)</f>
        <v>0</v>
      </c>
    </row>
    <row r="156" spans="1:50" s="271" customFormat="1" x14ac:dyDescent="0.2">
      <c r="A156" s="262">
        <f t="shared" si="45"/>
        <v>42548</v>
      </c>
      <c r="B156" s="263" t="s">
        <v>87</v>
      </c>
      <c r="C156" s="264">
        <f t="shared" ref="C156:AN156" si="70">IF(SUM(C145:C155)&gt;8,SUM(C145:C155)-8,0)+IF(SUM(C145:C155)&gt;12,SUM(C145:C155)-12,0)</f>
        <v>0</v>
      </c>
      <c r="D156" s="265">
        <f t="shared" si="70"/>
        <v>0</v>
      </c>
      <c r="E156" s="265">
        <f t="shared" si="70"/>
        <v>0</v>
      </c>
      <c r="F156" s="265">
        <f t="shared" si="70"/>
        <v>0</v>
      </c>
      <c r="G156" s="265">
        <f t="shared" si="70"/>
        <v>0</v>
      </c>
      <c r="H156" s="265">
        <f t="shared" si="70"/>
        <v>0</v>
      </c>
      <c r="I156" s="265">
        <f t="shared" si="70"/>
        <v>0</v>
      </c>
      <c r="J156" s="265">
        <f t="shared" si="70"/>
        <v>0</v>
      </c>
      <c r="K156" s="265">
        <f t="shared" si="70"/>
        <v>0</v>
      </c>
      <c r="L156" s="265">
        <f t="shared" si="70"/>
        <v>0</v>
      </c>
      <c r="M156" s="265">
        <f t="shared" si="70"/>
        <v>0</v>
      </c>
      <c r="N156" s="265">
        <f t="shared" si="70"/>
        <v>0</v>
      </c>
      <c r="O156" s="265">
        <f t="shared" si="70"/>
        <v>0</v>
      </c>
      <c r="P156" s="265">
        <f t="shared" si="70"/>
        <v>0</v>
      </c>
      <c r="Q156" s="265">
        <f t="shared" si="70"/>
        <v>0</v>
      </c>
      <c r="R156" s="265">
        <f t="shared" si="70"/>
        <v>0</v>
      </c>
      <c r="S156" s="265">
        <f t="shared" si="70"/>
        <v>0</v>
      </c>
      <c r="T156" s="265">
        <f t="shared" si="70"/>
        <v>0</v>
      </c>
      <c r="U156" s="265">
        <f t="shared" si="70"/>
        <v>0</v>
      </c>
      <c r="V156" s="265">
        <f t="shared" si="70"/>
        <v>0</v>
      </c>
      <c r="W156" s="265">
        <f t="shared" si="70"/>
        <v>0</v>
      </c>
      <c r="X156" s="265">
        <f t="shared" si="70"/>
        <v>0</v>
      </c>
      <c r="Y156" s="265">
        <f t="shared" si="70"/>
        <v>0</v>
      </c>
      <c r="Z156" s="265">
        <f t="shared" si="70"/>
        <v>0</v>
      </c>
      <c r="AA156" s="265">
        <f t="shared" si="70"/>
        <v>0</v>
      </c>
      <c r="AB156" s="265">
        <f t="shared" si="70"/>
        <v>0</v>
      </c>
      <c r="AC156" s="265">
        <f t="shared" si="70"/>
        <v>0</v>
      </c>
      <c r="AD156" s="265">
        <f t="shared" si="70"/>
        <v>0</v>
      </c>
      <c r="AE156" s="265">
        <f t="shared" si="70"/>
        <v>0</v>
      </c>
      <c r="AF156" s="265">
        <f t="shared" si="70"/>
        <v>0</v>
      </c>
      <c r="AG156" s="265">
        <f t="shared" si="70"/>
        <v>0</v>
      </c>
      <c r="AH156" s="265">
        <f t="shared" si="70"/>
        <v>0</v>
      </c>
      <c r="AI156" s="265">
        <f t="shared" si="70"/>
        <v>0</v>
      </c>
      <c r="AJ156" s="265">
        <f t="shared" si="70"/>
        <v>0</v>
      </c>
      <c r="AK156" s="265">
        <f t="shared" si="70"/>
        <v>0</v>
      </c>
      <c r="AL156" s="265">
        <f t="shared" si="70"/>
        <v>0</v>
      </c>
      <c r="AM156" s="265">
        <f t="shared" si="70"/>
        <v>0</v>
      </c>
      <c r="AN156" s="265">
        <f t="shared" si="70"/>
        <v>0</v>
      </c>
      <c r="AO156" s="265">
        <f t="shared" ref="AO156:AU156" si="71">IF(SUM(AO145:AO155)&gt;8,SUM(AO145:AO155)-8,0)+IF(SUM(AO145:AO155)&gt;12,SUM(AO145:AO155)-12,0)</f>
        <v>0</v>
      </c>
      <c r="AP156" s="265">
        <f t="shared" si="71"/>
        <v>0</v>
      </c>
      <c r="AQ156" s="265">
        <f t="shared" si="71"/>
        <v>0</v>
      </c>
      <c r="AR156" s="265">
        <f t="shared" si="71"/>
        <v>0</v>
      </c>
      <c r="AS156" s="265">
        <f t="shared" si="71"/>
        <v>0</v>
      </c>
      <c r="AT156" s="265">
        <f t="shared" si="71"/>
        <v>0</v>
      </c>
      <c r="AU156" s="265">
        <f t="shared" si="71"/>
        <v>0</v>
      </c>
      <c r="AV156" s="265">
        <f t="shared" ref="AV156:AW156" si="72">IF(SUM(AV145:AV155)&gt;8,SUM(AV145:AV155)-8,0)+IF(SUM(AV145:AV155)&gt;12,SUM(AV145:AV155)-12,0)</f>
        <v>0</v>
      </c>
      <c r="AW156" s="265">
        <f t="shared" si="72"/>
        <v>0</v>
      </c>
      <c r="AX156" s="469">
        <f>IF(SUM(AX145:AX155)&gt;8,SUM(AX145:AX155)-8,0)+IF(SUM(AX145:AX155)&gt;12,SUM(AX145:AX155)-12,0)</f>
        <v>0</v>
      </c>
    </row>
    <row r="157" spans="1:50" s="271" customFormat="1" x14ac:dyDescent="0.2">
      <c r="A157" s="266">
        <f t="shared" si="45"/>
        <v>42548</v>
      </c>
      <c r="B157" s="267" t="s">
        <v>86</v>
      </c>
      <c r="C157" s="268">
        <f t="shared" ref="C157:AN157" si="73">IFERROR((C$211*SUM(C145:C152)+C$212*SUM(C153:C155))/SUM(C145:C155)/2,0)*C156</f>
        <v>0</v>
      </c>
      <c r="D157" s="269">
        <f t="shared" si="73"/>
        <v>0</v>
      </c>
      <c r="E157" s="269">
        <f t="shared" si="73"/>
        <v>0</v>
      </c>
      <c r="F157" s="269">
        <f t="shared" si="73"/>
        <v>0</v>
      </c>
      <c r="G157" s="269">
        <f t="shared" si="73"/>
        <v>0</v>
      </c>
      <c r="H157" s="269">
        <f t="shared" si="73"/>
        <v>0</v>
      </c>
      <c r="I157" s="269">
        <f t="shared" si="73"/>
        <v>0</v>
      </c>
      <c r="J157" s="269">
        <f t="shared" si="73"/>
        <v>0</v>
      </c>
      <c r="K157" s="269">
        <f t="shared" si="73"/>
        <v>0</v>
      </c>
      <c r="L157" s="269">
        <f t="shared" si="73"/>
        <v>0</v>
      </c>
      <c r="M157" s="269">
        <f t="shared" si="73"/>
        <v>0</v>
      </c>
      <c r="N157" s="269">
        <f t="shared" si="73"/>
        <v>0</v>
      </c>
      <c r="O157" s="269">
        <f t="shared" si="73"/>
        <v>0</v>
      </c>
      <c r="P157" s="269">
        <f t="shared" si="73"/>
        <v>0</v>
      </c>
      <c r="Q157" s="269">
        <f t="shared" si="73"/>
        <v>0</v>
      </c>
      <c r="R157" s="269">
        <f t="shared" si="73"/>
        <v>0</v>
      </c>
      <c r="S157" s="269">
        <f t="shared" si="73"/>
        <v>0</v>
      </c>
      <c r="T157" s="269">
        <f t="shared" si="73"/>
        <v>0</v>
      </c>
      <c r="U157" s="269">
        <f t="shared" si="73"/>
        <v>0</v>
      </c>
      <c r="V157" s="269">
        <f t="shared" si="73"/>
        <v>0</v>
      </c>
      <c r="W157" s="269">
        <f t="shared" si="73"/>
        <v>0</v>
      </c>
      <c r="X157" s="269">
        <f t="shared" si="73"/>
        <v>0</v>
      </c>
      <c r="Y157" s="269">
        <f t="shared" si="73"/>
        <v>0</v>
      </c>
      <c r="Z157" s="269">
        <f t="shared" si="73"/>
        <v>0</v>
      </c>
      <c r="AA157" s="269">
        <f t="shared" si="73"/>
        <v>0</v>
      </c>
      <c r="AB157" s="269">
        <f t="shared" si="73"/>
        <v>0</v>
      </c>
      <c r="AC157" s="269">
        <f t="shared" si="73"/>
        <v>0</v>
      </c>
      <c r="AD157" s="269">
        <f t="shared" si="73"/>
        <v>0</v>
      </c>
      <c r="AE157" s="269">
        <f t="shared" si="73"/>
        <v>0</v>
      </c>
      <c r="AF157" s="269">
        <f t="shared" si="73"/>
        <v>0</v>
      </c>
      <c r="AG157" s="269">
        <f t="shared" si="73"/>
        <v>0</v>
      </c>
      <c r="AH157" s="269">
        <f t="shared" si="73"/>
        <v>0</v>
      </c>
      <c r="AI157" s="269">
        <f t="shared" si="73"/>
        <v>0</v>
      </c>
      <c r="AJ157" s="269">
        <f t="shared" si="73"/>
        <v>0</v>
      </c>
      <c r="AK157" s="269">
        <f t="shared" si="73"/>
        <v>0</v>
      </c>
      <c r="AL157" s="269">
        <f t="shared" si="73"/>
        <v>0</v>
      </c>
      <c r="AM157" s="269">
        <f t="shared" si="73"/>
        <v>0</v>
      </c>
      <c r="AN157" s="269">
        <f t="shared" si="73"/>
        <v>0</v>
      </c>
      <c r="AO157" s="269">
        <f t="shared" ref="AO157:AU157" si="74">IFERROR((AO$211*SUM(AO145:AO152)+AO$212*SUM(AO153:AO155))/SUM(AO145:AO155)/2,0)*AO156</f>
        <v>0</v>
      </c>
      <c r="AP157" s="269">
        <f t="shared" si="74"/>
        <v>0</v>
      </c>
      <c r="AQ157" s="269">
        <f t="shared" si="74"/>
        <v>0</v>
      </c>
      <c r="AR157" s="269">
        <f t="shared" si="74"/>
        <v>0</v>
      </c>
      <c r="AS157" s="269">
        <f t="shared" si="74"/>
        <v>0</v>
      </c>
      <c r="AT157" s="269">
        <f t="shared" si="74"/>
        <v>0</v>
      </c>
      <c r="AU157" s="269">
        <f t="shared" si="74"/>
        <v>0</v>
      </c>
      <c r="AV157" s="269">
        <f t="shared" ref="AV157:AW157" si="75">IFERROR((AV$211*SUM(AV145:AV152)+AV$212*SUM(AV153:AV155))/SUM(AV145:AV155)/2,0)*AV156</f>
        <v>0</v>
      </c>
      <c r="AW157" s="269">
        <f t="shared" si="75"/>
        <v>0</v>
      </c>
      <c r="AX157" s="470">
        <f>IFERROR((AX$211*SUM(AX145:AX152)+AX$212*SUM(AX153:AX155))/SUM(AX145:AX155)/2,0)*AX156</f>
        <v>0</v>
      </c>
    </row>
    <row r="158" spans="1:50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250">
        <f>SUMPRODUCT((Driver!$A$2:$A$17=$A158)*(DriverEmp=AV$1),Driver!$C$2:$V$17)</f>
        <v>0</v>
      </c>
      <c r="AW158" s="250">
        <f>SUMPRODUCT((Driver!$A$2:$A$17=$A158)*(DriverEmp=AW$1),Driver!$C$2:$V$17)</f>
        <v>0</v>
      </c>
      <c r="AX158" s="467">
        <f>SUMPRODUCT((Driver!$A$2:$A$17=$A158)*(DriverEmp=AX$1),Driver!$C$2:$V$17)</f>
        <v>0</v>
      </c>
    </row>
    <row r="159" spans="1:50" s="271" customFormat="1" x14ac:dyDescent="0.2">
      <c r="A159" s="247">
        <f t="shared" ref="A159:A209" si="76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250">
        <f>SUMPRODUCT((PP!$A$2:$A$80=$A159)*(PPEmp=AV$1),PP!$D$2:$BD$80)</f>
        <v>0</v>
      </c>
      <c r="AW159" s="250">
        <f>SUMPRODUCT((PP!$A$2:$A$80=$A159)*(PPEmp=AW$1),PP!$D$2:$BD$80)</f>
        <v>0</v>
      </c>
      <c r="AX159" s="467">
        <f>SUMPRODUCT((PP!$A$2:$A$80=$A159)*(PPEmp=AX$1),PP!$D$2:$BD$80)</f>
        <v>0</v>
      </c>
    </row>
    <row r="160" spans="1:50" s="271" customFormat="1" x14ac:dyDescent="0.2">
      <c r="A160" s="247">
        <f t="shared" si="76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250">
        <f>SUMPRODUCT((FH!$A$2:$A$97=$A160)*(FHEmp=AV$1),FH!$E$2:$AZ$97)</f>
        <v>0</v>
      </c>
      <c r="AW160" s="250">
        <f>SUMPRODUCT((FH!$A$2:$A$97=$A160)*(FHEmp=AW$1),FH!$E$2:$AZ$97)</f>
        <v>0</v>
      </c>
      <c r="AX160" s="467">
        <f>SUMPRODUCT((FH!$A$2:$A$97=$A160)*(FHEmp=AX$1),FH!$E$2:$AZ$97)</f>
        <v>0</v>
      </c>
    </row>
    <row r="161" spans="1:50" s="271" customFormat="1" x14ac:dyDescent="0.2">
      <c r="A161" s="247">
        <f t="shared" si="76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250">
        <f>SUMPRODUCT(('T22'!$A$2:$A$97=$A161)*(T22Emp=AV$1),'T22'!$E$2:$AZ$97)</f>
        <v>0</v>
      </c>
      <c r="AW161" s="250">
        <f>SUMPRODUCT(('T22'!$A$2:$A$97=$A161)*(T22Emp=AW$1),'T22'!$E$2:$AZ$97)</f>
        <v>0</v>
      </c>
      <c r="AX161" s="467">
        <f>SUMPRODUCT(('T22'!$A$2:$A$97=$A161)*(T22Emp=AX$1),'T22'!$E$2:$AZ$97)</f>
        <v>0</v>
      </c>
    </row>
    <row r="162" spans="1:50" s="271" customFormat="1" x14ac:dyDescent="0.2">
      <c r="A162" s="247">
        <f t="shared" si="76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250">
        <f>SUMPRODUCT((RF!$A$2:$A$17=$A162)*(RFEmp=AV$1)*(RF!$H$21:$AO$21="RF Valet"),RF!$H$2:$AO$17)</f>
        <v>0</v>
      </c>
      <c r="AW162" s="250">
        <f>SUMPRODUCT((RF!$A$2:$A$17=$A162)*(RFEmp=AW$1)*(RF!$H$21:$AO$21="RF Valet"),RF!$H$2:$AO$17)</f>
        <v>0</v>
      </c>
      <c r="AX162" s="467">
        <f>SUMPRODUCT((RF!$A$2:$A$17=$A162)*(RFEmp=AX$1)*(RF!$H$21:$AO$21="RF Valet"),RF!$H$2:$AO$17)</f>
        <v>0</v>
      </c>
    </row>
    <row r="163" spans="1:50" s="271" customFormat="1" x14ac:dyDescent="0.2">
      <c r="A163" s="247">
        <f t="shared" si="76"/>
        <v>42549</v>
      </c>
      <c r="B163" s="571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250">
        <f>SUMPRODUCT(('RC'!$A$2:$A$17=$A163)*(RCEmp=AV$1),'RC'!$D$2:$AK$17)</f>
        <v>0</v>
      </c>
      <c r="AW163" s="250">
        <f>SUMPRODUCT(('RC'!$A$2:$A$17=$A163)*(RCEmp=AW$1),'RC'!$D$2:$AK$17)</f>
        <v>0</v>
      </c>
      <c r="AX163" s="467">
        <f>SUMPRODUCT(('RC'!$A$2:$A$17=$A163)*(RCEmp=AX$1),'RC'!$D$2:$AK$17)</f>
        <v>0</v>
      </c>
    </row>
    <row r="164" spans="1:50" s="271" customFormat="1" x14ac:dyDescent="0.2">
      <c r="A164" s="247">
        <f t="shared" si="76"/>
        <v>42549</v>
      </c>
      <c r="B164" s="614" t="s">
        <v>155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250">
        <f>SUMPRODUCT((HoO!$A$2:$A$34=$A164)*(HoOEmp=AV$1),HoO!$E$2:$Y$34)</f>
        <v>0</v>
      </c>
      <c r="AW164" s="250">
        <f>SUMPRODUCT((HoO!$A$2:$A$34=$A164)*(HoOEmp=AW$1),HoO!$E$2:$Y$34)</f>
        <v>0</v>
      </c>
      <c r="AX164" s="467">
        <f>SUMPRODUCT((HoO!$A$2:$A$34=$A164)*(HoOEmp=AX$1),HoO!$E$2:$Y$34)</f>
        <v>0</v>
      </c>
    </row>
    <row r="165" spans="1:50" s="271" customFormat="1" x14ac:dyDescent="0.2">
      <c r="A165" s="247">
        <f t="shared" si="76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250">
        <f>SUMPRODUCT((TM!$A$2:$A$17=$A165)*(TMEmp=AV$1),TM!$D$2:$AK$17)</f>
        <v>0</v>
      </c>
      <c r="AW165" s="250">
        <f>SUMPRODUCT((TM!$A$2:$A$17=$A165)*(TMEmp=AW$1),TM!$D$2:$AK$17)</f>
        <v>0</v>
      </c>
      <c r="AX165" s="467">
        <f>SUMPRODUCT((TM!$A$2:$A$17=$A165)*(TMEmp=AX$1),TM!$D$2:$AK$17)</f>
        <v>0</v>
      </c>
    </row>
    <row r="166" spans="1:50" s="271" customFormat="1" x14ac:dyDescent="0.2">
      <c r="A166" s="256">
        <f t="shared" si="76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259">
        <f>SUMPRODUCT((PC!$A$2:$A$80=$A166)*(PCEmp=AV$1),PC!$D$2:$BD$80)</f>
        <v>0</v>
      </c>
      <c r="AW166" s="259">
        <f>SUMPRODUCT((PC!$A$2:$A$80=$A166)*(PCEmp=AW$1),PC!$D$2:$BD$80)</f>
        <v>0</v>
      </c>
      <c r="AX166" s="468">
        <f>SUMPRODUCT((PC!$A$2:$A$80=$A166)*(PCEmp=AX$1),PC!$D$2:$BD$80)</f>
        <v>0</v>
      </c>
    </row>
    <row r="167" spans="1:50" s="271" customFormat="1" x14ac:dyDescent="0.2">
      <c r="A167" s="247">
        <f t="shared" si="76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250">
        <f>SUMPRODUCT((RF!$A$2:$A$17=$A167)*(RFEmp=AV$1)*(RF!$H$21:$AO$21="RF Lead"),RF!$H$2:$AO$17)</f>
        <v>0</v>
      </c>
      <c r="AW167" s="250">
        <f>SUMPRODUCT((RF!$A$2:$A$17=$A167)*(RFEmp=AW$1)*(RF!$H$21:$AO$21="RF Lead"),RF!$H$2:$AO$17)</f>
        <v>0</v>
      </c>
      <c r="AX167" s="467">
        <f>SUMPRODUCT((RF!$A$2:$A$17=$A167)*(RFEmp=AX$1)*(RF!$H$21:$AO$21="RF Lead"),RF!$H$2:$AO$17)</f>
        <v>0</v>
      </c>
    </row>
    <row r="168" spans="1:50" s="271" customFormat="1" x14ac:dyDescent="0.2">
      <c r="A168" s="260">
        <f t="shared" si="76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250">
        <f>SUMPRODUCT((SC!$A$2:$A$34=$A168)*(SCEmp=AV$1),SC!$F$2:$Z$34)</f>
        <v>0</v>
      </c>
      <c r="AW168" s="250">
        <f>SUMPRODUCT((SC!$A$2:$A$34=$A168)*(SCEmp=AW$1),SC!$F$2:$Z$34)</f>
        <v>0</v>
      </c>
      <c r="AX168" s="467">
        <f>SUMPRODUCT((SC!$A$2:$A$34=$A168)*(SCEmp=AX$1),SC!$F$2:$Z$34)</f>
        <v>0</v>
      </c>
    </row>
    <row r="169" spans="1:50" s="271" customFormat="1" x14ac:dyDescent="0.2">
      <c r="A169" s="262">
        <f t="shared" si="76"/>
        <v>42549</v>
      </c>
      <c r="B169" s="263" t="s">
        <v>87</v>
      </c>
      <c r="C169" s="264">
        <f t="shared" ref="C169:AN169" si="77">IF(SUM(C158:C168)&gt;8,SUM(C158:C168)-8,0)+IF(SUM(C158:C168)&gt;12,SUM(C158:C168)-12,0)</f>
        <v>0</v>
      </c>
      <c r="D169" s="265">
        <f t="shared" si="77"/>
        <v>0</v>
      </c>
      <c r="E169" s="265">
        <f t="shared" si="77"/>
        <v>0</v>
      </c>
      <c r="F169" s="265">
        <f t="shared" si="77"/>
        <v>0</v>
      </c>
      <c r="G169" s="265">
        <f t="shared" si="77"/>
        <v>0</v>
      </c>
      <c r="H169" s="265">
        <f t="shared" si="77"/>
        <v>0</v>
      </c>
      <c r="I169" s="265">
        <f t="shared" si="77"/>
        <v>0</v>
      </c>
      <c r="J169" s="265">
        <f t="shared" si="77"/>
        <v>0</v>
      </c>
      <c r="K169" s="265">
        <f t="shared" si="77"/>
        <v>0</v>
      </c>
      <c r="L169" s="265">
        <f t="shared" si="77"/>
        <v>0</v>
      </c>
      <c r="M169" s="265">
        <f t="shared" si="77"/>
        <v>0</v>
      </c>
      <c r="N169" s="265">
        <f t="shared" si="77"/>
        <v>0</v>
      </c>
      <c r="O169" s="265">
        <f t="shared" si="77"/>
        <v>0</v>
      </c>
      <c r="P169" s="265">
        <f t="shared" si="77"/>
        <v>0</v>
      </c>
      <c r="Q169" s="265">
        <f t="shared" si="77"/>
        <v>0</v>
      </c>
      <c r="R169" s="265">
        <f t="shared" si="77"/>
        <v>0</v>
      </c>
      <c r="S169" s="265">
        <f t="shared" si="77"/>
        <v>0</v>
      </c>
      <c r="T169" s="265">
        <f t="shared" si="77"/>
        <v>0</v>
      </c>
      <c r="U169" s="265">
        <f t="shared" si="77"/>
        <v>0</v>
      </c>
      <c r="V169" s="265">
        <f t="shared" si="77"/>
        <v>0</v>
      </c>
      <c r="W169" s="265">
        <f t="shared" si="77"/>
        <v>0</v>
      </c>
      <c r="X169" s="265">
        <f t="shared" si="77"/>
        <v>0</v>
      </c>
      <c r="Y169" s="265">
        <f t="shared" si="77"/>
        <v>0</v>
      </c>
      <c r="Z169" s="265">
        <f t="shared" si="77"/>
        <v>0</v>
      </c>
      <c r="AA169" s="265">
        <f t="shared" si="77"/>
        <v>0</v>
      </c>
      <c r="AB169" s="265">
        <f t="shared" si="77"/>
        <v>0</v>
      </c>
      <c r="AC169" s="265">
        <f t="shared" si="77"/>
        <v>0</v>
      </c>
      <c r="AD169" s="265">
        <f t="shared" si="77"/>
        <v>0</v>
      </c>
      <c r="AE169" s="265">
        <f t="shared" si="77"/>
        <v>0</v>
      </c>
      <c r="AF169" s="265">
        <f t="shared" si="77"/>
        <v>0</v>
      </c>
      <c r="AG169" s="265">
        <f t="shared" si="77"/>
        <v>0</v>
      </c>
      <c r="AH169" s="265">
        <f t="shared" si="77"/>
        <v>0</v>
      </c>
      <c r="AI169" s="265">
        <f t="shared" si="77"/>
        <v>0</v>
      </c>
      <c r="AJ169" s="265">
        <f t="shared" si="77"/>
        <v>0</v>
      </c>
      <c r="AK169" s="265">
        <f t="shared" si="77"/>
        <v>0</v>
      </c>
      <c r="AL169" s="265">
        <f t="shared" si="77"/>
        <v>0</v>
      </c>
      <c r="AM169" s="265">
        <f t="shared" si="77"/>
        <v>0</v>
      </c>
      <c r="AN169" s="265">
        <f t="shared" si="77"/>
        <v>0</v>
      </c>
      <c r="AO169" s="265">
        <f t="shared" ref="AO169:AU169" si="78">IF(SUM(AO158:AO168)&gt;8,SUM(AO158:AO168)-8,0)+IF(SUM(AO158:AO168)&gt;12,SUM(AO158:AO168)-12,0)</f>
        <v>0</v>
      </c>
      <c r="AP169" s="265">
        <f t="shared" si="78"/>
        <v>0</v>
      </c>
      <c r="AQ169" s="265">
        <f t="shared" si="78"/>
        <v>0</v>
      </c>
      <c r="AR169" s="265">
        <f t="shared" si="78"/>
        <v>0</v>
      </c>
      <c r="AS169" s="265">
        <f t="shared" si="78"/>
        <v>0</v>
      </c>
      <c r="AT169" s="265">
        <f t="shared" si="78"/>
        <v>0</v>
      </c>
      <c r="AU169" s="265">
        <f t="shared" si="78"/>
        <v>0</v>
      </c>
      <c r="AV169" s="265">
        <f t="shared" ref="AV169:AW169" si="79">IF(SUM(AV158:AV168)&gt;8,SUM(AV158:AV168)-8,0)+IF(SUM(AV158:AV168)&gt;12,SUM(AV158:AV168)-12,0)</f>
        <v>0</v>
      </c>
      <c r="AW169" s="265">
        <f t="shared" si="79"/>
        <v>0</v>
      </c>
      <c r="AX169" s="469">
        <f>IF(SUM(AX158:AX168)&gt;8,SUM(AX158:AX168)-8,0)+IF(SUM(AX158:AX168)&gt;12,SUM(AX158:AX168)-12,0)</f>
        <v>0</v>
      </c>
    </row>
    <row r="170" spans="1:50" s="271" customFormat="1" x14ac:dyDescent="0.2">
      <c r="A170" s="266">
        <f t="shared" si="76"/>
        <v>42549</v>
      </c>
      <c r="B170" s="267" t="s">
        <v>86</v>
      </c>
      <c r="C170" s="268">
        <f t="shared" ref="C170:AN170" si="80">IFERROR((C$211*SUM(C158:C165)+C$212*SUM(C166:C168))/SUM(C158:C168)/2,0)*C169</f>
        <v>0</v>
      </c>
      <c r="D170" s="269">
        <f t="shared" si="80"/>
        <v>0</v>
      </c>
      <c r="E170" s="269">
        <f t="shared" si="80"/>
        <v>0</v>
      </c>
      <c r="F170" s="269">
        <f t="shared" si="80"/>
        <v>0</v>
      </c>
      <c r="G170" s="269">
        <f t="shared" si="80"/>
        <v>0</v>
      </c>
      <c r="H170" s="269">
        <f t="shared" si="80"/>
        <v>0</v>
      </c>
      <c r="I170" s="269">
        <f t="shared" si="80"/>
        <v>0</v>
      </c>
      <c r="J170" s="269">
        <f t="shared" si="80"/>
        <v>0</v>
      </c>
      <c r="K170" s="269">
        <f t="shared" si="80"/>
        <v>0</v>
      </c>
      <c r="L170" s="269">
        <f t="shared" si="80"/>
        <v>0</v>
      </c>
      <c r="M170" s="269">
        <f t="shared" si="80"/>
        <v>0</v>
      </c>
      <c r="N170" s="269">
        <f t="shared" si="80"/>
        <v>0</v>
      </c>
      <c r="O170" s="269">
        <f t="shared" si="80"/>
        <v>0</v>
      </c>
      <c r="P170" s="269">
        <f t="shared" si="80"/>
        <v>0</v>
      </c>
      <c r="Q170" s="269">
        <f t="shared" si="80"/>
        <v>0</v>
      </c>
      <c r="R170" s="269">
        <f t="shared" si="80"/>
        <v>0</v>
      </c>
      <c r="S170" s="269">
        <f t="shared" si="80"/>
        <v>0</v>
      </c>
      <c r="T170" s="269">
        <f t="shared" si="80"/>
        <v>0</v>
      </c>
      <c r="U170" s="269">
        <f t="shared" si="80"/>
        <v>0</v>
      </c>
      <c r="V170" s="269">
        <f t="shared" si="80"/>
        <v>0</v>
      </c>
      <c r="W170" s="269">
        <f t="shared" si="80"/>
        <v>0</v>
      </c>
      <c r="X170" s="269">
        <f t="shared" si="80"/>
        <v>0</v>
      </c>
      <c r="Y170" s="269">
        <f t="shared" si="80"/>
        <v>0</v>
      </c>
      <c r="Z170" s="269">
        <f t="shared" si="80"/>
        <v>0</v>
      </c>
      <c r="AA170" s="269">
        <f t="shared" si="80"/>
        <v>0</v>
      </c>
      <c r="AB170" s="269">
        <f t="shared" si="80"/>
        <v>0</v>
      </c>
      <c r="AC170" s="269">
        <f t="shared" si="80"/>
        <v>0</v>
      </c>
      <c r="AD170" s="269">
        <f t="shared" si="80"/>
        <v>0</v>
      </c>
      <c r="AE170" s="269">
        <f t="shared" si="80"/>
        <v>0</v>
      </c>
      <c r="AF170" s="269">
        <f t="shared" si="80"/>
        <v>0</v>
      </c>
      <c r="AG170" s="269">
        <f t="shared" si="80"/>
        <v>0</v>
      </c>
      <c r="AH170" s="269">
        <f t="shared" si="80"/>
        <v>0</v>
      </c>
      <c r="AI170" s="269">
        <f t="shared" si="80"/>
        <v>0</v>
      </c>
      <c r="AJ170" s="269">
        <f t="shared" si="80"/>
        <v>0</v>
      </c>
      <c r="AK170" s="269">
        <f t="shared" si="80"/>
        <v>0</v>
      </c>
      <c r="AL170" s="269">
        <f t="shared" si="80"/>
        <v>0</v>
      </c>
      <c r="AM170" s="269">
        <f t="shared" si="80"/>
        <v>0</v>
      </c>
      <c r="AN170" s="269">
        <f t="shared" si="80"/>
        <v>0</v>
      </c>
      <c r="AO170" s="269">
        <f t="shared" ref="AO170:AU170" si="81">IFERROR((AO$211*SUM(AO158:AO165)+AO$212*SUM(AO166:AO168))/SUM(AO158:AO168)/2,0)*AO169</f>
        <v>0</v>
      </c>
      <c r="AP170" s="269">
        <f t="shared" si="81"/>
        <v>0</v>
      </c>
      <c r="AQ170" s="269">
        <f t="shared" si="81"/>
        <v>0</v>
      </c>
      <c r="AR170" s="269">
        <f t="shared" si="81"/>
        <v>0</v>
      </c>
      <c r="AS170" s="269">
        <f t="shared" si="81"/>
        <v>0</v>
      </c>
      <c r="AT170" s="269">
        <f t="shared" si="81"/>
        <v>0</v>
      </c>
      <c r="AU170" s="269">
        <f t="shared" si="81"/>
        <v>0</v>
      </c>
      <c r="AV170" s="269">
        <f t="shared" ref="AV170:AW170" si="82">IFERROR((AV$211*SUM(AV158:AV165)+AV$212*SUM(AV166:AV168))/SUM(AV158:AV168)/2,0)*AV169</f>
        <v>0</v>
      </c>
      <c r="AW170" s="269">
        <f t="shared" si="82"/>
        <v>0</v>
      </c>
      <c r="AX170" s="470">
        <f>IFERROR((AX$211*SUM(AX158:AX165)+AX$212*SUM(AX166:AX168))/SUM(AX158:AX168)/2,0)*AX169</f>
        <v>0</v>
      </c>
    </row>
    <row r="171" spans="1:50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250">
        <f>SUMPRODUCT((Driver!$A$2:$A$17=$A171)*(DriverEmp=AV$1),Driver!$C$2:$V$17)</f>
        <v>0</v>
      </c>
      <c r="AW171" s="250">
        <f>SUMPRODUCT((Driver!$A$2:$A$17=$A171)*(DriverEmp=AW$1),Driver!$C$2:$V$17)</f>
        <v>0</v>
      </c>
      <c r="AX171" s="467">
        <f>SUMPRODUCT((Driver!$A$2:$A$17=$A171)*(DriverEmp=AX$1),Driver!$C$2:$V$17)</f>
        <v>0</v>
      </c>
    </row>
    <row r="172" spans="1:50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0</v>
      </c>
      <c r="D172" s="250">
        <f>SUMPRODUCT((PP!$A$2:$A$80=$A172)*(PPEmp=D$1),PP!$D$2:$BD$80)</f>
        <v>0</v>
      </c>
      <c r="E172" s="250">
        <f>SUMPRODUCT((PP!$A$2:$A$80=$A172)*(PPEmp=E$1),PP!$D$2:$BD$80)</f>
        <v>0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250">
        <f>SUMPRODUCT((PP!$A$2:$A$80=$A172)*(PPEmp=AV$1),PP!$D$2:$BD$80)</f>
        <v>0</v>
      </c>
      <c r="AW172" s="250">
        <f>SUMPRODUCT((PP!$A$2:$A$80=$A172)*(PPEmp=AW$1),PP!$D$2:$BD$80)</f>
        <v>0</v>
      </c>
      <c r="AX172" s="467">
        <f>SUMPRODUCT((PP!$A$2:$A$80=$A172)*(PPEmp=AX$1),PP!$D$2:$BD$80)</f>
        <v>0</v>
      </c>
    </row>
    <row r="173" spans="1:50" s="271" customFormat="1" x14ac:dyDescent="0.2">
      <c r="A173" s="247">
        <f t="shared" si="76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250">
        <f>SUMPRODUCT((FH!$A$2:$A$97=$A173)*(FHEmp=AV$1),FH!$E$2:$AZ$97)</f>
        <v>0</v>
      </c>
      <c r="AW173" s="250">
        <f>SUMPRODUCT((FH!$A$2:$A$97=$A173)*(FHEmp=AW$1),FH!$E$2:$AZ$97)</f>
        <v>0</v>
      </c>
      <c r="AX173" s="467">
        <f>SUMPRODUCT((FH!$A$2:$A$97=$A173)*(FHEmp=AX$1),FH!$E$2:$AZ$97)</f>
        <v>0</v>
      </c>
    </row>
    <row r="174" spans="1:50" s="271" customFormat="1" x14ac:dyDescent="0.2">
      <c r="A174" s="247">
        <f t="shared" si="76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250">
        <f>SUMPRODUCT(('T22'!$A$2:$A$97=$A174)*(T22Emp=AV$1),'T22'!$E$2:$AZ$97)</f>
        <v>0</v>
      </c>
      <c r="AW174" s="250">
        <f>SUMPRODUCT(('T22'!$A$2:$A$97=$A174)*(T22Emp=AW$1),'T22'!$E$2:$AZ$97)</f>
        <v>0</v>
      </c>
      <c r="AX174" s="467">
        <f>SUMPRODUCT(('T22'!$A$2:$A$97=$A174)*(T22Emp=AX$1),'T22'!$E$2:$AZ$97)</f>
        <v>0</v>
      </c>
    </row>
    <row r="175" spans="1:50" s="271" customFormat="1" x14ac:dyDescent="0.2">
      <c r="A175" s="247">
        <f t="shared" si="76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250">
        <f>SUMPRODUCT((RF!$A$2:$A$17=$A175)*(RFEmp=AV$1)*(RF!$H$21:$AO$21="RF Valet"),RF!$H$2:$AO$17)</f>
        <v>0</v>
      </c>
      <c r="AW175" s="250">
        <f>SUMPRODUCT((RF!$A$2:$A$17=$A175)*(RFEmp=AW$1)*(RF!$H$21:$AO$21="RF Valet"),RF!$H$2:$AO$17)</f>
        <v>0</v>
      </c>
      <c r="AX175" s="467">
        <f>SUMPRODUCT((RF!$A$2:$A$17=$A175)*(RFEmp=AX$1)*(RF!$H$21:$AO$21="RF Valet"),RF!$H$2:$AO$17)</f>
        <v>0</v>
      </c>
    </row>
    <row r="176" spans="1:50" s="271" customFormat="1" x14ac:dyDescent="0.2">
      <c r="A176" s="247">
        <f t="shared" si="76"/>
        <v>42550</v>
      </c>
      <c r="B176" s="571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250">
        <f>SUMPRODUCT(('RC'!$A$2:$A$17=$A176)*(RCEmp=AV$1),'RC'!$D$2:$AK$17)</f>
        <v>0</v>
      </c>
      <c r="AW176" s="250">
        <f>SUMPRODUCT(('RC'!$A$2:$A$17=$A176)*(RCEmp=AW$1),'RC'!$D$2:$AK$17)</f>
        <v>0</v>
      </c>
      <c r="AX176" s="467">
        <f>SUMPRODUCT(('RC'!$A$2:$A$17=$A176)*(RCEmp=AX$1),'RC'!$D$2:$AK$17)</f>
        <v>0</v>
      </c>
    </row>
    <row r="177" spans="1:50" s="271" customFormat="1" x14ac:dyDescent="0.2">
      <c r="A177" s="247">
        <f t="shared" si="76"/>
        <v>42550</v>
      </c>
      <c r="B177" s="614" t="s">
        <v>155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250">
        <f>SUMPRODUCT((HoO!$A$2:$A$34=$A177)*(HoOEmp=AV$1),HoO!$E$2:$Y$34)</f>
        <v>0</v>
      </c>
      <c r="AW177" s="250">
        <f>SUMPRODUCT((HoO!$A$2:$A$34=$A177)*(HoOEmp=AW$1),HoO!$E$2:$Y$34)</f>
        <v>0</v>
      </c>
      <c r="AX177" s="467">
        <f>SUMPRODUCT((HoO!$A$2:$A$34=$A177)*(HoOEmp=AX$1),HoO!$E$2:$Y$34)</f>
        <v>0</v>
      </c>
    </row>
    <row r="178" spans="1:50" s="271" customFormat="1" x14ac:dyDescent="0.2">
      <c r="A178" s="247">
        <f t="shared" si="76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250">
        <f>SUMPRODUCT((TM!$A$2:$A$17=$A178)*(TMEmp=AV$1),TM!$D$2:$AK$17)</f>
        <v>0</v>
      </c>
      <c r="AW178" s="250">
        <f>SUMPRODUCT((TM!$A$2:$A$17=$A178)*(TMEmp=AW$1),TM!$D$2:$AK$17)</f>
        <v>0</v>
      </c>
      <c r="AX178" s="467">
        <f>SUMPRODUCT((TM!$A$2:$A$17=$A178)*(TMEmp=AX$1),TM!$D$2:$AK$17)</f>
        <v>0</v>
      </c>
    </row>
    <row r="179" spans="1:50" s="271" customFormat="1" x14ac:dyDescent="0.2">
      <c r="A179" s="256">
        <f t="shared" si="76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259">
        <f>SUMPRODUCT((PC!$A$2:$A$80=$A179)*(PCEmp=AV$1),PC!$D$2:$BD$80)</f>
        <v>0</v>
      </c>
      <c r="AW179" s="259">
        <f>SUMPRODUCT((PC!$A$2:$A$80=$A179)*(PCEmp=AW$1),PC!$D$2:$BD$80)</f>
        <v>0</v>
      </c>
      <c r="AX179" s="468">
        <f>SUMPRODUCT((PC!$A$2:$A$80=$A179)*(PCEmp=AX$1),PC!$D$2:$BD$80)</f>
        <v>0</v>
      </c>
    </row>
    <row r="180" spans="1:50" s="271" customFormat="1" x14ac:dyDescent="0.2">
      <c r="A180" s="247">
        <f t="shared" si="76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250">
        <f>SUMPRODUCT((RF!$A$2:$A$17=$A180)*(RFEmp=AV$1)*(RF!$H$21:$AO$21="RF Lead"),RF!$H$2:$AO$17)</f>
        <v>0</v>
      </c>
      <c r="AW180" s="250">
        <f>SUMPRODUCT((RF!$A$2:$A$17=$A180)*(RFEmp=AW$1)*(RF!$H$21:$AO$21="RF Lead"),RF!$H$2:$AO$17)</f>
        <v>0</v>
      </c>
      <c r="AX180" s="467">
        <f>SUMPRODUCT((RF!$A$2:$A$17=$A180)*(RFEmp=AX$1)*(RF!$H$21:$AO$21="RF Lead"),RF!$H$2:$AO$17)</f>
        <v>0</v>
      </c>
    </row>
    <row r="181" spans="1:50" s="271" customFormat="1" x14ac:dyDescent="0.2">
      <c r="A181" s="260">
        <f t="shared" si="76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250">
        <f>SUMPRODUCT((SC!$A$2:$A$34=$A181)*(SCEmp=AV$1),SC!$F$2:$Z$34)</f>
        <v>0</v>
      </c>
      <c r="AW181" s="250">
        <f>SUMPRODUCT((SC!$A$2:$A$34=$A181)*(SCEmp=AW$1),SC!$F$2:$Z$34)</f>
        <v>0</v>
      </c>
      <c r="AX181" s="467">
        <f>SUMPRODUCT((SC!$A$2:$A$34=$A181)*(SCEmp=AX$1),SC!$F$2:$Z$34)</f>
        <v>0</v>
      </c>
    </row>
    <row r="182" spans="1:50" s="271" customFormat="1" x14ac:dyDescent="0.2">
      <c r="A182" s="262">
        <f t="shared" si="76"/>
        <v>42550</v>
      </c>
      <c r="B182" s="263" t="s">
        <v>87</v>
      </c>
      <c r="C182" s="264">
        <f t="shared" ref="C182:AN182" si="83">IF(SUM(C171:C181)&gt;8,SUM(C171:C181)-8,0)+IF(SUM(C171:C181)&gt;12,SUM(C171:C181)-12,0)</f>
        <v>0</v>
      </c>
      <c r="D182" s="265">
        <f t="shared" si="83"/>
        <v>0</v>
      </c>
      <c r="E182" s="265">
        <f t="shared" si="83"/>
        <v>0</v>
      </c>
      <c r="F182" s="265">
        <f t="shared" si="83"/>
        <v>0</v>
      </c>
      <c r="G182" s="265">
        <f t="shared" si="83"/>
        <v>0</v>
      </c>
      <c r="H182" s="265">
        <f t="shared" si="83"/>
        <v>0</v>
      </c>
      <c r="I182" s="265">
        <f t="shared" si="83"/>
        <v>0</v>
      </c>
      <c r="J182" s="265">
        <f t="shared" si="83"/>
        <v>0</v>
      </c>
      <c r="K182" s="265">
        <f t="shared" si="83"/>
        <v>0</v>
      </c>
      <c r="L182" s="265">
        <f t="shared" si="83"/>
        <v>0</v>
      </c>
      <c r="M182" s="265">
        <f t="shared" si="83"/>
        <v>0</v>
      </c>
      <c r="N182" s="265">
        <f t="shared" si="83"/>
        <v>0</v>
      </c>
      <c r="O182" s="265">
        <f t="shared" si="83"/>
        <v>0</v>
      </c>
      <c r="P182" s="265">
        <f t="shared" si="83"/>
        <v>0</v>
      </c>
      <c r="Q182" s="265">
        <f t="shared" si="83"/>
        <v>0</v>
      </c>
      <c r="R182" s="265">
        <f t="shared" si="83"/>
        <v>0</v>
      </c>
      <c r="S182" s="265">
        <f t="shared" si="83"/>
        <v>0</v>
      </c>
      <c r="T182" s="265">
        <f t="shared" si="83"/>
        <v>0</v>
      </c>
      <c r="U182" s="265">
        <f t="shared" si="83"/>
        <v>0</v>
      </c>
      <c r="V182" s="265">
        <f t="shared" si="83"/>
        <v>0</v>
      </c>
      <c r="W182" s="265">
        <f t="shared" si="83"/>
        <v>0</v>
      </c>
      <c r="X182" s="265">
        <f t="shared" si="83"/>
        <v>0</v>
      </c>
      <c r="Y182" s="265">
        <f t="shared" si="83"/>
        <v>0</v>
      </c>
      <c r="Z182" s="265">
        <f t="shared" si="83"/>
        <v>0</v>
      </c>
      <c r="AA182" s="265">
        <f t="shared" si="83"/>
        <v>0</v>
      </c>
      <c r="AB182" s="265">
        <f t="shared" si="83"/>
        <v>0</v>
      </c>
      <c r="AC182" s="265">
        <f t="shared" si="83"/>
        <v>0</v>
      </c>
      <c r="AD182" s="265">
        <f t="shared" si="83"/>
        <v>0</v>
      </c>
      <c r="AE182" s="265">
        <f t="shared" si="83"/>
        <v>0</v>
      </c>
      <c r="AF182" s="265">
        <f t="shared" si="83"/>
        <v>0</v>
      </c>
      <c r="AG182" s="265">
        <f t="shared" si="83"/>
        <v>0</v>
      </c>
      <c r="AH182" s="265">
        <f t="shared" si="83"/>
        <v>0</v>
      </c>
      <c r="AI182" s="265">
        <f t="shared" si="83"/>
        <v>0</v>
      </c>
      <c r="AJ182" s="265">
        <f t="shared" si="83"/>
        <v>0</v>
      </c>
      <c r="AK182" s="265">
        <f t="shared" si="83"/>
        <v>0</v>
      </c>
      <c r="AL182" s="265">
        <f t="shared" si="83"/>
        <v>0</v>
      </c>
      <c r="AM182" s="265">
        <f t="shared" si="83"/>
        <v>0</v>
      </c>
      <c r="AN182" s="265">
        <f t="shared" si="83"/>
        <v>0</v>
      </c>
      <c r="AO182" s="265">
        <f t="shared" ref="AO182:AU182" si="84">IF(SUM(AO171:AO181)&gt;8,SUM(AO171:AO181)-8,0)+IF(SUM(AO171:AO181)&gt;12,SUM(AO171:AO181)-12,0)</f>
        <v>0</v>
      </c>
      <c r="AP182" s="265">
        <f t="shared" si="84"/>
        <v>0</v>
      </c>
      <c r="AQ182" s="265">
        <f t="shared" si="84"/>
        <v>0</v>
      </c>
      <c r="AR182" s="265">
        <f t="shared" si="84"/>
        <v>0</v>
      </c>
      <c r="AS182" s="265">
        <f t="shared" si="84"/>
        <v>0</v>
      </c>
      <c r="AT182" s="265">
        <f t="shared" si="84"/>
        <v>0</v>
      </c>
      <c r="AU182" s="265">
        <f t="shared" si="84"/>
        <v>0</v>
      </c>
      <c r="AV182" s="265">
        <f t="shared" ref="AV182:AW182" si="85">IF(SUM(AV171:AV181)&gt;8,SUM(AV171:AV181)-8,0)+IF(SUM(AV171:AV181)&gt;12,SUM(AV171:AV181)-12,0)</f>
        <v>0</v>
      </c>
      <c r="AW182" s="265">
        <f t="shared" si="85"/>
        <v>0</v>
      </c>
      <c r="AX182" s="469">
        <f>IF(SUM(AX171:AX181)&gt;8,SUM(AX171:AX181)-8,0)+IF(SUM(AX171:AX181)&gt;12,SUM(AX171:AX181)-12,0)</f>
        <v>0</v>
      </c>
    </row>
    <row r="183" spans="1:50" s="271" customFormat="1" x14ac:dyDescent="0.2">
      <c r="A183" s="266">
        <f t="shared" si="76"/>
        <v>42550</v>
      </c>
      <c r="B183" s="267" t="s">
        <v>86</v>
      </c>
      <c r="C183" s="268">
        <f t="shared" ref="C183:AN183" si="86">IFERROR((C$211*SUM(C171:C178)+C$212*SUM(C179:C181))/SUM(C171:C181)/2,0)*C182</f>
        <v>0</v>
      </c>
      <c r="D183" s="269">
        <f t="shared" si="86"/>
        <v>0</v>
      </c>
      <c r="E183" s="269">
        <f t="shared" si="86"/>
        <v>0</v>
      </c>
      <c r="F183" s="269">
        <f t="shared" si="86"/>
        <v>0</v>
      </c>
      <c r="G183" s="269">
        <f t="shared" si="86"/>
        <v>0</v>
      </c>
      <c r="H183" s="269">
        <f t="shared" si="86"/>
        <v>0</v>
      </c>
      <c r="I183" s="269">
        <f t="shared" si="86"/>
        <v>0</v>
      </c>
      <c r="J183" s="269">
        <f t="shared" si="86"/>
        <v>0</v>
      </c>
      <c r="K183" s="269">
        <f t="shared" si="86"/>
        <v>0</v>
      </c>
      <c r="L183" s="269">
        <f t="shared" si="86"/>
        <v>0</v>
      </c>
      <c r="M183" s="269">
        <f t="shared" si="86"/>
        <v>0</v>
      </c>
      <c r="N183" s="269">
        <f t="shared" si="86"/>
        <v>0</v>
      </c>
      <c r="O183" s="269">
        <f t="shared" si="86"/>
        <v>0</v>
      </c>
      <c r="P183" s="269">
        <f t="shared" si="86"/>
        <v>0</v>
      </c>
      <c r="Q183" s="269">
        <f t="shared" si="86"/>
        <v>0</v>
      </c>
      <c r="R183" s="269">
        <f t="shared" si="86"/>
        <v>0</v>
      </c>
      <c r="S183" s="269">
        <f t="shared" si="86"/>
        <v>0</v>
      </c>
      <c r="T183" s="269">
        <f t="shared" si="86"/>
        <v>0</v>
      </c>
      <c r="U183" s="269">
        <f t="shared" si="86"/>
        <v>0</v>
      </c>
      <c r="V183" s="269">
        <f t="shared" si="86"/>
        <v>0</v>
      </c>
      <c r="W183" s="269">
        <f t="shared" si="86"/>
        <v>0</v>
      </c>
      <c r="X183" s="269">
        <f t="shared" si="86"/>
        <v>0</v>
      </c>
      <c r="Y183" s="269">
        <f t="shared" si="86"/>
        <v>0</v>
      </c>
      <c r="Z183" s="269">
        <f t="shared" si="86"/>
        <v>0</v>
      </c>
      <c r="AA183" s="269">
        <f t="shared" si="86"/>
        <v>0</v>
      </c>
      <c r="AB183" s="269">
        <f t="shared" si="86"/>
        <v>0</v>
      </c>
      <c r="AC183" s="269">
        <f t="shared" si="86"/>
        <v>0</v>
      </c>
      <c r="AD183" s="269">
        <f t="shared" si="86"/>
        <v>0</v>
      </c>
      <c r="AE183" s="269">
        <f t="shared" si="86"/>
        <v>0</v>
      </c>
      <c r="AF183" s="269">
        <f t="shared" si="86"/>
        <v>0</v>
      </c>
      <c r="AG183" s="269">
        <f t="shared" si="86"/>
        <v>0</v>
      </c>
      <c r="AH183" s="269">
        <f t="shared" si="86"/>
        <v>0</v>
      </c>
      <c r="AI183" s="269">
        <f t="shared" si="86"/>
        <v>0</v>
      </c>
      <c r="AJ183" s="269">
        <f t="shared" si="86"/>
        <v>0</v>
      </c>
      <c r="AK183" s="269">
        <f t="shared" si="86"/>
        <v>0</v>
      </c>
      <c r="AL183" s="269">
        <f t="shared" si="86"/>
        <v>0</v>
      </c>
      <c r="AM183" s="269">
        <f t="shared" si="86"/>
        <v>0</v>
      </c>
      <c r="AN183" s="269">
        <f t="shared" si="86"/>
        <v>0</v>
      </c>
      <c r="AO183" s="269">
        <f t="shared" ref="AO183:AU183" si="87">IFERROR((AO$211*SUM(AO171:AO178)+AO$212*SUM(AO179:AO181))/SUM(AO171:AO181)/2,0)*AO182</f>
        <v>0</v>
      </c>
      <c r="AP183" s="269">
        <f t="shared" si="87"/>
        <v>0</v>
      </c>
      <c r="AQ183" s="269">
        <f t="shared" si="87"/>
        <v>0</v>
      </c>
      <c r="AR183" s="269">
        <f t="shared" si="87"/>
        <v>0</v>
      </c>
      <c r="AS183" s="269">
        <f t="shared" si="87"/>
        <v>0</v>
      </c>
      <c r="AT183" s="269">
        <f t="shared" si="87"/>
        <v>0</v>
      </c>
      <c r="AU183" s="269">
        <f t="shared" si="87"/>
        <v>0</v>
      </c>
      <c r="AV183" s="269">
        <f t="shared" ref="AV183:AW183" si="88">IFERROR((AV$211*SUM(AV171:AV178)+AV$212*SUM(AV179:AV181))/SUM(AV171:AV181)/2,0)*AV182</f>
        <v>0</v>
      </c>
      <c r="AW183" s="269">
        <f t="shared" si="88"/>
        <v>0</v>
      </c>
      <c r="AX183" s="470">
        <f>IFERROR((AX$211*SUM(AX171:AX178)+AX$212*SUM(AX179:AX181))/SUM(AX171:AX181)/2,0)*AX182</f>
        <v>0</v>
      </c>
    </row>
    <row r="184" spans="1:50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250">
        <f>SUMPRODUCT((Driver!$A$2:$A$17=$A184)*(DriverEmp=AV$1),Driver!$C$2:$V$17)</f>
        <v>0</v>
      </c>
      <c r="AW184" s="250">
        <f>SUMPRODUCT((Driver!$A$2:$A$17=$A184)*(DriverEmp=AW$1),Driver!$C$2:$V$17)</f>
        <v>0</v>
      </c>
      <c r="AX184" s="467">
        <f>SUMPRODUCT((Driver!$A$2:$A$17=$A184)*(DriverEmp=AX$1),Driver!$C$2:$V$17)</f>
        <v>0</v>
      </c>
    </row>
    <row r="185" spans="1:50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250">
        <f>SUMPRODUCT((PP!$A$2:$A$80=$A185)*(PPEmp=AV$1),PP!$D$2:$BD$80)</f>
        <v>0</v>
      </c>
      <c r="AW185" s="250">
        <f>SUMPRODUCT((PP!$A$2:$A$80=$A185)*(PPEmp=AW$1),PP!$D$2:$BD$80)</f>
        <v>0</v>
      </c>
      <c r="AX185" s="467">
        <f>SUMPRODUCT((PP!$A$2:$A$80=$A185)*(PPEmp=AX$1),PP!$D$2:$BD$80)</f>
        <v>0</v>
      </c>
    </row>
    <row r="186" spans="1:50" s="271" customFormat="1" x14ac:dyDescent="0.2">
      <c r="A186" s="247">
        <f t="shared" si="76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250">
        <f>SUMPRODUCT((FH!$A$2:$A$97=$A186)*(FHEmp=AV$1),FH!$E$2:$AZ$97)</f>
        <v>0</v>
      </c>
      <c r="AW186" s="250">
        <f>SUMPRODUCT((FH!$A$2:$A$97=$A186)*(FHEmp=AW$1),FH!$E$2:$AZ$97)</f>
        <v>0</v>
      </c>
      <c r="AX186" s="467">
        <f>SUMPRODUCT((FH!$A$2:$A$97=$A186)*(FHEmp=AX$1),FH!$E$2:$AZ$97)</f>
        <v>0</v>
      </c>
    </row>
    <row r="187" spans="1:50" s="271" customFormat="1" x14ac:dyDescent="0.2">
      <c r="A187" s="247">
        <f t="shared" si="76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250">
        <f>SUMPRODUCT(('T22'!$A$2:$A$97=$A187)*(T22Emp=AV$1),'T22'!$E$2:$AZ$97)</f>
        <v>0</v>
      </c>
      <c r="AW187" s="250">
        <f>SUMPRODUCT(('T22'!$A$2:$A$97=$A187)*(T22Emp=AW$1),'T22'!$E$2:$AZ$97)</f>
        <v>0</v>
      </c>
      <c r="AX187" s="467">
        <f>SUMPRODUCT(('T22'!$A$2:$A$97=$A187)*(T22Emp=AX$1),'T22'!$E$2:$AZ$97)</f>
        <v>0</v>
      </c>
    </row>
    <row r="188" spans="1:50" s="271" customFormat="1" x14ac:dyDescent="0.2">
      <c r="A188" s="247">
        <f t="shared" si="76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250">
        <f>SUMPRODUCT((RF!$A$2:$A$17=$A188)*(RFEmp=AV$1)*(RF!$H$21:$AO$21="RF Valet"),RF!$H$2:$AO$17)</f>
        <v>0</v>
      </c>
      <c r="AW188" s="250">
        <f>SUMPRODUCT((RF!$A$2:$A$17=$A188)*(RFEmp=AW$1)*(RF!$H$21:$AO$21="RF Valet"),RF!$H$2:$AO$17)</f>
        <v>0</v>
      </c>
      <c r="AX188" s="467">
        <f>SUMPRODUCT((RF!$A$2:$A$17=$A188)*(RFEmp=AX$1)*(RF!$H$21:$AO$21="RF Valet"),RF!$H$2:$AO$17)</f>
        <v>0</v>
      </c>
    </row>
    <row r="189" spans="1:50" s="271" customFormat="1" x14ac:dyDescent="0.2">
      <c r="A189" s="247">
        <f t="shared" si="76"/>
        <v>42551</v>
      </c>
      <c r="B189" s="571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250">
        <f>SUMPRODUCT(('RC'!$A$2:$A$17=$A189)*(RCEmp=AV$1),'RC'!$D$2:$AK$17)</f>
        <v>0</v>
      </c>
      <c r="AW189" s="250">
        <f>SUMPRODUCT(('RC'!$A$2:$A$17=$A189)*(RCEmp=AW$1),'RC'!$D$2:$AK$17)</f>
        <v>0</v>
      </c>
      <c r="AX189" s="467">
        <f>SUMPRODUCT(('RC'!$A$2:$A$17=$A189)*(RCEmp=AX$1),'RC'!$D$2:$AK$17)</f>
        <v>0</v>
      </c>
    </row>
    <row r="190" spans="1:50" s="271" customFormat="1" x14ac:dyDescent="0.2">
      <c r="A190" s="247">
        <f t="shared" si="76"/>
        <v>42551</v>
      </c>
      <c r="B190" s="614" t="s">
        <v>155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250">
        <f>SUMPRODUCT((HoO!$A$2:$A$34=$A190)*(HoOEmp=AV$1),HoO!$E$2:$Y$34)</f>
        <v>0</v>
      </c>
      <c r="AW190" s="250">
        <f>SUMPRODUCT((HoO!$A$2:$A$34=$A190)*(HoOEmp=AW$1),HoO!$E$2:$Y$34)</f>
        <v>0</v>
      </c>
      <c r="AX190" s="467">
        <f>SUMPRODUCT((HoO!$A$2:$A$34=$A190)*(HoOEmp=AX$1),HoO!$E$2:$Y$34)</f>
        <v>0</v>
      </c>
    </row>
    <row r="191" spans="1:50" s="271" customFormat="1" x14ac:dyDescent="0.2">
      <c r="A191" s="247">
        <f t="shared" si="76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467">
        <f>SUMPRODUCT((TM!$A$2:$A$17=$A191)*(TMEmp=AX$1),TM!$D$2:$AK$17)</f>
        <v>0</v>
      </c>
    </row>
    <row r="192" spans="1:50" s="271" customFormat="1" x14ac:dyDescent="0.2">
      <c r="A192" s="256">
        <f t="shared" si="76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468">
        <f>SUMPRODUCT((PC!$A$2:$A$80=$A192)*(PCEmp=AX$1),PC!$D$2:$BD$80)</f>
        <v>0</v>
      </c>
    </row>
    <row r="193" spans="1:50" s="271" customFormat="1" x14ac:dyDescent="0.2">
      <c r="A193" s="247">
        <f t="shared" si="76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467">
        <f>SUMPRODUCT((RF!$A$2:$A$17=$A193)*(RFEmp=AX$1)*(RF!$H$21:$AO$21="RF Lead"),RF!$H$2:$AO$17)</f>
        <v>0</v>
      </c>
    </row>
    <row r="194" spans="1:50" s="271" customFormat="1" x14ac:dyDescent="0.2">
      <c r="A194" s="260">
        <f t="shared" si="76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467">
        <f>SUMPRODUCT((SC!$A$2:$A$34=$A194)*(SCEmp=AX$1),SC!$F$2:$Z$34)</f>
        <v>0</v>
      </c>
    </row>
    <row r="195" spans="1:50" s="271" customFormat="1" x14ac:dyDescent="0.2">
      <c r="A195" s="262">
        <f t="shared" si="76"/>
        <v>42551</v>
      </c>
      <c r="B195" s="263" t="s">
        <v>87</v>
      </c>
      <c r="C195" s="264">
        <f t="shared" ref="C195:AN195" si="89">IF(SUM(C184:C194)&gt;8,SUM(C184:C194)-8,0)+IF(SUM(C184:C194)&gt;12,SUM(C184:C194)-12,0)</f>
        <v>0</v>
      </c>
      <c r="D195" s="265">
        <f t="shared" si="89"/>
        <v>0</v>
      </c>
      <c r="E195" s="265">
        <f t="shared" si="89"/>
        <v>0</v>
      </c>
      <c r="F195" s="265">
        <f t="shared" si="89"/>
        <v>0</v>
      </c>
      <c r="G195" s="265">
        <f t="shared" si="89"/>
        <v>0</v>
      </c>
      <c r="H195" s="265">
        <f t="shared" si="89"/>
        <v>0</v>
      </c>
      <c r="I195" s="265">
        <f t="shared" si="89"/>
        <v>0</v>
      </c>
      <c r="J195" s="265">
        <f t="shared" si="89"/>
        <v>0</v>
      </c>
      <c r="K195" s="265">
        <f t="shared" si="89"/>
        <v>0</v>
      </c>
      <c r="L195" s="265">
        <f t="shared" si="89"/>
        <v>0</v>
      </c>
      <c r="M195" s="265">
        <f t="shared" si="89"/>
        <v>0</v>
      </c>
      <c r="N195" s="265">
        <f t="shared" si="89"/>
        <v>0</v>
      </c>
      <c r="O195" s="265">
        <f t="shared" si="89"/>
        <v>0</v>
      </c>
      <c r="P195" s="265">
        <f t="shared" si="89"/>
        <v>0</v>
      </c>
      <c r="Q195" s="265">
        <f t="shared" si="89"/>
        <v>0</v>
      </c>
      <c r="R195" s="265">
        <f t="shared" si="89"/>
        <v>0</v>
      </c>
      <c r="S195" s="265">
        <f t="shared" si="89"/>
        <v>0</v>
      </c>
      <c r="T195" s="265">
        <f t="shared" si="89"/>
        <v>0</v>
      </c>
      <c r="U195" s="265">
        <f t="shared" si="89"/>
        <v>0</v>
      </c>
      <c r="V195" s="265">
        <f t="shared" si="89"/>
        <v>0</v>
      </c>
      <c r="W195" s="265">
        <f t="shared" si="89"/>
        <v>0</v>
      </c>
      <c r="X195" s="265">
        <f t="shared" si="89"/>
        <v>0</v>
      </c>
      <c r="Y195" s="265">
        <f t="shared" si="89"/>
        <v>0</v>
      </c>
      <c r="Z195" s="265">
        <f t="shared" si="89"/>
        <v>0</v>
      </c>
      <c r="AA195" s="265">
        <f t="shared" si="89"/>
        <v>0</v>
      </c>
      <c r="AB195" s="265">
        <f t="shared" si="89"/>
        <v>0</v>
      </c>
      <c r="AC195" s="265">
        <f t="shared" si="89"/>
        <v>0</v>
      </c>
      <c r="AD195" s="265">
        <f t="shared" si="89"/>
        <v>0</v>
      </c>
      <c r="AE195" s="265">
        <f t="shared" si="89"/>
        <v>0</v>
      </c>
      <c r="AF195" s="265">
        <f t="shared" si="89"/>
        <v>0</v>
      </c>
      <c r="AG195" s="265">
        <f t="shared" si="89"/>
        <v>0</v>
      </c>
      <c r="AH195" s="265">
        <f t="shared" si="89"/>
        <v>0</v>
      </c>
      <c r="AI195" s="265">
        <f t="shared" si="89"/>
        <v>0</v>
      </c>
      <c r="AJ195" s="265">
        <f t="shared" si="89"/>
        <v>0</v>
      </c>
      <c r="AK195" s="265">
        <f t="shared" si="89"/>
        <v>0</v>
      </c>
      <c r="AL195" s="265">
        <f t="shared" si="89"/>
        <v>0</v>
      </c>
      <c r="AM195" s="265">
        <f t="shared" si="89"/>
        <v>0</v>
      </c>
      <c r="AN195" s="265">
        <f t="shared" si="89"/>
        <v>0</v>
      </c>
      <c r="AO195" s="265">
        <f t="shared" ref="AO195:AU195" si="90">IF(SUM(AO184:AO194)&gt;8,SUM(AO184:AO194)-8,0)+IF(SUM(AO184:AO194)&gt;12,SUM(AO184:AO194)-12,0)</f>
        <v>0</v>
      </c>
      <c r="AP195" s="265">
        <f t="shared" si="90"/>
        <v>0</v>
      </c>
      <c r="AQ195" s="265">
        <f t="shared" si="90"/>
        <v>0</v>
      </c>
      <c r="AR195" s="265">
        <f t="shared" si="90"/>
        <v>0</v>
      </c>
      <c r="AS195" s="265">
        <f t="shared" si="90"/>
        <v>0</v>
      </c>
      <c r="AT195" s="265">
        <f t="shared" si="90"/>
        <v>0</v>
      </c>
      <c r="AU195" s="265">
        <f t="shared" si="90"/>
        <v>0</v>
      </c>
      <c r="AV195" s="265">
        <f t="shared" ref="AV195:AW195" si="91">IF(SUM(AV184:AV194)&gt;8,SUM(AV184:AV194)-8,0)+IF(SUM(AV184:AV194)&gt;12,SUM(AV184:AV194)-12,0)</f>
        <v>0</v>
      </c>
      <c r="AW195" s="265">
        <f t="shared" si="91"/>
        <v>0</v>
      </c>
      <c r="AX195" s="469">
        <f>IF(SUM(AX184:AX194)&gt;8,SUM(AX184:AX194)-8,0)+IF(SUM(AX184:AX194)&gt;12,SUM(AX184:AX194)-12,0)</f>
        <v>0</v>
      </c>
    </row>
    <row r="196" spans="1:50" s="271" customFormat="1" x14ac:dyDescent="0.2">
      <c r="A196" s="266">
        <f t="shared" si="76"/>
        <v>42551</v>
      </c>
      <c r="B196" s="267" t="s">
        <v>86</v>
      </c>
      <c r="C196" s="268">
        <f t="shared" ref="C196:AN196" si="92">IFERROR((C$211*SUM(C184:C191)+C$212*SUM(C192:C194))/SUM(C184:C194)/2,0)*C195</f>
        <v>0</v>
      </c>
      <c r="D196" s="269">
        <f t="shared" si="92"/>
        <v>0</v>
      </c>
      <c r="E196" s="269">
        <f t="shared" si="92"/>
        <v>0</v>
      </c>
      <c r="F196" s="269">
        <f t="shared" si="92"/>
        <v>0</v>
      </c>
      <c r="G196" s="269">
        <f t="shared" si="92"/>
        <v>0</v>
      </c>
      <c r="H196" s="269">
        <f t="shared" si="92"/>
        <v>0</v>
      </c>
      <c r="I196" s="269">
        <f t="shared" si="92"/>
        <v>0</v>
      </c>
      <c r="J196" s="269">
        <f t="shared" si="92"/>
        <v>0</v>
      </c>
      <c r="K196" s="269">
        <f t="shared" si="92"/>
        <v>0</v>
      </c>
      <c r="L196" s="269">
        <f t="shared" si="92"/>
        <v>0</v>
      </c>
      <c r="M196" s="269">
        <f t="shared" si="92"/>
        <v>0</v>
      </c>
      <c r="N196" s="269">
        <f t="shared" si="92"/>
        <v>0</v>
      </c>
      <c r="O196" s="269">
        <f t="shared" si="92"/>
        <v>0</v>
      </c>
      <c r="P196" s="269">
        <f t="shared" si="92"/>
        <v>0</v>
      </c>
      <c r="Q196" s="269">
        <f t="shared" si="92"/>
        <v>0</v>
      </c>
      <c r="R196" s="269">
        <f t="shared" si="92"/>
        <v>0</v>
      </c>
      <c r="S196" s="269">
        <f t="shared" si="92"/>
        <v>0</v>
      </c>
      <c r="T196" s="269">
        <f t="shared" si="92"/>
        <v>0</v>
      </c>
      <c r="U196" s="269">
        <f t="shared" si="92"/>
        <v>0</v>
      </c>
      <c r="V196" s="269">
        <f t="shared" si="92"/>
        <v>0</v>
      </c>
      <c r="W196" s="269">
        <f t="shared" si="92"/>
        <v>0</v>
      </c>
      <c r="X196" s="269">
        <f t="shared" si="92"/>
        <v>0</v>
      </c>
      <c r="Y196" s="269">
        <f t="shared" si="92"/>
        <v>0</v>
      </c>
      <c r="Z196" s="269">
        <f t="shared" si="92"/>
        <v>0</v>
      </c>
      <c r="AA196" s="269">
        <f t="shared" si="92"/>
        <v>0</v>
      </c>
      <c r="AB196" s="269">
        <f t="shared" si="92"/>
        <v>0</v>
      </c>
      <c r="AC196" s="269">
        <f t="shared" si="92"/>
        <v>0</v>
      </c>
      <c r="AD196" s="269">
        <f t="shared" si="92"/>
        <v>0</v>
      </c>
      <c r="AE196" s="269">
        <f t="shared" si="92"/>
        <v>0</v>
      </c>
      <c r="AF196" s="269">
        <f t="shared" si="92"/>
        <v>0</v>
      </c>
      <c r="AG196" s="269">
        <f t="shared" si="92"/>
        <v>0</v>
      </c>
      <c r="AH196" s="269">
        <f t="shared" si="92"/>
        <v>0</v>
      </c>
      <c r="AI196" s="269">
        <f t="shared" si="92"/>
        <v>0</v>
      </c>
      <c r="AJ196" s="269">
        <f t="shared" si="92"/>
        <v>0</v>
      </c>
      <c r="AK196" s="269">
        <f t="shared" si="92"/>
        <v>0</v>
      </c>
      <c r="AL196" s="269">
        <f t="shared" si="92"/>
        <v>0</v>
      </c>
      <c r="AM196" s="269">
        <f t="shared" si="92"/>
        <v>0</v>
      </c>
      <c r="AN196" s="269">
        <f t="shared" si="92"/>
        <v>0</v>
      </c>
      <c r="AO196" s="269">
        <f t="shared" ref="AO196:AU196" si="93">IFERROR((AO$211*SUM(AO184:AO191)+AO$212*SUM(AO192:AO194))/SUM(AO184:AO194)/2,0)*AO195</f>
        <v>0</v>
      </c>
      <c r="AP196" s="269">
        <f t="shared" si="93"/>
        <v>0</v>
      </c>
      <c r="AQ196" s="269">
        <f t="shared" si="93"/>
        <v>0</v>
      </c>
      <c r="AR196" s="269">
        <f t="shared" si="93"/>
        <v>0</v>
      </c>
      <c r="AS196" s="269">
        <f t="shared" si="93"/>
        <v>0</v>
      </c>
      <c r="AT196" s="269">
        <f t="shared" si="93"/>
        <v>0</v>
      </c>
      <c r="AU196" s="269">
        <f t="shared" si="93"/>
        <v>0</v>
      </c>
      <c r="AV196" s="269">
        <f t="shared" ref="AV196:AW196" si="94">IFERROR((AV$211*SUM(AV184:AV191)+AV$212*SUM(AV192:AV194))/SUM(AV184:AV194)/2,0)*AV195</f>
        <v>0</v>
      </c>
      <c r="AW196" s="269">
        <f t="shared" si="94"/>
        <v>0</v>
      </c>
      <c r="AX196" s="470">
        <f>IFERROR((AX$211*SUM(AX184:AX191)+AX$212*SUM(AX192:AX194))/SUM(AX184:AX194)/2,0)*AX195</f>
        <v>0</v>
      </c>
    </row>
    <row r="197" spans="1:50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467">
        <f>SUMPRODUCT((Driver!$A$2:$A$17=$A197)*(DriverEmp=AX$1),Driver!$C$2:$V$17)</f>
        <v>0</v>
      </c>
    </row>
    <row r="198" spans="1:50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467">
        <f>SUMPRODUCT((PP!$A$2:$A$80=$A198)*(PPEmp=AX$1),PP!$D$2:$BD$80)</f>
        <v>0</v>
      </c>
    </row>
    <row r="199" spans="1:50" s="271" customFormat="1" x14ac:dyDescent="0.2">
      <c r="A199" s="247">
        <f t="shared" si="76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467">
        <f>SUMPRODUCT((FH!$A$2:$A$97=$A199)*(FHEmp=AX$1),FH!$E$2:$AZ$97)</f>
        <v>0</v>
      </c>
    </row>
    <row r="200" spans="1:50" s="271" customFormat="1" x14ac:dyDescent="0.2">
      <c r="A200" s="247">
        <f t="shared" si="76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467">
        <f>SUMPRODUCT(('T22'!$A$2:$A$97=$A200)*(T22Emp=AX$1),'T22'!$E$2:$AZ$97)</f>
        <v>0</v>
      </c>
    </row>
    <row r="201" spans="1:50" s="271" customFormat="1" x14ac:dyDescent="0.2">
      <c r="A201" s="247">
        <f t="shared" si="76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467">
        <f>SUMPRODUCT((RF!$A$2:$A$17=$A201)*(RFEmp=AX$1)*(RF!$H$21:$AO$21="RF Valet"),RF!$H$2:$AO$17)</f>
        <v>0</v>
      </c>
    </row>
    <row r="202" spans="1:50" s="271" customFormat="1" x14ac:dyDescent="0.2">
      <c r="A202" s="247">
        <f t="shared" si="76"/>
        <v>42552</v>
      </c>
      <c r="B202" s="571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467">
        <f>SUMPRODUCT(('RC'!$A$2:$A$17=$A202)*(RCEmp=AX$1),'RC'!$D$2:$AK$17)</f>
        <v>0</v>
      </c>
    </row>
    <row r="203" spans="1:50" s="271" customFormat="1" x14ac:dyDescent="0.2">
      <c r="A203" s="247">
        <f t="shared" si="76"/>
        <v>42552</v>
      </c>
      <c r="B203" s="614" t="s">
        <v>155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250">
        <f>SUMPRODUCT((HoO!$A$2:$A$34=$A203)*(HoOEmp=AV$1),HoO!$E$2:$Y$34)</f>
        <v>0</v>
      </c>
      <c r="AW203" s="250">
        <f>SUMPRODUCT((HoO!$A$2:$A$34=$A203)*(HoOEmp=AW$1),HoO!$E$2:$Y$34)</f>
        <v>0</v>
      </c>
      <c r="AX203" s="467">
        <f>SUMPRODUCT((HoO!$A$2:$A$34=$A203)*(HoOEmp=AX$1),HoO!$E$2:$Y$34)</f>
        <v>0</v>
      </c>
    </row>
    <row r="204" spans="1:50" s="271" customFormat="1" x14ac:dyDescent="0.2">
      <c r="A204" s="247">
        <f t="shared" si="76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250">
        <f>SUMPRODUCT((TM!$A$2:$A$17=$A204)*(TMEmp=AV$1),TM!$D$2:$AK$17)</f>
        <v>0</v>
      </c>
      <c r="AW204" s="250">
        <f>SUMPRODUCT((TM!$A$2:$A$17=$A204)*(TMEmp=AW$1),TM!$D$2:$AK$17)</f>
        <v>0</v>
      </c>
      <c r="AX204" s="467">
        <f>SUMPRODUCT((TM!$A$2:$A$17=$A204)*(TMEmp=AX$1),TM!$D$2:$AK$17)</f>
        <v>0</v>
      </c>
    </row>
    <row r="205" spans="1:50" s="271" customFormat="1" x14ac:dyDescent="0.2">
      <c r="A205" s="256">
        <f t="shared" si="76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259">
        <f>SUMPRODUCT((PC!$A$2:$A$80=$A205)*(PCEmp=AV$1),PC!$D$2:$BD$80)</f>
        <v>0</v>
      </c>
      <c r="AW205" s="259">
        <f>SUMPRODUCT((PC!$A$2:$A$80=$A205)*(PCEmp=AW$1),PC!$D$2:$BD$80)</f>
        <v>0</v>
      </c>
      <c r="AX205" s="468">
        <f>SUMPRODUCT((PC!$A$2:$A$80=$A205)*(PCEmp=AX$1),PC!$D$2:$BD$80)</f>
        <v>0</v>
      </c>
    </row>
    <row r="206" spans="1:50" s="271" customFormat="1" x14ac:dyDescent="0.2">
      <c r="A206" s="247">
        <f t="shared" si="76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250">
        <f>SUMPRODUCT((RF!$A$2:$A$17=$A206)*(RFEmp=AV$1)*(RF!$H$21:$AO$21="RF Lead"),RF!$H$2:$AO$17)</f>
        <v>0</v>
      </c>
      <c r="AW206" s="250">
        <f>SUMPRODUCT((RF!$A$2:$A$17=$A206)*(RFEmp=AW$1)*(RF!$H$21:$AO$21="RF Lead"),RF!$H$2:$AO$17)</f>
        <v>0</v>
      </c>
      <c r="AX206" s="467">
        <f>SUMPRODUCT((RF!$A$2:$A$17=$A206)*(RFEmp=AX$1)*(RF!$H$21:$AO$21="RF Lead"),RF!$H$2:$AO$17)</f>
        <v>0</v>
      </c>
    </row>
    <row r="207" spans="1:50" s="271" customFormat="1" x14ac:dyDescent="0.2">
      <c r="A207" s="260">
        <f t="shared" si="76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250">
        <f>SUMPRODUCT((SC!$A$2:$A$34=$A207)*(SCEmp=AV$1),SC!$F$2:$Z$34)</f>
        <v>0</v>
      </c>
      <c r="AW207" s="250">
        <f>SUMPRODUCT((SC!$A$2:$A$34=$A207)*(SCEmp=AW$1),SC!$F$2:$Z$34)</f>
        <v>0</v>
      </c>
      <c r="AX207" s="467">
        <f>SUMPRODUCT((SC!$A$2:$A$34=$A207)*(SCEmp=AX$1),SC!$F$2:$Z$34)</f>
        <v>0</v>
      </c>
    </row>
    <row r="208" spans="1:50" s="271" customFormat="1" x14ac:dyDescent="0.2">
      <c r="A208" s="262">
        <f t="shared" si="76"/>
        <v>42552</v>
      </c>
      <c r="B208" s="263" t="s">
        <v>87</v>
      </c>
      <c r="C208" s="264">
        <f t="shared" ref="C208:AN208" si="95">IF(SUM(C197:C207)&gt;8,SUM(C197:C207)-8,0)+IF(SUM(C197:C207)&gt;12,SUM(C197:C207)-12,0)</f>
        <v>0</v>
      </c>
      <c r="D208" s="265">
        <f t="shared" si="95"/>
        <v>0</v>
      </c>
      <c r="E208" s="265">
        <f t="shared" si="95"/>
        <v>0</v>
      </c>
      <c r="F208" s="265">
        <f t="shared" si="95"/>
        <v>0</v>
      </c>
      <c r="G208" s="265">
        <f t="shared" si="95"/>
        <v>0</v>
      </c>
      <c r="H208" s="265">
        <f t="shared" si="95"/>
        <v>0</v>
      </c>
      <c r="I208" s="265">
        <f t="shared" si="95"/>
        <v>0</v>
      </c>
      <c r="J208" s="265">
        <f t="shared" si="95"/>
        <v>0</v>
      </c>
      <c r="K208" s="265">
        <f t="shared" si="95"/>
        <v>0</v>
      </c>
      <c r="L208" s="265">
        <f t="shared" si="95"/>
        <v>0</v>
      </c>
      <c r="M208" s="265">
        <f t="shared" si="95"/>
        <v>0</v>
      </c>
      <c r="N208" s="265">
        <f t="shared" si="95"/>
        <v>0</v>
      </c>
      <c r="O208" s="265">
        <f t="shared" si="95"/>
        <v>0</v>
      </c>
      <c r="P208" s="265">
        <f t="shared" si="95"/>
        <v>0</v>
      </c>
      <c r="Q208" s="265">
        <f t="shared" si="95"/>
        <v>0</v>
      </c>
      <c r="R208" s="265">
        <f t="shared" si="95"/>
        <v>0</v>
      </c>
      <c r="S208" s="265">
        <f t="shared" si="95"/>
        <v>0</v>
      </c>
      <c r="T208" s="265">
        <f t="shared" si="95"/>
        <v>0</v>
      </c>
      <c r="U208" s="265">
        <f t="shared" si="95"/>
        <v>0</v>
      </c>
      <c r="V208" s="265">
        <f t="shared" si="95"/>
        <v>0</v>
      </c>
      <c r="W208" s="265">
        <f t="shared" si="95"/>
        <v>0</v>
      </c>
      <c r="X208" s="265">
        <f t="shared" si="95"/>
        <v>0</v>
      </c>
      <c r="Y208" s="265">
        <f t="shared" si="95"/>
        <v>0</v>
      </c>
      <c r="Z208" s="265">
        <f t="shared" si="95"/>
        <v>0</v>
      </c>
      <c r="AA208" s="265">
        <f t="shared" si="95"/>
        <v>0</v>
      </c>
      <c r="AB208" s="265">
        <f t="shared" si="95"/>
        <v>0</v>
      </c>
      <c r="AC208" s="265">
        <f t="shared" si="95"/>
        <v>0</v>
      </c>
      <c r="AD208" s="265">
        <f t="shared" si="95"/>
        <v>0</v>
      </c>
      <c r="AE208" s="265">
        <f t="shared" si="95"/>
        <v>0</v>
      </c>
      <c r="AF208" s="265">
        <f t="shared" si="95"/>
        <v>0</v>
      </c>
      <c r="AG208" s="265">
        <f t="shared" si="95"/>
        <v>0</v>
      </c>
      <c r="AH208" s="265">
        <f t="shared" si="95"/>
        <v>0</v>
      </c>
      <c r="AI208" s="265">
        <f t="shared" si="95"/>
        <v>0</v>
      </c>
      <c r="AJ208" s="265">
        <f t="shared" si="95"/>
        <v>0</v>
      </c>
      <c r="AK208" s="265">
        <f t="shared" si="95"/>
        <v>0</v>
      </c>
      <c r="AL208" s="265">
        <f t="shared" si="95"/>
        <v>0</v>
      </c>
      <c r="AM208" s="265">
        <f t="shared" si="95"/>
        <v>0</v>
      </c>
      <c r="AN208" s="265">
        <f t="shared" si="95"/>
        <v>0</v>
      </c>
      <c r="AO208" s="265">
        <f t="shared" ref="AO208:AU208" si="96">IF(SUM(AO197:AO207)&gt;8,SUM(AO197:AO207)-8,0)+IF(SUM(AO197:AO207)&gt;12,SUM(AO197:AO207)-12,0)</f>
        <v>0</v>
      </c>
      <c r="AP208" s="265">
        <f t="shared" si="96"/>
        <v>0</v>
      </c>
      <c r="AQ208" s="265">
        <f t="shared" si="96"/>
        <v>0</v>
      </c>
      <c r="AR208" s="265">
        <f t="shared" si="96"/>
        <v>0</v>
      </c>
      <c r="AS208" s="265">
        <f t="shared" si="96"/>
        <v>0</v>
      </c>
      <c r="AT208" s="265">
        <f t="shared" si="96"/>
        <v>0</v>
      </c>
      <c r="AU208" s="265">
        <f t="shared" si="96"/>
        <v>0</v>
      </c>
      <c r="AV208" s="265">
        <f t="shared" ref="AV208:AW208" si="97">IF(SUM(AV197:AV207)&gt;8,SUM(AV197:AV207)-8,0)+IF(SUM(AV197:AV207)&gt;12,SUM(AV197:AV207)-12,0)</f>
        <v>0</v>
      </c>
      <c r="AW208" s="265">
        <f t="shared" si="97"/>
        <v>0</v>
      </c>
      <c r="AX208" s="469">
        <f>IF(SUM(AX197:AX207)&gt;8,SUM(AX197:AX207)-8,0)+IF(SUM(AX197:AX207)&gt;12,SUM(AX197:AX207)-12,0)</f>
        <v>0</v>
      </c>
    </row>
    <row r="209" spans="1:50" s="271" customFormat="1" x14ac:dyDescent="0.2">
      <c r="A209" s="266">
        <f t="shared" si="76"/>
        <v>42552</v>
      </c>
      <c r="B209" s="267" t="s">
        <v>86</v>
      </c>
      <c r="C209" s="268">
        <f t="shared" ref="C209:AN209" si="98">IFERROR((C$211*SUM(C197:C204)+C$212*SUM(C205:C207))/SUM(C197:C207)/2,0)*C208</f>
        <v>0</v>
      </c>
      <c r="D209" s="269">
        <f t="shared" si="98"/>
        <v>0</v>
      </c>
      <c r="E209" s="269">
        <f t="shared" si="98"/>
        <v>0</v>
      </c>
      <c r="F209" s="269">
        <f t="shared" si="98"/>
        <v>0</v>
      </c>
      <c r="G209" s="269">
        <f t="shared" si="98"/>
        <v>0</v>
      </c>
      <c r="H209" s="269">
        <f t="shared" si="98"/>
        <v>0</v>
      </c>
      <c r="I209" s="269">
        <f t="shared" si="98"/>
        <v>0</v>
      </c>
      <c r="J209" s="269">
        <f t="shared" si="98"/>
        <v>0</v>
      </c>
      <c r="K209" s="269">
        <f t="shared" si="98"/>
        <v>0</v>
      </c>
      <c r="L209" s="269">
        <f t="shared" si="98"/>
        <v>0</v>
      </c>
      <c r="M209" s="269">
        <f t="shared" si="98"/>
        <v>0</v>
      </c>
      <c r="N209" s="269">
        <f t="shared" si="98"/>
        <v>0</v>
      </c>
      <c r="O209" s="269">
        <f t="shared" si="98"/>
        <v>0</v>
      </c>
      <c r="P209" s="269">
        <f t="shared" si="98"/>
        <v>0</v>
      </c>
      <c r="Q209" s="269">
        <f t="shared" si="98"/>
        <v>0</v>
      </c>
      <c r="R209" s="269">
        <f t="shared" si="98"/>
        <v>0</v>
      </c>
      <c r="S209" s="269">
        <f t="shared" si="98"/>
        <v>0</v>
      </c>
      <c r="T209" s="269">
        <f t="shared" si="98"/>
        <v>0</v>
      </c>
      <c r="U209" s="269">
        <f t="shared" si="98"/>
        <v>0</v>
      </c>
      <c r="V209" s="269">
        <f t="shared" si="98"/>
        <v>0</v>
      </c>
      <c r="W209" s="269">
        <f t="shared" si="98"/>
        <v>0</v>
      </c>
      <c r="X209" s="269">
        <f t="shared" si="98"/>
        <v>0</v>
      </c>
      <c r="Y209" s="269">
        <f t="shared" si="98"/>
        <v>0</v>
      </c>
      <c r="Z209" s="269">
        <f t="shared" si="98"/>
        <v>0</v>
      </c>
      <c r="AA209" s="269">
        <f t="shared" si="98"/>
        <v>0</v>
      </c>
      <c r="AB209" s="269">
        <f t="shared" si="98"/>
        <v>0</v>
      </c>
      <c r="AC209" s="269">
        <f t="shared" si="98"/>
        <v>0</v>
      </c>
      <c r="AD209" s="269">
        <f t="shared" si="98"/>
        <v>0</v>
      </c>
      <c r="AE209" s="269">
        <f t="shared" si="98"/>
        <v>0</v>
      </c>
      <c r="AF209" s="269">
        <f t="shared" si="98"/>
        <v>0</v>
      </c>
      <c r="AG209" s="269">
        <f t="shared" si="98"/>
        <v>0</v>
      </c>
      <c r="AH209" s="269">
        <f t="shared" si="98"/>
        <v>0</v>
      </c>
      <c r="AI209" s="269">
        <f t="shared" si="98"/>
        <v>0</v>
      </c>
      <c r="AJ209" s="269">
        <f t="shared" si="98"/>
        <v>0</v>
      </c>
      <c r="AK209" s="269">
        <f t="shared" si="98"/>
        <v>0</v>
      </c>
      <c r="AL209" s="269">
        <f t="shared" si="98"/>
        <v>0</v>
      </c>
      <c r="AM209" s="269">
        <f t="shared" si="98"/>
        <v>0</v>
      </c>
      <c r="AN209" s="269">
        <f t="shared" si="98"/>
        <v>0</v>
      </c>
      <c r="AO209" s="269">
        <f t="shared" ref="AO209:AU209" si="99">IFERROR((AO$211*SUM(AO197:AO204)+AO$212*SUM(AO205:AO207))/SUM(AO197:AO207)/2,0)*AO208</f>
        <v>0</v>
      </c>
      <c r="AP209" s="269">
        <f t="shared" si="99"/>
        <v>0</v>
      </c>
      <c r="AQ209" s="269">
        <f t="shared" si="99"/>
        <v>0</v>
      </c>
      <c r="AR209" s="269">
        <f t="shared" si="99"/>
        <v>0</v>
      </c>
      <c r="AS209" s="269">
        <f t="shared" si="99"/>
        <v>0</v>
      </c>
      <c r="AT209" s="269">
        <f t="shared" si="99"/>
        <v>0</v>
      </c>
      <c r="AU209" s="269">
        <f t="shared" si="99"/>
        <v>0</v>
      </c>
      <c r="AV209" s="269">
        <f t="shared" ref="AV209:AW209" si="100">IFERROR((AV$211*SUM(AV197:AV204)+AV$212*SUM(AV205:AV207))/SUM(AV197:AV207)/2,0)*AV208</f>
        <v>0</v>
      </c>
      <c r="AW209" s="269">
        <f t="shared" si="100"/>
        <v>0</v>
      </c>
      <c r="AX209" s="470">
        <f>IFERROR((AX$211*SUM(AX197:AX204)+AX$212*SUM(AX205:AX207))/SUM(AX197:AX207)/2,0)*AX208</f>
        <v>0</v>
      </c>
    </row>
    <row r="210" spans="1:50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270"/>
      <c r="AW210" s="270"/>
      <c r="AX210" s="471"/>
    </row>
    <row r="211" spans="1:50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10</v>
      </c>
      <c r="V211" s="278">
        <f>SUMIF(Total!$Z:$Z,V$1,Total!$B:$B)</f>
        <v>10</v>
      </c>
      <c r="W211" s="278">
        <f>SUMIF(Total!$Z:$Z,W$1,Total!$B:$B)</f>
        <v>10</v>
      </c>
      <c r="X211" s="278">
        <f>SUMIF(Total!$Z:$Z,X$1,Total!$B:$B)</f>
        <v>10</v>
      </c>
      <c r="Y211" s="278">
        <f>SUMIF(Total!$Z:$Z,Y$1,Total!$B:$B)</f>
        <v>10</v>
      </c>
      <c r="Z211" s="278">
        <f>SUMIF(Total!$Z:$Z,Z$1,Total!$B:$B)</f>
        <v>10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</v>
      </c>
      <c r="AE211" s="278">
        <f>SUMIF(Total!$Z:$Z,AE$1,Total!$B:$B)</f>
        <v>10</v>
      </c>
      <c r="AF211" s="278">
        <f>SUMIF(Total!$Z:$Z,AF$1,Total!$B:$B)</f>
        <v>10</v>
      </c>
      <c r="AG211" s="278">
        <f>SUMIF(Total!$Z:$Z,AG$1,Total!$B:$B)</f>
        <v>10</v>
      </c>
      <c r="AH211" s="278">
        <f>SUMIF(Total!$Z:$Z,AH$1,Total!$B:$B)</f>
        <v>10</v>
      </c>
      <c r="AI211" s="278">
        <f>SUMIF(Total!$Z:$Z,AI$1,Total!$B:$B)</f>
        <v>0</v>
      </c>
      <c r="AJ211" s="278">
        <f>SUMIF(Total!$Z:$Z,AJ$1,Total!$B:$B)</f>
        <v>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278">
        <f>SUMIF(Total!$Z:$Z,AV$1,Total!$B:$B)</f>
        <v>0</v>
      </c>
      <c r="AW211" s="278">
        <f>SUMIF(Total!$Z:$Z,AW$1,Total!$B:$B)</f>
        <v>0</v>
      </c>
      <c r="AX211" s="472">
        <f>SUMIF(Total!$Z:$Z,AX$1,Total!$B:$B)</f>
        <v>0</v>
      </c>
    </row>
    <row r="212" spans="1:50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13.5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13.5</v>
      </c>
      <c r="V212" s="282">
        <f>SUMIF(Total!$Z:$Z,V$1,Total!$C:$C)</f>
        <v>13.5</v>
      </c>
      <c r="W212" s="282">
        <f>SUMIF(Total!$Z:$Z,W$1,Total!$C:$C)</f>
        <v>13.5</v>
      </c>
      <c r="X212" s="282">
        <f>SUMIF(Total!$Z:$Z,X$1,Total!$C:$C)</f>
        <v>13.5</v>
      </c>
      <c r="Y212" s="282">
        <f>SUMIF(Total!$Z:$Z,Y$1,Total!$C:$C)</f>
        <v>13.5</v>
      </c>
      <c r="Z212" s="282">
        <f>SUMIF(Total!$Z:$Z,Z$1,Total!$C:$C)</f>
        <v>13.5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13.5</v>
      </c>
      <c r="AF212" s="282">
        <f>SUMIF(Total!$Z:$Z,AF$1,Total!$C:$C)</f>
        <v>13.5</v>
      </c>
      <c r="AG212" s="282">
        <f>SUMIF(Total!$Z:$Z,AG$1,Total!$C:$C)</f>
        <v>13.5</v>
      </c>
      <c r="AH212" s="282">
        <f>SUMIF(Total!$Z:$Z,AH$1,Total!$C:$C)</f>
        <v>13.5</v>
      </c>
      <c r="AI212" s="282">
        <f>SUMIF(Total!$Z:$Z,AI$1,Total!$C:$C)</f>
        <v>0</v>
      </c>
      <c r="AJ212" s="282">
        <f>SUMIF(Total!$Z:$Z,AJ$1,Total!$C:$C)</f>
        <v>0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282">
        <f>SUMIF(Total!$Z:$Z,AV$1,Total!$C:$C)</f>
        <v>0</v>
      </c>
      <c r="AW212" s="282">
        <f>SUMIF(Total!$Z:$Z,AW$1,Total!$C:$C)</f>
        <v>0</v>
      </c>
      <c r="AX212" s="473">
        <f>SUMIF(Total!$Z:$Z,AX$1,Total!$C:$C)</f>
        <v>0</v>
      </c>
    </row>
    <row r="213" spans="1:50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270"/>
      <c r="AK213" s="270"/>
      <c r="AL213" s="270"/>
      <c r="AM213" s="270"/>
      <c r="AN213" s="270"/>
      <c r="AO213" s="270"/>
      <c r="AP213" s="270"/>
      <c r="AQ213" s="270"/>
      <c r="AR213" s="270"/>
      <c r="AS213" s="270"/>
      <c r="AT213" s="270"/>
      <c r="AU213" s="270"/>
      <c r="AV213" s="270"/>
      <c r="AW213" s="270"/>
      <c r="AX213" s="471"/>
    </row>
    <row r="214" spans="1:50" s="271" customFormat="1" ht="12" thickBot="1" x14ac:dyDescent="0.25">
      <c r="A214" s="283" t="s">
        <v>4</v>
      </c>
      <c r="B214" s="284">
        <f>SUM(C214:AX214)</f>
        <v>83.550000000000011</v>
      </c>
      <c r="C214" s="285">
        <f t="shared" ref="C214:AU214" si="101">SUM(C14,C27,C40,C53,C66,C79,C92,C105,C118,C131,C144,C157,C170,C183,C196,C209)</f>
        <v>0</v>
      </c>
      <c r="D214" s="284">
        <f t="shared" si="101"/>
        <v>0</v>
      </c>
      <c r="E214" s="284">
        <f t="shared" si="101"/>
        <v>0</v>
      </c>
      <c r="F214" s="284">
        <f t="shared" si="101"/>
        <v>0</v>
      </c>
      <c r="G214" s="284">
        <f t="shared" si="101"/>
        <v>0</v>
      </c>
      <c r="H214" s="284">
        <f t="shared" si="101"/>
        <v>0</v>
      </c>
      <c r="I214" s="284">
        <f t="shared" si="101"/>
        <v>0</v>
      </c>
      <c r="J214" s="284">
        <f t="shared" si="101"/>
        <v>18.75</v>
      </c>
      <c r="K214" s="284">
        <f t="shared" si="101"/>
        <v>0</v>
      </c>
      <c r="L214" s="284">
        <f t="shared" si="101"/>
        <v>0</v>
      </c>
      <c r="M214" s="284">
        <f t="shared" si="101"/>
        <v>11.050000000000004</v>
      </c>
      <c r="N214" s="284">
        <f t="shared" si="101"/>
        <v>0</v>
      </c>
      <c r="O214" s="284">
        <f t="shared" si="101"/>
        <v>1.25</v>
      </c>
      <c r="P214" s="284">
        <f t="shared" si="101"/>
        <v>0</v>
      </c>
      <c r="Q214" s="284">
        <f t="shared" si="101"/>
        <v>0</v>
      </c>
      <c r="R214" s="284">
        <f t="shared" si="101"/>
        <v>0</v>
      </c>
      <c r="S214" s="284">
        <f t="shared" si="101"/>
        <v>0</v>
      </c>
      <c r="T214" s="284">
        <f t="shared" si="101"/>
        <v>0</v>
      </c>
      <c r="U214" s="284">
        <f t="shared" si="101"/>
        <v>15</v>
      </c>
      <c r="V214" s="284">
        <f t="shared" si="101"/>
        <v>0</v>
      </c>
      <c r="W214" s="284">
        <f t="shared" si="101"/>
        <v>0</v>
      </c>
      <c r="X214" s="284">
        <f t="shared" si="101"/>
        <v>0</v>
      </c>
      <c r="Y214" s="284">
        <f t="shared" si="101"/>
        <v>0</v>
      </c>
      <c r="Z214" s="284">
        <f t="shared" si="101"/>
        <v>18.75</v>
      </c>
      <c r="AA214" s="284">
        <f t="shared" si="101"/>
        <v>0</v>
      </c>
      <c r="AB214" s="284">
        <f t="shared" si="101"/>
        <v>18.75</v>
      </c>
      <c r="AC214" s="284">
        <f t="shared" si="101"/>
        <v>0</v>
      </c>
      <c r="AD214" s="284">
        <f t="shared" si="101"/>
        <v>0</v>
      </c>
      <c r="AE214" s="284">
        <f t="shared" si="101"/>
        <v>0</v>
      </c>
      <c r="AF214" s="284">
        <f t="shared" si="101"/>
        <v>0</v>
      </c>
      <c r="AG214" s="284">
        <f t="shared" si="101"/>
        <v>0</v>
      </c>
      <c r="AH214" s="284">
        <f t="shared" si="101"/>
        <v>0</v>
      </c>
      <c r="AI214" s="284">
        <f t="shared" si="101"/>
        <v>0</v>
      </c>
      <c r="AJ214" s="284">
        <f t="shared" si="101"/>
        <v>0</v>
      </c>
      <c r="AK214" s="284">
        <f t="shared" si="101"/>
        <v>0</v>
      </c>
      <c r="AL214" s="284">
        <f t="shared" si="101"/>
        <v>0</v>
      </c>
      <c r="AM214" s="284">
        <f t="shared" si="101"/>
        <v>0</v>
      </c>
      <c r="AN214" s="284">
        <f t="shared" si="101"/>
        <v>0</v>
      </c>
      <c r="AO214" s="284">
        <f t="shared" si="101"/>
        <v>0</v>
      </c>
      <c r="AP214" s="284">
        <f t="shared" si="101"/>
        <v>0</v>
      </c>
      <c r="AQ214" s="284">
        <f t="shared" si="101"/>
        <v>0</v>
      </c>
      <c r="AR214" s="284">
        <f t="shared" si="101"/>
        <v>0</v>
      </c>
      <c r="AS214" s="284">
        <f t="shared" si="101"/>
        <v>0</v>
      </c>
      <c r="AT214" s="284">
        <f t="shared" si="101"/>
        <v>0</v>
      </c>
      <c r="AU214" s="284">
        <f t="shared" si="101"/>
        <v>0</v>
      </c>
      <c r="AV214" s="284">
        <f t="shared" ref="AV214:AW214" si="102">SUM(AV14,AV27,AV40,AV53,AV66,AV79,AV92,AV105,AV118,AV131,AV144,AV157,AV170,AV183,AV196,AV209)</f>
        <v>0</v>
      </c>
      <c r="AW214" s="284">
        <f t="shared" si="102"/>
        <v>0</v>
      </c>
      <c r="AX214" s="474">
        <f>SUM(AX14,AX27,AX40,AX53,AX66,AX79,AX92,AX105,AX118,AX131,AX144,AX157,AX170,AX183,AX196,AX209)</f>
        <v>0</v>
      </c>
    </row>
    <row r="215" spans="1:50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50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50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50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50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50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50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50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50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50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FTOeZ07m2JK3Rk65+DSv0kBEdZxD+4EB8mpvJKn3CWDwH2dDKGX97Qq6YHDWy5dZnXetXbHCG5WrzUFKZlZECA==" saltValue="c1o0v3nvekE0uCK9sX70Fg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opLeftCell="A37" workbookViewId="0">
      <selection activeCell="M122" sqref="M122"/>
    </sheetView>
  </sheetViews>
  <sheetFormatPr defaultColWidth="9.140625" defaultRowHeight="11.25" x14ac:dyDescent="0.2"/>
  <cols>
    <col min="1" max="1" width="12.5703125" style="440" bestFit="1" customWidth="1"/>
    <col min="2" max="2" width="7.5703125" style="440" bestFit="1" customWidth="1"/>
    <col min="3" max="3" width="11.140625" style="440" bestFit="1" customWidth="1"/>
    <col min="4" max="4" width="16" style="440" bestFit="1" customWidth="1"/>
    <col min="5" max="5" width="7.85546875" style="440" bestFit="1" customWidth="1"/>
    <col min="6" max="6" width="7.28515625" style="440" bestFit="1" customWidth="1"/>
    <col min="7" max="7" width="7.7109375" style="440" bestFit="1" customWidth="1"/>
    <col min="8" max="8" width="6.140625" style="443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6.5703125" style="411" bestFit="1" customWidth="1"/>
    <col min="14" max="14" width="4" style="409" bestFit="1" customWidth="1"/>
    <col min="15" max="15" width="6.5703125" style="409" bestFit="1" customWidth="1"/>
    <col min="16" max="16" width="5.7109375" style="410" bestFit="1" customWidth="1"/>
    <col min="17" max="21" width="5.7109375" style="241" bestFit="1" customWidth="1"/>
    <col min="22" max="22" width="13.28515625" style="62" bestFit="1" customWidth="1"/>
    <col min="23" max="23" width="9.140625" style="241"/>
    <col min="24" max="25" width="9.42578125" style="409" bestFit="1" customWidth="1"/>
    <col min="26" max="26" width="7.7109375" style="410" bestFit="1" customWidth="1"/>
    <col min="27" max="27" width="19.28515625" style="414" bestFit="1" customWidth="1"/>
    <col min="28" max="16384" width="9.140625" style="241"/>
  </cols>
  <sheetData>
    <row r="1" spans="1:27" ht="12" thickBot="1" x14ac:dyDescent="0.25">
      <c r="A1" s="444" t="s">
        <v>69</v>
      </c>
      <c r="B1" s="431" t="s">
        <v>65</v>
      </c>
      <c r="C1" s="431" t="s">
        <v>120</v>
      </c>
      <c r="D1" s="431" t="s">
        <v>121</v>
      </c>
      <c r="E1" s="431" t="s">
        <v>122</v>
      </c>
      <c r="F1" s="431" t="s">
        <v>123</v>
      </c>
      <c r="G1" s="431" t="s">
        <v>124</v>
      </c>
      <c r="H1" s="442" t="s">
        <v>117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140</v>
      </c>
      <c r="T1" s="615" t="s">
        <v>155</v>
      </c>
      <c r="U1" s="317" t="s">
        <v>74</v>
      </c>
      <c r="V1" s="623" t="s">
        <v>109</v>
      </c>
      <c r="X1" s="415" t="s">
        <v>111</v>
      </c>
      <c r="Y1" s="415" t="s">
        <v>114</v>
      </c>
      <c r="Z1" s="417" t="s">
        <v>112</v>
      </c>
      <c r="AA1" s="412" t="s">
        <v>65</v>
      </c>
    </row>
    <row r="2" spans="1:27" x14ac:dyDescent="0.2">
      <c r="A2" s="438" t="s">
        <v>190</v>
      </c>
      <c r="B2" s="439">
        <v>42538</v>
      </c>
      <c r="C2" s="440" t="s">
        <v>77</v>
      </c>
      <c r="D2" s="440" t="s">
        <v>176</v>
      </c>
      <c r="E2" s="441">
        <v>0.9375</v>
      </c>
      <c r="F2" s="441">
        <v>0.125</v>
      </c>
      <c r="G2" s="440">
        <v>4.5</v>
      </c>
      <c r="J2" s="302" t="s">
        <v>107</v>
      </c>
      <c r="K2" s="400">
        <f>SUM(G:G)</f>
        <v>526.46</v>
      </c>
      <c r="L2" s="401">
        <f>SUMIF($C:$C,"Driver",$G:$G)</f>
        <v>8.75</v>
      </c>
      <c r="M2" s="401">
        <f>SUMIF($C:$C,"Private Party",$G:$G)</f>
        <v>103</v>
      </c>
      <c r="N2" s="401">
        <f>SUMIF($C:$C,"Parking Control",$G:$G)</f>
        <v>0</v>
      </c>
      <c r="O2" s="401">
        <f>SUMIF($C:$C,"The Firehouse",$G:$G)</f>
        <v>139.25</v>
      </c>
      <c r="P2" s="401">
        <f>SUMIF($C:$C,"Ten22",$G:$G)</f>
        <v>95.25</v>
      </c>
      <c r="Q2" s="401">
        <f>SUMIF($C:$C,"Raley Field",$G:$G)</f>
        <v>68</v>
      </c>
      <c r="R2" s="401">
        <f>SUMIF($C:$C,"Sutter Club",$G:$G)</f>
        <v>20.75</v>
      </c>
      <c r="S2" s="401">
        <f>SUMIF($C:$C,"Rio City Cafe",$G:$G)</f>
        <v>65.960000000000008</v>
      </c>
      <c r="T2" s="401">
        <f>SUMIF($C:$C,"House of Oliver",$G:$G)</f>
        <v>15.5</v>
      </c>
      <c r="U2" s="401">
        <f>SUMIF($C:$C,"Meeting",$G:$G)+SUMIF($C:$C,"Training",$G:$G)</f>
        <v>10</v>
      </c>
      <c r="V2" s="624">
        <f>SUM(L2:N2,Q2:U2)</f>
        <v>291.96000000000004</v>
      </c>
      <c r="X2" s="409">
        <v>0.57775462962962965</v>
      </c>
      <c r="Y2" s="409">
        <v>0.58401620370370366</v>
      </c>
      <c r="Z2" s="410">
        <f>HRS(X2,Y2)</f>
        <v>0.1502777777777764</v>
      </c>
      <c r="AA2" s="413">
        <v>42541</v>
      </c>
    </row>
    <row r="3" spans="1:27" x14ac:dyDescent="0.2">
      <c r="A3" s="438" t="s">
        <v>190</v>
      </c>
      <c r="B3" s="439">
        <v>42545</v>
      </c>
      <c r="C3" s="440" t="s">
        <v>77</v>
      </c>
      <c r="D3" s="440" t="s">
        <v>176</v>
      </c>
      <c r="E3" s="441">
        <v>0.9375</v>
      </c>
      <c r="F3" s="441">
        <v>0.11458333333333333</v>
      </c>
      <c r="G3" s="440">
        <v>4.25</v>
      </c>
      <c r="J3" s="302" t="s">
        <v>108</v>
      </c>
      <c r="K3" s="303">
        <f>Total!D52</f>
        <v>291.96000000000004</v>
      </c>
      <c r="L3" s="304">
        <f>Total!G52</f>
        <v>8.75</v>
      </c>
      <c r="M3" s="304">
        <f>Total!H52</f>
        <v>103</v>
      </c>
      <c r="N3" s="304">
        <f>Total!I52</f>
        <v>0</v>
      </c>
      <c r="O3" s="304">
        <f>Total!J52</f>
        <v>0</v>
      </c>
      <c r="P3" s="304">
        <f>Total!K52</f>
        <v>0</v>
      </c>
      <c r="Q3" s="304">
        <f>Total!L52</f>
        <v>68</v>
      </c>
      <c r="R3" s="304">
        <f>Total!M52</f>
        <v>20.75</v>
      </c>
      <c r="S3" s="304">
        <f>Total!N52</f>
        <v>65.960000000000008</v>
      </c>
      <c r="T3" s="304">
        <f>Total!O52</f>
        <v>15.5</v>
      </c>
      <c r="U3" s="304">
        <f>Total!P52</f>
        <v>10</v>
      </c>
      <c r="V3" s="625">
        <f>SUM(L3:N3,Q3:U3)</f>
        <v>291.96000000000004</v>
      </c>
      <c r="X3" s="409">
        <v>0.75774305555555566</v>
      </c>
      <c r="Y3" s="409">
        <v>0.77105324074074078</v>
      </c>
      <c r="Z3" s="410">
        <f t="shared" ref="Z3:Z15" si="0">HRS(X3,Y3)</f>
        <v>0.31944444444444287</v>
      </c>
      <c r="AA3" s="413">
        <v>42541</v>
      </c>
    </row>
    <row r="4" spans="1:27" ht="12" thickBot="1" x14ac:dyDescent="0.25">
      <c r="A4" s="438" t="s">
        <v>178</v>
      </c>
      <c r="B4" s="439">
        <v>42545</v>
      </c>
      <c r="C4" s="440" t="s">
        <v>154</v>
      </c>
      <c r="D4" s="440" t="s">
        <v>175</v>
      </c>
      <c r="E4" s="441">
        <v>0.70833333333333337</v>
      </c>
      <c r="F4" s="441">
        <v>0.89583333333333337</v>
      </c>
      <c r="G4" s="440">
        <v>4.5</v>
      </c>
      <c r="J4" s="305" t="s">
        <v>60</v>
      </c>
      <c r="K4" s="306">
        <f>K2-K3</f>
        <v>234.5</v>
      </c>
      <c r="L4" s="307">
        <f t="shared" ref="L4:U4" si="1">L2-L3</f>
        <v>0</v>
      </c>
      <c r="M4" s="307">
        <f t="shared" si="1"/>
        <v>0</v>
      </c>
      <c r="N4" s="307">
        <f t="shared" si="1"/>
        <v>0</v>
      </c>
      <c r="O4" s="307">
        <f t="shared" si="1"/>
        <v>139.25</v>
      </c>
      <c r="P4" s="307">
        <f t="shared" si="1"/>
        <v>95.25</v>
      </c>
      <c r="Q4" s="307">
        <f t="shared" si="1"/>
        <v>0</v>
      </c>
      <c r="R4" s="307">
        <f t="shared" si="1"/>
        <v>0</v>
      </c>
      <c r="S4" s="307">
        <f>S2-S3</f>
        <v>0</v>
      </c>
      <c r="T4" s="307">
        <f>T2-T3</f>
        <v>0</v>
      </c>
      <c r="U4" s="307">
        <f t="shared" si="1"/>
        <v>0</v>
      </c>
      <c r="V4" s="626">
        <f>V2-V3</f>
        <v>0</v>
      </c>
      <c r="X4" s="409">
        <v>0.77105324074074078</v>
      </c>
      <c r="Y4" s="409">
        <v>0.78106481481481482</v>
      </c>
      <c r="Z4" s="410">
        <f t="shared" si="0"/>
        <v>0.24027777777777715</v>
      </c>
      <c r="AA4" s="413">
        <v>42541</v>
      </c>
    </row>
    <row r="5" spans="1:27" ht="12" thickBot="1" x14ac:dyDescent="0.25">
      <c r="A5" s="438" t="s">
        <v>177</v>
      </c>
      <c r="B5" s="439">
        <v>42538</v>
      </c>
      <c r="C5" s="440" t="s">
        <v>154</v>
      </c>
      <c r="D5" s="440" t="s">
        <v>175</v>
      </c>
      <c r="E5" s="441">
        <v>0.70833333333333337</v>
      </c>
      <c r="F5" s="441">
        <v>0.9375</v>
      </c>
      <c r="G5" s="440">
        <v>5.5</v>
      </c>
      <c r="M5" s="241"/>
      <c r="N5" s="241"/>
      <c r="O5" s="241"/>
      <c r="P5" s="241"/>
      <c r="X5" s="409">
        <v>0.78106481481481482</v>
      </c>
      <c r="Y5" s="409">
        <v>0.78374999999999995</v>
      </c>
      <c r="Z5" s="410">
        <f t="shared" si="0"/>
        <v>6.4444444444442972E-2</v>
      </c>
      <c r="AA5" s="413">
        <v>42541</v>
      </c>
    </row>
    <row r="6" spans="1:27" ht="12" thickBot="1" x14ac:dyDescent="0.25">
      <c r="A6" s="438" t="s">
        <v>177</v>
      </c>
      <c r="B6" s="439">
        <v>42539</v>
      </c>
      <c r="C6" s="440" t="s">
        <v>154</v>
      </c>
      <c r="D6" s="440" t="s">
        <v>175</v>
      </c>
      <c r="E6" s="441">
        <v>0.70833333333333337</v>
      </c>
      <c r="F6" s="441">
        <v>0.9375</v>
      </c>
      <c r="G6" s="440">
        <v>5.5</v>
      </c>
      <c r="J6" s="308" t="s">
        <v>110</v>
      </c>
      <c r="K6" s="309">
        <f>V4</f>
        <v>0</v>
      </c>
      <c r="M6" s="413"/>
      <c r="N6" s="416"/>
      <c r="O6" s="416"/>
      <c r="P6" s="418"/>
      <c r="Q6" s="299"/>
      <c r="R6" s="299"/>
      <c r="S6" s="299"/>
      <c r="T6" s="299"/>
      <c r="V6" s="320" t="s">
        <v>115</v>
      </c>
      <c r="X6" s="416">
        <v>0.78374999999999995</v>
      </c>
      <c r="Y6" s="409">
        <v>0.78528935185185189</v>
      </c>
      <c r="Z6" s="410">
        <f t="shared" si="0"/>
        <v>3.6944444444446667E-2</v>
      </c>
      <c r="AA6" s="414">
        <v>42541</v>
      </c>
    </row>
    <row r="7" spans="1:27" ht="12" thickBot="1" x14ac:dyDescent="0.25">
      <c r="A7" s="438" t="s">
        <v>208</v>
      </c>
      <c r="B7" s="439">
        <v>42537</v>
      </c>
      <c r="C7" s="440" t="s">
        <v>119</v>
      </c>
      <c r="D7" s="440" t="s">
        <v>170</v>
      </c>
      <c r="E7" s="441">
        <v>0.29166666666666669</v>
      </c>
      <c r="F7" s="441">
        <v>0.36458333333333331</v>
      </c>
      <c r="G7" s="440">
        <v>1.75</v>
      </c>
      <c r="M7" s="419"/>
      <c r="N7" s="416"/>
      <c r="O7" s="416"/>
      <c r="P7" s="420"/>
      <c r="Q7" s="299"/>
      <c r="R7" s="420"/>
      <c r="S7" s="420"/>
      <c r="T7" s="420"/>
      <c r="V7" s="627">
        <v>42537</v>
      </c>
      <c r="X7" s="416">
        <v>0.78528935185185189</v>
      </c>
      <c r="Y7" s="409">
        <v>0.93540509259259252</v>
      </c>
      <c r="Z7" s="410">
        <f t="shared" si="0"/>
        <v>3.6027777777777752</v>
      </c>
      <c r="AA7" s="414">
        <v>42541</v>
      </c>
    </row>
    <row r="8" spans="1:27" ht="12" thickBot="1" x14ac:dyDescent="0.25">
      <c r="A8" s="438" t="s">
        <v>208</v>
      </c>
      <c r="B8" s="439">
        <v>42541</v>
      </c>
      <c r="C8" s="440" t="s">
        <v>119</v>
      </c>
      <c r="D8" s="440" t="s">
        <v>170</v>
      </c>
      <c r="E8" s="441">
        <v>0.63541666666666663</v>
      </c>
      <c r="F8" s="441">
        <v>0.69791666666666663</v>
      </c>
      <c r="G8" s="440">
        <v>1.5</v>
      </c>
      <c r="J8" s="308" t="s">
        <v>113</v>
      </c>
      <c r="K8" s="309">
        <f>SUM(Z:Z)</f>
        <v>18.61333333333333</v>
      </c>
      <c r="V8" s="627">
        <v>42538</v>
      </c>
      <c r="X8" s="416">
        <v>0.93540509259259252</v>
      </c>
      <c r="Y8" s="409">
        <v>0.9391087962962964</v>
      </c>
      <c r="Z8" s="410">
        <f t="shared" si="0"/>
        <v>8.8888888888893014E-2</v>
      </c>
      <c r="AA8" s="414">
        <v>42541</v>
      </c>
    </row>
    <row r="9" spans="1:27" x14ac:dyDescent="0.2">
      <c r="A9" s="438" t="s">
        <v>214</v>
      </c>
      <c r="B9" s="439">
        <v>42541</v>
      </c>
      <c r="C9" s="440" t="s">
        <v>119</v>
      </c>
      <c r="D9" s="440" t="s">
        <v>206</v>
      </c>
      <c r="E9" s="441">
        <v>0.33333333333333331</v>
      </c>
      <c r="F9" s="441">
        <v>0.38541666666666669</v>
      </c>
      <c r="G9" s="440">
        <v>1.25</v>
      </c>
      <c r="V9" s="627">
        <v>42539</v>
      </c>
      <c r="X9" s="416">
        <v>0.9391087962962964</v>
      </c>
      <c r="Y9" s="409">
        <v>0.94200231481481478</v>
      </c>
      <c r="Z9" s="410">
        <f t="shared" si="0"/>
        <v>6.9444444444441089E-2</v>
      </c>
      <c r="AA9" s="414">
        <v>42541</v>
      </c>
    </row>
    <row r="10" spans="1:27" x14ac:dyDescent="0.2">
      <c r="A10" s="438" t="s">
        <v>177</v>
      </c>
      <c r="B10" s="439">
        <v>42537</v>
      </c>
      <c r="C10" s="440" t="s">
        <v>119</v>
      </c>
      <c r="D10" s="440" t="s">
        <v>170</v>
      </c>
      <c r="E10" s="441">
        <v>0.29166666666666669</v>
      </c>
      <c r="F10" s="441">
        <v>0.36458333333333331</v>
      </c>
      <c r="G10" s="440">
        <v>1.75</v>
      </c>
      <c r="V10" s="627">
        <v>42540</v>
      </c>
      <c r="X10" s="416">
        <v>0.94200231481481478</v>
      </c>
      <c r="Y10" s="409">
        <v>0.9497106481481481</v>
      </c>
      <c r="Z10" s="410">
        <f t="shared" si="0"/>
        <v>0.18499999999999961</v>
      </c>
      <c r="AA10" s="414">
        <v>42541</v>
      </c>
    </row>
    <row r="11" spans="1:27" x14ac:dyDescent="0.2">
      <c r="A11" s="438" t="s">
        <v>177</v>
      </c>
      <c r="B11" s="439">
        <v>42541</v>
      </c>
      <c r="C11" s="440" t="s">
        <v>119</v>
      </c>
      <c r="D11" s="440" t="s">
        <v>206</v>
      </c>
      <c r="E11" s="441">
        <v>0.33333333333333331</v>
      </c>
      <c r="F11" s="441">
        <v>0.38541666666666669</v>
      </c>
      <c r="G11" s="440">
        <v>1.25</v>
      </c>
      <c r="V11" s="627">
        <v>42541</v>
      </c>
      <c r="X11" s="416">
        <v>0.9497106481481481</v>
      </c>
      <c r="Y11" s="409">
        <v>0.96146990740740745</v>
      </c>
      <c r="Z11" s="410">
        <f t="shared" si="0"/>
        <v>0.28222222222222459</v>
      </c>
      <c r="AA11" s="414">
        <v>42541</v>
      </c>
    </row>
    <row r="12" spans="1:27" x14ac:dyDescent="0.2">
      <c r="A12" s="438" t="s">
        <v>177</v>
      </c>
      <c r="B12" s="439">
        <v>42541</v>
      </c>
      <c r="C12" s="440" t="s">
        <v>119</v>
      </c>
      <c r="D12" s="440" t="s">
        <v>170</v>
      </c>
      <c r="E12" s="441">
        <v>0.63541666666666663</v>
      </c>
      <c r="F12" s="441">
        <v>0.69791666666666663</v>
      </c>
      <c r="G12" s="440">
        <v>1.5</v>
      </c>
      <c r="V12" s="627">
        <v>42542</v>
      </c>
      <c r="X12" s="416">
        <v>0.96146990740740745</v>
      </c>
      <c r="Y12" s="409">
        <v>0.96250000000000002</v>
      </c>
      <c r="Z12" s="410">
        <f t="shared" si="0"/>
        <v>2.4722222222221646E-2</v>
      </c>
      <c r="AA12" s="414">
        <v>42541</v>
      </c>
    </row>
    <row r="13" spans="1:27" x14ac:dyDescent="0.2">
      <c r="A13" s="438" t="s">
        <v>187</v>
      </c>
      <c r="B13" s="439">
        <v>42541</v>
      </c>
      <c r="C13" s="440" t="s">
        <v>119</v>
      </c>
      <c r="D13" s="440" t="s">
        <v>170</v>
      </c>
      <c r="E13" s="441">
        <v>0.64583333333333337</v>
      </c>
      <c r="F13" s="441">
        <v>0.6875</v>
      </c>
      <c r="G13" s="440">
        <v>1</v>
      </c>
      <c r="V13" s="627">
        <v>42543</v>
      </c>
      <c r="X13" s="409">
        <v>0.96515046296296303</v>
      </c>
      <c r="Y13" s="409">
        <v>0.96760416666666671</v>
      </c>
      <c r="Z13" s="410">
        <f t="shared" si="0"/>
        <v>5.8888888888888324E-2</v>
      </c>
      <c r="AA13" s="413">
        <v>42541</v>
      </c>
    </row>
    <row r="14" spans="1:27" x14ac:dyDescent="0.2">
      <c r="A14" s="438" t="s">
        <v>186</v>
      </c>
      <c r="B14" s="439">
        <v>42543</v>
      </c>
      <c r="C14" s="440" t="s">
        <v>118</v>
      </c>
      <c r="D14" s="440" t="s">
        <v>199</v>
      </c>
      <c r="E14" s="441">
        <v>0.69791666666666663</v>
      </c>
      <c r="F14" s="441">
        <v>0.80208333333333337</v>
      </c>
      <c r="G14" s="440">
        <v>2.5</v>
      </c>
      <c r="V14" s="627">
        <v>42544</v>
      </c>
      <c r="X14" s="409">
        <v>0.96760416666666671</v>
      </c>
      <c r="Y14" s="409">
        <v>0.97479166666666661</v>
      </c>
      <c r="Z14" s="410">
        <f t="shared" si="0"/>
        <v>0.17249999999999766</v>
      </c>
      <c r="AA14" s="413">
        <v>42541</v>
      </c>
    </row>
    <row r="15" spans="1:27" x14ac:dyDescent="0.2">
      <c r="A15" s="438" t="s">
        <v>156</v>
      </c>
      <c r="B15" s="439">
        <v>42543</v>
      </c>
      <c r="C15" s="440" t="s">
        <v>118</v>
      </c>
      <c r="D15" s="440" t="s">
        <v>199</v>
      </c>
      <c r="E15" s="441">
        <v>0.69791666666666663</v>
      </c>
      <c r="F15" s="441">
        <v>0.80208333333333337</v>
      </c>
      <c r="G15" s="440">
        <v>2.5</v>
      </c>
      <c r="V15" s="627">
        <v>42545</v>
      </c>
      <c r="X15" s="409">
        <v>0.97479166666666661</v>
      </c>
      <c r="Y15" s="409">
        <v>0.97821759259259267</v>
      </c>
      <c r="Z15" s="410">
        <f t="shared" si="0"/>
        <v>8.2222222222225305E-2</v>
      </c>
      <c r="AA15" s="413">
        <v>42541</v>
      </c>
    </row>
    <row r="16" spans="1:27" x14ac:dyDescent="0.2">
      <c r="A16" s="438" t="s">
        <v>189</v>
      </c>
      <c r="B16" s="439">
        <v>42543</v>
      </c>
      <c r="C16" s="440" t="s">
        <v>118</v>
      </c>
      <c r="D16" s="440" t="s">
        <v>199</v>
      </c>
      <c r="E16" s="441">
        <v>0.69791666666666663</v>
      </c>
      <c r="F16" s="441">
        <v>0.80208333333333337</v>
      </c>
      <c r="G16" s="440">
        <v>2.5</v>
      </c>
      <c r="V16" s="627">
        <v>42546</v>
      </c>
      <c r="X16" s="409">
        <v>0.97821759259259267</v>
      </c>
      <c r="Y16" s="409">
        <v>0.97906249999999995</v>
      </c>
      <c r="Z16" s="410">
        <f t="shared" ref="Z16:Z21" si="2">HRS(X16,Y16)</f>
        <v>2.027777777777473E-2</v>
      </c>
      <c r="AA16" s="413">
        <v>42541</v>
      </c>
    </row>
    <row r="17" spans="1:27" x14ac:dyDescent="0.2">
      <c r="A17" s="438" t="s">
        <v>188</v>
      </c>
      <c r="B17" s="439">
        <v>42539</v>
      </c>
      <c r="C17" s="440" t="s">
        <v>118</v>
      </c>
      <c r="D17" s="440" t="s">
        <v>199</v>
      </c>
      <c r="E17" s="441">
        <v>0.73958333333333337</v>
      </c>
      <c r="F17" s="441">
        <v>0.95833333333333337</v>
      </c>
      <c r="G17" s="440">
        <v>5.25</v>
      </c>
      <c r="V17" s="627">
        <v>42547</v>
      </c>
      <c r="X17" s="409">
        <v>0.97906249999999995</v>
      </c>
      <c r="Y17" s="409">
        <v>0.98130787037037026</v>
      </c>
      <c r="Z17" s="410">
        <f t="shared" si="2"/>
        <v>5.3888888888887543E-2</v>
      </c>
      <c r="AA17" s="413">
        <v>42541</v>
      </c>
    </row>
    <row r="18" spans="1:27" x14ac:dyDescent="0.2">
      <c r="A18" s="438" t="s">
        <v>188</v>
      </c>
      <c r="B18" s="439">
        <v>42542</v>
      </c>
      <c r="C18" s="440" t="s">
        <v>118</v>
      </c>
      <c r="D18" s="440" t="s">
        <v>199</v>
      </c>
      <c r="E18" s="441">
        <v>0.6875</v>
      </c>
      <c r="F18" s="441">
        <v>0.79166666666666663</v>
      </c>
      <c r="G18" s="440">
        <v>2.5</v>
      </c>
      <c r="V18" s="627">
        <v>42548</v>
      </c>
      <c r="X18" s="409">
        <v>0.98130787037037026</v>
      </c>
      <c r="Y18" s="409">
        <v>0.98399305555555561</v>
      </c>
      <c r="Z18" s="410">
        <f t="shared" si="2"/>
        <v>6.4444444444448301E-2</v>
      </c>
      <c r="AA18" s="413">
        <v>42541</v>
      </c>
    </row>
    <row r="19" spans="1:27" x14ac:dyDescent="0.2">
      <c r="A19" s="438" t="s">
        <v>178</v>
      </c>
      <c r="B19" s="439">
        <v>42539</v>
      </c>
      <c r="C19" s="440" t="s">
        <v>118</v>
      </c>
      <c r="D19" s="440" t="s">
        <v>199</v>
      </c>
      <c r="E19" s="441">
        <v>0.73958333333333337</v>
      </c>
      <c r="F19" s="441">
        <v>0.9375</v>
      </c>
      <c r="G19" s="440">
        <v>4.75</v>
      </c>
      <c r="V19" s="627">
        <v>42549</v>
      </c>
      <c r="X19" s="409">
        <v>0.98399305555555561</v>
      </c>
      <c r="Y19" s="409">
        <v>0.98414351851851845</v>
      </c>
      <c r="Z19" s="410">
        <f t="shared" si="2"/>
        <v>3.6111111111081229E-3</v>
      </c>
      <c r="AA19" s="413">
        <v>42541</v>
      </c>
    </row>
    <row r="20" spans="1:27" x14ac:dyDescent="0.2">
      <c r="A20" s="438" t="s">
        <v>184</v>
      </c>
      <c r="B20" s="439">
        <v>42539</v>
      </c>
      <c r="C20" s="440" t="s">
        <v>118</v>
      </c>
      <c r="D20" s="440" t="s">
        <v>199</v>
      </c>
      <c r="E20" s="441">
        <v>0.35416666666666669</v>
      </c>
      <c r="F20" s="441">
        <v>0.88541666666666663</v>
      </c>
      <c r="G20" s="440">
        <v>11.75</v>
      </c>
      <c r="V20" s="627">
        <v>42550</v>
      </c>
      <c r="X20" s="409">
        <v>0.98414351851851845</v>
      </c>
      <c r="Y20" s="409">
        <v>0.9868865740740741</v>
      </c>
      <c r="Z20" s="410">
        <f t="shared" si="2"/>
        <v>6.5833333333335631E-2</v>
      </c>
      <c r="AA20" s="413">
        <v>42541</v>
      </c>
    </row>
    <row r="21" spans="1:27" x14ac:dyDescent="0.2">
      <c r="A21" s="438" t="s">
        <v>210</v>
      </c>
      <c r="B21" s="439">
        <v>42539</v>
      </c>
      <c r="C21" s="440" t="s">
        <v>118</v>
      </c>
      <c r="D21" s="440" t="s">
        <v>199</v>
      </c>
      <c r="E21" s="441">
        <v>0.73958333333333337</v>
      </c>
      <c r="F21" s="441">
        <v>0.9375</v>
      </c>
      <c r="G21" s="440">
        <v>4.75</v>
      </c>
      <c r="V21" s="627">
        <v>42551</v>
      </c>
      <c r="X21" s="409">
        <v>0.9868865740740741</v>
      </c>
      <c r="Y21" s="409">
        <v>0.98940972222222223</v>
      </c>
      <c r="Z21" s="410">
        <f t="shared" si="2"/>
        <v>6.0555555555555252E-2</v>
      </c>
      <c r="AA21" s="413">
        <v>42541</v>
      </c>
    </row>
    <row r="22" spans="1:27" ht="12" thickBot="1" x14ac:dyDescent="0.25">
      <c r="A22" s="438" t="s">
        <v>220</v>
      </c>
      <c r="B22" s="439">
        <v>42542</v>
      </c>
      <c r="C22" s="440" t="s">
        <v>118</v>
      </c>
      <c r="D22" s="440" t="s">
        <v>199</v>
      </c>
      <c r="E22" s="441">
        <v>0.69791666666666663</v>
      </c>
      <c r="F22" s="441">
        <v>0.83333333333333337</v>
      </c>
      <c r="G22" s="440">
        <v>3.25</v>
      </c>
      <c r="V22" s="628"/>
      <c r="X22" s="409">
        <v>0.77038194444444441</v>
      </c>
      <c r="Y22" s="409">
        <v>0.77119212962962969</v>
      </c>
      <c r="Z22" s="410">
        <f t="shared" ref="Z22:Z31" si="3">HRS(X22,Y22)</f>
        <v>1.9444444444446596E-2</v>
      </c>
      <c r="AA22" s="413">
        <v>42543</v>
      </c>
    </row>
    <row r="23" spans="1:27" ht="12.75" x14ac:dyDescent="0.2">
      <c r="A23" s="438" t="s">
        <v>180</v>
      </c>
      <c r="B23" s="439">
        <v>42539</v>
      </c>
      <c r="C23" s="440" t="s">
        <v>118</v>
      </c>
      <c r="D23" s="440" t="s">
        <v>197</v>
      </c>
      <c r="E23" s="441">
        <v>0.375</v>
      </c>
      <c r="F23" s="441">
        <v>0.59375</v>
      </c>
      <c r="G23" s="440">
        <v>5.25</v>
      </c>
      <c r="H23" s="443">
        <v>25</v>
      </c>
      <c r="V23" s="629" t="s">
        <v>169</v>
      </c>
      <c r="X23" s="409">
        <v>0.77119212962962969</v>
      </c>
      <c r="Y23" s="409">
        <v>0.77295138888888892</v>
      </c>
      <c r="Z23" s="410">
        <f t="shared" si="3"/>
        <v>4.2222222222221717E-2</v>
      </c>
      <c r="AA23" s="413">
        <v>42543</v>
      </c>
    </row>
    <row r="24" spans="1:27" x14ac:dyDescent="0.2">
      <c r="A24" s="438" t="s">
        <v>180</v>
      </c>
      <c r="B24" s="439">
        <v>42539</v>
      </c>
      <c r="C24" s="440" t="s">
        <v>118</v>
      </c>
      <c r="D24" s="440" t="s">
        <v>199</v>
      </c>
      <c r="E24" s="441">
        <v>0.72916666666666663</v>
      </c>
      <c r="F24" s="441">
        <v>0.96875</v>
      </c>
      <c r="G24" s="440">
        <v>5.75</v>
      </c>
      <c r="X24" s="409">
        <v>0.77295138888888892</v>
      </c>
      <c r="Y24" s="409">
        <v>0.77347222222222223</v>
      </c>
      <c r="Z24" s="410">
        <f t="shared" si="3"/>
        <v>1.2499999999999289E-2</v>
      </c>
      <c r="AA24" s="413">
        <v>42543</v>
      </c>
    </row>
    <row r="25" spans="1:27" x14ac:dyDescent="0.2">
      <c r="A25" s="438" t="s">
        <v>180</v>
      </c>
      <c r="B25" s="439">
        <v>42542</v>
      </c>
      <c r="C25" s="440" t="s">
        <v>118</v>
      </c>
      <c r="D25" s="440" t="s">
        <v>197</v>
      </c>
      <c r="E25" s="441">
        <v>0.6875</v>
      </c>
      <c r="F25" s="441">
        <v>0.83333333333333337</v>
      </c>
      <c r="G25" s="440">
        <v>3.5</v>
      </c>
      <c r="H25" s="443">
        <v>15</v>
      </c>
      <c r="K25" s="440"/>
      <c r="V25" s="430"/>
      <c r="X25" s="409">
        <v>0.77347222222222223</v>
      </c>
      <c r="Y25" s="409">
        <v>0.77548611111111121</v>
      </c>
      <c r="Z25" s="410">
        <f t="shared" si="3"/>
        <v>4.833333333333556E-2</v>
      </c>
      <c r="AA25" s="413">
        <v>42543</v>
      </c>
    </row>
    <row r="26" spans="1:27" x14ac:dyDescent="0.2">
      <c r="A26" s="440" t="s">
        <v>180</v>
      </c>
      <c r="B26" s="439">
        <v>42543</v>
      </c>
      <c r="C26" s="440" t="s">
        <v>118</v>
      </c>
      <c r="D26" s="440" t="s">
        <v>197</v>
      </c>
      <c r="E26" s="441">
        <v>0.6875</v>
      </c>
      <c r="F26" s="441">
        <v>0.80208333333333337</v>
      </c>
      <c r="G26" s="440">
        <v>2.75</v>
      </c>
      <c r="H26" s="443">
        <v>15</v>
      </c>
      <c r="V26" s="430"/>
      <c r="X26" s="409">
        <v>0.77548611111111121</v>
      </c>
      <c r="Y26" s="409">
        <v>0.77862268518518529</v>
      </c>
      <c r="Z26" s="410">
        <f t="shared" si="3"/>
        <v>7.5277777777777999E-2</v>
      </c>
      <c r="AA26" s="413">
        <v>42543</v>
      </c>
    </row>
    <row r="27" spans="1:27" x14ac:dyDescent="0.2">
      <c r="A27" s="438" t="s">
        <v>227</v>
      </c>
      <c r="B27" s="439">
        <v>42542</v>
      </c>
      <c r="C27" s="440" t="s">
        <v>118</v>
      </c>
      <c r="D27" s="440" t="s">
        <v>199</v>
      </c>
      <c r="E27" s="441">
        <v>0.69791666666666663</v>
      </c>
      <c r="F27" s="441">
        <v>0.82291666666666663</v>
      </c>
      <c r="G27" s="440">
        <v>3</v>
      </c>
      <c r="V27" s="430"/>
      <c r="X27" s="409">
        <v>0.77862268518518529</v>
      </c>
      <c r="Y27" s="409">
        <v>0.78140046296296306</v>
      </c>
      <c r="Z27" s="410">
        <f t="shared" si="3"/>
        <v>6.666666666666643E-2</v>
      </c>
      <c r="AA27" s="413">
        <v>42543</v>
      </c>
    </row>
    <row r="28" spans="1:27" x14ac:dyDescent="0.2">
      <c r="A28" s="438" t="s">
        <v>233</v>
      </c>
      <c r="B28" s="439">
        <v>42539</v>
      </c>
      <c r="C28" s="440" t="s">
        <v>118</v>
      </c>
      <c r="D28" s="440" t="s">
        <v>229</v>
      </c>
      <c r="E28" s="441">
        <v>0.44791666666666669</v>
      </c>
      <c r="F28" s="441">
        <v>0.52083333333333337</v>
      </c>
      <c r="G28" s="440">
        <v>1.75</v>
      </c>
      <c r="V28" s="430"/>
      <c r="X28" s="409">
        <v>0.78140046296296306</v>
      </c>
      <c r="Y28" s="409">
        <v>0.78252314814814816</v>
      </c>
      <c r="Z28" s="410">
        <f t="shared" si="3"/>
        <v>2.6944444444442439E-2</v>
      </c>
      <c r="AA28" s="413">
        <v>42543</v>
      </c>
    </row>
    <row r="29" spans="1:27" x14ac:dyDescent="0.2">
      <c r="A29" s="438" t="s">
        <v>157</v>
      </c>
      <c r="B29" s="439">
        <v>42539</v>
      </c>
      <c r="C29" s="440" t="s">
        <v>118</v>
      </c>
      <c r="D29" s="440" t="s">
        <v>199</v>
      </c>
      <c r="E29" s="441">
        <v>0.35416666666666669</v>
      </c>
      <c r="F29" s="441">
        <v>0.88541666666666663</v>
      </c>
      <c r="G29" s="440">
        <v>11.75</v>
      </c>
      <c r="V29" s="430"/>
      <c r="X29" s="409">
        <v>0.78252314814814816</v>
      </c>
      <c r="Y29" s="409">
        <v>0.79266203703703697</v>
      </c>
      <c r="Z29" s="410">
        <f t="shared" si="3"/>
        <v>0.2433333333333314</v>
      </c>
      <c r="AA29" s="413">
        <v>42543</v>
      </c>
    </row>
    <row r="30" spans="1:27" x14ac:dyDescent="0.2">
      <c r="A30" s="438" t="s">
        <v>211</v>
      </c>
      <c r="B30" s="439">
        <v>42539</v>
      </c>
      <c r="C30" s="440" t="s">
        <v>118</v>
      </c>
      <c r="D30" s="440" t="s">
        <v>199</v>
      </c>
      <c r="E30" s="441">
        <v>0.73958333333333337</v>
      </c>
      <c r="F30" s="441">
        <v>0.9375</v>
      </c>
      <c r="G30" s="440">
        <v>4.75</v>
      </c>
      <c r="V30" s="430"/>
      <c r="X30" s="409">
        <v>0.79266203703703697</v>
      </c>
      <c r="Y30" s="409">
        <v>0.88406250000000008</v>
      </c>
      <c r="Z30" s="410">
        <f t="shared" si="3"/>
        <v>2.1936111111111147</v>
      </c>
      <c r="AA30" s="413">
        <v>42543</v>
      </c>
    </row>
    <row r="31" spans="1:27" x14ac:dyDescent="0.2">
      <c r="A31" s="438" t="s">
        <v>187</v>
      </c>
      <c r="B31" s="439">
        <v>42539</v>
      </c>
      <c r="C31" s="440" t="s">
        <v>118</v>
      </c>
      <c r="D31" s="440" t="s">
        <v>197</v>
      </c>
      <c r="E31" s="441">
        <v>0.35416666666666669</v>
      </c>
      <c r="F31" s="441">
        <v>0.88541666666666663</v>
      </c>
      <c r="G31" s="440">
        <v>11.75</v>
      </c>
      <c r="H31" s="630">
        <v>15</v>
      </c>
      <c r="V31" s="430"/>
      <c r="X31" s="409">
        <v>0.88406250000000008</v>
      </c>
      <c r="Y31" s="409">
        <v>0.93229166666666663</v>
      </c>
      <c r="Z31" s="410">
        <f t="shared" si="3"/>
        <v>1.1574999999999971</v>
      </c>
      <c r="AA31" s="413">
        <v>42543</v>
      </c>
    </row>
    <row r="32" spans="1:27" x14ac:dyDescent="0.2">
      <c r="A32" s="440" t="s">
        <v>209</v>
      </c>
      <c r="B32" s="439">
        <v>42539</v>
      </c>
      <c r="C32" s="440" t="s">
        <v>118</v>
      </c>
      <c r="D32" s="440" t="s">
        <v>199</v>
      </c>
      <c r="E32" s="441">
        <v>0.375</v>
      </c>
      <c r="F32" s="441">
        <v>0.57291666666666663</v>
      </c>
      <c r="G32" s="440">
        <v>4.75</v>
      </c>
      <c r="V32" s="430"/>
      <c r="X32" s="409">
        <v>0.93533564814814818</v>
      </c>
      <c r="Y32" s="409">
        <v>0.9431828703703703</v>
      </c>
      <c r="Z32" s="410">
        <f t="shared" ref="Z32:Z48" si="4">HRS(X32,Y32)</f>
        <v>0.1883333333333308</v>
      </c>
      <c r="AA32" s="413">
        <v>42543</v>
      </c>
    </row>
    <row r="33" spans="1:27" x14ac:dyDescent="0.2">
      <c r="A33" s="438" t="s">
        <v>182</v>
      </c>
      <c r="B33" s="439">
        <v>42539</v>
      </c>
      <c r="C33" s="440" t="s">
        <v>118</v>
      </c>
      <c r="D33" s="440" t="s">
        <v>199</v>
      </c>
      <c r="E33" s="441">
        <v>0.39583333333333331</v>
      </c>
      <c r="F33" s="441">
        <v>0.54166666666666663</v>
      </c>
      <c r="G33" s="440">
        <v>3.5</v>
      </c>
      <c r="V33" s="430"/>
      <c r="X33" s="409">
        <v>0.9431828703703703</v>
      </c>
      <c r="Y33" s="409">
        <v>0.95124999999999993</v>
      </c>
      <c r="Z33" s="410">
        <f t="shared" si="4"/>
        <v>0.19361111111111118</v>
      </c>
      <c r="AA33" s="413">
        <v>42543</v>
      </c>
    </row>
    <row r="34" spans="1:27" x14ac:dyDescent="0.2">
      <c r="A34" s="440" t="s">
        <v>183</v>
      </c>
      <c r="B34" s="439">
        <v>42539</v>
      </c>
      <c r="C34" s="440" t="s">
        <v>118</v>
      </c>
      <c r="D34" s="440" t="s">
        <v>199</v>
      </c>
      <c r="E34" s="441">
        <v>0.73958333333333337</v>
      </c>
      <c r="F34" s="441">
        <v>0.9375</v>
      </c>
      <c r="G34" s="440">
        <v>4.75</v>
      </c>
      <c r="V34" s="430"/>
      <c r="X34" s="409">
        <v>0.95124999999999993</v>
      </c>
      <c r="Y34" s="409">
        <v>0.95731481481481484</v>
      </c>
      <c r="Z34" s="410">
        <f t="shared" si="4"/>
        <v>0.14555555555555788</v>
      </c>
      <c r="AA34" s="413">
        <v>42543</v>
      </c>
    </row>
    <row r="35" spans="1:27" x14ac:dyDescent="0.2">
      <c r="A35" s="438" t="s">
        <v>208</v>
      </c>
      <c r="B35" s="439">
        <v>42537</v>
      </c>
      <c r="C35" s="440" t="s">
        <v>16</v>
      </c>
      <c r="D35" s="440" t="s">
        <v>67</v>
      </c>
      <c r="E35" s="441">
        <v>0.70833333333333337</v>
      </c>
      <c r="F35" s="441">
        <v>0.91666666666666663</v>
      </c>
      <c r="G35" s="440">
        <v>5</v>
      </c>
      <c r="V35" s="430"/>
      <c r="X35" s="409">
        <v>0.95731481481481484</v>
      </c>
      <c r="Y35" s="409">
        <v>0.96418981481481481</v>
      </c>
      <c r="Z35" s="410">
        <f t="shared" si="4"/>
        <v>0.16499999999999915</v>
      </c>
      <c r="AA35" s="413">
        <v>42543</v>
      </c>
    </row>
    <row r="36" spans="1:27" x14ac:dyDescent="0.2">
      <c r="A36" s="440" t="s">
        <v>208</v>
      </c>
      <c r="B36" s="439">
        <v>42538</v>
      </c>
      <c r="C36" s="440" t="s">
        <v>16</v>
      </c>
      <c r="D36" s="440" t="s">
        <v>67</v>
      </c>
      <c r="E36" s="441">
        <v>0.6875</v>
      </c>
      <c r="F36" s="441">
        <v>0.9375</v>
      </c>
      <c r="G36" s="440">
        <v>6</v>
      </c>
      <c r="V36" s="430"/>
      <c r="X36" s="409">
        <v>0.98446759259259264</v>
      </c>
      <c r="Y36" s="409">
        <v>0.98550925925925925</v>
      </c>
      <c r="Z36" s="410">
        <f t="shared" si="4"/>
        <v>2.4999999999998579E-2</v>
      </c>
      <c r="AA36" s="413">
        <v>42543</v>
      </c>
    </row>
    <row r="37" spans="1:27" x14ac:dyDescent="0.2">
      <c r="A37" s="440" t="s">
        <v>208</v>
      </c>
      <c r="B37" s="439">
        <v>42539</v>
      </c>
      <c r="C37" s="440" t="s">
        <v>16</v>
      </c>
      <c r="D37" s="440" t="s">
        <v>67</v>
      </c>
      <c r="E37" s="441">
        <v>0.6875</v>
      </c>
      <c r="F37" s="441">
        <v>0.94791666666666663</v>
      </c>
      <c r="G37" s="440">
        <v>6.25</v>
      </c>
      <c r="V37" s="430"/>
      <c r="X37" s="409">
        <v>0.98570601851851858</v>
      </c>
      <c r="Y37" s="409">
        <v>0.99063657407407402</v>
      </c>
      <c r="Z37" s="410">
        <f t="shared" si="4"/>
        <v>0.11833333333333051</v>
      </c>
      <c r="AA37" s="413">
        <v>42543</v>
      </c>
    </row>
    <row r="38" spans="1:27" x14ac:dyDescent="0.2">
      <c r="A38" s="440" t="s">
        <v>208</v>
      </c>
      <c r="B38" s="439">
        <v>42540</v>
      </c>
      <c r="C38" s="440" t="s">
        <v>16</v>
      </c>
      <c r="D38" s="440" t="s">
        <v>67</v>
      </c>
      <c r="E38" s="441">
        <v>0.45833333333333331</v>
      </c>
      <c r="F38" s="441">
        <v>0.67708333333333337</v>
      </c>
      <c r="G38" s="440">
        <v>5.25</v>
      </c>
      <c r="V38" s="430"/>
      <c r="X38" s="409">
        <v>0.99063657407407402</v>
      </c>
      <c r="Y38" s="409">
        <v>0.99304398148148154</v>
      </c>
      <c r="Z38" s="410">
        <f t="shared" si="4"/>
        <v>5.7777777777780592E-2</v>
      </c>
      <c r="AA38" s="413">
        <v>42543</v>
      </c>
    </row>
    <row r="39" spans="1:27" x14ac:dyDescent="0.2">
      <c r="A39" s="438" t="s">
        <v>208</v>
      </c>
      <c r="B39" s="439">
        <v>42543</v>
      </c>
      <c r="C39" s="440" t="s">
        <v>16</v>
      </c>
      <c r="D39" s="440" t="s">
        <v>67</v>
      </c>
      <c r="E39" s="441">
        <v>0.70833333333333337</v>
      </c>
      <c r="F39" s="441">
        <v>0.92708333333333337</v>
      </c>
      <c r="G39" s="440">
        <v>5.25</v>
      </c>
      <c r="V39" s="430"/>
      <c r="X39" s="409">
        <v>0.99304398148148154</v>
      </c>
      <c r="Y39" s="409">
        <v>0.99321759259259268</v>
      </c>
      <c r="Z39" s="410">
        <f t="shared" si="4"/>
        <v>4.166666666667318E-3</v>
      </c>
      <c r="AA39" s="413">
        <v>42543</v>
      </c>
    </row>
    <row r="40" spans="1:27" x14ac:dyDescent="0.2">
      <c r="A40" s="438" t="s">
        <v>156</v>
      </c>
      <c r="B40" s="439">
        <v>42538</v>
      </c>
      <c r="C40" s="440" t="s">
        <v>16</v>
      </c>
      <c r="D40" s="440" t="s">
        <v>97</v>
      </c>
      <c r="E40" s="441">
        <v>0.72916666666666663</v>
      </c>
      <c r="F40" s="441">
        <v>0.9375</v>
      </c>
      <c r="G40" s="440">
        <v>5</v>
      </c>
      <c r="V40" s="430"/>
      <c r="X40" s="409">
        <v>0.99321759259259268</v>
      </c>
      <c r="Y40" s="409">
        <v>0.99542824074074077</v>
      </c>
      <c r="Z40" s="410">
        <f t="shared" si="4"/>
        <v>5.3055555555554079E-2</v>
      </c>
      <c r="AA40" s="413">
        <v>42543</v>
      </c>
    </row>
    <row r="41" spans="1:27" x14ac:dyDescent="0.2">
      <c r="A41" s="438" t="s">
        <v>156</v>
      </c>
      <c r="B41" s="439">
        <v>42539</v>
      </c>
      <c r="C41" s="440" t="s">
        <v>16</v>
      </c>
      <c r="D41" s="440" t="s">
        <v>97</v>
      </c>
      <c r="E41" s="441">
        <v>0.72916666666666663</v>
      </c>
      <c r="F41" s="441">
        <v>0.94791666666666663</v>
      </c>
      <c r="G41" s="440">
        <v>5.25</v>
      </c>
      <c r="V41" s="430"/>
      <c r="X41" s="409">
        <v>0.99542824074074077</v>
      </c>
      <c r="Y41" s="409">
        <v>3.2175925925925926E-3</v>
      </c>
      <c r="Z41" s="410">
        <f t="shared" si="4"/>
        <v>0.18694444444444383</v>
      </c>
      <c r="AA41" s="413">
        <v>42543</v>
      </c>
    </row>
    <row r="42" spans="1:27" x14ac:dyDescent="0.2">
      <c r="A42" s="438" t="s">
        <v>156</v>
      </c>
      <c r="B42" s="439">
        <v>42542</v>
      </c>
      <c r="C42" s="440" t="s">
        <v>16</v>
      </c>
      <c r="D42" s="440" t="s">
        <v>67</v>
      </c>
      <c r="E42" s="441">
        <v>0.70833333333333337</v>
      </c>
      <c r="F42" s="441">
        <v>0.92708333333333337</v>
      </c>
      <c r="G42" s="440">
        <v>5.25</v>
      </c>
      <c r="X42" s="409">
        <v>3.2175925925925926E-3</v>
      </c>
      <c r="Y42" s="409">
        <v>1.247685185185185E-2</v>
      </c>
      <c r="Z42" s="410">
        <f t="shared" si="4"/>
        <v>0.22222222222222218</v>
      </c>
      <c r="AA42" s="413">
        <v>42544</v>
      </c>
    </row>
    <row r="43" spans="1:27" x14ac:dyDescent="0.2">
      <c r="A43" s="440" t="s">
        <v>156</v>
      </c>
      <c r="B43" s="439">
        <v>42544</v>
      </c>
      <c r="C43" s="440" t="s">
        <v>16</v>
      </c>
      <c r="D43" s="440" t="s">
        <v>67</v>
      </c>
      <c r="E43" s="441">
        <v>0.70833333333333337</v>
      </c>
      <c r="F43" s="441">
        <v>0.91666666666666663</v>
      </c>
      <c r="G43" s="440">
        <v>5</v>
      </c>
      <c r="X43" s="409">
        <v>1.247685185185185E-2</v>
      </c>
      <c r="Y43" s="409">
        <v>1.545138888888889E-2</v>
      </c>
      <c r="Z43" s="410">
        <f t="shared" si="4"/>
        <v>7.1388888888888946E-2</v>
      </c>
      <c r="AA43" s="413">
        <v>42544</v>
      </c>
    </row>
    <row r="44" spans="1:27" x14ac:dyDescent="0.2">
      <c r="A44" s="438" t="s">
        <v>156</v>
      </c>
      <c r="B44" s="439">
        <v>42545</v>
      </c>
      <c r="C44" s="440" t="s">
        <v>16</v>
      </c>
      <c r="D44" s="440" t="s">
        <v>67</v>
      </c>
      <c r="E44" s="441">
        <v>0.70833333333333337</v>
      </c>
      <c r="F44" s="441">
        <v>0.94791666666666663</v>
      </c>
      <c r="G44" s="440">
        <v>5.75</v>
      </c>
      <c r="X44" s="409">
        <v>1.545138888888889E-2</v>
      </c>
      <c r="Y44" s="409">
        <v>1.7280092592592593E-2</v>
      </c>
      <c r="Z44" s="410">
        <f t="shared" si="4"/>
        <v>4.3888888888888894E-2</v>
      </c>
      <c r="AA44" s="413">
        <v>42544</v>
      </c>
    </row>
    <row r="45" spans="1:27" x14ac:dyDescent="0.2">
      <c r="A45" s="440" t="s">
        <v>193</v>
      </c>
      <c r="B45" s="439">
        <v>42539</v>
      </c>
      <c r="C45" s="440" t="s">
        <v>16</v>
      </c>
      <c r="D45" s="440" t="s">
        <v>97</v>
      </c>
      <c r="E45" s="441">
        <v>0.75</v>
      </c>
      <c r="F45" s="441">
        <v>0.9375</v>
      </c>
      <c r="G45" s="440">
        <v>4.5</v>
      </c>
      <c r="X45" s="409">
        <v>1.7291666666666667E-2</v>
      </c>
      <c r="Y45" s="409">
        <v>1.744212962962963E-2</v>
      </c>
      <c r="Z45" s="410">
        <f t="shared" si="4"/>
        <v>3.6111111111111205E-3</v>
      </c>
      <c r="AA45" s="413">
        <v>42544</v>
      </c>
    </row>
    <row r="46" spans="1:27" x14ac:dyDescent="0.2">
      <c r="A46" s="438" t="s">
        <v>193</v>
      </c>
      <c r="B46" s="439">
        <v>42545</v>
      </c>
      <c r="C46" s="440" t="s">
        <v>16</v>
      </c>
      <c r="D46" s="440" t="s">
        <v>97</v>
      </c>
      <c r="E46" s="441">
        <v>0.75</v>
      </c>
      <c r="F46" s="441">
        <v>0.95833333333333337</v>
      </c>
      <c r="G46" s="440">
        <v>5</v>
      </c>
      <c r="X46" s="409">
        <v>1.744212962962963E-2</v>
      </c>
      <c r="Y46" s="409">
        <v>1.8240740740740741E-2</v>
      </c>
      <c r="Z46" s="410">
        <f t="shared" si="4"/>
        <v>1.9166666666666665E-2</v>
      </c>
      <c r="AA46" s="413">
        <v>42544</v>
      </c>
    </row>
    <row r="47" spans="1:27" x14ac:dyDescent="0.2">
      <c r="A47" s="438" t="s">
        <v>177</v>
      </c>
      <c r="B47" s="439">
        <v>42540</v>
      </c>
      <c r="C47" s="440" t="s">
        <v>16</v>
      </c>
      <c r="D47" s="440" t="s">
        <v>97</v>
      </c>
      <c r="E47" s="441">
        <v>0.5</v>
      </c>
      <c r="F47" s="441">
        <v>0.6875</v>
      </c>
      <c r="G47" s="440">
        <v>4.5</v>
      </c>
      <c r="X47" s="409">
        <v>1.8240740740740741E-2</v>
      </c>
      <c r="Y47" s="409">
        <v>1.8414351851851852E-2</v>
      </c>
      <c r="Z47" s="410">
        <f t="shared" si="4"/>
        <v>4.1666666666666519E-3</v>
      </c>
      <c r="AA47" s="413">
        <v>42544</v>
      </c>
    </row>
    <row r="48" spans="1:27" x14ac:dyDescent="0.2">
      <c r="A48" s="440" t="s">
        <v>191</v>
      </c>
      <c r="B48" s="439">
        <v>42539</v>
      </c>
      <c r="C48" s="440" t="s">
        <v>145</v>
      </c>
      <c r="D48" s="440" t="s">
        <v>173</v>
      </c>
      <c r="E48" s="441">
        <v>0.6875</v>
      </c>
      <c r="F48" s="441">
        <v>0.90625</v>
      </c>
      <c r="G48" s="440">
        <v>5.25</v>
      </c>
      <c r="X48" s="409">
        <v>1.8414351851851852E-2</v>
      </c>
      <c r="Y48" s="409">
        <v>2.0509259259259258E-2</v>
      </c>
      <c r="Z48" s="410">
        <f t="shared" si="4"/>
        <v>5.0277777777777755E-2</v>
      </c>
      <c r="AA48" s="413">
        <v>42544</v>
      </c>
    </row>
    <row r="49" spans="1:27" x14ac:dyDescent="0.2">
      <c r="A49" s="438" t="s">
        <v>181</v>
      </c>
      <c r="B49" s="439">
        <v>42537</v>
      </c>
      <c r="C49" s="440" t="s">
        <v>145</v>
      </c>
      <c r="D49" s="440" t="s">
        <v>173</v>
      </c>
      <c r="E49" s="441">
        <v>0.46875</v>
      </c>
      <c r="F49" s="441">
        <v>0.66666666666666663</v>
      </c>
      <c r="G49" s="440">
        <v>4.71</v>
      </c>
      <c r="X49" s="409">
        <v>5.1377314814814813E-2</v>
      </c>
      <c r="Y49" s="409">
        <v>5.5254629629629626E-2</v>
      </c>
      <c r="Z49" s="410">
        <f t="shared" ref="Z49:Z66" si="5">HRS(X49,Y49)</f>
        <v>9.3055555555555503E-2</v>
      </c>
      <c r="AA49" s="413">
        <v>42544</v>
      </c>
    </row>
    <row r="50" spans="1:27" x14ac:dyDescent="0.2">
      <c r="A50" s="440" t="s">
        <v>181</v>
      </c>
      <c r="B50" s="439">
        <v>42537</v>
      </c>
      <c r="C50" s="440" t="s">
        <v>145</v>
      </c>
      <c r="D50" s="440" t="s">
        <v>173</v>
      </c>
      <c r="E50" s="441">
        <v>0.6875</v>
      </c>
      <c r="F50" s="441">
        <v>0.86458333333333337</v>
      </c>
      <c r="G50" s="440">
        <v>4.25</v>
      </c>
      <c r="X50" s="409">
        <v>5.5254629629629626E-2</v>
      </c>
      <c r="Y50" s="409">
        <v>5.7349537037037039E-2</v>
      </c>
      <c r="Z50" s="410">
        <f t="shared" si="5"/>
        <v>5.0277777777777921E-2</v>
      </c>
      <c r="AA50" s="413">
        <v>42544</v>
      </c>
    </row>
    <row r="51" spans="1:27" x14ac:dyDescent="0.2">
      <c r="A51" s="438" t="s">
        <v>181</v>
      </c>
      <c r="B51" s="439">
        <v>42538</v>
      </c>
      <c r="C51" s="440" t="s">
        <v>145</v>
      </c>
      <c r="D51" s="440" t="s">
        <v>173</v>
      </c>
      <c r="E51" s="441">
        <v>0.45833333333333331</v>
      </c>
      <c r="F51" s="441">
        <v>0.60416666666666663</v>
      </c>
      <c r="G51" s="440">
        <v>3.5</v>
      </c>
      <c r="X51" s="409">
        <v>5.7349537037037039E-2</v>
      </c>
      <c r="Y51" s="409">
        <v>6.3113425925925934E-2</v>
      </c>
      <c r="Z51" s="410">
        <f t="shared" si="5"/>
        <v>0.13833333333333347</v>
      </c>
      <c r="AA51" s="413">
        <v>42544</v>
      </c>
    </row>
    <row r="52" spans="1:27" x14ac:dyDescent="0.2">
      <c r="A52" s="438" t="s">
        <v>181</v>
      </c>
      <c r="B52" s="439">
        <v>42538</v>
      </c>
      <c r="C52" s="440" t="s">
        <v>145</v>
      </c>
      <c r="D52" s="440" t="s">
        <v>173</v>
      </c>
      <c r="E52" s="441">
        <v>0.6875</v>
      </c>
      <c r="F52" s="441">
        <v>0.89583333333333337</v>
      </c>
      <c r="G52" s="440">
        <v>5</v>
      </c>
      <c r="X52" s="409">
        <v>6.3344907407407405E-2</v>
      </c>
      <c r="Y52" s="409">
        <v>6.3576388888888891E-2</v>
      </c>
      <c r="Z52" s="410">
        <f t="shared" si="5"/>
        <v>5.5555555555556468E-3</v>
      </c>
      <c r="AA52" s="413">
        <v>42544</v>
      </c>
    </row>
    <row r="53" spans="1:27" x14ac:dyDescent="0.2">
      <c r="A53" s="440" t="s">
        <v>181</v>
      </c>
      <c r="B53" s="439">
        <v>42539</v>
      </c>
      <c r="C53" s="440" t="s">
        <v>145</v>
      </c>
      <c r="D53" s="440" t="s">
        <v>173</v>
      </c>
      <c r="E53" s="441">
        <v>0.41666666666666669</v>
      </c>
      <c r="F53" s="441">
        <v>0.58333333333333337</v>
      </c>
      <c r="G53" s="440">
        <v>4</v>
      </c>
      <c r="X53" s="409">
        <v>6.3576388888888891E-2</v>
      </c>
      <c r="Y53" s="409">
        <v>6.4502314814814818E-2</v>
      </c>
      <c r="Z53" s="410">
        <f t="shared" si="5"/>
        <v>2.2222222222222254E-2</v>
      </c>
      <c r="AA53" s="413">
        <v>42544</v>
      </c>
    </row>
    <row r="54" spans="1:27" x14ac:dyDescent="0.2">
      <c r="A54" s="438" t="s">
        <v>181</v>
      </c>
      <c r="B54" s="439">
        <v>42540</v>
      </c>
      <c r="C54" s="440" t="s">
        <v>145</v>
      </c>
      <c r="D54" s="440" t="s">
        <v>173</v>
      </c>
      <c r="E54" s="441">
        <v>0.42708333333333331</v>
      </c>
      <c r="F54" s="441">
        <v>0.6875</v>
      </c>
      <c r="G54" s="440">
        <v>6.25</v>
      </c>
      <c r="X54" s="409">
        <v>6.4502314814814818E-2</v>
      </c>
      <c r="Y54" s="409">
        <v>6.5231481481481488E-2</v>
      </c>
      <c r="Z54" s="410">
        <f t="shared" si="5"/>
        <v>1.7500000000000071E-2</v>
      </c>
      <c r="AA54" s="413">
        <v>42544</v>
      </c>
    </row>
    <row r="55" spans="1:27" x14ac:dyDescent="0.2">
      <c r="A55" s="440" t="s">
        <v>181</v>
      </c>
      <c r="B55" s="439">
        <v>42543</v>
      </c>
      <c r="C55" s="440" t="s">
        <v>145</v>
      </c>
      <c r="D55" s="440" t="s">
        <v>173</v>
      </c>
      <c r="E55" s="441">
        <v>0.45833333333333331</v>
      </c>
      <c r="F55" s="441">
        <v>0.60416666666666663</v>
      </c>
      <c r="G55" s="440">
        <v>3.5</v>
      </c>
      <c r="X55" s="409">
        <v>6.5231481481481488E-2</v>
      </c>
      <c r="Y55" s="409">
        <v>6.9791666666666669E-2</v>
      </c>
      <c r="Z55" s="410">
        <f t="shared" si="5"/>
        <v>0.10944444444444434</v>
      </c>
      <c r="AA55" s="413">
        <v>42544</v>
      </c>
    </row>
    <row r="56" spans="1:27" x14ac:dyDescent="0.2">
      <c r="A56" s="438" t="s">
        <v>181</v>
      </c>
      <c r="B56" s="439">
        <v>42543</v>
      </c>
      <c r="C56" s="440" t="s">
        <v>145</v>
      </c>
      <c r="D56" s="440" t="s">
        <v>173</v>
      </c>
      <c r="E56" s="441">
        <v>0.6875</v>
      </c>
      <c r="F56" s="441">
        <v>0.90625</v>
      </c>
      <c r="G56" s="440">
        <v>5.25</v>
      </c>
      <c r="X56" s="409">
        <v>6.9791666666666669E-2</v>
      </c>
      <c r="Y56" s="409">
        <v>7.0300925925925919E-2</v>
      </c>
      <c r="Z56" s="410">
        <f t="shared" si="5"/>
        <v>1.2222222222222023E-2</v>
      </c>
      <c r="AA56" s="413">
        <v>42544</v>
      </c>
    </row>
    <row r="57" spans="1:27" x14ac:dyDescent="0.2">
      <c r="A57" s="438" t="s">
        <v>181</v>
      </c>
      <c r="B57" s="439">
        <v>42545</v>
      </c>
      <c r="C57" s="440" t="s">
        <v>145</v>
      </c>
      <c r="D57" s="440" t="s">
        <v>173</v>
      </c>
      <c r="E57" s="441">
        <v>0.45833333333333331</v>
      </c>
      <c r="F57" s="441">
        <v>0.61458333333333337</v>
      </c>
      <c r="G57" s="440">
        <v>3.75</v>
      </c>
      <c r="X57" s="409">
        <v>7.0300925925925919E-2</v>
      </c>
      <c r="Y57" s="409">
        <v>7.2662037037037039E-2</v>
      </c>
      <c r="Z57" s="410">
        <f t="shared" si="5"/>
        <v>5.6666666666666865E-2</v>
      </c>
      <c r="AA57" s="413">
        <v>42544</v>
      </c>
    </row>
    <row r="58" spans="1:27" x14ac:dyDescent="0.2">
      <c r="A58" s="438" t="s">
        <v>181</v>
      </c>
      <c r="B58" s="439">
        <v>42545</v>
      </c>
      <c r="C58" s="440" t="s">
        <v>145</v>
      </c>
      <c r="D58" s="440" t="s">
        <v>173</v>
      </c>
      <c r="E58" s="441">
        <v>0.6875</v>
      </c>
      <c r="F58" s="441">
        <v>0.85416666666666663</v>
      </c>
      <c r="G58" s="440">
        <v>4</v>
      </c>
      <c r="X58" s="409">
        <v>7.2662037037037039E-2</v>
      </c>
      <c r="Y58" s="409">
        <v>7.4976851851851864E-2</v>
      </c>
      <c r="Z58" s="410">
        <f t="shared" si="5"/>
        <v>5.5555555555555802E-2</v>
      </c>
      <c r="AA58" s="413">
        <v>42544</v>
      </c>
    </row>
    <row r="59" spans="1:27" x14ac:dyDescent="0.2">
      <c r="A59" s="438" t="s">
        <v>213</v>
      </c>
      <c r="B59" s="439">
        <v>42540</v>
      </c>
      <c r="C59" s="440" t="s">
        <v>145</v>
      </c>
      <c r="D59" s="440" t="s">
        <v>173</v>
      </c>
      <c r="E59" s="441">
        <v>0.6875</v>
      </c>
      <c r="F59" s="441">
        <v>0.91666666666666663</v>
      </c>
      <c r="G59" s="440">
        <v>5.5</v>
      </c>
      <c r="X59" s="409">
        <v>7.4976851851851864E-2</v>
      </c>
      <c r="Y59" s="409">
        <v>7.706018518518519E-2</v>
      </c>
      <c r="Z59" s="410">
        <f t="shared" si="5"/>
        <v>4.9999999999999822E-2</v>
      </c>
      <c r="AA59" s="413">
        <v>42544</v>
      </c>
    </row>
    <row r="60" spans="1:27" x14ac:dyDescent="0.2">
      <c r="A60" s="438" t="s">
        <v>213</v>
      </c>
      <c r="B60" s="439">
        <v>42544</v>
      </c>
      <c r="C60" s="440" t="s">
        <v>145</v>
      </c>
      <c r="D60" s="440" t="s">
        <v>173</v>
      </c>
      <c r="E60" s="441">
        <v>0.45833333333333331</v>
      </c>
      <c r="F60" s="441">
        <v>0.63541666666666663</v>
      </c>
      <c r="G60" s="440">
        <v>4.25</v>
      </c>
      <c r="X60" s="409">
        <v>7.706018518518519E-2</v>
      </c>
      <c r="Y60" s="409">
        <v>7.7280092592592595E-2</v>
      </c>
      <c r="Z60" s="410">
        <f t="shared" si="5"/>
        <v>5.2777777777777146E-3</v>
      </c>
      <c r="AA60" s="413">
        <v>42544</v>
      </c>
    </row>
    <row r="61" spans="1:27" x14ac:dyDescent="0.2">
      <c r="A61" s="438" t="s">
        <v>213</v>
      </c>
      <c r="B61" s="439">
        <v>42544</v>
      </c>
      <c r="C61" s="440" t="s">
        <v>145</v>
      </c>
      <c r="D61" s="440" t="s">
        <v>173</v>
      </c>
      <c r="E61" s="441">
        <v>0.6875</v>
      </c>
      <c r="F61" s="441">
        <v>0.85416666666666663</v>
      </c>
      <c r="G61" s="440">
        <v>4</v>
      </c>
      <c r="X61" s="409">
        <v>7.7291666666666661E-2</v>
      </c>
      <c r="Y61" s="409">
        <v>7.7430555555555558E-2</v>
      </c>
      <c r="Z61" s="410">
        <f t="shared" si="5"/>
        <v>3.3333333333335213E-3</v>
      </c>
      <c r="AA61" s="413">
        <v>42544</v>
      </c>
    </row>
    <row r="62" spans="1:27" x14ac:dyDescent="0.2">
      <c r="A62" s="438" t="s">
        <v>182</v>
      </c>
      <c r="B62" s="439">
        <v>42539</v>
      </c>
      <c r="C62" s="440" t="s">
        <v>145</v>
      </c>
      <c r="D62" s="440" t="s">
        <v>173</v>
      </c>
      <c r="E62" s="441">
        <v>0.58333333333333337</v>
      </c>
      <c r="F62" s="441">
        <v>0.69791666666666663</v>
      </c>
      <c r="G62" s="440">
        <v>2.75</v>
      </c>
      <c r="X62" s="409">
        <v>7.7430555555555558E-2</v>
      </c>
      <c r="Y62" s="409">
        <v>7.8819444444444442E-2</v>
      </c>
      <c r="Z62" s="410">
        <f t="shared" si="5"/>
        <v>3.3333333333333215E-2</v>
      </c>
      <c r="AA62" s="413">
        <v>42544</v>
      </c>
    </row>
    <row r="63" spans="1:27" x14ac:dyDescent="0.2">
      <c r="A63" s="440" t="s">
        <v>157</v>
      </c>
      <c r="B63" s="439">
        <v>42537</v>
      </c>
      <c r="C63" s="440" t="s">
        <v>50</v>
      </c>
      <c r="D63" s="440" t="s">
        <v>196</v>
      </c>
      <c r="E63" s="441">
        <v>0.45833333333333331</v>
      </c>
      <c r="F63" s="441">
        <v>0.58333333333333337</v>
      </c>
      <c r="G63" s="440">
        <v>3</v>
      </c>
      <c r="X63" s="409">
        <v>7.8819444444444442E-2</v>
      </c>
      <c r="Y63" s="409">
        <v>7.9837962962962958E-2</v>
      </c>
      <c r="Z63" s="410">
        <f t="shared" si="5"/>
        <v>2.444444444444438E-2</v>
      </c>
      <c r="AA63" s="413">
        <v>42544</v>
      </c>
    </row>
    <row r="64" spans="1:27" x14ac:dyDescent="0.2">
      <c r="A64" s="438" t="s">
        <v>157</v>
      </c>
      <c r="B64" s="439">
        <v>42538</v>
      </c>
      <c r="C64" s="440" t="s">
        <v>50</v>
      </c>
      <c r="D64" s="440" t="s">
        <v>196</v>
      </c>
      <c r="E64" s="441">
        <v>0.46875</v>
      </c>
      <c r="F64" s="441">
        <v>0.55208333333333337</v>
      </c>
      <c r="G64" s="440">
        <v>2</v>
      </c>
      <c r="X64" s="409">
        <v>7.9837962962962958E-2</v>
      </c>
      <c r="Y64" s="409">
        <v>8.1006944444444437E-2</v>
      </c>
      <c r="Z64" s="410">
        <f t="shared" si="5"/>
        <v>2.80555555555555E-2</v>
      </c>
      <c r="AA64" s="413">
        <v>42544</v>
      </c>
    </row>
    <row r="65" spans="1:27" x14ac:dyDescent="0.2">
      <c r="A65" s="438" t="s">
        <v>157</v>
      </c>
      <c r="B65" s="439">
        <v>42541</v>
      </c>
      <c r="C65" s="440" t="s">
        <v>50</v>
      </c>
      <c r="D65" s="440" t="s">
        <v>196</v>
      </c>
      <c r="E65" s="441">
        <v>0.45833333333333331</v>
      </c>
      <c r="F65" s="441">
        <v>0.58333333333333337</v>
      </c>
      <c r="G65" s="440">
        <v>3</v>
      </c>
      <c r="X65" s="409">
        <v>8.1006944444444437E-2</v>
      </c>
      <c r="Y65" s="409">
        <v>8.1192129629629628E-2</v>
      </c>
      <c r="Z65" s="410">
        <f t="shared" si="5"/>
        <v>4.4444444444445841E-3</v>
      </c>
      <c r="AA65" s="413">
        <v>42544</v>
      </c>
    </row>
    <row r="66" spans="1:27" x14ac:dyDescent="0.2">
      <c r="A66" s="438" t="s">
        <v>157</v>
      </c>
      <c r="B66" s="439">
        <v>42542</v>
      </c>
      <c r="C66" s="440" t="s">
        <v>50</v>
      </c>
      <c r="D66" s="440" t="s">
        <v>196</v>
      </c>
      <c r="E66" s="441">
        <v>0.45833333333333331</v>
      </c>
      <c r="F66" s="441">
        <v>0.58333333333333337</v>
      </c>
      <c r="G66" s="440">
        <v>3</v>
      </c>
      <c r="X66" s="409">
        <v>8.1192129629629628E-2</v>
      </c>
      <c r="Y66" s="409">
        <v>8.2476851851851843E-2</v>
      </c>
      <c r="Z66" s="410">
        <f t="shared" si="5"/>
        <v>3.0833333333333157E-2</v>
      </c>
      <c r="AA66" s="413">
        <v>42544</v>
      </c>
    </row>
    <row r="67" spans="1:27" x14ac:dyDescent="0.2">
      <c r="A67" s="438" t="s">
        <v>157</v>
      </c>
      <c r="B67" s="439">
        <v>42543</v>
      </c>
      <c r="C67" s="440" t="s">
        <v>50</v>
      </c>
      <c r="D67" s="440" t="s">
        <v>196</v>
      </c>
      <c r="E67" s="441">
        <v>0.45833333333333331</v>
      </c>
      <c r="F67" s="441">
        <v>0.58333333333333337</v>
      </c>
      <c r="G67" s="440">
        <v>3</v>
      </c>
      <c r="X67" s="409">
        <v>8.3206018518518512E-2</v>
      </c>
      <c r="Y67" s="409">
        <v>8.8749999999999996E-2</v>
      </c>
      <c r="Z67" s="410">
        <f t="shared" ref="Z67:Z91" si="6">HRS(X67,Y67)</f>
        <v>0.13305555555555559</v>
      </c>
      <c r="AA67" s="413">
        <v>42544</v>
      </c>
    </row>
    <row r="68" spans="1:27" x14ac:dyDescent="0.2">
      <c r="A68" s="438" t="s">
        <v>157</v>
      </c>
      <c r="B68" s="439">
        <v>42544</v>
      </c>
      <c r="C68" s="440" t="s">
        <v>50</v>
      </c>
      <c r="D68" s="440" t="s">
        <v>196</v>
      </c>
      <c r="E68" s="441">
        <v>0.45833333333333331</v>
      </c>
      <c r="F68" s="441">
        <v>0.625</v>
      </c>
      <c r="G68" s="440">
        <v>4</v>
      </c>
      <c r="X68" s="409">
        <v>8.8749999999999996E-2</v>
      </c>
      <c r="Y68" s="409">
        <v>9.2256944444444447E-2</v>
      </c>
      <c r="Z68" s="410">
        <f t="shared" si="6"/>
        <v>8.4166666666666834E-2</v>
      </c>
      <c r="AA68" s="413">
        <v>42544</v>
      </c>
    </row>
    <row r="69" spans="1:27" x14ac:dyDescent="0.2">
      <c r="A69" s="438" t="s">
        <v>157</v>
      </c>
      <c r="B69" s="439">
        <v>42545</v>
      </c>
      <c r="C69" s="440" t="s">
        <v>50</v>
      </c>
      <c r="D69" s="440" t="s">
        <v>196</v>
      </c>
      <c r="E69" s="441">
        <v>0.45833333333333331</v>
      </c>
      <c r="F69" s="441">
        <v>0.57291666666666663</v>
      </c>
      <c r="G69" s="440">
        <v>2.75</v>
      </c>
      <c r="X69" s="409">
        <v>9.2256944444444447E-2</v>
      </c>
      <c r="Y69" s="409">
        <v>9.5069444444444443E-2</v>
      </c>
      <c r="Z69" s="410">
        <f t="shared" si="6"/>
        <v>6.7499999999999893E-2</v>
      </c>
      <c r="AA69" s="413">
        <v>42544</v>
      </c>
    </row>
    <row r="70" spans="1:27" x14ac:dyDescent="0.2">
      <c r="A70" s="438" t="s">
        <v>186</v>
      </c>
      <c r="B70" s="439">
        <v>42538</v>
      </c>
      <c r="C70" s="440" t="s">
        <v>5</v>
      </c>
      <c r="D70" s="440" t="s">
        <v>174</v>
      </c>
      <c r="E70" s="441">
        <v>0.6875</v>
      </c>
      <c r="F70" s="441">
        <v>0.875</v>
      </c>
      <c r="G70" s="440">
        <v>4.5</v>
      </c>
      <c r="X70" s="409">
        <v>9.5069444444444443E-2</v>
      </c>
      <c r="Y70" s="409">
        <v>9.5208333333333339E-2</v>
      </c>
      <c r="Z70" s="410">
        <f t="shared" si="6"/>
        <v>3.3333333333335213E-3</v>
      </c>
      <c r="AA70" s="413">
        <v>42544</v>
      </c>
    </row>
    <row r="71" spans="1:27" x14ac:dyDescent="0.2">
      <c r="A71" s="440" t="s">
        <v>186</v>
      </c>
      <c r="B71" s="439">
        <v>42539</v>
      </c>
      <c r="C71" s="440" t="s">
        <v>5</v>
      </c>
      <c r="D71" s="440" t="s">
        <v>174</v>
      </c>
      <c r="E71" s="441">
        <v>0.6875</v>
      </c>
      <c r="F71" s="441">
        <v>0.8125</v>
      </c>
      <c r="G71" s="440">
        <v>3</v>
      </c>
      <c r="X71" s="409">
        <v>0.51208333333333333</v>
      </c>
      <c r="Y71" s="409">
        <v>0.51569444444444446</v>
      </c>
      <c r="Z71" s="410">
        <f t="shared" si="6"/>
        <v>8.6666666666666892E-2</v>
      </c>
      <c r="AA71" s="413">
        <v>42544</v>
      </c>
    </row>
    <row r="72" spans="1:27" x14ac:dyDescent="0.2">
      <c r="A72" s="438" t="s">
        <v>186</v>
      </c>
      <c r="B72" s="439">
        <v>42545</v>
      </c>
      <c r="C72" s="440" t="s">
        <v>5</v>
      </c>
      <c r="D72" s="440" t="s">
        <v>174</v>
      </c>
      <c r="E72" s="441">
        <v>0.6875</v>
      </c>
      <c r="F72" s="441">
        <v>0.90625</v>
      </c>
      <c r="G72" s="440">
        <v>5.25</v>
      </c>
      <c r="X72" s="409">
        <v>0.51569444444444446</v>
      </c>
      <c r="Y72" s="409">
        <v>0.51623842592592595</v>
      </c>
      <c r="Z72" s="410">
        <f t="shared" si="6"/>
        <v>1.305555555555582E-2</v>
      </c>
      <c r="AA72" s="413">
        <v>42544</v>
      </c>
    </row>
    <row r="73" spans="1:27" x14ac:dyDescent="0.2">
      <c r="A73" s="438" t="s">
        <v>189</v>
      </c>
      <c r="B73" s="439">
        <v>42541</v>
      </c>
      <c r="C73" s="440" t="s">
        <v>5</v>
      </c>
      <c r="D73" s="440" t="s">
        <v>174</v>
      </c>
      <c r="E73" s="441">
        <v>0.6875</v>
      </c>
      <c r="F73" s="441">
        <v>0.8125</v>
      </c>
      <c r="G73" s="440">
        <v>3</v>
      </c>
      <c r="X73" s="409">
        <v>0.51623842592592595</v>
      </c>
      <c r="Y73" s="409">
        <v>0.51649305555555558</v>
      </c>
      <c r="Z73" s="410">
        <f t="shared" si="6"/>
        <v>6.1111111111111782E-3</v>
      </c>
      <c r="AA73" s="413">
        <v>42544</v>
      </c>
    </row>
    <row r="74" spans="1:27" x14ac:dyDescent="0.2">
      <c r="A74" s="438" t="s">
        <v>188</v>
      </c>
      <c r="B74" s="439">
        <v>42541</v>
      </c>
      <c r="C74" s="440" t="s">
        <v>5</v>
      </c>
      <c r="D74" s="440" t="s">
        <v>174</v>
      </c>
      <c r="E74" s="441">
        <v>0.45833333333333331</v>
      </c>
      <c r="F74" s="441">
        <v>0.63541666666666663</v>
      </c>
      <c r="G74" s="440">
        <v>4.25</v>
      </c>
      <c r="X74" s="409">
        <v>0.51649305555555558</v>
      </c>
      <c r="Y74" s="409">
        <v>0.52090277777777783</v>
      </c>
      <c r="Z74" s="410">
        <f t="shared" si="6"/>
        <v>0.10583333333333389</v>
      </c>
      <c r="AA74" s="413">
        <v>42544</v>
      </c>
    </row>
    <row r="75" spans="1:27" x14ac:dyDescent="0.2">
      <c r="A75" s="438" t="s">
        <v>178</v>
      </c>
      <c r="B75" s="439">
        <v>42544</v>
      </c>
      <c r="C75" s="440" t="s">
        <v>5</v>
      </c>
      <c r="D75" s="440" t="s">
        <v>174</v>
      </c>
      <c r="E75" s="441">
        <v>0.46875</v>
      </c>
      <c r="F75" s="441">
        <v>0.60416666666666663</v>
      </c>
      <c r="G75" s="440">
        <v>3.25</v>
      </c>
      <c r="X75" s="409">
        <v>0.52090277777777783</v>
      </c>
      <c r="Y75" s="409">
        <v>0.5213888888888889</v>
      </c>
      <c r="Z75" s="410">
        <f t="shared" si="6"/>
        <v>1.1666666666665826E-2</v>
      </c>
      <c r="AA75" s="413">
        <v>42544</v>
      </c>
    </row>
    <row r="76" spans="1:27" x14ac:dyDescent="0.2">
      <c r="A76" s="438" t="s">
        <v>179</v>
      </c>
      <c r="B76" s="439">
        <v>42544</v>
      </c>
      <c r="C76" s="440" t="s">
        <v>5</v>
      </c>
      <c r="D76" s="440" t="s">
        <v>174</v>
      </c>
      <c r="E76" s="441">
        <v>0.6875</v>
      </c>
      <c r="F76" s="441">
        <v>0.89583333333333337</v>
      </c>
      <c r="G76" s="440">
        <v>5</v>
      </c>
      <c r="X76" s="409">
        <v>0.5213888888888889</v>
      </c>
      <c r="Y76" s="409">
        <v>0.52142361111111113</v>
      </c>
      <c r="Z76" s="410">
        <f t="shared" si="6"/>
        <v>8.333333333334636E-4</v>
      </c>
      <c r="AA76" s="413">
        <v>42544</v>
      </c>
    </row>
    <row r="77" spans="1:27" x14ac:dyDescent="0.2">
      <c r="A77" s="438" t="s">
        <v>184</v>
      </c>
      <c r="B77" s="439">
        <v>42538</v>
      </c>
      <c r="C77" s="440" t="s">
        <v>5</v>
      </c>
      <c r="D77" s="440" t="s">
        <v>174</v>
      </c>
      <c r="E77" s="441">
        <v>0.46875</v>
      </c>
      <c r="F77" s="441">
        <v>0.61458333333333337</v>
      </c>
      <c r="G77" s="440">
        <v>3.5</v>
      </c>
      <c r="X77" s="409">
        <v>0.52143518518518517</v>
      </c>
      <c r="Y77" s="409">
        <v>0.52370370370370367</v>
      </c>
      <c r="Z77" s="410">
        <f t="shared" si="6"/>
        <v>5.4444444444444073E-2</v>
      </c>
      <c r="AA77" s="413">
        <v>42544</v>
      </c>
    </row>
    <row r="78" spans="1:27" x14ac:dyDescent="0.2">
      <c r="A78" s="440" t="s">
        <v>177</v>
      </c>
      <c r="B78" s="439">
        <v>42537</v>
      </c>
      <c r="C78" s="440" t="s">
        <v>5</v>
      </c>
      <c r="D78" s="440" t="s">
        <v>174</v>
      </c>
      <c r="E78" s="441">
        <v>0.46875</v>
      </c>
      <c r="F78" s="441">
        <v>0.60416666666666663</v>
      </c>
      <c r="G78" s="440">
        <v>3.25</v>
      </c>
      <c r="X78" s="409">
        <v>0.52370370370370367</v>
      </c>
      <c r="Y78" s="409">
        <v>0.52959490740740744</v>
      </c>
      <c r="Z78" s="410">
        <f t="shared" si="6"/>
        <v>0.14138888888889056</v>
      </c>
      <c r="AA78" s="413">
        <v>42544</v>
      </c>
    </row>
    <row r="79" spans="1:27" x14ac:dyDescent="0.2">
      <c r="A79" s="438" t="s">
        <v>177</v>
      </c>
      <c r="B79" s="439">
        <v>42542</v>
      </c>
      <c r="C79" s="440" t="s">
        <v>5</v>
      </c>
      <c r="D79" s="440" t="s">
        <v>174</v>
      </c>
      <c r="E79" s="441">
        <v>0.46875</v>
      </c>
      <c r="F79" s="441">
        <v>0.59375</v>
      </c>
      <c r="G79" s="445">
        <v>3</v>
      </c>
      <c r="X79" s="409">
        <v>0.52959490740740744</v>
      </c>
      <c r="Y79" s="409">
        <v>0.53298611111111105</v>
      </c>
      <c r="Z79" s="410">
        <f t="shared" si="6"/>
        <v>8.1388888888886513E-2</v>
      </c>
      <c r="AA79" s="413">
        <v>42544</v>
      </c>
    </row>
    <row r="80" spans="1:27" x14ac:dyDescent="0.2">
      <c r="A80" s="440" t="s">
        <v>210</v>
      </c>
      <c r="B80" s="439">
        <v>42545</v>
      </c>
      <c r="C80" s="440" t="s">
        <v>5</v>
      </c>
      <c r="D80" s="440" t="s">
        <v>174</v>
      </c>
      <c r="E80" s="441">
        <v>0.47916666666666669</v>
      </c>
      <c r="F80" s="441">
        <v>0.63541666666666663</v>
      </c>
      <c r="G80" s="440">
        <v>3.75</v>
      </c>
      <c r="X80" s="409">
        <v>0.53298611111111105</v>
      </c>
      <c r="Y80" s="409">
        <v>0.5332175925925926</v>
      </c>
      <c r="Z80" s="410">
        <f t="shared" si="6"/>
        <v>5.5555555555573122E-3</v>
      </c>
      <c r="AA80" s="413">
        <v>42544</v>
      </c>
    </row>
    <row r="81" spans="1:27" x14ac:dyDescent="0.2">
      <c r="A81" s="438" t="s">
        <v>185</v>
      </c>
      <c r="B81" s="439">
        <v>42540</v>
      </c>
      <c r="C81" s="440" t="s">
        <v>5</v>
      </c>
      <c r="D81" s="440" t="s">
        <v>174</v>
      </c>
      <c r="E81" s="441">
        <v>0.6875</v>
      </c>
      <c r="F81" s="441">
        <v>0.84375</v>
      </c>
      <c r="G81" s="440">
        <v>3.75</v>
      </c>
      <c r="X81" s="409">
        <v>0.5332175925925926</v>
      </c>
      <c r="Y81" s="409">
        <v>0.53513888888888894</v>
      </c>
      <c r="Z81" s="410">
        <f t="shared" si="6"/>
        <v>4.6111111111112102E-2</v>
      </c>
      <c r="AA81" s="413">
        <v>42544</v>
      </c>
    </row>
    <row r="82" spans="1:27" x14ac:dyDescent="0.2">
      <c r="A82" s="440" t="s">
        <v>215</v>
      </c>
      <c r="B82" s="439">
        <v>42542</v>
      </c>
      <c r="C82" s="440" t="s">
        <v>5</v>
      </c>
      <c r="D82" s="440" t="s">
        <v>174</v>
      </c>
      <c r="E82" s="441">
        <v>0.6875</v>
      </c>
      <c r="F82" s="441">
        <v>0.84375</v>
      </c>
      <c r="G82" s="440">
        <v>3.75</v>
      </c>
      <c r="X82" s="409">
        <v>0.53513888888888894</v>
      </c>
      <c r="Y82" s="409">
        <v>0.53636574074074073</v>
      </c>
      <c r="Z82" s="410">
        <f t="shared" si="6"/>
        <v>2.944444444444283E-2</v>
      </c>
      <c r="AA82" s="413">
        <v>42544</v>
      </c>
    </row>
    <row r="83" spans="1:27" x14ac:dyDescent="0.2">
      <c r="A83" s="438" t="s">
        <v>187</v>
      </c>
      <c r="B83" s="439">
        <v>42540</v>
      </c>
      <c r="C83" s="440" t="s">
        <v>5</v>
      </c>
      <c r="D83" s="440" t="s">
        <v>174</v>
      </c>
      <c r="E83" s="441">
        <v>0.47916666666666669</v>
      </c>
      <c r="F83" s="441">
        <v>0.6875</v>
      </c>
      <c r="G83" s="440">
        <v>5</v>
      </c>
      <c r="X83" s="409">
        <v>0.53636574074074073</v>
      </c>
      <c r="Y83" s="409">
        <v>0.5393634259259259</v>
      </c>
      <c r="Z83" s="410">
        <f t="shared" si="6"/>
        <v>7.1944444444444144E-2</v>
      </c>
      <c r="AA83" s="413">
        <v>42544</v>
      </c>
    </row>
    <row r="84" spans="1:27" x14ac:dyDescent="0.2">
      <c r="A84" s="438" t="s">
        <v>187</v>
      </c>
      <c r="B84" s="439">
        <v>42543</v>
      </c>
      <c r="C84" s="440" t="s">
        <v>5</v>
      </c>
      <c r="D84" s="440" t="s">
        <v>174</v>
      </c>
      <c r="E84" s="441">
        <v>0.45833333333333331</v>
      </c>
      <c r="F84" s="441">
        <v>0.60416666666666663</v>
      </c>
      <c r="G84" s="440">
        <v>3.5</v>
      </c>
      <c r="X84" s="409">
        <v>0.5393634259259259</v>
      </c>
      <c r="Y84" s="409">
        <v>0.54049768518518515</v>
      </c>
      <c r="Z84" s="410">
        <f t="shared" si="6"/>
        <v>2.7222222222222037E-2</v>
      </c>
      <c r="AA84" s="413">
        <v>42544</v>
      </c>
    </row>
    <row r="85" spans="1:27" x14ac:dyDescent="0.2">
      <c r="A85" s="440" t="s">
        <v>158</v>
      </c>
      <c r="B85" s="439">
        <v>42539</v>
      </c>
      <c r="C85" s="440" t="s">
        <v>5</v>
      </c>
      <c r="D85" s="440" t="s">
        <v>174</v>
      </c>
      <c r="E85" s="441">
        <v>0.45833333333333331</v>
      </c>
      <c r="F85" s="441">
        <v>0.66666666666666663</v>
      </c>
      <c r="G85" s="440">
        <v>5</v>
      </c>
      <c r="X85" s="409">
        <v>0.54049768518518515</v>
      </c>
      <c r="Y85" s="409">
        <v>0.54164351851851855</v>
      </c>
      <c r="Z85" s="410">
        <f t="shared" si="6"/>
        <v>2.7500000000001634E-2</v>
      </c>
      <c r="AA85" s="413">
        <v>42544</v>
      </c>
    </row>
    <row r="86" spans="1:27" x14ac:dyDescent="0.2">
      <c r="A86" s="438" t="s">
        <v>158</v>
      </c>
      <c r="B86" s="439">
        <v>42540</v>
      </c>
      <c r="C86" s="440" t="s">
        <v>5</v>
      </c>
      <c r="D86" s="440" t="s">
        <v>174</v>
      </c>
      <c r="E86" s="441">
        <v>0.46875</v>
      </c>
      <c r="F86" s="441">
        <v>0.65625</v>
      </c>
      <c r="G86" s="440">
        <v>4.5</v>
      </c>
      <c r="X86" s="409">
        <v>0.54164351851851855</v>
      </c>
      <c r="Y86" s="409">
        <v>0.54265046296296293</v>
      </c>
      <c r="Z86" s="410">
        <f t="shared" si="6"/>
        <v>2.4166666666665115E-2</v>
      </c>
      <c r="AA86" s="413">
        <v>42544</v>
      </c>
    </row>
    <row r="87" spans="1:27" x14ac:dyDescent="0.2">
      <c r="A87" s="440" t="s">
        <v>182</v>
      </c>
      <c r="B87" s="439">
        <v>42537</v>
      </c>
      <c r="C87" s="440" t="s">
        <v>5</v>
      </c>
      <c r="D87" s="440" t="s">
        <v>174</v>
      </c>
      <c r="E87" s="441">
        <v>0.6875</v>
      </c>
      <c r="F87" s="441">
        <v>0.92708333333333337</v>
      </c>
      <c r="G87" s="440">
        <v>5.75</v>
      </c>
      <c r="X87" s="409">
        <v>0.54265046296296293</v>
      </c>
      <c r="Y87" s="409">
        <v>0.54519675925925926</v>
      </c>
      <c r="Z87" s="410">
        <f t="shared" si="6"/>
        <v>6.1111111111111782E-2</v>
      </c>
      <c r="AA87" s="413">
        <v>42544</v>
      </c>
    </row>
    <row r="88" spans="1:27" x14ac:dyDescent="0.2">
      <c r="A88" s="438" t="s">
        <v>182</v>
      </c>
      <c r="B88" s="439">
        <v>42539</v>
      </c>
      <c r="C88" s="440" t="s">
        <v>5</v>
      </c>
      <c r="D88" s="440" t="s">
        <v>174</v>
      </c>
      <c r="E88" s="441">
        <v>0.70833333333333337</v>
      </c>
      <c r="F88" s="441">
        <v>0.9375</v>
      </c>
      <c r="G88" s="440">
        <v>5.5</v>
      </c>
      <c r="X88" s="409">
        <v>0.54519675925925926</v>
      </c>
      <c r="Y88" s="409">
        <v>0.54796296296296299</v>
      </c>
      <c r="Z88" s="410">
        <f t="shared" si="6"/>
        <v>6.6388888888889497E-2</v>
      </c>
      <c r="AA88" s="413">
        <v>42544</v>
      </c>
    </row>
    <row r="89" spans="1:27" x14ac:dyDescent="0.2">
      <c r="A89" s="438" t="s">
        <v>192</v>
      </c>
      <c r="B89" s="439">
        <v>42539</v>
      </c>
      <c r="C89" s="440" t="s">
        <v>5</v>
      </c>
      <c r="D89" s="440" t="s">
        <v>174</v>
      </c>
      <c r="E89" s="441">
        <v>0.71875</v>
      </c>
      <c r="F89" s="441">
        <v>0.94791666666666663</v>
      </c>
      <c r="G89" s="440">
        <v>5.5</v>
      </c>
      <c r="X89" s="409">
        <v>0.54796296296296299</v>
      </c>
      <c r="Y89" s="409">
        <v>0.54844907407407406</v>
      </c>
      <c r="Z89" s="410">
        <f t="shared" si="6"/>
        <v>1.1666666666665826E-2</v>
      </c>
      <c r="AA89" s="413">
        <v>42544</v>
      </c>
    </row>
    <row r="90" spans="1:27" x14ac:dyDescent="0.2">
      <c r="A90" s="440" t="s">
        <v>192</v>
      </c>
      <c r="B90" s="439">
        <v>42540</v>
      </c>
      <c r="C90" s="440" t="s">
        <v>5</v>
      </c>
      <c r="D90" s="440" t="s">
        <v>174</v>
      </c>
      <c r="E90" s="441">
        <v>0.6875</v>
      </c>
      <c r="F90" s="441">
        <v>0.83333333333333337</v>
      </c>
      <c r="G90" s="440">
        <v>3.5</v>
      </c>
      <c r="X90" s="409">
        <v>0.54844907407407406</v>
      </c>
      <c r="Y90" s="409">
        <v>0.54905092592592586</v>
      </c>
      <c r="Z90" s="410">
        <f t="shared" si="6"/>
        <v>1.444444444444315E-2</v>
      </c>
      <c r="AA90" s="413">
        <v>42544</v>
      </c>
    </row>
    <row r="91" spans="1:27" x14ac:dyDescent="0.2">
      <c r="A91" s="438" t="s">
        <v>192</v>
      </c>
      <c r="B91" s="439">
        <v>42543</v>
      </c>
      <c r="C91" s="440" t="s">
        <v>5</v>
      </c>
      <c r="D91" s="440" t="s">
        <v>174</v>
      </c>
      <c r="E91" s="441">
        <v>0.69791666666666663</v>
      </c>
      <c r="F91" s="441">
        <v>0.85416666666666663</v>
      </c>
      <c r="G91" s="440">
        <v>3.75</v>
      </c>
      <c r="X91" s="409">
        <v>0.54905092592592586</v>
      </c>
      <c r="Y91" s="409">
        <v>0.55032407407407413</v>
      </c>
      <c r="Z91" s="410">
        <f t="shared" si="6"/>
        <v>3.0555555555558556E-2</v>
      </c>
      <c r="AA91" s="413">
        <v>42544</v>
      </c>
    </row>
    <row r="92" spans="1:27" x14ac:dyDescent="0.2">
      <c r="A92" s="438" t="s">
        <v>183</v>
      </c>
      <c r="B92" s="439">
        <v>42545</v>
      </c>
      <c r="C92" s="440" t="s">
        <v>5</v>
      </c>
      <c r="D92" s="440" t="s">
        <v>174</v>
      </c>
      <c r="E92" s="441">
        <v>0.70833333333333337</v>
      </c>
      <c r="F92" s="441">
        <v>0.875</v>
      </c>
      <c r="G92" s="440">
        <v>4</v>
      </c>
      <c r="X92" s="409">
        <v>0.55378472222222219</v>
      </c>
      <c r="Y92" s="409">
        <v>0.55521990740740745</v>
      </c>
      <c r="Z92" s="410">
        <f t="shared" ref="Z92:Z97" si="7">HRS(X92,Y92)</f>
        <v>3.4444444444446276E-2</v>
      </c>
      <c r="AA92" s="413">
        <v>42544</v>
      </c>
    </row>
    <row r="93" spans="1:27" x14ac:dyDescent="0.2">
      <c r="A93" s="438" t="s">
        <v>186</v>
      </c>
      <c r="B93" s="439">
        <v>42540</v>
      </c>
      <c r="C93" s="440" t="s">
        <v>24</v>
      </c>
      <c r="D93" s="440" t="s">
        <v>171</v>
      </c>
      <c r="E93" s="441">
        <v>0.6875</v>
      </c>
      <c r="F93" s="441">
        <v>0.90625</v>
      </c>
      <c r="G93" s="440">
        <v>5.25</v>
      </c>
      <c r="X93" s="409">
        <v>0.55521990740740745</v>
      </c>
      <c r="Y93" s="409">
        <v>0.55614583333333334</v>
      </c>
      <c r="Z93" s="410">
        <f t="shared" si="7"/>
        <v>2.2222222222221255E-2</v>
      </c>
      <c r="AA93" s="413">
        <v>42544</v>
      </c>
    </row>
    <row r="94" spans="1:27" x14ac:dyDescent="0.2">
      <c r="A94" s="440" t="s">
        <v>189</v>
      </c>
      <c r="B94" s="439">
        <v>42538</v>
      </c>
      <c r="C94" s="440" t="s">
        <v>24</v>
      </c>
      <c r="D94" s="440" t="s">
        <v>171</v>
      </c>
      <c r="E94" s="441">
        <v>0.73958333333333337</v>
      </c>
      <c r="F94" s="441">
        <v>0.9375</v>
      </c>
      <c r="G94" s="440">
        <v>4.75</v>
      </c>
      <c r="X94" s="409">
        <v>0.55614583333333334</v>
      </c>
      <c r="Y94" s="409">
        <v>0.56186342592592597</v>
      </c>
      <c r="Z94" s="410">
        <f t="shared" si="7"/>
        <v>0.13722222222222324</v>
      </c>
      <c r="AA94" s="413">
        <v>42544</v>
      </c>
    </row>
    <row r="95" spans="1:27" x14ac:dyDescent="0.2">
      <c r="A95" s="438" t="s">
        <v>189</v>
      </c>
      <c r="B95" s="439">
        <v>42539</v>
      </c>
      <c r="C95" s="440" t="s">
        <v>24</v>
      </c>
      <c r="D95" s="440" t="s">
        <v>171</v>
      </c>
      <c r="E95" s="441">
        <v>0.69791666666666663</v>
      </c>
      <c r="F95" s="441">
        <v>2.0833333333333332E-2</v>
      </c>
      <c r="G95" s="440">
        <v>7.75</v>
      </c>
      <c r="X95" s="409">
        <v>0.56186342592592597</v>
      </c>
      <c r="Y95" s="409">
        <v>0.56207175925925923</v>
      </c>
      <c r="Z95" s="410">
        <f t="shared" si="7"/>
        <v>4.9999999999981171E-3</v>
      </c>
      <c r="AA95" s="413">
        <v>42544</v>
      </c>
    </row>
    <row r="96" spans="1:27" x14ac:dyDescent="0.2">
      <c r="A96" s="438" t="s">
        <v>188</v>
      </c>
      <c r="B96" s="439">
        <v>42538</v>
      </c>
      <c r="C96" s="440" t="s">
        <v>24</v>
      </c>
      <c r="D96" s="440" t="s">
        <v>171</v>
      </c>
      <c r="E96" s="441">
        <v>0.72916666666666663</v>
      </c>
      <c r="F96" s="441">
        <v>0</v>
      </c>
      <c r="G96" s="440">
        <v>6.5</v>
      </c>
      <c r="X96" s="409">
        <v>0.56207175925925923</v>
      </c>
      <c r="Y96" s="409">
        <v>0.57817129629629627</v>
      </c>
      <c r="Z96" s="410">
        <f t="shared" si="7"/>
        <v>0.38638888888888889</v>
      </c>
      <c r="AA96" s="413">
        <v>42544</v>
      </c>
    </row>
    <row r="97" spans="1:27" x14ac:dyDescent="0.2">
      <c r="A97" s="440" t="s">
        <v>188</v>
      </c>
      <c r="B97" s="439">
        <v>42543</v>
      </c>
      <c r="C97" s="440" t="s">
        <v>24</v>
      </c>
      <c r="D97" s="440" t="s">
        <v>171</v>
      </c>
      <c r="E97" s="441">
        <v>0.42708333333333331</v>
      </c>
      <c r="F97" s="441">
        <v>0.63541666666666663</v>
      </c>
      <c r="G97" s="440">
        <v>5</v>
      </c>
      <c r="X97" s="409">
        <v>0.57817129629629627</v>
      </c>
      <c r="Y97" s="409">
        <v>0.57851851851851854</v>
      </c>
      <c r="Z97" s="410">
        <f t="shared" si="7"/>
        <v>8.333333333334636E-3</v>
      </c>
      <c r="AA97" s="413">
        <v>42544</v>
      </c>
    </row>
    <row r="98" spans="1:27" x14ac:dyDescent="0.2">
      <c r="A98" s="438" t="s">
        <v>188</v>
      </c>
      <c r="B98" s="439">
        <v>42543</v>
      </c>
      <c r="C98" s="440" t="s">
        <v>24</v>
      </c>
      <c r="D98" s="440" t="s">
        <v>171</v>
      </c>
      <c r="E98" s="441">
        <v>0.71875</v>
      </c>
      <c r="F98" s="441">
        <v>0.9375</v>
      </c>
      <c r="G98" s="440">
        <v>5.25</v>
      </c>
      <c r="X98" s="409">
        <v>0.57953703703703707</v>
      </c>
      <c r="Y98" s="409">
        <v>0.57973379629629629</v>
      </c>
      <c r="Z98" s="410">
        <f t="shared" ref="Z98:Z104" si="8">HRS(X98,Y98)</f>
        <v>4.722222222221184E-3</v>
      </c>
      <c r="AA98" s="413">
        <v>42544</v>
      </c>
    </row>
    <row r="99" spans="1:27" x14ac:dyDescent="0.2">
      <c r="A99" s="438" t="s">
        <v>188</v>
      </c>
      <c r="B99" s="439">
        <v>42544</v>
      </c>
      <c r="C99" s="440" t="s">
        <v>24</v>
      </c>
      <c r="D99" s="440" t="s">
        <v>171</v>
      </c>
      <c r="E99" s="441">
        <v>0.45833333333333331</v>
      </c>
      <c r="F99" s="441">
        <v>0.64583333333333337</v>
      </c>
      <c r="G99" s="440">
        <v>4.5</v>
      </c>
      <c r="X99" s="409">
        <v>0.57973379629629629</v>
      </c>
      <c r="Y99" s="409">
        <v>0.58015046296296291</v>
      </c>
      <c r="Z99" s="410">
        <f t="shared" si="8"/>
        <v>9.9999999999988987E-3</v>
      </c>
      <c r="AA99" s="414">
        <v>42544</v>
      </c>
    </row>
    <row r="100" spans="1:27" x14ac:dyDescent="0.2">
      <c r="A100" s="438" t="s">
        <v>178</v>
      </c>
      <c r="B100" s="439">
        <v>42537</v>
      </c>
      <c r="C100" s="440" t="s">
        <v>24</v>
      </c>
      <c r="D100" s="440" t="s">
        <v>171</v>
      </c>
      <c r="E100" s="441">
        <v>0.4375</v>
      </c>
      <c r="F100" s="441">
        <v>0.61458333333333337</v>
      </c>
      <c r="G100" s="440">
        <v>4.25</v>
      </c>
      <c r="X100" s="409">
        <v>0.58303240740740747</v>
      </c>
      <c r="Y100" s="409">
        <v>0.58530092592592597</v>
      </c>
      <c r="Z100" s="410">
        <f t="shared" si="8"/>
        <v>5.4444444444444073E-2</v>
      </c>
      <c r="AA100" s="414">
        <v>42544</v>
      </c>
    </row>
    <row r="101" spans="1:27" x14ac:dyDescent="0.2">
      <c r="A101" s="438" t="s">
        <v>179</v>
      </c>
      <c r="B101" s="439">
        <v>42537</v>
      </c>
      <c r="C101" s="440" t="s">
        <v>24</v>
      </c>
      <c r="D101" s="440" t="s">
        <v>171</v>
      </c>
      <c r="E101" s="441">
        <v>0.4375</v>
      </c>
      <c r="F101" s="441">
        <v>0.61458333333333337</v>
      </c>
      <c r="G101" s="440">
        <v>4.25</v>
      </c>
      <c r="X101" s="409">
        <v>0.58530092592592597</v>
      </c>
      <c r="Y101" s="409">
        <v>0.58641203703703704</v>
      </c>
      <c r="Z101" s="410">
        <f t="shared" si="8"/>
        <v>2.6666666666665506E-2</v>
      </c>
      <c r="AA101" s="414">
        <v>42544</v>
      </c>
    </row>
    <row r="102" spans="1:27" x14ac:dyDescent="0.2">
      <c r="A102" s="440" t="s">
        <v>179</v>
      </c>
      <c r="B102" s="439">
        <v>42539</v>
      </c>
      <c r="C102" s="440" t="s">
        <v>24</v>
      </c>
      <c r="D102" s="440" t="s">
        <v>171</v>
      </c>
      <c r="E102" s="441">
        <v>0.72916666666666663</v>
      </c>
      <c r="F102" s="441">
        <v>0.94791666666666663</v>
      </c>
      <c r="G102" s="440">
        <v>5.25</v>
      </c>
      <c r="X102" s="409">
        <v>0.58641203703703704</v>
      </c>
      <c r="Y102" s="409">
        <v>0.58657407407407403</v>
      </c>
      <c r="Z102" s="410">
        <f t="shared" si="8"/>
        <v>3.8888888888877204E-3</v>
      </c>
      <c r="AA102" s="414">
        <v>42544</v>
      </c>
    </row>
    <row r="103" spans="1:27" x14ac:dyDescent="0.2">
      <c r="A103" s="438" t="s">
        <v>179</v>
      </c>
      <c r="B103" s="439">
        <v>42545</v>
      </c>
      <c r="C103" s="440" t="s">
        <v>24</v>
      </c>
      <c r="D103" s="440" t="s">
        <v>171</v>
      </c>
      <c r="E103" s="441">
        <v>0.72916666666666663</v>
      </c>
      <c r="F103" s="441">
        <v>0.91666666666666663</v>
      </c>
      <c r="G103" s="440">
        <v>4.5</v>
      </c>
      <c r="X103" s="409">
        <v>0.76871527777777782</v>
      </c>
      <c r="Y103" s="409">
        <v>0.7710300925925927</v>
      </c>
      <c r="Z103" s="410">
        <f t="shared" si="8"/>
        <v>5.5555555555557135E-2</v>
      </c>
      <c r="AA103" s="414">
        <v>42544</v>
      </c>
    </row>
    <row r="104" spans="1:27" x14ac:dyDescent="0.2">
      <c r="A104" s="438" t="s">
        <v>184</v>
      </c>
      <c r="B104" s="439">
        <v>42540</v>
      </c>
      <c r="C104" s="440" t="s">
        <v>24</v>
      </c>
      <c r="D104" s="440" t="s">
        <v>171</v>
      </c>
      <c r="E104" s="441">
        <v>0.65625</v>
      </c>
      <c r="F104" s="441">
        <v>0.78125</v>
      </c>
      <c r="G104" s="440">
        <v>3</v>
      </c>
      <c r="X104" s="409">
        <v>0.7710300925925927</v>
      </c>
      <c r="Y104" s="409">
        <v>0.78178240740740745</v>
      </c>
      <c r="Z104" s="410">
        <f t="shared" si="8"/>
        <v>0.25805555555555415</v>
      </c>
      <c r="AA104" s="414">
        <v>42544</v>
      </c>
    </row>
    <row r="105" spans="1:27" x14ac:dyDescent="0.2">
      <c r="A105" s="438" t="s">
        <v>181</v>
      </c>
      <c r="B105" s="439">
        <v>42542</v>
      </c>
      <c r="C105" s="440" t="s">
        <v>24</v>
      </c>
      <c r="D105" s="440" t="s">
        <v>171</v>
      </c>
      <c r="E105" s="441">
        <v>0.69791666666666663</v>
      </c>
      <c r="F105" s="441">
        <v>0.90625</v>
      </c>
      <c r="G105" s="440">
        <v>5</v>
      </c>
      <c r="X105" s="409">
        <v>0.74916666666666665</v>
      </c>
      <c r="Y105" s="409">
        <v>0.78414351851851849</v>
      </c>
      <c r="Z105" s="410">
        <f t="shared" ref="Z105:Z112" si="9">HRS(X105,Y105)</f>
        <v>0.83944444444444422</v>
      </c>
      <c r="AA105" s="414">
        <v>42545</v>
      </c>
    </row>
    <row r="106" spans="1:27" x14ac:dyDescent="0.2">
      <c r="A106" s="438" t="s">
        <v>177</v>
      </c>
      <c r="B106" s="439">
        <v>42541</v>
      </c>
      <c r="C106" s="440" t="s">
        <v>24</v>
      </c>
      <c r="D106" s="440" t="s">
        <v>171</v>
      </c>
      <c r="E106" s="441">
        <v>0.69791666666666663</v>
      </c>
      <c r="F106" s="441">
        <v>0.90625</v>
      </c>
      <c r="G106" s="440">
        <v>5</v>
      </c>
      <c r="X106" s="409">
        <v>0.78414351851851849</v>
      </c>
      <c r="Y106" s="409">
        <v>0.78423611111111102</v>
      </c>
      <c r="Z106" s="410">
        <f t="shared" si="9"/>
        <v>2.2222222222207932E-3</v>
      </c>
      <c r="AA106" s="414">
        <v>42545</v>
      </c>
    </row>
    <row r="107" spans="1:27" x14ac:dyDescent="0.2">
      <c r="A107" s="438" t="s">
        <v>210</v>
      </c>
      <c r="B107" s="439">
        <v>42540</v>
      </c>
      <c r="C107" s="440" t="s">
        <v>24</v>
      </c>
      <c r="D107" s="440" t="s">
        <v>171</v>
      </c>
      <c r="E107" s="441">
        <v>0.69791666666666663</v>
      </c>
      <c r="F107" s="441">
        <v>0.84375</v>
      </c>
      <c r="G107" s="440">
        <v>3.5</v>
      </c>
      <c r="X107" s="409">
        <v>0.78423611111111102</v>
      </c>
      <c r="Y107" s="409">
        <v>0.78478009259259263</v>
      </c>
      <c r="Z107" s="410">
        <f t="shared" si="9"/>
        <v>1.3055555555558485E-2</v>
      </c>
      <c r="AA107" s="414">
        <v>42545</v>
      </c>
    </row>
    <row r="108" spans="1:27" x14ac:dyDescent="0.2">
      <c r="A108" s="438" t="s">
        <v>185</v>
      </c>
      <c r="B108" s="439">
        <v>42538</v>
      </c>
      <c r="C108" s="440" t="s">
        <v>24</v>
      </c>
      <c r="D108" s="440" t="s">
        <v>171</v>
      </c>
      <c r="E108" s="441">
        <v>0.46875</v>
      </c>
      <c r="F108" s="441">
        <v>0.63541666666666663</v>
      </c>
      <c r="G108" s="440">
        <v>4</v>
      </c>
      <c r="X108" s="409">
        <v>0.78478009259259263</v>
      </c>
      <c r="Y108" s="409">
        <v>0.78508101851851853</v>
      </c>
      <c r="Z108" s="410">
        <f t="shared" si="9"/>
        <v>7.2222222222215748E-3</v>
      </c>
      <c r="AA108" s="414">
        <v>42545</v>
      </c>
    </row>
    <row r="109" spans="1:27" x14ac:dyDescent="0.2">
      <c r="A109" s="438" t="s">
        <v>220</v>
      </c>
      <c r="B109" s="439">
        <v>42543</v>
      </c>
      <c r="C109" s="440" t="s">
        <v>24</v>
      </c>
      <c r="D109" s="440" t="s">
        <v>171</v>
      </c>
      <c r="E109" s="441">
        <v>0.72916666666666663</v>
      </c>
      <c r="F109" s="441">
        <v>0.91666666666666663</v>
      </c>
      <c r="G109" s="440">
        <v>4.5</v>
      </c>
      <c r="X109" s="409">
        <v>0.78508101851851853</v>
      </c>
      <c r="Y109" s="409">
        <v>0.78554398148148152</v>
      </c>
      <c r="Z109" s="410">
        <f t="shared" si="9"/>
        <v>1.111111111111196E-2</v>
      </c>
      <c r="AA109" s="414">
        <v>42545</v>
      </c>
    </row>
    <row r="110" spans="1:27" x14ac:dyDescent="0.2">
      <c r="A110" s="440" t="s">
        <v>220</v>
      </c>
      <c r="B110" s="439">
        <v>42544</v>
      </c>
      <c r="C110" s="440" t="s">
        <v>24</v>
      </c>
      <c r="D110" s="440" t="s">
        <v>171</v>
      </c>
      <c r="E110" s="441">
        <v>0.69791666666666663</v>
      </c>
      <c r="F110" s="441">
        <v>0</v>
      </c>
      <c r="G110" s="440">
        <v>6.75</v>
      </c>
      <c r="X110" s="409">
        <v>0.78554398148148152</v>
      </c>
      <c r="Y110" s="409">
        <v>0.79142361111111104</v>
      </c>
      <c r="Z110" s="410">
        <f t="shared" si="9"/>
        <v>0.1411111111111083</v>
      </c>
      <c r="AA110" s="414">
        <v>42545</v>
      </c>
    </row>
    <row r="111" spans="1:27" x14ac:dyDescent="0.2">
      <c r="A111" s="438" t="s">
        <v>220</v>
      </c>
      <c r="B111" s="439">
        <v>42545</v>
      </c>
      <c r="C111" s="440" t="s">
        <v>24</v>
      </c>
      <c r="D111" s="440" t="s">
        <v>171</v>
      </c>
      <c r="E111" s="441">
        <v>0.69791666666666663</v>
      </c>
      <c r="F111" s="441">
        <v>0.84375</v>
      </c>
      <c r="G111" s="440">
        <v>3.5</v>
      </c>
      <c r="X111" s="409">
        <v>0.79142361111111104</v>
      </c>
      <c r="Y111" s="409">
        <v>0.79302083333333329</v>
      </c>
      <c r="Z111" s="410">
        <f t="shared" si="9"/>
        <v>3.8333333333333997E-2</v>
      </c>
      <c r="AA111" s="414">
        <v>42545</v>
      </c>
    </row>
    <row r="112" spans="1:27" x14ac:dyDescent="0.2">
      <c r="A112" s="438" t="s">
        <v>212</v>
      </c>
      <c r="B112" s="439">
        <v>42540</v>
      </c>
      <c r="C112" s="440" t="s">
        <v>24</v>
      </c>
      <c r="D112" s="440" t="s">
        <v>203</v>
      </c>
      <c r="E112" s="441">
        <v>0.625</v>
      </c>
      <c r="F112" s="441">
        <v>0.83333333333333337</v>
      </c>
      <c r="G112" s="440">
        <v>5</v>
      </c>
      <c r="X112" s="409">
        <v>0.79302083333333329</v>
      </c>
      <c r="Y112" s="409">
        <v>0.79561342592592599</v>
      </c>
      <c r="Z112" s="410">
        <f t="shared" si="9"/>
        <v>6.2222222222224843E-2</v>
      </c>
      <c r="AA112" s="414">
        <v>42545</v>
      </c>
    </row>
    <row r="113" spans="1:27" x14ac:dyDescent="0.2">
      <c r="A113" s="440" t="s">
        <v>180</v>
      </c>
      <c r="B113" s="439">
        <v>42537</v>
      </c>
      <c r="C113" s="440" t="s">
        <v>24</v>
      </c>
      <c r="D113" s="440" t="s">
        <v>171</v>
      </c>
      <c r="E113" s="441">
        <v>0.4375</v>
      </c>
      <c r="F113" s="441">
        <v>0.625</v>
      </c>
      <c r="G113" s="440">
        <v>4.5</v>
      </c>
      <c r="X113" s="409">
        <v>0.87592592592592589</v>
      </c>
      <c r="Y113" s="409">
        <v>0.88489583333333333</v>
      </c>
      <c r="Z113" s="410">
        <f t="shared" ref="Z113:Z120" si="10">HRS(X113,Y113)</f>
        <v>0.21527777777777857</v>
      </c>
      <c r="AA113" s="414">
        <v>42545</v>
      </c>
    </row>
    <row r="114" spans="1:27" x14ac:dyDescent="0.2">
      <c r="A114" s="438" t="s">
        <v>187</v>
      </c>
      <c r="B114" s="439">
        <v>42538</v>
      </c>
      <c r="C114" s="440" t="s">
        <v>24</v>
      </c>
      <c r="D114" s="440" t="s">
        <v>171</v>
      </c>
      <c r="E114" s="441">
        <v>0.6875</v>
      </c>
      <c r="F114" s="441">
        <v>3.125E-2</v>
      </c>
      <c r="G114" s="440">
        <v>7.75</v>
      </c>
      <c r="X114" s="409">
        <v>0.88489583333333333</v>
      </c>
      <c r="Y114" s="409">
        <v>0.88609953703703714</v>
      </c>
      <c r="Z114" s="410">
        <f t="shared" si="10"/>
        <v>2.8888888888891628E-2</v>
      </c>
      <c r="AA114" s="414">
        <v>42545</v>
      </c>
    </row>
    <row r="115" spans="1:27" x14ac:dyDescent="0.2">
      <c r="A115" s="438" t="s">
        <v>187</v>
      </c>
      <c r="B115" s="439">
        <v>42541</v>
      </c>
      <c r="C115" s="440" t="s">
        <v>24</v>
      </c>
      <c r="D115" s="440" t="s">
        <v>171</v>
      </c>
      <c r="E115" s="441">
        <v>0.45833333333333331</v>
      </c>
      <c r="F115" s="441">
        <v>0.60416666666666663</v>
      </c>
      <c r="G115" s="440">
        <v>3.5</v>
      </c>
      <c r="X115" s="409">
        <v>0.88609953703703714</v>
      </c>
      <c r="Y115" s="409">
        <v>0.88678240740740744</v>
      </c>
      <c r="Z115" s="410">
        <f t="shared" si="10"/>
        <v>1.638888888888701E-2</v>
      </c>
      <c r="AA115" s="414">
        <v>42545</v>
      </c>
    </row>
    <row r="116" spans="1:27" x14ac:dyDescent="0.2">
      <c r="A116" s="438" t="s">
        <v>187</v>
      </c>
      <c r="B116" s="439">
        <v>42542</v>
      </c>
      <c r="C116" s="440" t="s">
        <v>24</v>
      </c>
      <c r="D116" s="440" t="s">
        <v>171</v>
      </c>
      <c r="E116" s="441">
        <v>0.46875</v>
      </c>
      <c r="F116" s="441">
        <v>0.64583333333333337</v>
      </c>
      <c r="G116" s="440">
        <v>4.25</v>
      </c>
      <c r="X116" s="409">
        <v>0.88678240740740744</v>
      </c>
      <c r="Y116" s="409">
        <v>0.89127314814814806</v>
      </c>
      <c r="Z116" s="410">
        <f t="shared" si="10"/>
        <v>0.10777777777777509</v>
      </c>
      <c r="AA116" s="414">
        <v>42545</v>
      </c>
    </row>
    <row r="117" spans="1:27" x14ac:dyDescent="0.2">
      <c r="A117" s="440" t="s">
        <v>182</v>
      </c>
      <c r="B117" s="439">
        <v>42540</v>
      </c>
      <c r="C117" s="440" t="s">
        <v>24</v>
      </c>
      <c r="D117" s="440" t="s">
        <v>171</v>
      </c>
      <c r="E117" s="441">
        <v>0.65625</v>
      </c>
      <c r="F117" s="441">
        <v>0.94791666666666663</v>
      </c>
      <c r="G117" s="440">
        <v>6.5</v>
      </c>
      <c r="X117" s="409">
        <v>0.89127314814814806</v>
      </c>
      <c r="Y117" s="409">
        <v>0.89188657407407401</v>
      </c>
      <c r="Z117" s="410">
        <f t="shared" si="10"/>
        <v>1.4722222222222747E-2</v>
      </c>
      <c r="AA117" s="414">
        <v>42545</v>
      </c>
    </row>
    <row r="118" spans="1:27" x14ac:dyDescent="0.2">
      <c r="A118" s="438" t="s">
        <v>219</v>
      </c>
      <c r="B118" s="439">
        <v>42543</v>
      </c>
      <c r="C118" s="440" t="s">
        <v>24</v>
      </c>
      <c r="D118" s="440" t="s">
        <v>171</v>
      </c>
      <c r="E118" s="441">
        <v>0.42708333333333331</v>
      </c>
      <c r="F118" s="441">
        <v>0.63541666666666663</v>
      </c>
      <c r="G118" s="440">
        <v>5</v>
      </c>
      <c r="X118" s="409">
        <v>0.89188657407407401</v>
      </c>
      <c r="Y118" s="409">
        <v>0.89929398148148154</v>
      </c>
      <c r="Z118" s="410">
        <f t="shared" si="10"/>
        <v>0.1777777777777807</v>
      </c>
      <c r="AA118" s="414">
        <v>42545</v>
      </c>
    </row>
    <row r="119" spans="1:27" x14ac:dyDescent="0.2">
      <c r="A119" s="438" t="s">
        <v>183</v>
      </c>
      <c r="B119" s="439">
        <v>42537</v>
      </c>
      <c r="C119" s="440" t="s">
        <v>24</v>
      </c>
      <c r="D119" s="440" t="s">
        <v>171</v>
      </c>
      <c r="E119" s="441">
        <v>0.69791666666666663</v>
      </c>
      <c r="F119" s="441">
        <v>0.91666666666666663</v>
      </c>
      <c r="G119" s="440">
        <v>5.25</v>
      </c>
      <c r="X119" s="409">
        <v>0.89929398148148154</v>
      </c>
      <c r="Y119" s="409">
        <v>0.89978009259259262</v>
      </c>
      <c r="Z119" s="410">
        <f t="shared" si="10"/>
        <v>1.1666666666665826E-2</v>
      </c>
      <c r="AA119" s="414">
        <v>42545</v>
      </c>
    </row>
    <row r="120" spans="1:27" x14ac:dyDescent="0.2">
      <c r="A120" s="438" t="s">
        <v>183</v>
      </c>
      <c r="B120" s="439">
        <v>42543</v>
      </c>
      <c r="C120" s="440" t="s">
        <v>24</v>
      </c>
      <c r="D120" s="440" t="s">
        <v>171</v>
      </c>
      <c r="E120" s="441">
        <v>0.42708333333333331</v>
      </c>
      <c r="F120" s="441">
        <v>0.63541666666666663</v>
      </c>
      <c r="G120" s="440">
        <v>5</v>
      </c>
      <c r="X120" s="409">
        <v>0.89978009259259262</v>
      </c>
      <c r="Y120" s="409">
        <v>0.89989583333333334</v>
      </c>
      <c r="Z120" s="410">
        <f t="shared" si="10"/>
        <v>2.7777777777773238E-3</v>
      </c>
      <c r="AA120" s="414">
        <v>42545</v>
      </c>
    </row>
    <row r="121" spans="1:27" x14ac:dyDescent="0.2">
      <c r="A121" s="438"/>
      <c r="B121" s="439"/>
      <c r="E121" s="441"/>
      <c r="F121" s="441"/>
      <c r="X121" s="409">
        <v>0.90106481481481471</v>
      </c>
      <c r="Y121" s="409">
        <v>0.92037037037037039</v>
      </c>
      <c r="Z121" s="410">
        <f t="shared" ref="Z121:Z133" si="11">HRS(X121,Y121)</f>
        <v>0.46333333333333648</v>
      </c>
      <c r="AA121" s="414">
        <v>42545</v>
      </c>
    </row>
    <row r="122" spans="1:27" x14ac:dyDescent="0.2">
      <c r="A122" s="438"/>
      <c r="B122" s="439"/>
      <c r="E122" s="441"/>
      <c r="F122" s="441"/>
      <c r="X122" s="409">
        <v>0.92037037037037039</v>
      </c>
      <c r="Y122" s="409">
        <v>0.92162037037037037</v>
      </c>
      <c r="Z122" s="410">
        <f t="shared" si="11"/>
        <v>2.9999999999999361E-2</v>
      </c>
      <c r="AA122" s="414">
        <v>42545</v>
      </c>
    </row>
    <row r="123" spans="1:27" x14ac:dyDescent="0.2">
      <c r="A123" s="438"/>
      <c r="B123" s="439"/>
      <c r="E123" s="441"/>
      <c r="F123" s="441"/>
      <c r="X123" s="409">
        <v>0.92162037037037037</v>
      </c>
      <c r="Y123" s="409">
        <v>0.92331018518518515</v>
      </c>
      <c r="Z123" s="410">
        <f t="shared" si="11"/>
        <v>4.055555555555479E-2</v>
      </c>
      <c r="AA123" s="414">
        <v>42545</v>
      </c>
    </row>
    <row r="124" spans="1:27" x14ac:dyDescent="0.2">
      <c r="A124" s="438"/>
      <c r="B124" s="439"/>
      <c r="E124" s="441"/>
      <c r="F124" s="441"/>
      <c r="X124" s="409">
        <v>0.92331018518518515</v>
      </c>
      <c r="Y124" s="409">
        <v>0.92804398148148148</v>
      </c>
      <c r="Z124" s="410">
        <f t="shared" si="11"/>
        <v>0.113611111111112</v>
      </c>
      <c r="AA124" s="414">
        <v>42545</v>
      </c>
    </row>
    <row r="125" spans="1:27" x14ac:dyDescent="0.2">
      <c r="A125" s="438"/>
      <c r="B125" s="439"/>
      <c r="E125" s="441"/>
      <c r="F125" s="441"/>
      <c r="X125" s="409">
        <v>0.92804398148148148</v>
      </c>
      <c r="Y125" s="409">
        <v>0.94412037037037033</v>
      </c>
      <c r="Z125" s="410">
        <f t="shared" si="11"/>
        <v>0.38583333333333236</v>
      </c>
      <c r="AA125" s="414">
        <v>42545</v>
      </c>
    </row>
    <row r="126" spans="1:27" x14ac:dyDescent="0.2">
      <c r="A126" s="438"/>
      <c r="B126" s="439"/>
      <c r="E126" s="441"/>
      <c r="F126" s="441"/>
      <c r="X126" s="409">
        <v>0.94412037037037033</v>
      </c>
      <c r="Y126" s="409">
        <v>0.94467592592592586</v>
      </c>
      <c r="Z126" s="410">
        <f t="shared" si="11"/>
        <v>1.3333333333332753E-2</v>
      </c>
      <c r="AA126" s="414">
        <v>42545</v>
      </c>
    </row>
    <row r="127" spans="1:27" x14ac:dyDescent="0.2">
      <c r="A127" s="438"/>
      <c r="B127" s="439"/>
      <c r="E127" s="441"/>
      <c r="F127" s="441"/>
      <c r="X127" s="409">
        <v>0.94467592592592586</v>
      </c>
      <c r="Y127" s="409">
        <v>0.94700231481481489</v>
      </c>
      <c r="Z127" s="410">
        <f t="shared" si="11"/>
        <v>5.5833333333336732E-2</v>
      </c>
      <c r="AA127" s="414">
        <v>42545</v>
      </c>
    </row>
    <row r="128" spans="1:27" x14ac:dyDescent="0.2">
      <c r="B128" s="439"/>
      <c r="E128" s="441"/>
      <c r="F128" s="441"/>
      <c r="X128" s="409">
        <v>0.94700231481481489</v>
      </c>
      <c r="Y128" s="409">
        <v>0.9486458333333333</v>
      </c>
      <c r="Z128" s="410">
        <f t="shared" si="11"/>
        <v>3.9444444444441729E-2</v>
      </c>
      <c r="AA128" s="414">
        <v>42545</v>
      </c>
    </row>
    <row r="129" spans="1:27" x14ac:dyDescent="0.2">
      <c r="A129" s="438"/>
      <c r="B129" s="439"/>
      <c r="E129" s="441"/>
      <c r="F129" s="441"/>
      <c r="X129" s="409">
        <v>0.94865740740740734</v>
      </c>
      <c r="Y129" s="409">
        <v>0.95248842592592586</v>
      </c>
      <c r="Z129" s="410">
        <f t="shared" si="11"/>
        <v>9.1944444444444606E-2</v>
      </c>
      <c r="AA129" s="414">
        <v>42545</v>
      </c>
    </row>
    <row r="130" spans="1:27" x14ac:dyDescent="0.2">
      <c r="A130" s="438"/>
      <c r="B130" s="439"/>
      <c r="E130" s="441"/>
      <c r="F130" s="441"/>
      <c r="X130" s="409">
        <v>0.95248842592592586</v>
      </c>
      <c r="Y130" s="409">
        <v>0.95363425925925915</v>
      </c>
      <c r="Z130" s="410">
        <f t="shared" si="11"/>
        <v>2.749999999999897E-2</v>
      </c>
      <c r="AA130" s="414">
        <v>42545</v>
      </c>
    </row>
    <row r="131" spans="1:27" x14ac:dyDescent="0.2">
      <c r="B131" s="439"/>
      <c r="E131" s="441"/>
      <c r="F131" s="441"/>
      <c r="X131" s="409">
        <v>0.95363425925925915</v>
      </c>
      <c r="Y131" s="409">
        <v>0.95386574074074071</v>
      </c>
      <c r="Z131" s="410">
        <f t="shared" si="11"/>
        <v>5.5555555555573122E-3</v>
      </c>
      <c r="AA131" s="414">
        <v>42545</v>
      </c>
    </row>
    <row r="132" spans="1:27" x14ac:dyDescent="0.2">
      <c r="A132" s="438"/>
      <c r="B132" s="439"/>
      <c r="E132" s="441"/>
      <c r="F132" s="441"/>
      <c r="X132" s="409">
        <v>0.95386574074074071</v>
      </c>
      <c r="Y132" s="409">
        <v>0.95528935185185182</v>
      </c>
      <c r="Z132" s="410">
        <f t="shared" si="11"/>
        <v>3.4166666666666679E-2</v>
      </c>
      <c r="AA132" s="414">
        <v>42545</v>
      </c>
    </row>
    <row r="133" spans="1:27" x14ac:dyDescent="0.2">
      <c r="A133" s="438"/>
      <c r="B133" s="439"/>
      <c r="E133" s="441"/>
      <c r="F133" s="441"/>
      <c r="X133" s="409">
        <v>0.95528935185185182</v>
      </c>
      <c r="Y133" s="409">
        <v>0.9566782407407407</v>
      </c>
      <c r="Z133" s="410">
        <f t="shared" si="11"/>
        <v>3.3333333333333215E-2</v>
      </c>
      <c r="AA133" s="414">
        <v>42545</v>
      </c>
    </row>
    <row r="134" spans="1:27" x14ac:dyDescent="0.2">
      <c r="A134" s="438"/>
      <c r="B134" s="439"/>
      <c r="E134" s="441"/>
      <c r="F134" s="441"/>
      <c r="X134" s="409">
        <v>0.99153935185185194</v>
      </c>
      <c r="Y134" s="409">
        <v>0.99915509259259261</v>
      </c>
      <c r="Z134" s="410">
        <f t="shared" ref="Z134:Z152" si="12">HRS(X134,Y134)</f>
        <v>0.18277777777777615</v>
      </c>
      <c r="AA134" s="414">
        <v>42546</v>
      </c>
    </row>
    <row r="135" spans="1:27" x14ac:dyDescent="0.2">
      <c r="A135" s="438"/>
      <c r="B135" s="439"/>
      <c r="E135" s="441"/>
      <c r="F135" s="441"/>
      <c r="X135" s="409">
        <v>0.99915509259259261</v>
      </c>
      <c r="Y135" s="409">
        <v>1.9444444444444442E-3</v>
      </c>
      <c r="Z135" s="410">
        <f t="shared" si="12"/>
        <v>6.6944444444444057E-2</v>
      </c>
      <c r="AA135" s="414">
        <v>42546</v>
      </c>
    </row>
    <row r="136" spans="1:27" x14ac:dyDescent="0.2">
      <c r="A136" s="438"/>
      <c r="B136" s="439"/>
      <c r="E136" s="441"/>
      <c r="F136" s="441"/>
      <c r="X136" s="409">
        <v>2.7662037037037034E-3</v>
      </c>
      <c r="Y136" s="409">
        <v>4.0972222222222226E-3</v>
      </c>
      <c r="Z136" s="410">
        <f t="shared" si="12"/>
        <v>3.1944444444444456E-2</v>
      </c>
      <c r="AA136" s="414">
        <v>42547</v>
      </c>
    </row>
    <row r="137" spans="1:27" x14ac:dyDescent="0.2">
      <c r="A137" s="438"/>
      <c r="B137" s="439"/>
      <c r="E137" s="441"/>
      <c r="F137" s="441"/>
      <c r="X137" s="409">
        <v>4.0972222222222226E-3</v>
      </c>
      <c r="Y137" s="409">
        <v>6.8865740740740736E-3</v>
      </c>
      <c r="Z137" s="410">
        <f t="shared" si="12"/>
        <v>6.6944444444444418E-2</v>
      </c>
      <c r="AA137" s="414">
        <v>42547</v>
      </c>
    </row>
    <row r="138" spans="1:27" x14ac:dyDescent="0.2">
      <c r="A138" s="438"/>
      <c r="B138" s="439"/>
      <c r="E138" s="441"/>
      <c r="F138" s="441"/>
      <c r="X138" s="409">
        <v>6.8865740740740736E-3</v>
      </c>
      <c r="Y138" s="409">
        <v>7.1874999999999994E-3</v>
      </c>
      <c r="Z138" s="410">
        <f t="shared" si="12"/>
        <v>7.2222222222222202E-3</v>
      </c>
      <c r="AA138" s="414">
        <v>42547</v>
      </c>
    </row>
    <row r="139" spans="1:27" x14ac:dyDescent="0.2">
      <c r="A139" s="438"/>
      <c r="B139" s="439"/>
      <c r="E139" s="441"/>
      <c r="F139" s="441"/>
      <c r="X139" s="409">
        <v>7.1874999999999994E-3</v>
      </c>
      <c r="Y139" s="409">
        <v>8.1828703703703699E-3</v>
      </c>
      <c r="Z139" s="410">
        <f t="shared" si="12"/>
        <v>2.388888888888889E-2</v>
      </c>
      <c r="AA139" s="414">
        <v>42547</v>
      </c>
    </row>
    <row r="140" spans="1:27" x14ac:dyDescent="0.2">
      <c r="A140" s="438"/>
      <c r="B140" s="439"/>
      <c r="E140" s="441"/>
      <c r="F140" s="441"/>
      <c r="X140" s="409">
        <v>8.1828703703703699E-3</v>
      </c>
      <c r="Y140" s="409">
        <v>1.1273148148148148E-2</v>
      </c>
      <c r="Z140" s="410">
        <f t="shared" si="12"/>
        <v>7.4166666666666686E-2</v>
      </c>
      <c r="AA140" s="414">
        <v>42547</v>
      </c>
    </row>
    <row r="141" spans="1:27" x14ac:dyDescent="0.2">
      <c r="A141" s="438"/>
      <c r="B141" s="439"/>
      <c r="E141" s="441"/>
      <c r="F141" s="441"/>
      <c r="X141" s="409">
        <v>1.1273148148148148E-2</v>
      </c>
      <c r="Y141" s="409">
        <v>1.1458333333333334E-2</v>
      </c>
      <c r="Z141" s="410">
        <f t="shared" si="12"/>
        <v>4.4444444444444592E-3</v>
      </c>
      <c r="AA141" s="414">
        <v>42547</v>
      </c>
    </row>
    <row r="142" spans="1:27" x14ac:dyDescent="0.2">
      <c r="B142" s="439"/>
      <c r="E142" s="441"/>
      <c r="F142" s="441"/>
      <c r="X142" s="409">
        <v>1.1458333333333334E-2</v>
      </c>
      <c r="Y142" s="409">
        <v>1.1863425925925925E-2</v>
      </c>
      <c r="Z142" s="410">
        <f t="shared" si="12"/>
        <v>9.7222222222221738E-3</v>
      </c>
      <c r="AA142" s="414">
        <v>42547</v>
      </c>
    </row>
    <row r="143" spans="1:27" x14ac:dyDescent="0.2">
      <c r="A143" s="438"/>
      <c r="B143" s="439"/>
      <c r="E143" s="441"/>
      <c r="F143" s="441"/>
      <c r="X143" s="409">
        <v>1.1863425925925925E-2</v>
      </c>
      <c r="Y143" s="409">
        <v>1.4050925925925927E-2</v>
      </c>
      <c r="Z143" s="410">
        <f t="shared" si="12"/>
        <v>5.2500000000000047E-2</v>
      </c>
      <c r="AA143" s="414">
        <v>42547</v>
      </c>
    </row>
    <row r="144" spans="1:27" x14ac:dyDescent="0.2">
      <c r="A144" s="438"/>
      <c r="B144" s="439"/>
      <c r="E144" s="441"/>
      <c r="F144" s="441"/>
      <c r="X144" s="409">
        <v>1.4050925925925927E-2</v>
      </c>
      <c r="Y144" s="409">
        <v>1.4664351851851852E-2</v>
      </c>
      <c r="Z144" s="410">
        <f t="shared" si="12"/>
        <v>1.4722222222222206E-2</v>
      </c>
      <c r="AA144" s="414">
        <v>42547</v>
      </c>
    </row>
    <row r="145" spans="1:27" x14ac:dyDescent="0.2">
      <c r="A145" s="438"/>
      <c r="B145" s="439"/>
      <c r="E145" s="441"/>
      <c r="F145" s="441"/>
      <c r="X145" s="409">
        <v>1.4664351851851852E-2</v>
      </c>
      <c r="Y145" s="409">
        <v>2.0949074074074075E-2</v>
      </c>
      <c r="Z145" s="410">
        <f t="shared" si="12"/>
        <v>0.15083333333333335</v>
      </c>
      <c r="AA145" s="414">
        <v>42547</v>
      </c>
    </row>
    <row r="146" spans="1:27" x14ac:dyDescent="0.2">
      <c r="A146" s="438"/>
      <c r="B146" s="439"/>
      <c r="E146" s="441"/>
      <c r="F146" s="441"/>
      <c r="X146" s="409">
        <v>2.0949074074074075E-2</v>
      </c>
      <c r="Y146" s="409">
        <v>2.5439814814814814E-2</v>
      </c>
      <c r="Z146" s="410">
        <f t="shared" si="12"/>
        <v>0.10777777777777775</v>
      </c>
      <c r="AA146" s="414">
        <v>42547</v>
      </c>
    </row>
    <row r="147" spans="1:27" x14ac:dyDescent="0.2">
      <c r="A147" s="438"/>
      <c r="B147" s="439"/>
      <c r="E147" s="441"/>
      <c r="F147" s="441"/>
      <c r="X147" s="409">
        <v>2.5439814814814814E-2</v>
      </c>
      <c r="Y147" s="409">
        <v>2.9328703703703704E-2</v>
      </c>
      <c r="Z147" s="410">
        <f t="shared" si="12"/>
        <v>9.3333333333333351E-2</v>
      </c>
      <c r="AA147" s="414">
        <v>42547</v>
      </c>
    </row>
    <row r="148" spans="1:27" x14ac:dyDescent="0.2">
      <c r="A148" s="438"/>
      <c r="B148" s="439"/>
      <c r="E148" s="441"/>
      <c r="F148" s="441"/>
      <c r="X148" s="409">
        <v>2.9328703703703704E-2</v>
      </c>
      <c r="Y148" s="409">
        <v>3.2152777777777773E-2</v>
      </c>
      <c r="Z148" s="410">
        <f t="shared" si="12"/>
        <v>6.7777777777777659E-2</v>
      </c>
      <c r="AA148" s="414">
        <v>42547</v>
      </c>
    </row>
    <row r="149" spans="1:27" x14ac:dyDescent="0.2">
      <c r="B149" s="439"/>
      <c r="E149" s="441"/>
      <c r="F149" s="441"/>
      <c r="X149" s="409">
        <v>3.2152777777777773E-2</v>
      </c>
      <c r="Y149" s="409">
        <v>3.3981481481481481E-2</v>
      </c>
      <c r="Z149" s="410">
        <f t="shared" si="12"/>
        <v>4.3888888888888977E-2</v>
      </c>
      <c r="AA149" s="414">
        <v>42547</v>
      </c>
    </row>
    <row r="150" spans="1:27" x14ac:dyDescent="0.2">
      <c r="A150" s="438"/>
      <c r="B150" s="439"/>
      <c r="E150" s="441"/>
      <c r="F150" s="441"/>
      <c r="X150" s="409">
        <v>3.3981481481481481E-2</v>
      </c>
      <c r="Y150" s="409">
        <v>3.6203703703703703E-2</v>
      </c>
      <c r="Z150" s="410">
        <f t="shared" si="12"/>
        <v>5.3333333333333344E-2</v>
      </c>
      <c r="AA150" s="414">
        <v>42547</v>
      </c>
    </row>
    <row r="151" spans="1:27" x14ac:dyDescent="0.2">
      <c r="A151" s="438"/>
      <c r="B151" s="439"/>
      <c r="E151" s="441"/>
      <c r="F151" s="441"/>
      <c r="X151" s="409">
        <v>3.6203703703703703E-2</v>
      </c>
      <c r="Y151" s="409">
        <v>3.7141203703703704E-2</v>
      </c>
      <c r="Z151" s="410">
        <f t="shared" si="12"/>
        <v>2.250000000000002E-2</v>
      </c>
      <c r="AA151" s="414">
        <v>42547</v>
      </c>
    </row>
    <row r="152" spans="1:27" x14ac:dyDescent="0.2">
      <c r="B152" s="439"/>
      <c r="E152" s="441"/>
      <c r="F152" s="441"/>
      <c r="X152" s="409">
        <v>3.7141203703703704E-2</v>
      </c>
      <c r="Y152" s="409">
        <v>3.7557870370370373E-2</v>
      </c>
      <c r="Z152" s="410">
        <f t="shared" si="12"/>
        <v>1.0000000000000064E-2</v>
      </c>
      <c r="AA152" s="414">
        <v>42547</v>
      </c>
    </row>
    <row r="153" spans="1:27" x14ac:dyDescent="0.2">
      <c r="A153" s="438"/>
      <c r="B153" s="439"/>
      <c r="E153" s="441"/>
      <c r="F153" s="441"/>
      <c r="X153" s="409">
        <v>3.8171296296296293E-2</v>
      </c>
      <c r="Y153" s="409">
        <v>3.9722222222222221E-2</v>
      </c>
      <c r="Z153" s="410">
        <f t="shared" ref="Z153:Z161" si="13">HRS(X153,Y153)</f>
        <v>3.7222222222222268E-2</v>
      </c>
      <c r="AA153" s="414">
        <v>42547</v>
      </c>
    </row>
    <row r="154" spans="1:27" x14ac:dyDescent="0.2">
      <c r="A154" s="438"/>
      <c r="B154" s="439"/>
      <c r="E154" s="441"/>
      <c r="F154" s="441"/>
      <c r="X154" s="409">
        <v>4.5902777777777772E-2</v>
      </c>
      <c r="Y154" s="409">
        <v>4.8449074074074082E-2</v>
      </c>
      <c r="Z154" s="410">
        <f t="shared" si="13"/>
        <v>6.1111111111111449E-2</v>
      </c>
      <c r="AA154" s="414">
        <v>42547</v>
      </c>
    </row>
    <row r="155" spans="1:27" x14ac:dyDescent="0.2">
      <c r="A155" s="438"/>
      <c r="B155" s="439"/>
      <c r="E155" s="441"/>
      <c r="F155" s="441"/>
      <c r="X155" s="409">
        <v>4.8449074074074082E-2</v>
      </c>
      <c r="Y155" s="409">
        <v>4.8958333333333333E-2</v>
      </c>
      <c r="Z155" s="410">
        <f t="shared" si="13"/>
        <v>1.2222222222222023E-2</v>
      </c>
      <c r="AA155" s="414">
        <v>42547</v>
      </c>
    </row>
    <row r="156" spans="1:27" x14ac:dyDescent="0.2">
      <c r="A156" s="438"/>
      <c r="B156" s="439"/>
      <c r="E156" s="441"/>
      <c r="F156" s="441"/>
      <c r="X156" s="409">
        <v>4.8958333333333333E-2</v>
      </c>
      <c r="Y156" s="409">
        <v>4.9618055555555561E-2</v>
      </c>
      <c r="Z156" s="410">
        <f t="shared" si="13"/>
        <v>1.5833333333333477E-2</v>
      </c>
      <c r="AA156" s="414">
        <v>42547</v>
      </c>
    </row>
    <row r="157" spans="1:27" x14ac:dyDescent="0.2">
      <c r="B157" s="439"/>
      <c r="E157" s="441"/>
      <c r="F157" s="441"/>
      <c r="X157" s="409">
        <v>4.9618055555555561E-2</v>
      </c>
      <c r="Y157" s="409">
        <v>5.0671296296296298E-2</v>
      </c>
      <c r="Z157" s="410">
        <f t="shared" si="13"/>
        <v>2.5277777777777677E-2</v>
      </c>
      <c r="AA157" s="414">
        <v>42547</v>
      </c>
    </row>
    <row r="158" spans="1:27" x14ac:dyDescent="0.2">
      <c r="A158" s="438"/>
      <c r="B158" s="439"/>
      <c r="E158" s="441"/>
      <c r="F158" s="441"/>
      <c r="X158" s="409">
        <v>5.0671296296296298E-2</v>
      </c>
      <c r="Y158" s="409">
        <v>5.185185185185185E-2</v>
      </c>
      <c r="Z158" s="410">
        <f t="shared" si="13"/>
        <v>2.8333333333333266E-2</v>
      </c>
      <c r="AA158" s="414">
        <v>42547</v>
      </c>
    </row>
    <row r="159" spans="1:27" x14ac:dyDescent="0.2">
      <c r="A159" s="438"/>
      <c r="B159" s="439"/>
      <c r="E159" s="441"/>
      <c r="F159" s="441"/>
      <c r="X159" s="409">
        <v>5.185185185185185E-2</v>
      </c>
      <c r="Y159" s="409">
        <v>5.6666666666666671E-2</v>
      </c>
      <c r="Z159" s="410">
        <f t="shared" si="13"/>
        <v>0.11555555555555569</v>
      </c>
      <c r="AA159" s="414">
        <v>42547</v>
      </c>
    </row>
    <row r="160" spans="1:27" x14ac:dyDescent="0.2">
      <c r="B160" s="439"/>
      <c r="E160" s="441"/>
      <c r="F160" s="441"/>
      <c r="X160" s="409">
        <v>5.6666666666666671E-2</v>
      </c>
      <c r="Y160" s="409">
        <v>5.7743055555555554E-2</v>
      </c>
      <c r="Z160" s="410">
        <f t="shared" si="13"/>
        <v>2.5833333333333208E-2</v>
      </c>
      <c r="AA160" s="414">
        <v>42547</v>
      </c>
    </row>
    <row r="161" spans="1:27" x14ac:dyDescent="0.2">
      <c r="A161" s="438"/>
      <c r="B161" s="439"/>
      <c r="E161" s="441"/>
      <c r="F161" s="441"/>
      <c r="X161" s="409">
        <v>5.7743055555555554E-2</v>
      </c>
      <c r="Y161" s="409">
        <v>5.9826388888888887E-2</v>
      </c>
      <c r="Z161" s="410">
        <f t="shared" si="13"/>
        <v>4.9999999999999989E-2</v>
      </c>
      <c r="AA161" s="414">
        <v>42547</v>
      </c>
    </row>
    <row r="162" spans="1:27" x14ac:dyDescent="0.2">
      <c r="A162" s="438"/>
      <c r="B162" s="439"/>
      <c r="E162" s="441"/>
      <c r="F162" s="441"/>
      <c r="X162" s="409">
        <v>6.0046296296296292E-2</v>
      </c>
      <c r="Y162" s="409">
        <v>6.0937499999999999E-2</v>
      </c>
      <c r="Z162" s="410">
        <f>HRS(X162,Y162)</f>
        <v>2.1388888888888957E-2</v>
      </c>
      <c r="AA162" s="414">
        <v>42547</v>
      </c>
    </row>
    <row r="163" spans="1:27" x14ac:dyDescent="0.2">
      <c r="A163" s="438"/>
      <c r="B163" s="439"/>
      <c r="E163" s="441"/>
      <c r="F163" s="441"/>
      <c r="X163" s="409">
        <v>6.2083333333333331E-2</v>
      </c>
      <c r="Y163" s="409">
        <v>6.4722222222222223E-2</v>
      </c>
      <c r="Z163" s="410">
        <f>HRS(X163,Y163)</f>
        <v>6.3333333333333408E-2</v>
      </c>
      <c r="AA163" s="414">
        <v>42547</v>
      </c>
    </row>
    <row r="164" spans="1:27" x14ac:dyDescent="0.2">
      <c r="A164" s="438"/>
      <c r="B164" s="439"/>
      <c r="E164" s="441"/>
      <c r="F164" s="441"/>
      <c r="X164" s="409">
        <v>6.8564814814814815E-2</v>
      </c>
      <c r="Y164" s="409">
        <v>6.8981481481481477E-2</v>
      </c>
      <c r="Z164" s="410">
        <f>HRS(X164,Y164)</f>
        <v>9.9999999999998979E-3</v>
      </c>
      <c r="AA164" s="414">
        <v>42547</v>
      </c>
    </row>
    <row r="165" spans="1:27" x14ac:dyDescent="0.2">
      <c r="A165" s="438"/>
      <c r="B165" s="439"/>
      <c r="E165" s="441"/>
      <c r="F165" s="441"/>
      <c r="X165" s="409">
        <v>6.8981481481481477E-2</v>
      </c>
      <c r="AA165" s="414">
        <v>42547</v>
      </c>
    </row>
    <row r="166" spans="1:27" x14ac:dyDescent="0.2">
      <c r="B166" s="439"/>
      <c r="E166" s="441"/>
      <c r="F166" s="441"/>
    </row>
    <row r="167" spans="1:27" x14ac:dyDescent="0.2">
      <c r="A167" s="438"/>
      <c r="B167" s="439"/>
      <c r="E167" s="441"/>
      <c r="F167" s="441"/>
    </row>
    <row r="168" spans="1:27" x14ac:dyDescent="0.2">
      <c r="B168" s="439"/>
      <c r="E168" s="441"/>
      <c r="F168" s="441"/>
    </row>
    <row r="169" spans="1:27" x14ac:dyDescent="0.2">
      <c r="A169" s="438"/>
      <c r="B169" s="439"/>
      <c r="E169" s="441"/>
      <c r="F169" s="441"/>
    </row>
    <row r="170" spans="1:27" x14ac:dyDescent="0.2">
      <c r="A170" s="438"/>
      <c r="B170" s="439"/>
      <c r="E170" s="441"/>
      <c r="F170" s="441"/>
    </row>
    <row r="171" spans="1:27" x14ac:dyDescent="0.2">
      <c r="A171" s="438"/>
      <c r="B171" s="439"/>
      <c r="E171" s="441"/>
      <c r="F171" s="441"/>
    </row>
    <row r="172" spans="1:27" x14ac:dyDescent="0.2">
      <c r="A172" s="438"/>
      <c r="B172" s="439"/>
      <c r="E172" s="441"/>
      <c r="F172" s="441"/>
    </row>
    <row r="173" spans="1:27" x14ac:dyDescent="0.2">
      <c r="A173" s="438"/>
      <c r="B173" s="439"/>
      <c r="E173" s="441"/>
      <c r="F173" s="441"/>
    </row>
    <row r="174" spans="1:27" x14ac:dyDescent="0.2">
      <c r="A174" s="438"/>
      <c r="B174" s="439"/>
      <c r="E174" s="441"/>
      <c r="F174" s="441"/>
    </row>
    <row r="175" spans="1:27" x14ac:dyDescent="0.2">
      <c r="A175" s="438"/>
      <c r="B175" s="439"/>
      <c r="E175" s="441"/>
      <c r="F175" s="441"/>
    </row>
    <row r="176" spans="1:27" x14ac:dyDescent="0.2">
      <c r="B176" s="439"/>
      <c r="E176" s="441"/>
      <c r="F176" s="441"/>
    </row>
    <row r="177" spans="1:6" x14ac:dyDescent="0.2">
      <c r="A177" s="438"/>
      <c r="B177" s="439"/>
      <c r="E177" s="441"/>
      <c r="F177" s="441"/>
    </row>
    <row r="178" spans="1:6" x14ac:dyDescent="0.2">
      <c r="B178" s="439"/>
      <c r="E178" s="441"/>
      <c r="F178" s="441"/>
    </row>
    <row r="179" spans="1:6" x14ac:dyDescent="0.2">
      <c r="B179" s="439"/>
      <c r="E179" s="441"/>
      <c r="F179" s="441"/>
    </row>
    <row r="180" spans="1:6" x14ac:dyDescent="0.2">
      <c r="A180" s="438"/>
      <c r="B180" s="439"/>
      <c r="E180" s="441"/>
      <c r="F180" s="441"/>
    </row>
    <row r="181" spans="1:6" x14ac:dyDescent="0.2">
      <c r="A181" s="438"/>
      <c r="B181" s="439"/>
      <c r="E181" s="441"/>
      <c r="F181" s="441"/>
    </row>
    <row r="182" spans="1:6" x14ac:dyDescent="0.2">
      <c r="A182" s="438"/>
      <c r="B182" s="439"/>
      <c r="E182" s="441"/>
      <c r="F182" s="441"/>
    </row>
    <row r="183" spans="1:6" x14ac:dyDescent="0.2">
      <c r="A183" s="438"/>
      <c r="B183" s="439"/>
      <c r="E183" s="441"/>
      <c r="F183" s="441"/>
    </row>
    <row r="184" spans="1:6" x14ac:dyDescent="0.2">
      <c r="A184" s="438"/>
      <c r="B184" s="439"/>
      <c r="E184" s="441"/>
      <c r="F184" s="441"/>
    </row>
    <row r="185" spans="1:6" x14ac:dyDescent="0.2">
      <c r="B185" s="439"/>
      <c r="E185" s="441"/>
      <c r="F185" s="441"/>
    </row>
    <row r="186" spans="1:6" x14ac:dyDescent="0.2">
      <c r="A186" s="438"/>
      <c r="B186" s="439"/>
      <c r="E186" s="441"/>
      <c r="F186" s="441"/>
    </row>
    <row r="187" spans="1:6" x14ac:dyDescent="0.2">
      <c r="A187" s="438"/>
      <c r="B187" s="439"/>
      <c r="E187" s="441"/>
      <c r="F187" s="441"/>
    </row>
    <row r="188" spans="1:6" x14ac:dyDescent="0.2">
      <c r="B188" s="439"/>
      <c r="E188" s="441"/>
      <c r="F188" s="441"/>
    </row>
    <row r="189" spans="1:6" x14ac:dyDescent="0.2">
      <c r="A189" s="438"/>
      <c r="B189" s="439"/>
      <c r="E189" s="441"/>
      <c r="F189" s="441"/>
    </row>
    <row r="190" spans="1:6" x14ac:dyDescent="0.2">
      <c r="A190" s="438"/>
      <c r="B190" s="439"/>
      <c r="E190" s="441"/>
      <c r="F190" s="441"/>
    </row>
    <row r="191" spans="1:6" x14ac:dyDescent="0.2">
      <c r="A191" s="438"/>
      <c r="B191" s="439"/>
      <c r="E191" s="441"/>
      <c r="F191" s="441"/>
    </row>
    <row r="192" spans="1:6" x14ac:dyDescent="0.2">
      <c r="A192" s="438"/>
      <c r="B192" s="439"/>
      <c r="E192" s="441"/>
      <c r="F192" s="441"/>
    </row>
    <row r="193" spans="1:6" x14ac:dyDescent="0.2">
      <c r="B193" s="439"/>
      <c r="E193" s="441"/>
      <c r="F193" s="441"/>
    </row>
    <row r="194" spans="1:6" x14ac:dyDescent="0.2">
      <c r="A194" s="438"/>
      <c r="B194" s="439"/>
      <c r="E194" s="441"/>
      <c r="F194" s="441"/>
    </row>
    <row r="195" spans="1:6" x14ac:dyDescent="0.2">
      <c r="A195" s="438"/>
      <c r="B195" s="439"/>
      <c r="E195" s="441"/>
      <c r="F195" s="441"/>
    </row>
    <row r="196" spans="1:6" x14ac:dyDescent="0.2">
      <c r="B196" s="439"/>
      <c r="E196" s="441"/>
      <c r="F196" s="441"/>
    </row>
    <row r="197" spans="1:6" x14ac:dyDescent="0.2">
      <c r="B197" s="439"/>
      <c r="E197" s="441"/>
      <c r="F197" s="441"/>
    </row>
    <row r="198" spans="1:6" x14ac:dyDescent="0.2">
      <c r="A198" s="438"/>
      <c r="B198" s="439"/>
      <c r="E198" s="441"/>
      <c r="F198" s="441"/>
    </row>
    <row r="199" spans="1:6" x14ac:dyDescent="0.2">
      <c r="A199" s="438"/>
      <c r="B199" s="439"/>
      <c r="E199" s="441"/>
      <c r="F199" s="441"/>
    </row>
    <row r="200" spans="1:6" x14ac:dyDescent="0.2">
      <c r="A200" s="438"/>
      <c r="B200" s="439"/>
      <c r="E200" s="441"/>
      <c r="F200" s="441"/>
    </row>
    <row r="201" spans="1:6" x14ac:dyDescent="0.2">
      <c r="A201" s="438"/>
      <c r="B201" s="439"/>
      <c r="E201" s="441"/>
      <c r="F201" s="441"/>
    </row>
    <row r="202" spans="1:6" x14ac:dyDescent="0.2">
      <c r="B202" s="439"/>
      <c r="E202" s="441"/>
      <c r="F202" s="441"/>
    </row>
    <row r="203" spans="1:6" x14ac:dyDescent="0.2">
      <c r="A203" s="438"/>
      <c r="B203" s="439"/>
      <c r="E203" s="441"/>
      <c r="F203" s="441"/>
    </row>
    <row r="204" spans="1:6" x14ac:dyDescent="0.2">
      <c r="B204" s="439"/>
      <c r="E204" s="441"/>
      <c r="F204" s="441"/>
    </row>
    <row r="205" spans="1:6" x14ac:dyDescent="0.2">
      <c r="B205" s="439"/>
      <c r="E205" s="441"/>
      <c r="F205" s="441"/>
    </row>
    <row r="206" spans="1:6" x14ac:dyDescent="0.2">
      <c r="B206" s="439"/>
      <c r="E206" s="441"/>
      <c r="F206" s="441"/>
    </row>
    <row r="207" spans="1:6" x14ac:dyDescent="0.2">
      <c r="A207" s="438"/>
      <c r="B207" s="439"/>
      <c r="E207" s="441"/>
      <c r="F207" s="441"/>
    </row>
    <row r="208" spans="1:6" x14ac:dyDescent="0.2">
      <c r="A208" s="438"/>
      <c r="B208" s="439"/>
      <c r="E208" s="441"/>
      <c r="F208" s="441"/>
    </row>
    <row r="209" spans="1:6" x14ac:dyDescent="0.2">
      <c r="B209" s="439"/>
      <c r="E209" s="441"/>
      <c r="F209" s="441"/>
    </row>
    <row r="210" spans="1:6" x14ac:dyDescent="0.2">
      <c r="A210" s="438"/>
      <c r="B210" s="439"/>
      <c r="E210" s="441"/>
      <c r="F210" s="441"/>
    </row>
    <row r="211" spans="1:6" x14ac:dyDescent="0.2">
      <c r="B211" s="439"/>
      <c r="E211" s="441"/>
      <c r="F211" s="441"/>
    </row>
    <row r="212" spans="1:6" x14ac:dyDescent="0.2">
      <c r="B212" s="439"/>
      <c r="E212" s="441"/>
      <c r="F212" s="441"/>
    </row>
    <row r="213" spans="1:6" x14ac:dyDescent="0.2">
      <c r="A213" s="438"/>
      <c r="B213" s="439"/>
      <c r="E213" s="441"/>
      <c r="F213" s="441"/>
    </row>
    <row r="214" spans="1:6" x14ac:dyDescent="0.2">
      <c r="A214" s="438"/>
      <c r="B214" s="439"/>
      <c r="E214" s="441"/>
      <c r="F214" s="441"/>
    </row>
    <row r="215" spans="1:6" x14ac:dyDescent="0.2">
      <c r="A215" s="438"/>
      <c r="B215" s="439"/>
      <c r="E215" s="441"/>
      <c r="F215" s="441"/>
    </row>
    <row r="216" spans="1:6" x14ac:dyDescent="0.2">
      <c r="A216" s="438"/>
      <c r="B216" s="439"/>
      <c r="E216" s="441"/>
      <c r="F216" s="441"/>
    </row>
    <row r="217" spans="1:6" x14ac:dyDescent="0.2">
      <c r="A217" s="438"/>
      <c r="B217" s="439"/>
      <c r="E217" s="441"/>
      <c r="F217" s="441"/>
    </row>
    <row r="218" spans="1:6" x14ac:dyDescent="0.2">
      <c r="A218" s="438"/>
      <c r="B218" s="439"/>
      <c r="E218" s="441"/>
      <c r="F218" s="441"/>
    </row>
    <row r="219" spans="1:6" x14ac:dyDescent="0.2">
      <c r="A219" s="438"/>
      <c r="B219" s="439"/>
      <c r="E219" s="441"/>
      <c r="F219" s="441"/>
    </row>
    <row r="220" spans="1:6" x14ac:dyDescent="0.2">
      <c r="A220" s="438"/>
      <c r="B220" s="439"/>
      <c r="E220" s="441"/>
      <c r="F220" s="441"/>
    </row>
    <row r="221" spans="1:6" x14ac:dyDescent="0.2">
      <c r="A221" s="438"/>
      <c r="B221" s="439"/>
      <c r="E221" s="441"/>
      <c r="F221" s="441"/>
    </row>
    <row r="222" spans="1:6" x14ac:dyDescent="0.2">
      <c r="A222" s="438"/>
      <c r="B222" s="439"/>
      <c r="E222" s="441"/>
      <c r="F222" s="441"/>
    </row>
    <row r="223" spans="1:6" x14ac:dyDescent="0.2">
      <c r="A223" s="438"/>
      <c r="B223" s="439"/>
      <c r="E223" s="441"/>
      <c r="F223" s="441"/>
    </row>
    <row r="224" spans="1:6" x14ac:dyDescent="0.2">
      <c r="B224" s="439"/>
      <c r="E224" s="441"/>
      <c r="F224" s="441"/>
    </row>
    <row r="225" spans="1:6" x14ac:dyDescent="0.2">
      <c r="A225" s="438"/>
      <c r="B225" s="439"/>
      <c r="E225" s="441"/>
      <c r="F225" s="441"/>
    </row>
    <row r="226" spans="1:6" x14ac:dyDescent="0.2">
      <c r="A226" s="438"/>
      <c r="B226" s="439"/>
      <c r="E226" s="441"/>
      <c r="F226" s="441"/>
    </row>
    <row r="227" spans="1:6" x14ac:dyDescent="0.2">
      <c r="A227" s="438"/>
      <c r="B227" s="439"/>
      <c r="E227" s="441"/>
      <c r="F227" s="441"/>
    </row>
    <row r="228" spans="1:6" x14ac:dyDescent="0.2">
      <c r="A228" s="438"/>
      <c r="B228" s="439"/>
      <c r="E228" s="441"/>
      <c r="F228" s="441"/>
    </row>
    <row r="229" spans="1:6" x14ac:dyDescent="0.2">
      <c r="A229" s="438"/>
      <c r="B229" s="439"/>
      <c r="E229" s="441"/>
      <c r="F229" s="441"/>
    </row>
    <row r="230" spans="1:6" x14ac:dyDescent="0.2">
      <c r="B230" s="439"/>
      <c r="E230" s="441"/>
      <c r="F230" s="441"/>
    </row>
    <row r="231" spans="1:6" x14ac:dyDescent="0.2">
      <c r="B231" s="439"/>
      <c r="E231" s="441"/>
      <c r="F231" s="441"/>
    </row>
    <row r="232" spans="1:6" x14ac:dyDescent="0.2">
      <c r="A232" s="438"/>
      <c r="B232" s="439"/>
      <c r="E232" s="441"/>
      <c r="F232" s="441"/>
    </row>
    <row r="233" spans="1:6" x14ac:dyDescent="0.2">
      <c r="A233" s="438"/>
      <c r="B233" s="439"/>
      <c r="E233" s="441"/>
      <c r="F233" s="441"/>
    </row>
    <row r="234" spans="1:6" x14ac:dyDescent="0.2">
      <c r="B234" s="439"/>
      <c r="E234" s="441"/>
      <c r="F234" s="441"/>
    </row>
    <row r="235" spans="1:6" x14ac:dyDescent="0.2">
      <c r="A235" s="438"/>
      <c r="B235" s="439"/>
      <c r="E235" s="441"/>
      <c r="F235" s="441"/>
    </row>
    <row r="236" spans="1:6" x14ac:dyDescent="0.2">
      <c r="A236" s="438"/>
      <c r="B236" s="439"/>
      <c r="E236" s="441"/>
      <c r="F236" s="441"/>
    </row>
    <row r="237" spans="1:6" x14ac:dyDescent="0.2">
      <c r="B237" s="439"/>
      <c r="E237" s="441"/>
      <c r="F237" s="441"/>
    </row>
    <row r="238" spans="1:6" x14ac:dyDescent="0.2">
      <c r="A238" s="438"/>
      <c r="B238" s="439"/>
      <c r="E238" s="441"/>
      <c r="F238" s="441"/>
    </row>
    <row r="239" spans="1:6" x14ac:dyDescent="0.2">
      <c r="B239" s="439"/>
      <c r="E239" s="441"/>
      <c r="F239" s="441"/>
    </row>
    <row r="240" spans="1:6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n6hXv5EtdYRG0bOYKGK2dWNvY6+B01cs68MvHMczS3ADZAEoMsPwB56Y/afM0P6zYYAZz6cWogHZqQvN5YY9+A==" saltValue="jQsxLubx/K00LU6hEaLyUA==" spinCount="100000" sheet="1" objects="1" scenarios="1"/>
  <sortState ref="A2:H120">
    <sortCondition ref="C2:C120"/>
    <sortCondition ref="A2:A120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169"/>
  <sheetViews>
    <sheetView workbookViewId="0">
      <selection activeCell="A2" sqref="A2:F120"/>
    </sheetView>
  </sheetViews>
  <sheetFormatPr defaultColWidth="9.140625" defaultRowHeight="11.25" x14ac:dyDescent="0.2"/>
  <cols>
    <col min="1" max="1" width="12.5703125" style="573" bestFit="1" customWidth="1"/>
    <col min="2" max="2" width="19.28515625" style="575" bestFit="1" customWidth="1"/>
    <col min="3" max="3" width="11.140625" style="573" bestFit="1" customWidth="1"/>
    <col min="4" max="4" width="16" style="573" bestFit="1" customWidth="1"/>
    <col min="5" max="7" width="7.28515625" style="574" bestFit="1" customWidth="1"/>
    <col min="8" max="8" width="6.42578125" style="574" bestFit="1" customWidth="1"/>
    <col min="9" max="9" width="8.28515625" style="579" bestFit="1" customWidth="1"/>
    <col min="10" max="10" width="8.28515625" style="581" bestFit="1" customWidth="1"/>
    <col min="11" max="12" width="9.140625" style="573"/>
    <col min="13" max="13" width="12.5703125" style="573" bestFit="1" customWidth="1"/>
    <col min="14" max="14" width="8.140625" style="573" bestFit="1" customWidth="1"/>
    <col min="15" max="15" width="7.7109375" style="573" bestFit="1" customWidth="1"/>
    <col min="16" max="16" width="16.28515625" style="574" bestFit="1" customWidth="1"/>
    <col min="17" max="17" width="8.28515625" style="573" bestFit="1" customWidth="1"/>
    <col min="18" max="16384" width="9.140625" style="573"/>
  </cols>
  <sheetData>
    <row r="1" spans="1:17" ht="12" thickBot="1" x14ac:dyDescent="0.25">
      <c r="A1" s="576" t="s">
        <v>69</v>
      </c>
      <c r="B1" s="577" t="s">
        <v>65</v>
      </c>
      <c r="C1" s="577" t="s">
        <v>120</v>
      </c>
      <c r="D1" s="577" t="s">
        <v>121</v>
      </c>
      <c r="E1" s="577" t="s">
        <v>149</v>
      </c>
      <c r="F1" s="577" t="s">
        <v>150</v>
      </c>
      <c r="G1" s="577" t="s">
        <v>147</v>
      </c>
      <c r="H1" s="577" t="s">
        <v>148</v>
      </c>
      <c r="I1" s="578" t="s">
        <v>151</v>
      </c>
      <c r="J1" s="580" t="s">
        <v>152</v>
      </c>
      <c r="K1" s="246"/>
      <c r="M1" s="619" t="s">
        <v>69</v>
      </c>
      <c r="N1" s="620" t="s">
        <v>65</v>
      </c>
      <c r="O1" s="620" t="s">
        <v>120</v>
      </c>
      <c r="P1" s="622" t="s">
        <v>216</v>
      </c>
      <c r="Q1" s="621" t="s">
        <v>222</v>
      </c>
    </row>
    <row r="2" spans="1:17" x14ac:dyDescent="0.2">
      <c r="A2" s="573" t="s">
        <v>208</v>
      </c>
      <c r="B2" s="575">
        <v>42537</v>
      </c>
      <c r="C2" s="573" t="s">
        <v>119</v>
      </c>
      <c r="D2" s="573" t="s">
        <v>170</v>
      </c>
      <c r="E2" s="574">
        <v>0.29166666666666669</v>
      </c>
      <c r="F2" s="574">
        <v>0.36458333333333331</v>
      </c>
      <c r="I2" s="579">
        <f t="shared" ref="I2:I33" si="0">IF(G2="",-9999,ABS(ROUND((IF(E2&lt;0.25,E2+1,E2)-IF(G2&lt;0.25,G2+1,G2))*24,2)))</f>
        <v>-9999</v>
      </c>
      <c r="J2" s="581">
        <f t="shared" ref="J2:J33" si="1">IF(H2="",-9999,ABS(ROUND((IF(F2&lt;0.25,F2+1,F2)-IF(H2&lt;0.25,H2+1,H2))*24,2)))</f>
        <v>-9999</v>
      </c>
      <c r="M2" s="573" t="s">
        <v>185</v>
      </c>
      <c r="N2" s="618">
        <v>42538</v>
      </c>
      <c r="O2" s="573" t="s">
        <v>217</v>
      </c>
      <c r="P2" s="574">
        <v>0.66666666666666663</v>
      </c>
      <c r="Q2" s="573" t="s">
        <v>224</v>
      </c>
    </row>
    <row r="3" spans="1:17" x14ac:dyDescent="0.2">
      <c r="A3" s="573" t="s">
        <v>177</v>
      </c>
      <c r="B3" s="575">
        <v>42537</v>
      </c>
      <c r="C3" s="573" t="s">
        <v>119</v>
      </c>
      <c r="D3" s="573" t="s">
        <v>170</v>
      </c>
      <c r="E3" s="574">
        <v>0.29166666666666669</v>
      </c>
      <c r="F3" s="574">
        <v>0.36458333333333331</v>
      </c>
      <c r="I3" s="579">
        <f t="shared" si="0"/>
        <v>-9999</v>
      </c>
      <c r="J3" s="581">
        <f t="shared" si="1"/>
        <v>-9999</v>
      </c>
      <c r="M3" s="573" t="s">
        <v>185</v>
      </c>
      <c r="N3" s="618">
        <v>42540</v>
      </c>
      <c r="O3" s="573" t="s">
        <v>5</v>
      </c>
      <c r="P3" s="574">
        <v>0.16666666666666666</v>
      </c>
      <c r="Q3" s="573" t="s">
        <v>226</v>
      </c>
    </row>
    <row r="4" spans="1:17" x14ac:dyDescent="0.2">
      <c r="A4" s="573" t="s">
        <v>208</v>
      </c>
      <c r="B4" s="575">
        <v>42537</v>
      </c>
      <c r="C4" s="573" t="s">
        <v>16</v>
      </c>
      <c r="D4" s="573" t="s">
        <v>67</v>
      </c>
      <c r="E4" s="574">
        <v>0.70833333333333337</v>
      </c>
      <c r="F4" s="574">
        <v>0.91666666666666663</v>
      </c>
      <c r="I4" s="579">
        <f t="shared" si="0"/>
        <v>-9999</v>
      </c>
      <c r="J4" s="581">
        <f t="shared" si="1"/>
        <v>-9999</v>
      </c>
      <c r="M4" s="573" t="s">
        <v>191</v>
      </c>
      <c r="N4" s="618">
        <v>42539</v>
      </c>
      <c r="O4" s="573" t="s">
        <v>218</v>
      </c>
      <c r="P4" s="574">
        <v>0.90625</v>
      </c>
      <c r="Q4" s="573" t="s">
        <v>226</v>
      </c>
    </row>
    <row r="5" spans="1:17" x14ac:dyDescent="0.2">
      <c r="A5" s="573" t="s">
        <v>181</v>
      </c>
      <c r="B5" s="575">
        <v>42537</v>
      </c>
      <c r="C5" s="573" t="s">
        <v>145</v>
      </c>
      <c r="D5" s="573" t="s">
        <v>173</v>
      </c>
      <c r="E5" s="574">
        <v>0.46875</v>
      </c>
      <c r="F5" s="574">
        <v>0.66666666666666663</v>
      </c>
      <c r="G5" s="574">
        <v>0.46875</v>
      </c>
      <c r="I5" s="579">
        <f t="shared" si="0"/>
        <v>0</v>
      </c>
      <c r="J5" s="581">
        <f t="shared" si="1"/>
        <v>-9999</v>
      </c>
      <c r="M5" s="573" t="s">
        <v>189</v>
      </c>
      <c r="N5" s="618">
        <v>42538</v>
      </c>
      <c r="O5" s="573" t="s">
        <v>217</v>
      </c>
      <c r="P5" s="574">
        <v>0.9375</v>
      </c>
      <c r="Q5" s="573" t="s">
        <v>226</v>
      </c>
    </row>
    <row r="6" spans="1:17" x14ac:dyDescent="0.2">
      <c r="A6" s="573" t="s">
        <v>181</v>
      </c>
      <c r="B6" s="575">
        <v>42537</v>
      </c>
      <c r="C6" s="573" t="s">
        <v>145</v>
      </c>
      <c r="D6" s="573" t="s">
        <v>173</v>
      </c>
      <c r="E6" s="574">
        <v>0.6875</v>
      </c>
      <c r="F6" s="574">
        <v>0.86458333333333337</v>
      </c>
      <c r="I6" s="579">
        <f t="shared" si="0"/>
        <v>-9999</v>
      </c>
      <c r="J6" s="581">
        <f t="shared" si="1"/>
        <v>-9999</v>
      </c>
      <c r="M6" s="573" t="s">
        <v>189</v>
      </c>
      <c r="N6" s="618">
        <v>42539</v>
      </c>
      <c r="O6" s="573" t="s">
        <v>217</v>
      </c>
      <c r="P6" s="574">
        <v>1</v>
      </c>
      <c r="Q6" s="573" t="s">
        <v>226</v>
      </c>
    </row>
    <row r="7" spans="1:17" x14ac:dyDescent="0.2">
      <c r="A7" s="573" t="s">
        <v>157</v>
      </c>
      <c r="B7" s="575">
        <v>42537</v>
      </c>
      <c r="C7" s="573" t="s">
        <v>50</v>
      </c>
      <c r="D7" s="573" t="s">
        <v>196</v>
      </c>
      <c r="E7" s="574">
        <v>0.45833333333333331</v>
      </c>
      <c r="F7" s="574">
        <v>0.58333333333333337</v>
      </c>
      <c r="I7" s="579">
        <f t="shared" si="0"/>
        <v>-9999</v>
      </c>
      <c r="J7" s="581">
        <f t="shared" si="1"/>
        <v>-9999</v>
      </c>
      <c r="M7" s="573" t="s">
        <v>189</v>
      </c>
      <c r="N7" s="618">
        <v>42541</v>
      </c>
      <c r="O7" s="573" t="s">
        <v>5</v>
      </c>
      <c r="P7" s="574">
        <v>0.80208333333333326</v>
      </c>
      <c r="Q7" s="573" t="s">
        <v>226</v>
      </c>
    </row>
    <row r="8" spans="1:17" x14ac:dyDescent="0.2">
      <c r="A8" s="573" t="s">
        <v>177</v>
      </c>
      <c r="B8" s="575">
        <v>42537</v>
      </c>
      <c r="C8" s="573" t="s">
        <v>5</v>
      </c>
      <c r="D8" s="573" t="s">
        <v>174</v>
      </c>
      <c r="E8" s="574">
        <v>0.46875</v>
      </c>
      <c r="F8" s="574">
        <v>0.60416666666666663</v>
      </c>
      <c r="G8" s="574">
        <v>0.46875</v>
      </c>
      <c r="I8" s="579">
        <f t="shared" si="0"/>
        <v>0</v>
      </c>
      <c r="J8" s="581">
        <f t="shared" si="1"/>
        <v>-9999</v>
      </c>
      <c r="M8" s="573" t="s">
        <v>227</v>
      </c>
      <c r="N8" s="618">
        <v>42545</v>
      </c>
      <c r="O8" s="573" t="s">
        <v>217</v>
      </c>
      <c r="P8" s="574">
        <v>0.47916666666666663</v>
      </c>
      <c r="Q8" s="573" t="s">
        <v>223</v>
      </c>
    </row>
    <row r="9" spans="1:17" x14ac:dyDescent="0.2">
      <c r="A9" s="573" t="s">
        <v>182</v>
      </c>
      <c r="B9" s="575">
        <v>42537</v>
      </c>
      <c r="C9" s="573" t="s">
        <v>5</v>
      </c>
      <c r="D9" s="573" t="s">
        <v>174</v>
      </c>
      <c r="E9" s="574">
        <v>0.6875</v>
      </c>
      <c r="F9" s="574">
        <v>0.92708333333333337</v>
      </c>
      <c r="G9" s="574">
        <v>0.6875</v>
      </c>
      <c r="I9" s="579">
        <f t="shared" si="0"/>
        <v>0</v>
      </c>
      <c r="J9" s="581">
        <f t="shared" si="1"/>
        <v>-9999</v>
      </c>
      <c r="M9" s="573" t="s">
        <v>227</v>
      </c>
      <c r="N9" s="618">
        <v>42545</v>
      </c>
      <c r="O9" s="573" t="s">
        <v>217</v>
      </c>
      <c r="P9" s="574">
        <v>0.63541666666666663</v>
      </c>
      <c r="Q9" s="573" t="s">
        <v>224</v>
      </c>
    </row>
    <row r="10" spans="1:17" x14ac:dyDescent="0.2">
      <c r="A10" s="573" t="s">
        <v>178</v>
      </c>
      <c r="B10" s="575">
        <v>42537</v>
      </c>
      <c r="C10" s="573" t="s">
        <v>24</v>
      </c>
      <c r="D10" s="573" t="s">
        <v>171</v>
      </c>
      <c r="E10" s="574">
        <v>0.4375</v>
      </c>
      <c r="F10" s="574">
        <v>0.61458333333333337</v>
      </c>
      <c r="I10" s="579">
        <f t="shared" si="0"/>
        <v>-9999</v>
      </c>
      <c r="J10" s="581">
        <f t="shared" si="1"/>
        <v>-9999</v>
      </c>
      <c r="M10" s="573" t="s">
        <v>227</v>
      </c>
      <c r="N10" s="618">
        <v>42546</v>
      </c>
      <c r="O10" s="573" t="s">
        <v>217</v>
      </c>
      <c r="P10" s="574">
        <v>0.65625</v>
      </c>
      <c r="Q10" s="573" t="s">
        <v>225</v>
      </c>
    </row>
    <row r="11" spans="1:17" x14ac:dyDescent="0.2">
      <c r="A11" s="573" t="s">
        <v>179</v>
      </c>
      <c r="B11" s="575">
        <v>42537</v>
      </c>
      <c r="C11" s="573" t="s">
        <v>24</v>
      </c>
      <c r="D11" s="573" t="s">
        <v>171</v>
      </c>
      <c r="E11" s="574">
        <v>0.4375</v>
      </c>
      <c r="F11" s="574">
        <v>0.61458333333333337</v>
      </c>
      <c r="I11" s="579">
        <f t="shared" si="0"/>
        <v>-9999</v>
      </c>
      <c r="J11" s="581">
        <f t="shared" si="1"/>
        <v>-9999</v>
      </c>
      <c r="M11" s="573" t="s">
        <v>227</v>
      </c>
      <c r="N11" s="618">
        <v>42546</v>
      </c>
      <c r="O11" s="573" t="s">
        <v>217</v>
      </c>
      <c r="P11" s="574">
        <v>0.82291666666666663</v>
      </c>
      <c r="Q11" s="573" t="s">
        <v>226</v>
      </c>
    </row>
    <row r="12" spans="1:17" x14ac:dyDescent="0.2">
      <c r="A12" s="573" t="s">
        <v>180</v>
      </c>
      <c r="B12" s="575">
        <v>42537</v>
      </c>
      <c r="C12" s="573" t="s">
        <v>24</v>
      </c>
      <c r="D12" s="573" t="s">
        <v>171</v>
      </c>
      <c r="E12" s="574">
        <v>0.4375</v>
      </c>
      <c r="F12" s="574">
        <v>0.625</v>
      </c>
      <c r="G12" s="574">
        <v>0.4375</v>
      </c>
      <c r="I12" s="579">
        <f t="shared" si="0"/>
        <v>0</v>
      </c>
      <c r="J12" s="581">
        <f t="shared" si="1"/>
        <v>-9999</v>
      </c>
      <c r="M12" s="573" t="s">
        <v>188</v>
      </c>
      <c r="N12" s="618">
        <v>42538</v>
      </c>
      <c r="O12" s="573" t="s">
        <v>217</v>
      </c>
      <c r="P12" s="574">
        <v>1</v>
      </c>
      <c r="Q12" s="573" t="s">
        <v>226</v>
      </c>
    </row>
    <row r="13" spans="1:17" x14ac:dyDescent="0.2">
      <c r="A13" s="573" t="s">
        <v>183</v>
      </c>
      <c r="B13" s="575">
        <v>42537</v>
      </c>
      <c r="C13" s="573" t="s">
        <v>24</v>
      </c>
      <c r="D13" s="573" t="s">
        <v>171</v>
      </c>
      <c r="E13" s="574">
        <v>0.69791666666666663</v>
      </c>
      <c r="F13" s="574">
        <v>0.91666666666666663</v>
      </c>
      <c r="G13" s="574">
        <v>0.69791666666666663</v>
      </c>
      <c r="I13" s="579">
        <f t="shared" si="0"/>
        <v>0</v>
      </c>
      <c r="J13" s="581">
        <f t="shared" si="1"/>
        <v>-9999</v>
      </c>
      <c r="M13" s="573" t="s">
        <v>188</v>
      </c>
      <c r="N13" s="618">
        <v>42543</v>
      </c>
      <c r="O13" s="573" t="s">
        <v>217</v>
      </c>
      <c r="P13" s="574">
        <v>0.625</v>
      </c>
      <c r="Q13" s="573" t="s">
        <v>224</v>
      </c>
    </row>
    <row r="14" spans="1:17" x14ac:dyDescent="0.2">
      <c r="A14" s="573" t="s">
        <v>190</v>
      </c>
      <c r="B14" s="575">
        <v>42538</v>
      </c>
      <c r="C14" s="573" t="s">
        <v>77</v>
      </c>
      <c r="D14" s="573" t="s">
        <v>176</v>
      </c>
      <c r="E14" s="574">
        <v>0.9375</v>
      </c>
      <c r="F14" s="574">
        <v>0.125</v>
      </c>
      <c r="I14" s="579">
        <f t="shared" si="0"/>
        <v>-9999</v>
      </c>
      <c r="J14" s="581">
        <f t="shared" si="1"/>
        <v>-9999</v>
      </c>
      <c r="M14" s="573" t="s">
        <v>188</v>
      </c>
      <c r="N14" s="618">
        <v>42543</v>
      </c>
      <c r="O14" s="573" t="s">
        <v>217</v>
      </c>
      <c r="P14" s="574">
        <v>0.92708333333333326</v>
      </c>
      <c r="Q14" s="573" t="s">
        <v>226</v>
      </c>
    </row>
    <row r="15" spans="1:17" x14ac:dyDescent="0.2">
      <c r="A15" s="573" t="s">
        <v>177</v>
      </c>
      <c r="B15" s="575">
        <v>42538</v>
      </c>
      <c r="C15" s="573" t="s">
        <v>154</v>
      </c>
      <c r="D15" s="573" t="s">
        <v>175</v>
      </c>
      <c r="E15" s="574">
        <v>0.70833333333333337</v>
      </c>
      <c r="F15" s="574">
        <v>0.9375</v>
      </c>
      <c r="I15" s="579">
        <f t="shared" si="0"/>
        <v>-9999</v>
      </c>
      <c r="J15" s="581">
        <f t="shared" si="1"/>
        <v>-9999</v>
      </c>
      <c r="M15" s="573" t="s">
        <v>188</v>
      </c>
      <c r="N15" s="618">
        <v>42544</v>
      </c>
      <c r="O15" s="573" t="s">
        <v>217</v>
      </c>
      <c r="P15" s="574">
        <v>0.64583333333333326</v>
      </c>
      <c r="Q15" s="573" t="s">
        <v>224</v>
      </c>
    </row>
    <row r="16" spans="1:17" x14ac:dyDescent="0.2">
      <c r="A16" s="573" t="s">
        <v>208</v>
      </c>
      <c r="B16" s="575">
        <v>42538</v>
      </c>
      <c r="C16" s="573" t="s">
        <v>16</v>
      </c>
      <c r="D16" s="573" t="s">
        <v>67</v>
      </c>
      <c r="E16" s="574">
        <v>0.6875</v>
      </c>
      <c r="F16" s="574">
        <v>0.9375</v>
      </c>
      <c r="I16" s="579">
        <f t="shared" si="0"/>
        <v>-9999</v>
      </c>
      <c r="J16" s="581">
        <f t="shared" si="1"/>
        <v>-9999</v>
      </c>
      <c r="M16" s="573" t="s">
        <v>188</v>
      </c>
      <c r="N16" s="618">
        <v>42546</v>
      </c>
      <c r="O16" s="573" t="s">
        <v>217</v>
      </c>
      <c r="P16" s="574">
        <v>0.65625</v>
      </c>
      <c r="Q16" s="573" t="s">
        <v>225</v>
      </c>
    </row>
    <row r="17" spans="1:17" x14ac:dyDescent="0.2">
      <c r="A17" s="573" t="s">
        <v>156</v>
      </c>
      <c r="B17" s="575">
        <v>42538</v>
      </c>
      <c r="C17" s="573" t="s">
        <v>16</v>
      </c>
      <c r="D17" s="573" t="s">
        <v>97</v>
      </c>
      <c r="E17" s="574">
        <v>0.72916666666666663</v>
      </c>
      <c r="F17" s="574">
        <v>0.9375</v>
      </c>
      <c r="I17" s="579">
        <f t="shared" si="0"/>
        <v>-9999</v>
      </c>
      <c r="J17" s="581">
        <f t="shared" si="1"/>
        <v>-9999</v>
      </c>
      <c r="M17" s="573" t="s">
        <v>188</v>
      </c>
      <c r="N17" s="618">
        <v>42546</v>
      </c>
      <c r="O17" s="573" t="s">
        <v>217</v>
      </c>
      <c r="P17" s="574">
        <v>0.96875</v>
      </c>
      <c r="Q17" s="573" t="s">
        <v>226</v>
      </c>
    </row>
    <row r="18" spans="1:17" x14ac:dyDescent="0.2">
      <c r="A18" s="573" t="s">
        <v>181</v>
      </c>
      <c r="B18" s="575">
        <v>42538</v>
      </c>
      <c r="C18" s="573" t="s">
        <v>145</v>
      </c>
      <c r="D18" s="573" t="s">
        <v>173</v>
      </c>
      <c r="E18" s="574">
        <v>0.45833333333333331</v>
      </c>
      <c r="F18" s="574">
        <v>0.60416666666666663</v>
      </c>
      <c r="G18" s="574">
        <v>0.45833333333333331</v>
      </c>
      <c r="I18" s="579">
        <f t="shared" si="0"/>
        <v>0</v>
      </c>
      <c r="J18" s="581">
        <f t="shared" si="1"/>
        <v>-9999</v>
      </c>
      <c r="M18" s="573" t="s">
        <v>188</v>
      </c>
      <c r="N18" s="618">
        <v>42541</v>
      </c>
      <c r="O18" s="573" t="s">
        <v>5</v>
      </c>
      <c r="P18" s="574">
        <v>0.625</v>
      </c>
      <c r="Q18" s="573" t="s">
        <v>224</v>
      </c>
    </row>
    <row r="19" spans="1:17" x14ac:dyDescent="0.2">
      <c r="A19" s="573" t="s">
        <v>181</v>
      </c>
      <c r="B19" s="575">
        <v>42538</v>
      </c>
      <c r="C19" s="573" t="s">
        <v>145</v>
      </c>
      <c r="D19" s="573" t="s">
        <v>173</v>
      </c>
      <c r="E19" s="574">
        <v>0.6875</v>
      </c>
      <c r="F19" s="574">
        <v>0.89583333333333337</v>
      </c>
      <c r="G19" s="574">
        <v>0.6875</v>
      </c>
      <c r="I19" s="579">
        <f t="shared" si="0"/>
        <v>0</v>
      </c>
      <c r="J19" s="581">
        <f t="shared" si="1"/>
        <v>-9999</v>
      </c>
      <c r="M19" s="573" t="s">
        <v>188</v>
      </c>
      <c r="N19" s="618">
        <v>42541</v>
      </c>
      <c r="O19" s="573" t="s">
        <v>5</v>
      </c>
      <c r="P19" s="574">
        <v>0.625</v>
      </c>
      <c r="Q19" s="573" t="s">
        <v>225</v>
      </c>
    </row>
    <row r="20" spans="1:17" x14ac:dyDescent="0.2">
      <c r="A20" s="573" t="s">
        <v>157</v>
      </c>
      <c r="B20" s="575">
        <v>42538</v>
      </c>
      <c r="C20" s="573" t="s">
        <v>50</v>
      </c>
      <c r="D20" s="573" t="s">
        <v>196</v>
      </c>
      <c r="E20" s="574">
        <v>0.46875</v>
      </c>
      <c r="F20" s="574">
        <v>0.55208333333333337</v>
      </c>
      <c r="I20" s="579">
        <f t="shared" si="0"/>
        <v>-9999</v>
      </c>
      <c r="J20" s="581">
        <f t="shared" si="1"/>
        <v>-9999</v>
      </c>
      <c r="M20" s="573" t="s">
        <v>188</v>
      </c>
      <c r="N20" s="618">
        <v>42541</v>
      </c>
      <c r="O20" s="573" t="s">
        <v>5</v>
      </c>
      <c r="P20" s="574">
        <v>0.625</v>
      </c>
      <c r="Q20" s="573" t="s">
        <v>226</v>
      </c>
    </row>
    <row r="21" spans="1:17" x14ac:dyDescent="0.2">
      <c r="A21" s="573" t="s">
        <v>186</v>
      </c>
      <c r="B21" s="575">
        <v>42538</v>
      </c>
      <c r="C21" s="573" t="s">
        <v>5</v>
      </c>
      <c r="D21" s="573" t="s">
        <v>174</v>
      </c>
      <c r="E21" s="574">
        <v>0.6875</v>
      </c>
      <c r="F21" s="574">
        <v>0.875</v>
      </c>
      <c r="G21" s="574">
        <v>0.69791666666666663</v>
      </c>
      <c r="I21" s="579">
        <f t="shared" si="0"/>
        <v>0.25</v>
      </c>
      <c r="J21" s="581">
        <f t="shared" si="1"/>
        <v>-9999</v>
      </c>
      <c r="M21" s="573" t="s">
        <v>180</v>
      </c>
      <c r="N21" s="618">
        <v>42537</v>
      </c>
      <c r="O21" s="573" t="s">
        <v>217</v>
      </c>
      <c r="P21" s="574">
        <v>0.61458333333333326</v>
      </c>
      <c r="Q21" s="573" t="s">
        <v>224</v>
      </c>
    </row>
    <row r="22" spans="1:17" x14ac:dyDescent="0.2">
      <c r="A22" s="573" t="s">
        <v>184</v>
      </c>
      <c r="B22" s="575">
        <v>42538</v>
      </c>
      <c r="C22" s="573" t="s">
        <v>5</v>
      </c>
      <c r="D22" s="573" t="s">
        <v>174</v>
      </c>
      <c r="E22" s="574">
        <v>0.46875</v>
      </c>
      <c r="F22" s="574">
        <v>0.61458333333333337</v>
      </c>
      <c r="G22" s="574">
        <v>0.46875</v>
      </c>
      <c r="I22" s="579">
        <f t="shared" si="0"/>
        <v>0</v>
      </c>
      <c r="J22" s="581">
        <f t="shared" si="1"/>
        <v>-9999</v>
      </c>
      <c r="M22" s="573" t="s">
        <v>180</v>
      </c>
      <c r="N22" s="618">
        <v>42538</v>
      </c>
      <c r="O22" s="573" t="s">
        <v>5</v>
      </c>
      <c r="P22" s="574">
        <v>0.71875</v>
      </c>
      <c r="Q22" s="573" t="s">
        <v>225</v>
      </c>
    </row>
    <row r="23" spans="1:17" x14ac:dyDescent="0.2">
      <c r="A23" s="573" t="s">
        <v>189</v>
      </c>
      <c r="B23" s="575">
        <v>42538</v>
      </c>
      <c r="C23" s="573" t="s">
        <v>24</v>
      </c>
      <c r="D23" s="573" t="s">
        <v>171</v>
      </c>
      <c r="E23" s="574">
        <v>0.73958333333333337</v>
      </c>
      <c r="F23" s="574">
        <v>0.9375</v>
      </c>
      <c r="G23" s="574">
        <v>0.73958333333333326</v>
      </c>
      <c r="I23" s="579">
        <f t="shared" si="0"/>
        <v>0</v>
      </c>
      <c r="J23" s="581">
        <f t="shared" si="1"/>
        <v>-9999</v>
      </c>
      <c r="M23" s="573" t="s">
        <v>180</v>
      </c>
      <c r="N23" s="618">
        <v>42538</v>
      </c>
      <c r="O23" s="573" t="s">
        <v>5</v>
      </c>
      <c r="P23" s="574">
        <v>0.84375</v>
      </c>
      <c r="Q23" s="573" t="s">
        <v>226</v>
      </c>
    </row>
    <row r="24" spans="1:17" x14ac:dyDescent="0.2">
      <c r="A24" s="573" t="s">
        <v>188</v>
      </c>
      <c r="B24" s="575">
        <v>42538</v>
      </c>
      <c r="C24" s="573" t="s">
        <v>24</v>
      </c>
      <c r="D24" s="573" t="s">
        <v>171</v>
      </c>
      <c r="E24" s="574">
        <v>0.72916666666666663</v>
      </c>
      <c r="F24" s="574">
        <v>0</v>
      </c>
      <c r="G24" s="574">
        <v>0.72916666666666663</v>
      </c>
      <c r="I24" s="579">
        <f t="shared" si="0"/>
        <v>0</v>
      </c>
      <c r="J24" s="581">
        <f t="shared" si="1"/>
        <v>-9999</v>
      </c>
      <c r="M24" s="573" t="s">
        <v>178</v>
      </c>
      <c r="N24" s="618">
        <v>42544</v>
      </c>
      <c r="O24" s="573" t="s">
        <v>5</v>
      </c>
      <c r="P24" s="574">
        <v>0.60416666666666663</v>
      </c>
      <c r="Q24" s="573" t="s">
        <v>224</v>
      </c>
    </row>
    <row r="25" spans="1:17" x14ac:dyDescent="0.2">
      <c r="A25" s="573" t="s">
        <v>185</v>
      </c>
      <c r="B25" s="575">
        <v>42538</v>
      </c>
      <c r="C25" s="573" t="s">
        <v>24</v>
      </c>
      <c r="D25" s="573" t="s">
        <v>171</v>
      </c>
      <c r="E25" s="574">
        <v>0.46875</v>
      </c>
      <c r="F25" s="574">
        <v>0.63541666666666663</v>
      </c>
      <c r="G25" s="574">
        <v>0.46875</v>
      </c>
      <c r="I25" s="579">
        <f t="shared" si="0"/>
        <v>0</v>
      </c>
      <c r="J25" s="581">
        <f t="shared" si="1"/>
        <v>-9999</v>
      </c>
      <c r="M25" s="573" t="s">
        <v>184</v>
      </c>
      <c r="N25" s="618">
        <v>42540</v>
      </c>
      <c r="O25" s="573" t="s">
        <v>217</v>
      </c>
      <c r="P25" s="574">
        <v>0.78125</v>
      </c>
      <c r="Q25" s="573" t="s">
        <v>226</v>
      </c>
    </row>
    <row r="26" spans="1:17" x14ac:dyDescent="0.2">
      <c r="A26" s="573" t="s">
        <v>187</v>
      </c>
      <c r="B26" s="575">
        <v>42538</v>
      </c>
      <c r="C26" s="573" t="s">
        <v>24</v>
      </c>
      <c r="D26" s="573" t="s">
        <v>171</v>
      </c>
      <c r="E26" s="574">
        <v>0.6875</v>
      </c>
      <c r="F26" s="574">
        <v>3.125E-2</v>
      </c>
      <c r="G26" s="574">
        <v>0.6875</v>
      </c>
      <c r="I26" s="579">
        <f t="shared" si="0"/>
        <v>0</v>
      </c>
      <c r="J26" s="581">
        <f t="shared" si="1"/>
        <v>-9999</v>
      </c>
      <c r="M26" s="573" t="s">
        <v>184</v>
      </c>
      <c r="N26" s="618">
        <v>42538</v>
      </c>
      <c r="O26" s="573" t="s">
        <v>5</v>
      </c>
      <c r="P26" s="574">
        <v>0.60416666666666663</v>
      </c>
      <c r="Q26" s="573" t="s">
        <v>224</v>
      </c>
    </row>
    <row r="27" spans="1:17" x14ac:dyDescent="0.2">
      <c r="A27" s="573" t="s">
        <v>177</v>
      </c>
      <c r="B27" s="575">
        <v>42539</v>
      </c>
      <c r="C27" s="573" t="s">
        <v>154</v>
      </c>
      <c r="D27" s="573" t="s">
        <v>175</v>
      </c>
      <c r="E27" s="574">
        <v>0.70833333333333337</v>
      </c>
      <c r="F27" s="574">
        <v>0.9375</v>
      </c>
      <c r="I27" s="579">
        <f t="shared" si="0"/>
        <v>-9999</v>
      </c>
      <c r="J27" s="581">
        <f t="shared" si="1"/>
        <v>-9999</v>
      </c>
      <c r="M27" s="573" t="s">
        <v>184</v>
      </c>
      <c r="N27" s="618">
        <v>42538</v>
      </c>
      <c r="O27" s="573" t="s">
        <v>5</v>
      </c>
      <c r="P27" s="574">
        <v>0.61458333333333326</v>
      </c>
      <c r="Q27" s="573" t="s">
        <v>225</v>
      </c>
    </row>
    <row r="28" spans="1:17" x14ac:dyDescent="0.2">
      <c r="A28" s="573" t="s">
        <v>188</v>
      </c>
      <c r="B28" s="575">
        <v>42539</v>
      </c>
      <c r="C28" s="573" t="s">
        <v>118</v>
      </c>
      <c r="D28" s="573" t="s">
        <v>199</v>
      </c>
      <c r="E28" s="574">
        <v>0.73958333333333337</v>
      </c>
      <c r="F28" s="574">
        <v>0.95833333333333337</v>
      </c>
      <c r="I28" s="579">
        <f t="shared" si="0"/>
        <v>-9999</v>
      </c>
      <c r="J28" s="581">
        <f t="shared" si="1"/>
        <v>-9999</v>
      </c>
      <c r="M28" s="573" t="s">
        <v>184</v>
      </c>
      <c r="N28" s="618">
        <v>42538</v>
      </c>
      <c r="O28" s="573" t="s">
        <v>5</v>
      </c>
      <c r="P28" s="574">
        <v>0.61458333333333326</v>
      </c>
      <c r="Q28" s="573" t="s">
        <v>226</v>
      </c>
    </row>
    <row r="29" spans="1:17" x14ac:dyDescent="0.2">
      <c r="A29" s="573" t="s">
        <v>178</v>
      </c>
      <c r="B29" s="575">
        <v>42539</v>
      </c>
      <c r="C29" s="573" t="s">
        <v>118</v>
      </c>
      <c r="D29" s="573" t="s">
        <v>199</v>
      </c>
      <c r="E29" s="574">
        <v>0.73958333333333337</v>
      </c>
      <c r="F29" s="574">
        <v>0.9375</v>
      </c>
      <c r="I29" s="579">
        <f t="shared" si="0"/>
        <v>-9999</v>
      </c>
      <c r="J29" s="581">
        <f t="shared" si="1"/>
        <v>-9999</v>
      </c>
      <c r="M29" s="573" t="s">
        <v>234</v>
      </c>
      <c r="N29" s="618">
        <v>42546</v>
      </c>
      <c r="O29" s="573" t="s">
        <v>5</v>
      </c>
      <c r="P29" s="574">
        <v>0.78125</v>
      </c>
      <c r="Q29" s="573" t="s">
        <v>225</v>
      </c>
    </row>
    <row r="30" spans="1:17" x14ac:dyDescent="0.2">
      <c r="A30" s="573" t="s">
        <v>184</v>
      </c>
      <c r="B30" s="575">
        <v>42539</v>
      </c>
      <c r="C30" s="573" t="s">
        <v>118</v>
      </c>
      <c r="D30" s="573" t="s">
        <v>199</v>
      </c>
      <c r="E30" s="574">
        <v>0.35416666666666669</v>
      </c>
      <c r="F30" s="574">
        <v>0.88541666666666663</v>
      </c>
      <c r="I30" s="579">
        <f t="shared" si="0"/>
        <v>-9999</v>
      </c>
      <c r="J30" s="581">
        <f t="shared" si="1"/>
        <v>-9999</v>
      </c>
      <c r="M30" s="573" t="s">
        <v>234</v>
      </c>
      <c r="N30" s="618">
        <v>42546</v>
      </c>
      <c r="O30" s="573" t="s">
        <v>5</v>
      </c>
      <c r="P30" s="574">
        <v>0.92708333333333326</v>
      </c>
      <c r="Q30" s="573" t="s">
        <v>226</v>
      </c>
    </row>
    <row r="31" spans="1:17" x14ac:dyDescent="0.2">
      <c r="A31" s="573" t="s">
        <v>210</v>
      </c>
      <c r="B31" s="575">
        <v>42539</v>
      </c>
      <c r="C31" s="573" t="s">
        <v>118</v>
      </c>
      <c r="D31" s="573" t="s">
        <v>199</v>
      </c>
      <c r="E31" s="574">
        <v>0.73958333333333337</v>
      </c>
      <c r="F31" s="574">
        <v>0.9375</v>
      </c>
      <c r="I31" s="579">
        <f t="shared" si="0"/>
        <v>-9999</v>
      </c>
      <c r="J31" s="581">
        <f t="shared" si="1"/>
        <v>-9999</v>
      </c>
      <c r="M31" s="573" t="s">
        <v>213</v>
      </c>
      <c r="N31" s="618">
        <v>42540</v>
      </c>
      <c r="O31" s="573" t="s">
        <v>218</v>
      </c>
      <c r="P31" s="574">
        <v>0.90625</v>
      </c>
      <c r="Q31" s="573" t="s">
        <v>226</v>
      </c>
    </row>
    <row r="32" spans="1:17" x14ac:dyDescent="0.2">
      <c r="A32" s="573" t="s">
        <v>180</v>
      </c>
      <c r="B32" s="575">
        <v>42539</v>
      </c>
      <c r="C32" s="573" t="s">
        <v>118</v>
      </c>
      <c r="D32" s="573" t="s">
        <v>197</v>
      </c>
      <c r="E32" s="574">
        <v>0.375</v>
      </c>
      <c r="F32" s="574">
        <v>0.59375</v>
      </c>
      <c r="I32" s="579">
        <f t="shared" si="0"/>
        <v>-9999</v>
      </c>
      <c r="J32" s="581">
        <f t="shared" si="1"/>
        <v>-9999</v>
      </c>
      <c r="M32" s="573" t="s">
        <v>213</v>
      </c>
      <c r="N32" s="618">
        <v>42544</v>
      </c>
      <c r="O32" s="573" t="s">
        <v>218</v>
      </c>
      <c r="P32" s="574">
        <v>0.85416666666666663</v>
      </c>
      <c r="Q32" s="573" t="s">
        <v>224</v>
      </c>
    </row>
    <row r="33" spans="1:17" x14ac:dyDescent="0.2">
      <c r="A33" s="573" t="s">
        <v>180</v>
      </c>
      <c r="B33" s="575">
        <v>42539</v>
      </c>
      <c r="C33" s="573" t="s">
        <v>118</v>
      </c>
      <c r="D33" s="573" t="s">
        <v>199</v>
      </c>
      <c r="E33" s="574">
        <v>0.72916666666666663</v>
      </c>
      <c r="F33" s="574">
        <v>0.96875</v>
      </c>
      <c r="I33" s="579">
        <f t="shared" si="0"/>
        <v>-9999</v>
      </c>
      <c r="J33" s="581">
        <f t="shared" si="1"/>
        <v>-9999</v>
      </c>
      <c r="M33" s="573" t="s">
        <v>186</v>
      </c>
      <c r="N33" s="618">
        <v>42540</v>
      </c>
      <c r="O33" s="573" t="s">
        <v>217</v>
      </c>
      <c r="P33" s="574">
        <v>0.90625</v>
      </c>
      <c r="Q33" s="573" t="s">
        <v>226</v>
      </c>
    </row>
    <row r="34" spans="1:17" x14ac:dyDescent="0.2">
      <c r="A34" s="573" t="s">
        <v>233</v>
      </c>
      <c r="B34" s="575">
        <v>42539</v>
      </c>
      <c r="C34" s="573" t="s">
        <v>118</v>
      </c>
      <c r="D34" s="573" t="s">
        <v>229</v>
      </c>
      <c r="E34" s="574">
        <v>0.44791666666666669</v>
      </c>
      <c r="F34" s="574">
        <v>0.52083333333333337</v>
      </c>
      <c r="I34" s="579">
        <f t="shared" ref="I34:I65" si="2">IF(G34="",-9999,ABS(ROUND((IF(E34&lt;0.25,E34+1,E34)-IF(G34&lt;0.25,G34+1,G34))*24,2)))</f>
        <v>-9999</v>
      </c>
      <c r="J34" s="581">
        <f t="shared" ref="J34:J65" si="3">IF(H34="",-9999,ABS(ROUND((IF(F34&lt;0.25,F34+1,F34)-IF(H34&lt;0.25,H34+1,H34))*24,2)))</f>
        <v>-9999</v>
      </c>
      <c r="M34" s="573" t="s">
        <v>186</v>
      </c>
      <c r="N34" s="618">
        <v>42546</v>
      </c>
      <c r="O34" s="573" t="s">
        <v>217</v>
      </c>
      <c r="P34" s="574">
        <v>0.65625</v>
      </c>
      <c r="Q34" s="573" t="s">
        <v>225</v>
      </c>
    </row>
    <row r="35" spans="1:17" x14ac:dyDescent="0.2">
      <c r="A35" s="573" t="s">
        <v>157</v>
      </c>
      <c r="B35" s="575">
        <v>42539</v>
      </c>
      <c r="C35" s="573" t="s">
        <v>118</v>
      </c>
      <c r="D35" s="573" t="s">
        <v>199</v>
      </c>
      <c r="E35" s="574">
        <v>0.35416666666666669</v>
      </c>
      <c r="F35" s="574">
        <v>0.88541666666666663</v>
      </c>
      <c r="I35" s="579">
        <f t="shared" si="2"/>
        <v>-9999</v>
      </c>
      <c r="J35" s="581">
        <f t="shared" si="3"/>
        <v>-9999</v>
      </c>
      <c r="M35" s="573" t="s">
        <v>186</v>
      </c>
      <c r="N35" s="618">
        <v>42546</v>
      </c>
      <c r="O35" s="573" t="s">
        <v>217</v>
      </c>
      <c r="P35" s="574">
        <v>0.9375</v>
      </c>
      <c r="Q35" s="573" t="s">
        <v>226</v>
      </c>
    </row>
    <row r="36" spans="1:17" x14ac:dyDescent="0.2">
      <c r="A36" s="573" t="s">
        <v>211</v>
      </c>
      <c r="B36" s="575">
        <v>42539</v>
      </c>
      <c r="C36" s="573" t="s">
        <v>118</v>
      </c>
      <c r="D36" s="573" t="s">
        <v>199</v>
      </c>
      <c r="E36" s="574">
        <v>0.73958333333333337</v>
      </c>
      <c r="F36" s="574">
        <v>0.9375</v>
      </c>
      <c r="I36" s="579">
        <f t="shared" si="2"/>
        <v>-9999</v>
      </c>
      <c r="J36" s="581">
        <f t="shared" si="3"/>
        <v>-9999</v>
      </c>
      <c r="M36" s="573" t="s">
        <v>186</v>
      </c>
      <c r="N36" s="618">
        <v>42538</v>
      </c>
      <c r="O36" s="573" t="s">
        <v>5</v>
      </c>
      <c r="P36" s="574">
        <v>0.86458333333333326</v>
      </c>
      <c r="Q36" s="573" t="s">
        <v>226</v>
      </c>
    </row>
    <row r="37" spans="1:17" x14ac:dyDescent="0.2">
      <c r="A37" s="573" t="s">
        <v>187</v>
      </c>
      <c r="B37" s="575">
        <v>42539</v>
      </c>
      <c r="C37" s="573" t="s">
        <v>118</v>
      </c>
      <c r="D37" s="573" t="s">
        <v>197</v>
      </c>
      <c r="E37" s="574">
        <v>0.35416666666666669</v>
      </c>
      <c r="F37" s="574">
        <v>0.88541666666666663</v>
      </c>
      <c r="I37" s="579">
        <f t="shared" si="2"/>
        <v>-9999</v>
      </c>
      <c r="J37" s="581">
        <f t="shared" si="3"/>
        <v>-9999</v>
      </c>
      <c r="M37" s="573" t="s">
        <v>186</v>
      </c>
      <c r="N37" s="618">
        <v>42539</v>
      </c>
      <c r="O37" s="573" t="s">
        <v>5</v>
      </c>
      <c r="P37" s="574">
        <v>0.8125</v>
      </c>
      <c r="Q37" s="573" t="s">
        <v>226</v>
      </c>
    </row>
    <row r="38" spans="1:17" x14ac:dyDescent="0.2">
      <c r="A38" s="573" t="s">
        <v>209</v>
      </c>
      <c r="B38" s="575">
        <v>42539</v>
      </c>
      <c r="C38" s="573" t="s">
        <v>118</v>
      </c>
      <c r="D38" s="573" t="s">
        <v>199</v>
      </c>
      <c r="E38" s="574">
        <v>0.375</v>
      </c>
      <c r="F38" s="574">
        <v>0.57291666666666663</v>
      </c>
      <c r="I38" s="579">
        <f t="shared" si="2"/>
        <v>-9999</v>
      </c>
      <c r="J38" s="581">
        <f t="shared" si="3"/>
        <v>-9999</v>
      </c>
      <c r="M38" s="573" t="s">
        <v>186</v>
      </c>
      <c r="N38" s="618">
        <v>42545</v>
      </c>
      <c r="O38" s="573" t="s">
        <v>5</v>
      </c>
      <c r="P38" s="574">
        <v>0.89583333333333326</v>
      </c>
      <c r="Q38" s="573" t="s">
        <v>226</v>
      </c>
    </row>
    <row r="39" spans="1:17" x14ac:dyDescent="0.2">
      <c r="A39" s="573" t="s">
        <v>182</v>
      </c>
      <c r="B39" s="575">
        <v>42539</v>
      </c>
      <c r="C39" s="573" t="s">
        <v>118</v>
      </c>
      <c r="D39" s="573" t="s">
        <v>199</v>
      </c>
      <c r="E39" s="574">
        <v>0.39583333333333331</v>
      </c>
      <c r="F39" s="574">
        <v>0.54166666666666663</v>
      </c>
      <c r="I39" s="579">
        <f t="shared" si="2"/>
        <v>-9999</v>
      </c>
      <c r="J39" s="581">
        <f t="shared" si="3"/>
        <v>-9999</v>
      </c>
      <c r="M39" s="573" t="s">
        <v>183</v>
      </c>
      <c r="N39" s="618">
        <v>42537</v>
      </c>
      <c r="O39" s="573" t="s">
        <v>217</v>
      </c>
      <c r="P39" s="574">
        <v>0.91666666666666663</v>
      </c>
      <c r="Q39" s="573" t="s">
        <v>226</v>
      </c>
    </row>
    <row r="40" spans="1:17" x14ac:dyDescent="0.2">
      <c r="A40" s="573" t="s">
        <v>183</v>
      </c>
      <c r="B40" s="575">
        <v>42539</v>
      </c>
      <c r="C40" s="573" t="s">
        <v>118</v>
      </c>
      <c r="D40" s="573" t="s">
        <v>199</v>
      </c>
      <c r="E40" s="574">
        <v>0.73958333333333337</v>
      </c>
      <c r="F40" s="574">
        <v>0.9375</v>
      </c>
      <c r="I40" s="579">
        <f t="shared" si="2"/>
        <v>-9999</v>
      </c>
      <c r="J40" s="581">
        <f t="shared" si="3"/>
        <v>-9999</v>
      </c>
      <c r="M40" s="573" t="s">
        <v>183</v>
      </c>
      <c r="N40" s="618">
        <v>42543</v>
      </c>
      <c r="O40" s="573" t="s">
        <v>217</v>
      </c>
      <c r="P40" s="574">
        <v>0.625</v>
      </c>
      <c r="Q40" s="573" t="s">
        <v>224</v>
      </c>
    </row>
    <row r="41" spans="1:17" x14ac:dyDescent="0.2">
      <c r="A41" s="573" t="s">
        <v>208</v>
      </c>
      <c r="B41" s="575">
        <v>42539</v>
      </c>
      <c r="C41" s="573" t="s">
        <v>16</v>
      </c>
      <c r="D41" s="573" t="s">
        <v>67</v>
      </c>
      <c r="E41" s="574">
        <v>0.6875</v>
      </c>
      <c r="F41" s="574">
        <v>0.94791666666666663</v>
      </c>
      <c r="I41" s="579">
        <f t="shared" si="2"/>
        <v>-9999</v>
      </c>
      <c r="J41" s="581">
        <f t="shared" si="3"/>
        <v>-9999</v>
      </c>
      <c r="M41" s="573" t="s">
        <v>183</v>
      </c>
      <c r="N41" s="618">
        <v>42546</v>
      </c>
      <c r="O41" s="573" t="s">
        <v>218</v>
      </c>
      <c r="P41" s="574">
        <v>0.75</v>
      </c>
      <c r="Q41" s="573" t="s">
        <v>225</v>
      </c>
    </row>
    <row r="42" spans="1:17" x14ac:dyDescent="0.2">
      <c r="A42" s="573" t="s">
        <v>156</v>
      </c>
      <c r="B42" s="575">
        <v>42539</v>
      </c>
      <c r="C42" s="573" t="s">
        <v>16</v>
      </c>
      <c r="D42" s="573" t="s">
        <v>97</v>
      </c>
      <c r="E42" s="574">
        <v>0.72916666666666663</v>
      </c>
      <c r="F42" s="574">
        <v>0.94791666666666663</v>
      </c>
      <c r="I42" s="579">
        <f t="shared" si="2"/>
        <v>-9999</v>
      </c>
      <c r="J42" s="581">
        <f t="shared" si="3"/>
        <v>-9999</v>
      </c>
      <c r="M42" s="573" t="s">
        <v>183</v>
      </c>
      <c r="N42" s="618">
        <v>42546</v>
      </c>
      <c r="O42" s="573" t="s">
        <v>218</v>
      </c>
      <c r="P42" s="574">
        <v>0.90625</v>
      </c>
      <c r="Q42" s="573" t="s">
        <v>226</v>
      </c>
    </row>
    <row r="43" spans="1:17" x14ac:dyDescent="0.2">
      <c r="A43" s="573" t="s">
        <v>193</v>
      </c>
      <c r="B43" s="575">
        <v>42539</v>
      </c>
      <c r="C43" s="573" t="s">
        <v>16</v>
      </c>
      <c r="D43" s="573" t="s">
        <v>97</v>
      </c>
      <c r="E43" s="574">
        <v>0.75</v>
      </c>
      <c r="F43" s="574">
        <v>0.9375</v>
      </c>
      <c r="I43" s="579">
        <f t="shared" si="2"/>
        <v>-9999</v>
      </c>
      <c r="J43" s="581">
        <f t="shared" si="3"/>
        <v>-9999</v>
      </c>
      <c r="M43" s="573" t="s">
        <v>183</v>
      </c>
      <c r="N43" s="618">
        <v>42545</v>
      </c>
      <c r="O43" s="573" t="s">
        <v>5</v>
      </c>
      <c r="P43" s="574">
        <v>0.875</v>
      </c>
      <c r="Q43" s="573" t="s">
        <v>226</v>
      </c>
    </row>
    <row r="44" spans="1:17" x14ac:dyDescent="0.2">
      <c r="A44" s="573" t="s">
        <v>191</v>
      </c>
      <c r="B44" s="575">
        <v>42539</v>
      </c>
      <c r="C44" s="573" t="s">
        <v>145</v>
      </c>
      <c r="D44" s="573" t="s">
        <v>173</v>
      </c>
      <c r="E44" s="574">
        <v>0.6875</v>
      </c>
      <c r="F44" s="574">
        <v>0.90625</v>
      </c>
      <c r="G44" s="574">
        <v>0.69791666666666663</v>
      </c>
      <c r="I44" s="579">
        <f t="shared" si="2"/>
        <v>0.25</v>
      </c>
      <c r="J44" s="581">
        <f t="shared" si="3"/>
        <v>-9999</v>
      </c>
      <c r="M44" s="573" t="s">
        <v>187</v>
      </c>
      <c r="N44" s="618">
        <v>42538</v>
      </c>
      <c r="O44" s="573" t="s">
        <v>217</v>
      </c>
      <c r="P44" s="574">
        <v>2.0833333333333332E-2</v>
      </c>
      <c r="Q44" s="573" t="s">
        <v>226</v>
      </c>
    </row>
    <row r="45" spans="1:17" x14ac:dyDescent="0.2">
      <c r="A45" s="573" t="s">
        <v>181</v>
      </c>
      <c r="B45" s="575">
        <v>42539</v>
      </c>
      <c r="C45" s="573" t="s">
        <v>145</v>
      </c>
      <c r="D45" s="573" t="s">
        <v>173</v>
      </c>
      <c r="E45" s="574">
        <v>0.41666666666666669</v>
      </c>
      <c r="F45" s="574">
        <v>0.58333333333333337</v>
      </c>
      <c r="G45" s="574">
        <v>0.41666666666666663</v>
      </c>
      <c r="I45" s="579">
        <f t="shared" si="2"/>
        <v>0</v>
      </c>
      <c r="J45" s="581">
        <f t="shared" si="3"/>
        <v>-9999</v>
      </c>
      <c r="M45" s="573" t="s">
        <v>187</v>
      </c>
      <c r="N45" s="618">
        <v>42540</v>
      </c>
      <c r="O45" s="573" t="s">
        <v>217</v>
      </c>
      <c r="P45" s="574">
        <v>0.52083333333333326</v>
      </c>
      <c r="Q45" s="573" t="s">
        <v>223</v>
      </c>
    </row>
    <row r="46" spans="1:17" x14ac:dyDescent="0.2">
      <c r="A46" s="573" t="s">
        <v>182</v>
      </c>
      <c r="B46" s="575">
        <v>42539</v>
      </c>
      <c r="C46" s="573" t="s">
        <v>145</v>
      </c>
      <c r="D46" s="573" t="s">
        <v>173</v>
      </c>
      <c r="E46" s="574">
        <v>0.58333333333333337</v>
      </c>
      <c r="F46" s="574">
        <v>0.69791666666666663</v>
      </c>
      <c r="I46" s="579">
        <f t="shared" si="2"/>
        <v>-9999</v>
      </c>
      <c r="J46" s="581">
        <f t="shared" si="3"/>
        <v>-9999</v>
      </c>
      <c r="M46" s="573" t="s">
        <v>187</v>
      </c>
      <c r="N46" s="618">
        <v>42540</v>
      </c>
      <c r="O46" s="573" t="s">
        <v>217</v>
      </c>
      <c r="P46" s="574">
        <v>0.52083333333333326</v>
      </c>
      <c r="Q46" s="573" t="s">
        <v>224</v>
      </c>
    </row>
    <row r="47" spans="1:17" x14ac:dyDescent="0.2">
      <c r="A47" s="573" t="s">
        <v>186</v>
      </c>
      <c r="B47" s="575">
        <v>42539</v>
      </c>
      <c r="C47" s="573" t="s">
        <v>5</v>
      </c>
      <c r="D47" s="573" t="s">
        <v>174</v>
      </c>
      <c r="E47" s="574">
        <v>0.6875</v>
      </c>
      <c r="F47" s="574">
        <v>0.8125</v>
      </c>
      <c r="G47" s="574">
        <v>0.6875</v>
      </c>
      <c r="I47" s="579">
        <f t="shared" si="2"/>
        <v>0</v>
      </c>
      <c r="J47" s="581">
        <f t="shared" si="3"/>
        <v>-9999</v>
      </c>
      <c r="M47" s="573" t="s">
        <v>187</v>
      </c>
      <c r="N47" s="618">
        <v>42541</v>
      </c>
      <c r="O47" s="573" t="s">
        <v>217</v>
      </c>
      <c r="P47" s="574">
        <v>0.59375</v>
      </c>
      <c r="Q47" s="573" t="s">
        <v>224</v>
      </c>
    </row>
    <row r="48" spans="1:17" x14ac:dyDescent="0.2">
      <c r="A48" s="573" t="s">
        <v>158</v>
      </c>
      <c r="B48" s="575">
        <v>42539</v>
      </c>
      <c r="C48" s="573" t="s">
        <v>5</v>
      </c>
      <c r="D48" s="573" t="s">
        <v>174</v>
      </c>
      <c r="E48" s="574">
        <v>0.45833333333333331</v>
      </c>
      <c r="F48" s="574">
        <v>0.66666666666666663</v>
      </c>
      <c r="G48" s="574">
        <v>0.46875</v>
      </c>
      <c r="I48" s="579">
        <f t="shared" si="2"/>
        <v>0.25</v>
      </c>
      <c r="J48" s="581">
        <f t="shared" si="3"/>
        <v>-9999</v>
      </c>
      <c r="M48" s="573" t="s">
        <v>187</v>
      </c>
      <c r="N48" s="618">
        <v>42542</v>
      </c>
      <c r="O48" s="573" t="s">
        <v>217</v>
      </c>
      <c r="P48" s="574">
        <v>0.63541666666666663</v>
      </c>
      <c r="Q48" s="573" t="s">
        <v>224</v>
      </c>
    </row>
    <row r="49" spans="1:17" x14ac:dyDescent="0.2">
      <c r="A49" s="573" t="s">
        <v>182</v>
      </c>
      <c r="B49" s="575">
        <v>42539</v>
      </c>
      <c r="C49" s="573" t="s">
        <v>5</v>
      </c>
      <c r="D49" s="573" t="s">
        <v>174</v>
      </c>
      <c r="E49" s="574">
        <v>0.70833333333333337</v>
      </c>
      <c r="F49" s="574">
        <v>0.9375</v>
      </c>
      <c r="G49" s="574">
        <v>0.70833333333333326</v>
      </c>
      <c r="I49" s="579">
        <f t="shared" si="2"/>
        <v>0</v>
      </c>
      <c r="J49" s="581">
        <f t="shared" si="3"/>
        <v>-9999</v>
      </c>
      <c r="M49" s="573" t="s">
        <v>187</v>
      </c>
      <c r="N49" s="618">
        <v>42540</v>
      </c>
      <c r="O49" s="573" t="s">
        <v>5</v>
      </c>
      <c r="P49" s="574">
        <v>0.82291666666666663</v>
      </c>
      <c r="Q49" s="573" t="s">
        <v>224</v>
      </c>
    </row>
    <row r="50" spans="1:17" x14ac:dyDescent="0.2">
      <c r="A50" s="573" t="s">
        <v>192</v>
      </c>
      <c r="B50" s="575">
        <v>42539</v>
      </c>
      <c r="C50" s="573" t="s">
        <v>5</v>
      </c>
      <c r="D50" s="573" t="s">
        <v>174</v>
      </c>
      <c r="E50" s="574">
        <v>0.71875</v>
      </c>
      <c r="F50" s="574">
        <v>0.94791666666666663</v>
      </c>
      <c r="G50" s="574">
        <v>0.70833333333333326</v>
      </c>
      <c r="I50" s="579">
        <f t="shared" si="2"/>
        <v>0.25</v>
      </c>
      <c r="J50" s="581">
        <f t="shared" si="3"/>
        <v>-9999</v>
      </c>
      <c r="M50" s="573" t="s">
        <v>187</v>
      </c>
      <c r="N50" s="618">
        <v>42543</v>
      </c>
      <c r="O50" s="573" t="s">
        <v>5</v>
      </c>
      <c r="P50" s="574">
        <v>0.59375</v>
      </c>
      <c r="Q50" s="573" t="s">
        <v>224</v>
      </c>
    </row>
    <row r="51" spans="1:17" x14ac:dyDescent="0.2">
      <c r="A51" s="573" t="s">
        <v>189</v>
      </c>
      <c r="B51" s="575">
        <v>42539</v>
      </c>
      <c r="C51" s="573" t="s">
        <v>24</v>
      </c>
      <c r="D51" s="573" t="s">
        <v>171</v>
      </c>
      <c r="E51" s="574">
        <v>0.69791666666666663</v>
      </c>
      <c r="F51" s="574">
        <v>2.0833333333333332E-2</v>
      </c>
      <c r="G51" s="574">
        <v>0.69791666666666663</v>
      </c>
      <c r="I51" s="579">
        <f t="shared" si="2"/>
        <v>0</v>
      </c>
      <c r="J51" s="581">
        <f t="shared" si="3"/>
        <v>-9999</v>
      </c>
      <c r="M51" s="573" t="s">
        <v>179</v>
      </c>
      <c r="N51" s="618">
        <v>42545</v>
      </c>
      <c r="O51" s="573" t="s">
        <v>217</v>
      </c>
      <c r="P51" s="574">
        <v>0.90625</v>
      </c>
      <c r="Q51" s="573" t="s">
        <v>226</v>
      </c>
    </row>
    <row r="52" spans="1:17" x14ac:dyDescent="0.2">
      <c r="A52" s="573" t="s">
        <v>179</v>
      </c>
      <c r="B52" s="575">
        <v>42539</v>
      </c>
      <c r="C52" s="573" t="s">
        <v>24</v>
      </c>
      <c r="D52" s="573" t="s">
        <v>171</v>
      </c>
      <c r="E52" s="574">
        <v>0.72916666666666663</v>
      </c>
      <c r="F52" s="574">
        <v>0.94791666666666663</v>
      </c>
      <c r="I52" s="579">
        <f t="shared" si="2"/>
        <v>-9999</v>
      </c>
      <c r="J52" s="581">
        <f t="shared" si="3"/>
        <v>-9999</v>
      </c>
      <c r="M52" s="573" t="s">
        <v>179</v>
      </c>
      <c r="N52" s="618">
        <v>42544</v>
      </c>
      <c r="O52" s="573" t="s">
        <v>5</v>
      </c>
      <c r="P52" s="574">
        <v>0.89583333333333326</v>
      </c>
      <c r="Q52" s="573" t="s">
        <v>226</v>
      </c>
    </row>
    <row r="53" spans="1:17" x14ac:dyDescent="0.2">
      <c r="A53" s="573" t="s">
        <v>208</v>
      </c>
      <c r="B53" s="575">
        <v>42540</v>
      </c>
      <c r="C53" s="573" t="s">
        <v>16</v>
      </c>
      <c r="D53" s="573" t="s">
        <v>67</v>
      </c>
      <c r="E53" s="574">
        <v>0.45833333333333331</v>
      </c>
      <c r="F53" s="574">
        <v>0.67708333333333337</v>
      </c>
      <c r="I53" s="579">
        <f t="shared" si="2"/>
        <v>-9999</v>
      </c>
      <c r="J53" s="581">
        <f t="shared" si="3"/>
        <v>-9999</v>
      </c>
      <c r="M53" s="573" t="s">
        <v>179</v>
      </c>
      <c r="N53" s="618">
        <v>42545</v>
      </c>
      <c r="O53" s="573" t="s">
        <v>5</v>
      </c>
      <c r="P53" s="574">
        <v>0.90625</v>
      </c>
      <c r="Q53" s="573" t="s">
        <v>225</v>
      </c>
    </row>
    <row r="54" spans="1:17" x14ac:dyDescent="0.2">
      <c r="A54" s="573" t="s">
        <v>177</v>
      </c>
      <c r="B54" s="575">
        <v>42540</v>
      </c>
      <c r="C54" s="573" t="s">
        <v>16</v>
      </c>
      <c r="D54" s="573" t="s">
        <v>97</v>
      </c>
      <c r="E54" s="574">
        <v>0.5</v>
      </c>
      <c r="F54" s="574">
        <v>0.6875</v>
      </c>
      <c r="I54" s="579">
        <f t="shared" si="2"/>
        <v>-9999</v>
      </c>
      <c r="J54" s="581">
        <f t="shared" si="3"/>
        <v>-9999</v>
      </c>
      <c r="M54" s="573" t="s">
        <v>179</v>
      </c>
      <c r="N54" s="618">
        <v>42545</v>
      </c>
      <c r="O54" s="573" t="s">
        <v>5</v>
      </c>
      <c r="P54" s="574">
        <v>0.16666666666666666</v>
      </c>
      <c r="Q54" s="573" t="s">
        <v>226</v>
      </c>
    </row>
    <row r="55" spans="1:17" x14ac:dyDescent="0.2">
      <c r="A55" s="573" t="s">
        <v>181</v>
      </c>
      <c r="B55" s="575">
        <v>42540</v>
      </c>
      <c r="C55" s="573" t="s">
        <v>145</v>
      </c>
      <c r="D55" s="573" t="s">
        <v>173</v>
      </c>
      <c r="E55" s="574">
        <v>0.42708333333333331</v>
      </c>
      <c r="F55" s="574">
        <v>0.6875</v>
      </c>
      <c r="G55" s="574">
        <v>0.42708333333333331</v>
      </c>
      <c r="I55" s="579">
        <f t="shared" si="2"/>
        <v>0</v>
      </c>
      <c r="J55" s="581">
        <f t="shared" si="3"/>
        <v>-9999</v>
      </c>
      <c r="M55" s="573" t="s">
        <v>219</v>
      </c>
      <c r="N55" s="618">
        <v>42543</v>
      </c>
      <c r="O55" s="573" t="s">
        <v>217</v>
      </c>
      <c r="P55" s="574">
        <v>0.625</v>
      </c>
      <c r="Q55" s="573" t="s">
        <v>224</v>
      </c>
    </row>
    <row r="56" spans="1:17" x14ac:dyDescent="0.2">
      <c r="A56" s="573" t="s">
        <v>213</v>
      </c>
      <c r="B56" s="575">
        <v>42540</v>
      </c>
      <c r="C56" s="573" t="s">
        <v>145</v>
      </c>
      <c r="D56" s="573" t="s">
        <v>173</v>
      </c>
      <c r="E56" s="574">
        <v>0.6875</v>
      </c>
      <c r="F56" s="574">
        <v>0.91666666666666663</v>
      </c>
      <c r="G56" s="574">
        <v>0.69791666666666663</v>
      </c>
      <c r="I56" s="579">
        <f t="shared" si="2"/>
        <v>0.25</v>
      </c>
      <c r="J56" s="581">
        <f t="shared" si="3"/>
        <v>-9999</v>
      </c>
      <c r="M56" s="573" t="s">
        <v>210</v>
      </c>
      <c r="N56" s="618">
        <v>42540</v>
      </c>
      <c r="O56" s="573" t="s">
        <v>217</v>
      </c>
      <c r="P56" s="574">
        <v>0.84375</v>
      </c>
      <c r="Q56" s="573" t="s">
        <v>226</v>
      </c>
    </row>
    <row r="57" spans="1:17" x14ac:dyDescent="0.2">
      <c r="A57" s="573" t="s">
        <v>185</v>
      </c>
      <c r="B57" s="575">
        <v>42540</v>
      </c>
      <c r="C57" s="573" t="s">
        <v>5</v>
      </c>
      <c r="D57" s="573" t="s">
        <v>174</v>
      </c>
      <c r="E57" s="574">
        <v>0.6875</v>
      </c>
      <c r="F57" s="574">
        <v>0.84375</v>
      </c>
      <c r="G57" s="574">
        <v>0.6875</v>
      </c>
      <c r="I57" s="579">
        <f t="shared" si="2"/>
        <v>0</v>
      </c>
      <c r="J57" s="581">
        <f t="shared" si="3"/>
        <v>-9999</v>
      </c>
      <c r="M57" s="573" t="s">
        <v>210</v>
      </c>
      <c r="N57" s="618">
        <v>42545</v>
      </c>
      <c r="O57" s="573" t="s">
        <v>5</v>
      </c>
      <c r="P57" s="574">
        <v>0.63541666666666663</v>
      </c>
      <c r="Q57" s="573" t="s">
        <v>224</v>
      </c>
    </row>
    <row r="58" spans="1:17" x14ac:dyDescent="0.2">
      <c r="A58" s="573" t="s">
        <v>187</v>
      </c>
      <c r="B58" s="575">
        <v>42540</v>
      </c>
      <c r="C58" s="573" t="s">
        <v>5</v>
      </c>
      <c r="D58" s="573" t="s">
        <v>174</v>
      </c>
      <c r="E58" s="574">
        <v>0.47916666666666669</v>
      </c>
      <c r="F58" s="574">
        <v>0.6875</v>
      </c>
      <c r="G58" s="574">
        <v>0.52083333333333326</v>
      </c>
      <c r="I58" s="579">
        <f t="shared" si="2"/>
        <v>1</v>
      </c>
      <c r="J58" s="581">
        <f t="shared" si="3"/>
        <v>-9999</v>
      </c>
      <c r="M58" s="573" t="s">
        <v>210</v>
      </c>
      <c r="N58" s="618">
        <v>42546</v>
      </c>
      <c r="O58" s="573" t="s">
        <v>5</v>
      </c>
      <c r="P58" s="574">
        <v>0.46875</v>
      </c>
      <c r="Q58" s="573" t="s">
        <v>223</v>
      </c>
    </row>
    <row r="59" spans="1:17" x14ac:dyDescent="0.2">
      <c r="A59" s="573" t="s">
        <v>158</v>
      </c>
      <c r="B59" s="575">
        <v>42540</v>
      </c>
      <c r="C59" s="573" t="s">
        <v>5</v>
      </c>
      <c r="D59" s="573" t="s">
        <v>174</v>
      </c>
      <c r="E59" s="574">
        <v>0.46875</v>
      </c>
      <c r="F59" s="574">
        <v>0.65625</v>
      </c>
      <c r="G59" s="574">
        <v>0.46875</v>
      </c>
      <c r="I59" s="579">
        <f t="shared" si="2"/>
        <v>0</v>
      </c>
      <c r="J59" s="581">
        <f t="shared" si="3"/>
        <v>-9999</v>
      </c>
      <c r="M59" s="573" t="s">
        <v>210</v>
      </c>
      <c r="N59" s="618">
        <v>42546</v>
      </c>
      <c r="O59" s="573" t="s">
        <v>5</v>
      </c>
      <c r="P59" s="574">
        <v>0.69791666666666663</v>
      </c>
      <c r="Q59" s="573" t="s">
        <v>224</v>
      </c>
    </row>
    <row r="60" spans="1:17" x14ac:dyDescent="0.2">
      <c r="A60" s="573" t="s">
        <v>192</v>
      </c>
      <c r="B60" s="575">
        <v>42540</v>
      </c>
      <c r="C60" s="573" t="s">
        <v>5</v>
      </c>
      <c r="D60" s="573" t="s">
        <v>174</v>
      </c>
      <c r="E60" s="574">
        <v>0.6875</v>
      </c>
      <c r="F60" s="574">
        <v>0.83333333333333337</v>
      </c>
      <c r="G60" s="574">
        <v>0.6875</v>
      </c>
      <c r="I60" s="579">
        <f t="shared" si="2"/>
        <v>0</v>
      </c>
      <c r="J60" s="581">
        <f t="shared" si="3"/>
        <v>-9999</v>
      </c>
      <c r="M60" s="573" t="s">
        <v>181</v>
      </c>
      <c r="N60" s="618">
        <v>42542</v>
      </c>
      <c r="O60" s="573" t="s">
        <v>217</v>
      </c>
      <c r="P60" s="574">
        <v>0.89583333333333326</v>
      </c>
      <c r="Q60" s="573" t="s">
        <v>226</v>
      </c>
    </row>
    <row r="61" spans="1:17" x14ac:dyDescent="0.2">
      <c r="A61" s="573" t="s">
        <v>186</v>
      </c>
      <c r="B61" s="575">
        <v>42540</v>
      </c>
      <c r="C61" s="573" t="s">
        <v>24</v>
      </c>
      <c r="D61" s="573" t="s">
        <v>171</v>
      </c>
      <c r="E61" s="574">
        <v>0.6875</v>
      </c>
      <c r="F61" s="574">
        <v>0.90625</v>
      </c>
      <c r="G61" s="574">
        <v>0.69791666666666663</v>
      </c>
      <c r="I61" s="579">
        <f t="shared" si="2"/>
        <v>0.25</v>
      </c>
      <c r="J61" s="581">
        <f t="shared" si="3"/>
        <v>-9999</v>
      </c>
      <c r="M61" s="573" t="s">
        <v>181</v>
      </c>
      <c r="N61" s="618">
        <v>42543</v>
      </c>
      <c r="O61" s="573" t="s">
        <v>217</v>
      </c>
      <c r="P61" s="574">
        <v>0.5625</v>
      </c>
      <c r="Q61" s="573" t="s">
        <v>224</v>
      </c>
    </row>
    <row r="62" spans="1:17" x14ac:dyDescent="0.2">
      <c r="A62" s="573" t="s">
        <v>184</v>
      </c>
      <c r="B62" s="575">
        <v>42540</v>
      </c>
      <c r="C62" s="573" t="s">
        <v>24</v>
      </c>
      <c r="D62" s="573" t="s">
        <v>171</v>
      </c>
      <c r="E62" s="574">
        <v>0.65625</v>
      </c>
      <c r="F62" s="574">
        <v>0.78125</v>
      </c>
      <c r="G62" s="574">
        <v>0.65625</v>
      </c>
      <c r="I62" s="579">
        <f t="shared" si="2"/>
        <v>0</v>
      </c>
      <c r="J62" s="581">
        <f t="shared" si="3"/>
        <v>-9999</v>
      </c>
      <c r="M62" s="573" t="s">
        <v>181</v>
      </c>
      <c r="N62" s="618">
        <v>42543</v>
      </c>
      <c r="O62" s="573" t="s">
        <v>217</v>
      </c>
      <c r="P62" s="574">
        <v>0.57291666666666663</v>
      </c>
      <c r="Q62" s="573" t="s">
        <v>223</v>
      </c>
    </row>
    <row r="63" spans="1:17" x14ac:dyDescent="0.2">
      <c r="A63" s="573" t="s">
        <v>210</v>
      </c>
      <c r="B63" s="575">
        <v>42540</v>
      </c>
      <c r="C63" s="573" t="s">
        <v>24</v>
      </c>
      <c r="D63" s="573" t="s">
        <v>171</v>
      </c>
      <c r="E63" s="574">
        <v>0.69791666666666663</v>
      </c>
      <c r="F63" s="574">
        <v>0.84375</v>
      </c>
      <c r="G63" s="574">
        <v>0.69791666666666663</v>
      </c>
      <c r="I63" s="579">
        <f t="shared" si="2"/>
        <v>0</v>
      </c>
      <c r="J63" s="581">
        <f t="shared" si="3"/>
        <v>-9999</v>
      </c>
      <c r="M63" s="573" t="s">
        <v>181</v>
      </c>
      <c r="N63" s="618">
        <v>42543</v>
      </c>
      <c r="O63" s="573" t="s">
        <v>217</v>
      </c>
      <c r="P63" s="574">
        <v>0.57291666666666663</v>
      </c>
      <c r="Q63" s="573" t="s">
        <v>224</v>
      </c>
    </row>
    <row r="64" spans="1:17" x14ac:dyDescent="0.2">
      <c r="A64" s="573" t="s">
        <v>212</v>
      </c>
      <c r="B64" s="575">
        <v>42540</v>
      </c>
      <c r="C64" s="573" t="s">
        <v>24</v>
      </c>
      <c r="D64" s="573" t="s">
        <v>203</v>
      </c>
      <c r="E64" s="574">
        <v>0.625</v>
      </c>
      <c r="F64" s="574">
        <v>0.83333333333333337</v>
      </c>
      <c r="I64" s="579">
        <f t="shared" si="2"/>
        <v>-9999</v>
      </c>
      <c r="J64" s="581">
        <f t="shared" si="3"/>
        <v>-9999</v>
      </c>
      <c r="M64" s="573" t="s">
        <v>181</v>
      </c>
      <c r="N64" s="618">
        <v>42543</v>
      </c>
      <c r="O64" s="573" t="s">
        <v>217</v>
      </c>
      <c r="P64" s="574">
        <v>0.625</v>
      </c>
      <c r="Q64" s="573" t="s">
        <v>225</v>
      </c>
    </row>
    <row r="65" spans="1:17" x14ac:dyDescent="0.2">
      <c r="A65" s="573" t="s">
        <v>182</v>
      </c>
      <c r="B65" s="575">
        <v>42540</v>
      </c>
      <c r="C65" s="573" t="s">
        <v>24</v>
      </c>
      <c r="D65" s="573" t="s">
        <v>171</v>
      </c>
      <c r="E65" s="574">
        <v>0.65625</v>
      </c>
      <c r="F65" s="574">
        <v>0.94791666666666663</v>
      </c>
      <c r="G65" s="574">
        <v>0.65625</v>
      </c>
      <c r="I65" s="579">
        <f t="shared" si="2"/>
        <v>0</v>
      </c>
      <c r="J65" s="581">
        <f t="shared" si="3"/>
        <v>-9999</v>
      </c>
      <c r="M65" s="573" t="s">
        <v>181</v>
      </c>
      <c r="N65" s="618">
        <v>42543</v>
      </c>
      <c r="O65" s="573" t="s">
        <v>217</v>
      </c>
      <c r="P65" s="574">
        <v>0.6875</v>
      </c>
      <c r="Q65" s="573" t="s">
        <v>226</v>
      </c>
    </row>
    <row r="66" spans="1:17" x14ac:dyDescent="0.2">
      <c r="A66" s="573" t="s">
        <v>208</v>
      </c>
      <c r="B66" s="575">
        <v>42541</v>
      </c>
      <c r="C66" s="573" t="s">
        <v>119</v>
      </c>
      <c r="D66" s="573" t="s">
        <v>170</v>
      </c>
      <c r="E66" s="574">
        <v>0.63541666666666663</v>
      </c>
      <c r="F66" s="574">
        <v>0.69791666666666663</v>
      </c>
      <c r="I66" s="579">
        <f t="shared" ref="I66:I97" si="4">IF(G66="",-9999,ABS(ROUND((IF(E66&lt;0.25,E66+1,E66)-IF(G66&lt;0.25,G66+1,G66))*24,2)))</f>
        <v>-9999</v>
      </c>
      <c r="J66" s="581">
        <f t="shared" ref="J66:J97" si="5">IF(H66="",-9999,ABS(ROUND((IF(F66&lt;0.25,F66+1,F66)-IF(H66&lt;0.25,H66+1,H66))*24,2)))</f>
        <v>-9999</v>
      </c>
      <c r="M66" s="573" t="s">
        <v>181</v>
      </c>
      <c r="N66" s="618">
        <v>42537</v>
      </c>
      <c r="O66" s="573" t="s">
        <v>218</v>
      </c>
      <c r="P66" s="574">
        <v>0.86458333333333326</v>
      </c>
      <c r="Q66" s="573" t="s">
        <v>224</v>
      </c>
    </row>
    <row r="67" spans="1:17" x14ac:dyDescent="0.2">
      <c r="A67" s="573" t="s">
        <v>214</v>
      </c>
      <c r="B67" s="575">
        <v>42541</v>
      </c>
      <c r="C67" s="573" t="s">
        <v>119</v>
      </c>
      <c r="D67" s="573" t="s">
        <v>206</v>
      </c>
      <c r="E67" s="574">
        <v>0.33333333333333331</v>
      </c>
      <c r="F67" s="574">
        <v>0.38541666666666669</v>
      </c>
      <c r="I67" s="579">
        <f t="shared" si="4"/>
        <v>-9999</v>
      </c>
      <c r="J67" s="581">
        <f t="shared" si="5"/>
        <v>-9999</v>
      </c>
      <c r="M67" s="573" t="s">
        <v>181</v>
      </c>
      <c r="N67" s="618">
        <v>42538</v>
      </c>
      <c r="O67" s="573" t="s">
        <v>218</v>
      </c>
      <c r="P67" s="574">
        <v>0.60416666666666663</v>
      </c>
      <c r="Q67" s="573" t="s">
        <v>224</v>
      </c>
    </row>
    <row r="68" spans="1:17" x14ac:dyDescent="0.2">
      <c r="A68" s="573" t="s">
        <v>177</v>
      </c>
      <c r="B68" s="575">
        <v>42541</v>
      </c>
      <c r="C68" s="573" t="s">
        <v>119</v>
      </c>
      <c r="D68" s="573" t="s">
        <v>206</v>
      </c>
      <c r="E68" s="574">
        <v>0.33333333333333331</v>
      </c>
      <c r="F68" s="574">
        <v>0.38541666666666669</v>
      </c>
      <c r="I68" s="579">
        <f t="shared" si="4"/>
        <v>-9999</v>
      </c>
      <c r="J68" s="581">
        <f t="shared" si="5"/>
        <v>-9999</v>
      </c>
      <c r="M68" s="573" t="s">
        <v>181</v>
      </c>
      <c r="N68" s="618">
        <v>42538</v>
      </c>
      <c r="O68" s="573" t="s">
        <v>218</v>
      </c>
      <c r="P68" s="574">
        <v>0.89583333333333326</v>
      </c>
      <c r="Q68" s="573" t="s">
        <v>226</v>
      </c>
    </row>
    <row r="69" spans="1:17" x14ac:dyDescent="0.2">
      <c r="A69" s="573" t="s">
        <v>177</v>
      </c>
      <c r="B69" s="575">
        <v>42541</v>
      </c>
      <c r="C69" s="573" t="s">
        <v>119</v>
      </c>
      <c r="D69" s="573" t="s">
        <v>170</v>
      </c>
      <c r="E69" s="574">
        <v>0.63541666666666663</v>
      </c>
      <c r="F69" s="574">
        <v>0.69791666666666663</v>
      </c>
      <c r="I69" s="579">
        <f t="shared" si="4"/>
        <v>-9999</v>
      </c>
      <c r="J69" s="581">
        <f t="shared" si="5"/>
        <v>-9999</v>
      </c>
      <c r="M69" s="573" t="s">
        <v>181</v>
      </c>
      <c r="N69" s="618">
        <v>42539</v>
      </c>
      <c r="O69" s="573" t="s">
        <v>218</v>
      </c>
      <c r="P69" s="574">
        <v>0.58333333333333326</v>
      </c>
      <c r="Q69" s="573" t="s">
        <v>224</v>
      </c>
    </row>
    <row r="70" spans="1:17" x14ac:dyDescent="0.2">
      <c r="A70" s="573" t="s">
        <v>187</v>
      </c>
      <c r="B70" s="575">
        <v>42541</v>
      </c>
      <c r="C70" s="573" t="s">
        <v>119</v>
      </c>
      <c r="D70" s="573" t="s">
        <v>170</v>
      </c>
      <c r="E70" s="574">
        <v>0.64583333333333337</v>
      </c>
      <c r="F70" s="574">
        <v>0.6875</v>
      </c>
      <c r="I70" s="579">
        <f t="shared" si="4"/>
        <v>-9999</v>
      </c>
      <c r="J70" s="581">
        <f t="shared" si="5"/>
        <v>-9999</v>
      </c>
      <c r="M70" s="573" t="s">
        <v>181</v>
      </c>
      <c r="N70" s="618">
        <v>42539</v>
      </c>
      <c r="O70" s="573" t="s">
        <v>218</v>
      </c>
      <c r="P70" s="574">
        <v>0.83333333333333326</v>
      </c>
      <c r="Q70" s="573" t="s">
        <v>226</v>
      </c>
    </row>
    <row r="71" spans="1:17" x14ac:dyDescent="0.2">
      <c r="A71" s="573" t="s">
        <v>157</v>
      </c>
      <c r="B71" s="575">
        <v>42541</v>
      </c>
      <c r="C71" s="573" t="s">
        <v>50</v>
      </c>
      <c r="D71" s="573" t="s">
        <v>196</v>
      </c>
      <c r="E71" s="574">
        <v>0.45833333333333331</v>
      </c>
      <c r="F71" s="574">
        <v>0.58333333333333337</v>
      </c>
      <c r="I71" s="579">
        <f t="shared" si="4"/>
        <v>-9999</v>
      </c>
      <c r="J71" s="581">
        <f t="shared" si="5"/>
        <v>-9999</v>
      </c>
      <c r="M71" s="573" t="s">
        <v>181</v>
      </c>
      <c r="N71" s="618">
        <v>42540</v>
      </c>
      <c r="O71" s="573" t="s">
        <v>218</v>
      </c>
      <c r="P71" s="574">
        <v>0.90625</v>
      </c>
      <c r="Q71" s="573" t="s">
        <v>224</v>
      </c>
    </row>
    <row r="72" spans="1:17" x14ac:dyDescent="0.2">
      <c r="A72" s="573" t="s">
        <v>189</v>
      </c>
      <c r="B72" s="575">
        <v>42541</v>
      </c>
      <c r="C72" s="573" t="s">
        <v>5</v>
      </c>
      <c r="D72" s="573" t="s">
        <v>174</v>
      </c>
      <c r="E72" s="574">
        <v>0.6875</v>
      </c>
      <c r="F72" s="574">
        <v>0.8125</v>
      </c>
      <c r="G72" s="574">
        <v>0.6875</v>
      </c>
      <c r="I72" s="579">
        <f t="shared" si="4"/>
        <v>0</v>
      </c>
      <c r="J72" s="581">
        <f t="shared" si="5"/>
        <v>-9999</v>
      </c>
      <c r="M72" s="573" t="s">
        <v>181</v>
      </c>
      <c r="N72" s="618">
        <v>42542</v>
      </c>
      <c r="O72" s="573" t="s">
        <v>218</v>
      </c>
      <c r="P72" s="574">
        <v>0.78125</v>
      </c>
      <c r="Q72" s="573" t="s">
        <v>225</v>
      </c>
    </row>
    <row r="73" spans="1:17" x14ac:dyDescent="0.2">
      <c r="A73" s="573" t="s">
        <v>188</v>
      </c>
      <c r="B73" s="575">
        <v>42541</v>
      </c>
      <c r="C73" s="573" t="s">
        <v>5</v>
      </c>
      <c r="D73" s="573" t="s">
        <v>174</v>
      </c>
      <c r="E73" s="574">
        <v>0.45833333333333331</v>
      </c>
      <c r="F73" s="574">
        <v>0.63541666666666663</v>
      </c>
      <c r="G73" s="574">
        <v>0.45833333333333331</v>
      </c>
      <c r="I73" s="579">
        <f t="shared" si="4"/>
        <v>0</v>
      </c>
      <c r="J73" s="581">
        <f t="shared" si="5"/>
        <v>-9999</v>
      </c>
      <c r="M73" s="573" t="s">
        <v>181</v>
      </c>
      <c r="N73" s="618">
        <v>42542</v>
      </c>
      <c r="O73" s="573" t="s">
        <v>218</v>
      </c>
      <c r="P73" s="574">
        <v>0.78125</v>
      </c>
      <c r="Q73" s="573" t="s">
        <v>226</v>
      </c>
    </row>
    <row r="74" spans="1:17" x14ac:dyDescent="0.2">
      <c r="A74" s="573" t="s">
        <v>177</v>
      </c>
      <c r="B74" s="575">
        <v>42541</v>
      </c>
      <c r="C74" s="573" t="s">
        <v>24</v>
      </c>
      <c r="D74" s="573" t="s">
        <v>171</v>
      </c>
      <c r="E74" s="574">
        <v>0.69791666666666663</v>
      </c>
      <c r="F74" s="574">
        <v>0.90625</v>
      </c>
      <c r="G74" s="574">
        <v>0.70833333333333326</v>
      </c>
      <c r="I74" s="579">
        <f t="shared" si="4"/>
        <v>0.25</v>
      </c>
      <c r="J74" s="581">
        <f t="shared" si="5"/>
        <v>-9999</v>
      </c>
      <c r="M74" s="573" t="s">
        <v>181</v>
      </c>
      <c r="N74" s="618">
        <v>42545</v>
      </c>
      <c r="O74" s="573" t="s">
        <v>218</v>
      </c>
      <c r="P74" s="574">
        <v>0.61458333333333326</v>
      </c>
      <c r="Q74" s="573" t="s">
        <v>224</v>
      </c>
    </row>
    <row r="75" spans="1:17" x14ac:dyDescent="0.2">
      <c r="A75" s="573" t="s">
        <v>187</v>
      </c>
      <c r="B75" s="575">
        <v>42541</v>
      </c>
      <c r="C75" s="573" t="s">
        <v>24</v>
      </c>
      <c r="D75" s="573" t="s">
        <v>171</v>
      </c>
      <c r="E75" s="574">
        <v>0.45833333333333331</v>
      </c>
      <c r="F75" s="574">
        <v>0.60416666666666663</v>
      </c>
      <c r="G75" s="574">
        <v>0.46875</v>
      </c>
      <c r="I75" s="579">
        <f t="shared" si="4"/>
        <v>0.25</v>
      </c>
      <c r="J75" s="581">
        <f t="shared" si="5"/>
        <v>-9999</v>
      </c>
      <c r="M75" s="573" t="s">
        <v>181</v>
      </c>
      <c r="N75" s="618">
        <v>42545</v>
      </c>
      <c r="O75" s="573" t="s">
        <v>218</v>
      </c>
      <c r="P75" s="574">
        <v>0.85416666666666663</v>
      </c>
      <c r="Q75" s="573" t="s">
        <v>226</v>
      </c>
    </row>
    <row r="76" spans="1:17" x14ac:dyDescent="0.2">
      <c r="A76" s="573" t="s">
        <v>188</v>
      </c>
      <c r="B76" s="575">
        <v>42542</v>
      </c>
      <c r="C76" s="573" t="s">
        <v>118</v>
      </c>
      <c r="D76" s="573" t="s">
        <v>199</v>
      </c>
      <c r="E76" s="574">
        <v>0.6875</v>
      </c>
      <c r="F76" s="574">
        <v>0.79166666666666663</v>
      </c>
      <c r="I76" s="579">
        <f t="shared" si="4"/>
        <v>-9999</v>
      </c>
      <c r="J76" s="581">
        <f t="shared" si="5"/>
        <v>-9999</v>
      </c>
      <c r="M76" s="573" t="s">
        <v>181</v>
      </c>
      <c r="N76" s="618">
        <v>42546</v>
      </c>
      <c r="O76" s="573" t="s">
        <v>218</v>
      </c>
      <c r="P76" s="574">
        <v>0.4375</v>
      </c>
      <c r="Q76" s="573" t="s">
        <v>223</v>
      </c>
    </row>
    <row r="77" spans="1:17" x14ac:dyDescent="0.2">
      <c r="A77" s="573" t="s">
        <v>220</v>
      </c>
      <c r="B77" s="575">
        <v>42542</v>
      </c>
      <c r="C77" s="573" t="s">
        <v>118</v>
      </c>
      <c r="D77" s="573" t="s">
        <v>199</v>
      </c>
      <c r="E77" s="574">
        <v>0.69791666666666663</v>
      </c>
      <c r="F77" s="574">
        <v>0.83333333333333337</v>
      </c>
      <c r="I77" s="579">
        <f t="shared" si="4"/>
        <v>-9999</v>
      </c>
      <c r="J77" s="581">
        <f t="shared" si="5"/>
        <v>-9999</v>
      </c>
      <c r="M77" s="573" t="s">
        <v>181</v>
      </c>
      <c r="N77" s="618">
        <v>42546</v>
      </c>
      <c r="O77" s="573" t="s">
        <v>218</v>
      </c>
      <c r="P77" s="574">
        <v>0.69791666666666663</v>
      </c>
      <c r="Q77" s="573" t="s">
        <v>224</v>
      </c>
    </row>
    <row r="78" spans="1:17" x14ac:dyDescent="0.2">
      <c r="A78" s="573" t="s">
        <v>180</v>
      </c>
      <c r="B78" s="575">
        <v>42542</v>
      </c>
      <c r="C78" s="573" t="s">
        <v>118</v>
      </c>
      <c r="D78" s="573" t="s">
        <v>197</v>
      </c>
      <c r="E78" s="574">
        <v>0.6875</v>
      </c>
      <c r="F78" s="574">
        <v>0.83333333333333337</v>
      </c>
      <c r="I78" s="579">
        <f t="shared" si="4"/>
        <v>-9999</v>
      </c>
      <c r="J78" s="581">
        <f t="shared" si="5"/>
        <v>-9999</v>
      </c>
      <c r="M78" s="573" t="s">
        <v>181</v>
      </c>
      <c r="N78" s="618">
        <v>42546</v>
      </c>
      <c r="O78" s="573" t="s">
        <v>218</v>
      </c>
      <c r="P78" s="574">
        <v>0.69791666666666663</v>
      </c>
      <c r="Q78" s="573" t="s">
        <v>225</v>
      </c>
    </row>
    <row r="79" spans="1:17" x14ac:dyDescent="0.2">
      <c r="A79" s="573" t="s">
        <v>227</v>
      </c>
      <c r="B79" s="575">
        <v>42542</v>
      </c>
      <c r="C79" s="573" t="s">
        <v>118</v>
      </c>
      <c r="D79" s="573" t="s">
        <v>199</v>
      </c>
      <c r="E79" s="574">
        <v>0.69791666666666663</v>
      </c>
      <c r="F79" s="574">
        <v>0.82291666666666663</v>
      </c>
      <c r="I79" s="579">
        <f t="shared" si="4"/>
        <v>-9999</v>
      </c>
      <c r="J79" s="581">
        <f t="shared" si="5"/>
        <v>-9999</v>
      </c>
      <c r="M79" s="573" t="s">
        <v>181</v>
      </c>
      <c r="N79" s="618">
        <v>42546</v>
      </c>
      <c r="O79" s="573" t="s">
        <v>218</v>
      </c>
      <c r="P79" s="574">
        <v>0.90625</v>
      </c>
      <c r="Q79" s="573" t="s">
        <v>226</v>
      </c>
    </row>
    <row r="80" spans="1:17" x14ac:dyDescent="0.2">
      <c r="A80" s="573" t="s">
        <v>156</v>
      </c>
      <c r="B80" s="575">
        <v>42542</v>
      </c>
      <c r="C80" s="573" t="s">
        <v>16</v>
      </c>
      <c r="D80" s="573" t="s">
        <v>67</v>
      </c>
      <c r="E80" s="574">
        <v>0.70833333333333337</v>
      </c>
      <c r="F80" s="574">
        <v>0.92708333333333337</v>
      </c>
      <c r="I80" s="579">
        <f t="shared" si="4"/>
        <v>-9999</v>
      </c>
      <c r="J80" s="581">
        <f t="shared" si="5"/>
        <v>-9999</v>
      </c>
      <c r="M80" s="573" t="s">
        <v>220</v>
      </c>
      <c r="N80" s="618">
        <v>42543</v>
      </c>
      <c r="O80" s="573" t="s">
        <v>217</v>
      </c>
      <c r="P80" s="574">
        <v>0.92708333333333326</v>
      </c>
      <c r="Q80" s="573" t="s">
        <v>226</v>
      </c>
    </row>
    <row r="81" spans="1:17" x14ac:dyDescent="0.2">
      <c r="A81" s="573" t="s">
        <v>157</v>
      </c>
      <c r="B81" s="575">
        <v>42542</v>
      </c>
      <c r="C81" s="573" t="s">
        <v>50</v>
      </c>
      <c r="D81" s="573" t="s">
        <v>196</v>
      </c>
      <c r="E81" s="574">
        <v>0.45833333333333331</v>
      </c>
      <c r="F81" s="574">
        <v>0.58333333333333337</v>
      </c>
      <c r="I81" s="579">
        <f t="shared" si="4"/>
        <v>-9999</v>
      </c>
      <c r="J81" s="581">
        <f t="shared" si="5"/>
        <v>-9999</v>
      </c>
      <c r="M81" s="573" t="s">
        <v>220</v>
      </c>
      <c r="N81" s="618">
        <v>42544</v>
      </c>
      <c r="O81" s="573" t="s">
        <v>217</v>
      </c>
      <c r="P81" s="574">
        <v>0.98958333333333326</v>
      </c>
      <c r="Q81" s="573" t="s">
        <v>226</v>
      </c>
    </row>
    <row r="82" spans="1:17" x14ac:dyDescent="0.2">
      <c r="A82" s="573" t="s">
        <v>177</v>
      </c>
      <c r="B82" s="575">
        <v>42542</v>
      </c>
      <c r="C82" s="573" t="s">
        <v>5</v>
      </c>
      <c r="D82" s="573" t="s">
        <v>174</v>
      </c>
      <c r="E82" s="574">
        <v>0.46875</v>
      </c>
      <c r="F82" s="574">
        <v>0.59375</v>
      </c>
      <c r="G82" s="574">
        <v>0.47916666666666663</v>
      </c>
      <c r="I82" s="579">
        <f t="shared" si="4"/>
        <v>0.25</v>
      </c>
      <c r="J82" s="581">
        <f t="shared" si="5"/>
        <v>-9999</v>
      </c>
      <c r="M82" s="573" t="s">
        <v>220</v>
      </c>
      <c r="N82" s="618">
        <v>42545</v>
      </c>
      <c r="O82" s="573" t="s">
        <v>217</v>
      </c>
      <c r="P82" s="574">
        <v>0.84375</v>
      </c>
      <c r="Q82" s="573" t="s">
        <v>226</v>
      </c>
    </row>
    <row r="83" spans="1:17" x14ac:dyDescent="0.2">
      <c r="A83" s="573" t="s">
        <v>215</v>
      </c>
      <c r="B83" s="575">
        <v>42542</v>
      </c>
      <c r="C83" s="573" t="s">
        <v>5</v>
      </c>
      <c r="D83" s="573" t="s">
        <v>174</v>
      </c>
      <c r="E83" s="574">
        <v>0.6875</v>
      </c>
      <c r="F83" s="574">
        <v>0.84375</v>
      </c>
      <c r="G83" s="574">
        <v>0.6875</v>
      </c>
      <c r="I83" s="579">
        <f t="shared" si="4"/>
        <v>0</v>
      </c>
      <c r="J83" s="581">
        <f t="shared" si="5"/>
        <v>-9999</v>
      </c>
      <c r="M83" s="573" t="s">
        <v>220</v>
      </c>
      <c r="N83" s="618">
        <v>42546</v>
      </c>
      <c r="O83" s="573" t="s">
        <v>217</v>
      </c>
      <c r="P83" s="574">
        <v>0.69791666666666663</v>
      </c>
      <c r="Q83" s="573" t="s">
        <v>225</v>
      </c>
    </row>
    <row r="84" spans="1:17" x14ac:dyDescent="0.2">
      <c r="A84" s="573" t="s">
        <v>181</v>
      </c>
      <c r="B84" s="575">
        <v>42542</v>
      </c>
      <c r="C84" s="573" t="s">
        <v>24</v>
      </c>
      <c r="D84" s="573" t="s">
        <v>171</v>
      </c>
      <c r="E84" s="574">
        <v>0.69791666666666663</v>
      </c>
      <c r="F84" s="574">
        <v>0.90625</v>
      </c>
      <c r="G84" s="574">
        <v>0.69791666666666663</v>
      </c>
      <c r="I84" s="579">
        <f t="shared" si="4"/>
        <v>0</v>
      </c>
      <c r="J84" s="581">
        <f t="shared" si="5"/>
        <v>-9999</v>
      </c>
      <c r="M84" s="573" t="s">
        <v>220</v>
      </c>
      <c r="N84" s="618">
        <v>42546</v>
      </c>
      <c r="O84" s="573" t="s">
        <v>217</v>
      </c>
      <c r="P84" s="574">
        <v>0.69791666666666663</v>
      </c>
      <c r="Q84" s="573" t="s">
        <v>226</v>
      </c>
    </row>
    <row r="85" spans="1:17" x14ac:dyDescent="0.2">
      <c r="A85" s="573" t="s">
        <v>187</v>
      </c>
      <c r="B85" s="575">
        <v>42542</v>
      </c>
      <c r="C85" s="573" t="s">
        <v>24</v>
      </c>
      <c r="D85" s="573" t="s">
        <v>171</v>
      </c>
      <c r="E85" s="574">
        <v>0.46875</v>
      </c>
      <c r="F85" s="574">
        <v>0.64583333333333337</v>
      </c>
      <c r="G85" s="574">
        <v>0.46875</v>
      </c>
      <c r="I85" s="579">
        <f t="shared" si="4"/>
        <v>0</v>
      </c>
      <c r="J85" s="581">
        <f t="shared" si="5"/>
        <v>-9999</v>
      </c>
      <c r="M85" s="573" t="s">
        <v>220</v>
      </c>
      <c r="N85" s="618">
        <v>42546</v>
      </c>
      <c r="O85" s="573" t="s">
        <v>5</v>
      </c>
      <c r="P85" s="574">
        <v>0.69791666666666663</v>
      </c>
      <c r="Q85" s="573" t="s">
        <v>225</v>
      </c>
    </row>
    <row r="86" spans="1:17" x14ac:dyDescent="0.2">
      <c r="A86" s="573" t="s">
        <v>186</v>
      </c>
      <c r="B86" s="575">
        <v>42543</v>
      </c>
      <c r="C86" s="573" t="s">
        <v>118</v>
      </c>
      <c r="D86" s="573" t="s">
        <v>199</v>
      </c>
      <c r="E86" s="574">
        <v>0.69791666666666663</v>
      </c>
      <c r="F86" s="574">
        <v>0.80208333333333337</v>
      </c>
      <c r="I86" s="579">
        <f t="shared" si="4"/>
        <v>-9999</v>
      </c>
      <c r="J86" s="581">
        <f t="shared" si="5"/>
        <v>-9999</v>
      </c>
      <c r="M86" s="573" t="s">
        <v>220</v>
      </c>
      <c r="N86" s="618">
        <v>42546</v>
      </c>
      <c r="O86" s="573" t="s">
        <v>5</v>
      </c>
      <c r="P86" s="574">
        <v>0.86458333333333326</v>
      </c>
      <c r="Q86" s="573" t="s">
        <v>226</v>
      </c>
    </row>
    <row r="87" spans="1:17" x14ac:dyDescent="0.2">
      <c r="A87" s="573" t="s">
        <v>156</v>
      </c>
      <c r="B87" s="575">
        <v>42543</v>
      </c>
      <c r="C87" s="573" t="s">
        <v>118</v>
      </c>
      <c r="D87" s="573" t="s">
        <v>199</v>
      </c>
      <c r="E87" s="574">
        <v>0.69791666666666663</v>
      </c>
      <c r="F87" s="574">
        <v>0.80208333333333337</v>
      </c>
      <c r="I87" s="579">
        <f t="shared" si="4"/>
        <v>-9999</v>
      </c>
      <c r="J87" s="581">
        <f t="shared" si="5"/>
        <v>-9999</v>
      </c>
      <c r="M87" s="573" t="s">
        <v>177</v>
      </c>
      <c r="N87" s="618">
        <v>42541</v>
      </c>
      <c r="O87" s="573" t="s">
        <v>217</v>
      </c>
      <c r="P87" s="574">
        <v>0.89583333333333326</v>
      </c>
      <c r="Q87" s="573" t="s">
        <v>226</v>
      </c>
    </row>
    <row r="88" spans="1:17" x14ac:dyDescent="0.2">
      <c r="A88" s="573" t="s">
        <v>189</v>
      </c>
      <c r="B88" s="575">
        <v>42543</v>
      </c>
      <c r="C88" s="573" t="s">
        <v>118</v>
      </c>
      <c r="D88" s="573" t="s">
        <v>199</v>
      </c>
      <c r="E88" s="574">
        <v>0.69791666666666663</v>
      </c>
      <c r="F88" s="574">
        <v>0.80208333333333337</v>
      </c>
      <c r="I88" s="579">
        <f t="shared" si="4"/>
        <v>-9999</v>
      </c>
      <c r="J88" s="581">
        <f t="shared" si="5"/>
        <v>-9999</v>
      </c>
      <c r="M88" s="573" t="s">
        <v>177</v>
      </c>
      <c r="N88" s="618">
        <v>42537</v>
      </c>
      <c r="O88" s="573" t="s">
        <v>5</v>
      </c>
      <c r="P88" s="574">
        <v>0.60416666666666663</v>
      </c>
      <c r="Q88" s="573" t="s">
        <v>224</v>
      </c>
    </row>
    <row r="89" spans="1:17" x14ac:dyDescent="0.2">
      <c r="A89" s="573" t="s">
        <v>180</v>
      </c>
      <c r="B89" s="575">
        <v>42543</v>
      </c>
      <c r="C89" s="573" t="s">
        <v>118</v>
      </c>
      <c r="D89" s="573" t="s">
        <v>197</v>
      </c>
      <c r="E89" s="574">
        <v>0.6875</v>
      </c>
      <c r="F89" s="574">
        <v>0.80208333333333337</v>
      </c>
      <c r="I89" s="579">
        <f t="shared" si="4"/>
        <v>-9999</v>
      </c>
      <c r="J89" s="581">
        <f t="shared" si="5"/>
        <v>-9999</v>
      </c>
      <c r="M89" s="573" t="s">
        <v>177</v>
      </c>
      <c r="N89" s="618">
        <v>42541</v>
      </c>
      <c r="O89" s="573" t="s">
        <v>5</v>
      </c>
      <c r="P89" s="574">
        <v>0.34375</v>
      </c>
      <c r="Q89" s="573" t="s">
        <v>223</v>
      </c>
    </row>
    <row r="90" spans="1:17" x14ac:dyDescent="0.2">
      <c r="A90" s="573" t="s">
        <v>208</v>
      </c>
      <c r="B90" s="575">
        <v>42543</v>
      </c>
      <c r="C90" s="573" t="s">
        <v>16</v>
      </c>
      <c r="D90" s="573" t="s">
        <v>67</v>
      </c>
      <c r="E90" s="574">
        <v>0.70833333333333337</v>
      </c>
      <c r="F90" s="574">
        <v>0.92708333333333337</v>
      </c>
      <c r="I90" s="579">
        <f t="shared" si="4"/>
        <v>-9999</v>
      </c>
      <c r="J90" s="581">
        <f t="shared" si="5"/>
        <v>-9999</v>
      </c>
      <c r="M90" s="573" t="s">
        <v>177</v>
      </c>
      <c r="N90" s="618">
        <v>42541</v>
      </c>
      <c r="O90" s="573" t="s">
        <v>5</v>
      </c>
      <c r="P90" s="574">
        <v>0.34375</v>
      </c>
      <c r="Q90" s="573" t="s">
        <v>224</v>
      </c>
    </row>
    <row r="91" spans="1:17" x14ac:dyDescent="0.2">
      <c r="A91" s="573" t="s">
        <v>181</v>
      </c>
      <c r="B91" s="575">
        <v>42543</v>
      </c>
      <c r="C91" s="573" t="s">
        <v>145</v>
      </c>
      <c r="D91" s="573" t="s">
        <v>173</v>
      </c>
      <c r="E91" s="574">
        <v>0.45833333333333331</v>
      </c>
      <c r="F91" s="574">
        <v>0.60416666666666663</v>
      </c>
      <c r="H91" s="574">
        <v>0.60416666666666663</v>
      </c>
      <c r="I91" s="579">
        <f t="shared" si="4"/>
        <v>-9999</v>
      </c>
      <c r="J91" s="581">
        <f t="shared" si="5"/>
        <v>0</v>
      </c>
      <c r="M91" s="573" t="s">
        <v>177</v>
      </c>
      <c r="N91" s="618">
        <v>42542</v>
      </c>
      <c r="O91" s="573" t="s">
        <v>5</v>
      </c>
      <c r="P91" s="574">
        <v>0.59375</v>
      </c>
      <c r="Q91" s="573" t="s">
        <v>224</v>
      </c>
    </row>
    <row r="92" spans="1:17" x14ac:dyDescent="0.2">
      <c r="A92" s="573" t="s">
        <v>181</v>
      </c>
      <c r="B92" s="575">
        <v>42543</v>
      </c>
      <c r="C92" s="573" t="s">
        <v>145</v>
      </c>
      <c r="D92" s="573" t="s">
        <v>173</v>
      </c>
      <c r="E92" s="574">
        <v>0.6875</v>
      </c>
      <c r="F92" s="574">
        <v>0.90625</v>
      </c>
      <c r="I92" s="579">
        <f t="shared" si="4"/>
        <v>-9999</v>
      </c>
      <c r="J92" s="581">
        <f t="shared" si="5"/>
        <v>-9999</v>
      </c>
      <c r="M92" s="573" t="s">
        <v>215</v>
      </c>
      <c r="N92" s="618">
        <v>42542</v>
      </c>
      <c r="O92" s="573" t="s">
        <v>5</v>
      </c>
      <c r="P92" s="574">
        <v>0.84375</v>
      </c>
      <c r="Q92" s="573" t="s">
        <v>226</v>
      </c>
    </row>
    <row r="93" spans="1:17" x14ac:dyDescent="0.2">
      <c r="A93" s="573" t="s">
        <v>157</v>
      </c>
      <c r="B93" s="575">
        <v>42543</v>
      </c>
      <c r="C93" s="573" t="s">
        <v>50</v>
      </c>
      <c r="D93" s="573" t="s">
        <v>196</v>
      </c>
      <c r="E93" s="574">
        <v>0.45833333333333331</v>
      </c>
      <c r="F93" s="574">
        <v>0.58333333333333337</v>
      </c>
      <c r="I93" s="579">
        <f t="shared" si="4"/>
        <v>-9999</v>
      </c>
      <c r="J93" s="581">
        <f t="shared" si="5"/>
        <v>-9999</v>
      </c>
      <c r="M93" s="573" t="s">
        <v>182</v>
      </c>
      <c r="N93" s="618">
        <v>42540</v>
      </c>
      <c r="O93" s="573" t="s">
        <v>217</v>
      </c>
      <c r="P93" s="574">
        <v>0.9375</v>
      </c>
      <c r="Q93" s="573" t="s">
        <v>226</v>
      </c>
    </row>
    <row r="94" spans="1:17" x14ac:dyDescent="0.2">
      <c r="A94" s="573" t="s">
        <v>187</v>
      </c>
      <c r="B94" s="575">
        <v>42543</v>
      </c>
      <c r="C94" s="573" t="s">
        <v>5</v>
      </c>
      <c r="D94" s="573" t="s">
        <v>174</v>
      </c>
      <c r="E94" s="574">
        <v>0.45833333333333331</v>
      </c>
      <c r="F94" s="574">
        <v>0.60416666666666663</v>
      </c>
      <c r="G94" s="574">
        <v>0.46875</v>
      </c>
      <c r="I94" s="579">
        <f t="shared" si="4"/>
        <v>0.25</v>
      </c>
      <c r="J94" s="581">
        <f t="shared" si="5"/>
        <v>-9999</v>
      </c>
      <c r="M94" s="573" t="s">
        <v>182</v>
      </c>
      <c r="N94" s="618">
        <v>42539</v>
      </c>
      <c r="O94" s="573" t="s">
        <v>218</v>
      </c>
      <c r="P94" s="574">
        <v>0.58333333333333326</v>
      </c>
      <c r="Q94" s="573" t="s">
        <v>223</v>
      </c>
    </row>
    <row r="95" spans="1:17" x14ac:dyDescent="0.2">
      <c r="A95" s="573" t="s">
        <v>192</v>
      </c>
      <c r="B95" s="575">
        <v>42543</v>
      </c>
      <c r="C95" s="573" t="s">
        <v>5</v>
      </c>
      <c r="D95" s="573" t="s">
        <v>174</v>
      </c>
      <c r="E95" s="574">
        <v>0.69791666666666663</v>
      </c>
      <c r="F95" s="574">
        <v>0.85416666666666663</v>
      </c>
      <c r="G95" s="574">
        <v>0.69791666666666663</v>
      </c>
      <c r="I95" s="579">
        <f t="shared" si="4"/>
        <v>0</v>
      </c>
      <c r="J95" s="581">
        <f t="shared" si="5"/>
        <v>-9999</v>
      </c>
      <c r="M95" s="573" t="s">
        <v>182</v>
      </c>
      <c r="N95" s="618">
        <v>42539</v>
      </c>
      <c r="O95" s="573" t="s">
        <v>218</v>
      </c>
      <c r="P95" s="574">
        <v>0.69791666666666663</v>
      </c>
      <c r="Q95" s="573" t="s">
        <v>224</v>
      </c>
    </row>
    <row r="96" spans="1:17" x14ac:dyDescent="0.2">
      <c r="A96" s="573" t="s">
        <v>188</v>
      </c>
      <c r="B96" s="575">
        <v>42543</v>
      </c>
      <c r="C96" s="573" t="s">
        <v>24</v>
      </c>
      <c r="D96" s="573" t="s">
        <v>171</v>
      </c>
      <c r="E96" s="574">
        <v>0.42708333333333331</v>
      </c>
      <c r="F96" s="574">
        <v>0.63541666666666663</v>
      </c>
      <c r="G96" s="574">
        <v>0.42708333333333331</v>
      </c>
      <c r="I96" s="579">
        <f t="shared" si="4"/>
        <v>0</v>
      </c>
      <c r="J96" s="581">
        <f t="shared" si="5"/>
        <v>-9999</v>
      </c>
      <c r="M96" s="573" t="s">
        <v>182</v>
      </c>
      <c r="N96" s="618">
        <v>42537</v>
      </c>
      <c r="O96" s="573" t="s">
        <v>5</v>
      </c>
      <c r="P96" s="574">
        <v>0.92708333333333326</v>
      </c>
      <c r="Q96" s="573" t="s">
        <v>226</v>
      </c>
    </row>
    <row r="97" spans="1:17" x14ac:dyDescent="0.2">
      <c r="A97" s="573" t="s">
        <v>188</v>
      </c>
      <c r="B97" s="575">
        <v>42543</v>
      </c>
      <c r="C97" s="573" t="s">
        <v>24</v>
      </c>
      <c r="D97" s="573" t="s">
        <v>171</v>
      </c>
      <c r="E97" s="574">
        <v>0.71875</v>
      </c>
      <c r="F97" s="574">
        <v>0.9375</v>
      </c>
      <c r="G97" s="574">
        <v>0.71875</v>
      </c>
      <c r="I97" s="579">
        <f t="shared" si="4"/>
        <v>0</v>
      </c>
      <c r="J97" s="581">
        <f t="shared" si="5"/>
        <v>-9999</v>
      </c>
      <c r="M97" s="573" t="s">
        <v>182</v>
      </c>
      <c r="N97" s="618">
        <v>42539</v>
      </c>
      <c r="O97" s="573" t="s">
        <v>5</v>
      </c>
      <c r="P97" s="574">
        <v>0.9375</v>
      </c>
      <c r="Q97" s="573" t="s">
        <v>226</v>
      </c>
    </row>
    <row r="98" spans="1:17" x14ac:dyDescent="0.2">
      <c r="A98" s="573" t="s">
        <v>220</v>
      </c>
      <c r="B98" s="575">
        <v>42543</v>
      </c>
      <c r="C98" s="573" t="s">
        <v>24</v>
      </c>
      <c r="D98" s="573" t="s">
        <v>171</v>
      </c>
      <c r="E98" s="574">
        <v>0.72916666666666663</v>
      </c>
      <c r="F98" s="574">
        <v>0.91666666666666663</v>
      </c>
      <c r="G98" s="574">
        <v>0.89583333333333326</v>
      </c>
      <c r="I98" s="579">
        <f t="shared" ref="I98:I120" si="6">IF(G98="",-9999,ABS(ROUND((IF(E98&lt;0.25,E98+1,E98)-IF(G98&lt;0.25,G98+1,G98))*24,2)))</f>
        <v>4</v>
      </c>
      <c r="J98" s="581">
        <f t="shared" ref="J98:J120" si="7">IF(H98="",-9999,ABS(ROUND((IF(F98&lt;0.25,F98+1,F98)-IF(H98&lt;0.25,H98+1,H98))*24,2)))</f>
        <v>-9999</v>
      </c>
      <c r="M98" s="573" t="s">
        <v>221</v>
      </c>
      <c r="N98" s="618">
        <v>42540</v>
      </c>
      <c r="O98" s="573" t="s">
        <v>218</v>
      </c>
      <c r="P98" s="574">
        <v>0.44791666666666663</v>
      </c>
      <c r="Q98" s="573" t="s">
        <v>223</v>
      </c>
    </row>
    <row r="99" spans="1:17" x14ac:dyDescent="0.2">
      <c r="A99" s="573" t="s">
        <v>219</v>
      </c>
      <c r="B99" s="575">
        <v>42543</v>
      </c>
      <c r="C99" s="573" t="s">
        <v>24</v>
      </c>
      <c r="D99" s="573" t="s">
        <v>171</v>
      </c>
      <c r="E99" s="574">
        <v>0.42708333333333331</v>
      </c>
      <c r="F99" s="574">
        <v>0.63541666666666663</v>
      </c>
      <c r="G99" s="574">
        <v>0.42708333333333331</v>
      </c>
      <c r="I99" s="579">
        <f t="shared" si="6"/>
        <v>0</v>
      </c>
      <c r="J99" s="581">
        <f t="shared" si="7"/>
        <v>-9999</v>
      </c>
      <c r="M99" s="573" t="s">
        <v>221</v>
      </c>
      <c r="N99" s="618">
        <v>42540</v>
      </c>
      <c r="O99" s="573" t="s">
        <v>218</v>
      </c>
      <c r="P99" s="574">
        <v>0.83333333333333326</v>
      </c>
      <c r="Q99" s="573" t="s">
        <v>224</v>
      </c>
    </row>
    <row r="100" spans="1:17" x14ac:dyDescent="0.2">
      <c r="A100" s="573" t="s">
        <v>183</v>
      </c>
      <c r="B100" s="575">
        <v>42543</v>
      </c>
      <c r="C100" s="573" t="s">
        <v>24</v>
      </c>
      <c r="D100" s="573" t="s">
        <v>171</v>
      </c>
      <c r="E100" s="574">
        <v>0.42708333333333331</v>
      </c>
      <c r="F100" s="574">
        <v>0.63541666666666663</v>
      </c>
      <c r="G100" s="574">
        <v>0.42708333333333331</v>
      </c>
      <c r="I100" s="579">
        <f t="shared" si="6"/>
        <v>0</v>
      </c>
      <c r="J100" s="581">
        <f t="shared" si="7"/>
        <v>-9999</v>
      </c>
      <c r="M100" s="573" t="s">
        <v>221</v>
      </c>
      <c r="N100" s="618">
        <v>42540</v>
      </c>
      <c r="O100" s="573" t="s">
        <v>5</v>
      </c>
      <c r="P100" s="574">
        <v>0.83333333333333326</v>
      </c>
      <c r="Q100" s="573" t="s">
        <v>225</v>
      </c>
    </row>
    <row r="101" spans="1:17" x14ac:dyDescent="0.2">
      <c r="A101" s="573" t="s">
        <v>156</v>
      </c>
      <c r="B101" s="575">
        <v>42544</v>
      </c>
      <c r="C101" s="573" t="s">
        <v>16</v>
      </c>
      <c r="D101" s="573" t="s">
        <v>67</v>
      </c>
      <c r="E101" s="574">
        <v>0.70833333333333337</v>
      </c>
      <c r="F101" s="574">
        <v>0.91666666666666663</v>
      </c>
      <c r="I101" s="579">
        <f t="shared" si="6"/>
        <v>-9999</v>
      </c>
      <c r="J101" s="581">
        <f t="shared" si="7"/>
        <v>-9999</v>
      </c>
      <c r="M101" s="573" t="s">
        <v>221</v>
      </c>
      <c r="N101" s="618">
        <v>42540</v>
      </c>
      <c r="O101" s="573" t="s">
        <v>5</v>
      </c>
      <c r="P101" s="574">
        <v>0.16666666666666666</v>
      </c>
      <c r="Q101" s="573" t="s">
        <v>226</v>
      </c>
    </row>
    <row r="102" spans="1:17" x14ac:dyDescent="0.2">
      <c r="A102" s="573" t="s">
        <v>213</v>
      </c>
      <c r="B102" s="575">
        <v>42544</v>
      </c>
      <c r="C102" s="573" t="s">
        <v>145</v>
      </c>
      <c r="D102" s="573" t="s">
        <v>173</v>
      </c>
      <c r="E102" s="574">
        <v>0.45833333333333331</v>
      </c>
      <c r="F102" s="574">
        <v>0.63541666666666663</v>
      </c>
      <c r="G102" s="574">
        <v>0.45833333333333331</v>
      </c>
      <c r="I102" s="579">
        <f t="shared" si="6"/>
        <v>0</v>
      </c>
      <c r="J102" s="581">
        <f t="shared" si="7"/>
        <v>-9999</v>
      </c>
      <c r="M102" s="573" t="s">
        <v>158</v>
      </c>
      <c r="N102" s="618">
        <v>42539</v>
      </c>
      <c r="O102" s="573" t="s">
        <v>5</v>
      </c>
      <c r="P102" s="574">
        <v>0.65625</v>
      </c>
      <c r="Q102" s="573" t="s">
        <v>224</v>
      </c>
    </row>
    <row r="103" spans="1:17" x14ac:dyDescent="0.2">
      <c r="A103" s="573" t="s">
        <v>213</v>
      </c>
      <c r="B103" s="575">
        <v>42544</v>
      </c>
      <c r="C103" s="573" t="s">
        <v>145</v>
      </c>
      <c r="D103" s="573" t="s">
        <v>173</v>
      </c>
      <c r="E103" s="574">
        <v>0.6875</v>
      </c>
      <c r="F103" s="574">
        <v>0.85416666666666663</v>
      </c>
      <c r="I103" s="579">
        <f t="shared" si="6"/>
        <v>-9999</v>
      </c>
      <c r="J103" s="581">
        <f t="shared" si="7"/>
        <v>-9999</v>
      </c>
      <c r="M103" s="573" t="s">
        <v>158</v>
      </c>
      <c r="N103" s="618">
        <v>42540</v>
      </c>
      <c r="O103" s="573" t="s">
        <v>5</v>
      </c>
      <c r="P103" s="574">
        <v>0.82291666666666663</v>
      </c>
      <c r="Q103" s="573" t="s">
        <v>224</v>
      </c>
    </row>
    <row r="104" spans="1:17" x14ac:dyDescent="0.2">
      <c r="A104" s="573" t="s">
        <v>157</v>
      </c>
      <c r="B104" s="575">
        <v>42544</v>
      </c>
      <c r="C104" s="573" t="s">
        <v>50</v>
      </c>
      <c r="D104" s="573" t="s">
        <v>196</v>
      </c>
      <c r="E104" s="574">
        <v>0.45833333333333331</v>
      </c>
      <c r="F104" s="574">
        <v>0.625</v>
      </c>
      <c r="I104" s="579">
        <f t="shared" si="6"/>
        <v>-9999</v>
      </c>
      <c r="J104" s="581">
        <f t="shared" si="7"/>
        <v>-9999</v>
      </c>
      <c r="M104" s="573" t="s">
        <v>192</v>
      </c>
      <c r="N104" s="618">
        <v>42539</v>
      </c>
      <c r="O104" s="573" t="s">
        <v>5</v>
      </c>
      <c r="P104" s="574">
        <v>0.9375</v>
      </c>
      <c r="Q104" s="573" t="s">
        <v>226</v>
      </c>
    </row>
    <row r="105" spans="1:17" x14ac:dyDescent="0.2">
      <c r="A105" s="573" t="s">
        <v>178</v>
      </c>
      <c r="B105" s="575">
        <v>42544</v>
      </c>
      <c r="C105" s="573" t="s">
        <v>5</v>
      </c>
      <c r="D105" s="573" t="s">
        <v>174</v>
      </c>
      <c r="E105" s="574">
        <v>0.46875</v>
      </c>
      <c r="F105" s="574">
        <v>0.60416666666666663</v>
      </c>
      <c r="G105" s="574">
        <v>0.51041666666666663</v>
      </c>
      <c r="I105" s="579">
        <f t="shared" si="6"/>
        <v>1</v>
      </c>
      <c r="J105" s="581">
        <f t="shared" si="7"/>
        <v>-9999</v>
      </c>
      <c r="M105" s="573" t="s">
        <v>192</v>
      </c>
      <c r="N105" s="618">
        <v>42540</v>
      </c>
      <c r="O105" s="573" t="s">
        <v>5</v>
      </c>
      <c r="P105" s="574">
        <v>0.16666666666666666</v>
      </c>
      <c r="Q105" s="573" t="s">
        <v>226</v>
      </c>
    </row>
    <row r="106" spans="1:17" x14ac:dyDescent="0.2">
      <c r="A106" s="573" t="s">
        <v>179</v>
      </c>
      <c r="B106" s="575">
        <v>42544</v>
      </c>
      <c r="C106" s="573" t="s">
        <v>5</v>
      </c>
      <c r="D106" s="573" t="s">
        <v>174</v>
      </c>
      <c r="E106" s="574">
        <v>0.6875</v>
      </c>
      <c r="F106" s="574">
        <v>0.89583333333333337</v>
      </c>
      <c r="G106" s="574">
        <v>0.69791666666666663</v>
      </c>
      <c r="I106" s="579">
        <f t="shared" si="6"/>
        <v>0.25</v>
      </c>
      <c r="J106" s="581">
        <f t="shared" si="7"/>
        <v>-9999</v>
      </c>
      <c r="M106" s="573" t="s">
        <v>192</v>
      </c>
      <c r="N106" s="618">
        <v>42543</v>
      </c>
      <c r="O106" s="573" t="s">
        <v>5</v>
      </c>
      <c r="P106" s="574">
        <v>0.83333333333333326</v>
      </c>
      <c r="Q106" s="573" t="s">
        <v>226</v>
      </c>
    </row>
    <row r="107" spans="1:17" x14ac:dyDescent="0.2">
      <c r="A107" s="573" t="s">
        <v>188</v>
      </c>
      <c r="B107" s="575">
        <v>42544</v>
      </c>
      <c r="C107" s="573" t="s">
        <v>24</v>
      </c>
      <c r="D107" s="573" t="s">
        <v>171</v>
      </c>
      <c r="E107" s="574">
        <v>0.45833333333333331</v>
      </c>
      <c r="F107" s="574">
        <v>0.64583333333333337</v>
      </c>
      <c r="G107" s="574">
        <v>0.46875</v>
      </c>
      <c r="I107" s="579">
        <f t="shared" si="6"/>
        <v>0.25</v>
      </c>
      <c r="J107" s="581">
        <f t="shared" si="7"/>
        <v>-9999</v>
      </c>
      <c r="N107" s="618"/>
    </row>
    <row r="108" spans="1:17" x14ac:dyDescent="0.2">
      <c r="A108" s="573" t="s">
        <v>220</v>
      </c>
      <c r="B108" s="575">
        <v>42544</v>
      </c>
      <c r="C108" s="573" t="s">
        <v>24</v>
      </c>
      <c r="D108" s="573" t="s">
        <v>171</v>
      </c>
      <c r="E108" s="574">
        <v>0.69791666666666663</v>
      </c>
      <c r="F108" s="574">
        <v>0</v>
      </c>
      <c r="G108" s="574">
        <v>0.69791666666666663</v>
      </c>
      <c r="I108" s="579">
        <f t="shared" si="6"/>
        <v>0</v>
      </c>
      <c r="J108" s="581">
        <f t="shared" si="7"/>
        <v>-9999</v>
      </c>
      <c r="N108" s="618"/>
    </row>
    <row r="109" spans="1:17" x14ac:dyDescent="0.2">
      <c r="A109" s="573" t="s">
        <v>190</v>
      </c>
      <c r="B109" s="575">
        <v>42545</v>
      </c>
      <c r="C109" s="573" t="s">
        <v>77</v>
      </c>
      <c r="D109" s="573" t="s">
        <v>176</v>
      </c>
      <c r="E109" s="574">
        <v>0.9375</v>
      </c>
      <c r="F109" s="574">
        <v>0.11458333333333333</v>
      </c>
      <c r="I109" s="579">
        <f t="shared" si="6"/>
        <v>-9999</v>
      </c>
      <c r="J109" s="581">
        <f t="shared" si="7"/>
        <v>-9999</v>
      </c>
      <c r="N109" s="618"/>
    </row>
    <row r="110" spans="1:17" x14ac:dyDescent="0.2">
      <c r="A110" s="573" t="s">
        <v>178</v>
      </c>
      <c r="B110" s="575">
        <v>42545</v>
      </c>
      <c r="C110" s="573" t="s">
        <v>154</v>
      </c>
      <c r="D110" s="573" t="s">
        <v>175</v>
      </c>
      <c r="E110" s="574">
        <v>0.70833333333333337</v>
      </c>
      <c r="F110" s="574">
        <v>0.89583333333333337</v>
      </c>
      <c r="I110" s="579">
        <f t="shared" si="6"/>
        <v>-9999</v>
      </c>
      <c r="J110" s="581">
        <f t="shared" si="7"/>
        <v>-9999</v>
      </c>
      <c r="N110" s="618"/>
    </row>
    <row r="111" spans="1:17" x14ac:dyDescent="0.2">
      <c r="A111" s="573" t="s">
        <v>156</v>
      </c>
      <c r="B111" s="575">
        <v>42545</v>
      </c>
      <c r="C111" s="573" t="s">
        <v>16</v>
      </c>
      <c r="D111" s="573" t="s">
        <v>67</v>
      </c>
      <c r="E111" s="574">
        <v>0.70833333333333337</v>
      </c>
      <c r="F111" s="574">
        <v>0.94791666666666663</v>
      </c>
      <c r="I111" s="579">
        <f t="shared" si="6"/>
        <v>-9999</v>
      </c>
      <c r="J111" s="581">
        <f t="shared" si="7"/>
        <v>-9999</v>
      </c>
      <c r="N111" s="618"/>
    </row>
    <row r="112" spans="1:17" x14ac:dyDescent="0.2">
      <c r="A112" s="573" t="s">
        <v>193</v>
      </c>
      <c r="B112" s="575">
        <v>42545</v>
      </c>
      <c r="C112" s="573" t="s">
        <v>16</v>
      </c>
      <c r="D112" s="573" t="s">
        <v>97</v>
      </c>
      <c r="E112" s="574">
        <v>0.75</v>
      </c>
      <c r="F112" s="574">
        <v>0.95833333333333337</v>
      </c>
      <c r="I112" s="579">
        <f t="shared" si="6"/>
        <v>-9999</v>
      </c>
      <c r="J112" s="581">
        <f t="shared" si="7"/>
        <v>-9999</v>
      </c>
      <c r="N112" s="618"/>
    </row>
    <row r="113" spans="1:14" x14ac:dyDescent="0.2">
      <c r="A113" s="573" t="s">
        <v>181</v>
      </c>
      <c r="B113" s="575">
        <v>42545</v>
      </c>
      <c r="C113" s="573" t="s">
        <v>145</v>
      </c>
      <c r="D113" s="573" t="s">
        <v>173</v>
      </c>
      <c r="E113" s="574">
        <v>0.45833333333333331</v>
      </c>
      <c r="F113" s="574">
        <v>0.61458333333333337</v>
      </c>
      <c r="G113" s="574">
        <v>0.45833333333333331</v>
      </c>
      <c r="I113" s="579">
        <f t="shared" si="6"/>
        <v>0</v>
      </c>
      <c r="J113" s="581">
        <f t="shared" si="7"/>
        <v>-9999</v>
      </c>
      <c r="N113" s="618"/>
    </row>
    <row r="114" spans="1:14" x14ac:dyDescent="0.2">
      <c r="A114" s="573" t="s">
        <v>181</v>
      </c>
      <c r="B114" s="575">
        <v>42545</v>
      </c>
      <c r="C114" s="573" t="s">
        <v>145</v>
      </c>
      <c r="D114" s="573" t="s">
        <v>173</v>
      </c>
      <c r="E114" s="574">
        <v>0.6875</v>
      </c>
      <c r="F114" s="574">
        <v>0.85416666666666663</v>
      </c>
      <c r="G114" s="574">
        <v>0.6875</v>
      </c>
      <c r="I114" s="579">
        <f t="shared" si="6"/>
        <v>0</v>
      </c>
      <c r="J114" s="581">
        <f t="shared" si="7"/>
        <v>-9999</v>
      </c>
      <c r="N114" s="618"/>
    </row>
    <row r="115" spans="1:14" x14ac:dyDescent="0.2">
      <c r="A115" s="573" t="s">
        <v>157</v>
      </c>
      <c r="B115" s="575">
        <v>42545</v>
      </c>
      <c r="C115" s="573" t="s">
        <v>50</v>
      </c>
      <c r="D115" s="573" t="s">
        <v>196</v>
      </c>
      <c r="E115" s="574">
        <v>0.45833333333333331</v>
      </c>
      <c r="F115" s="574">
        <v>0.57291666666666663</v>
      </c>
      <c r="I115" s="579">
        <f t="shared" si="6"/>
        <v>-9999</v>
      </c>
      <c r="J115" s="581">
        <f t="shared" si="7"/>
        <v>-9999</v>
      </c>
      <c r="N115" s="618"/>
    </row>
    <row r="116" spans="1:14" x14ac:dyDescent="0.2">
      <c r="A116" s="573" t="s">
        <v>186</v>
      </c>
      <c r="B116" s="575">
        <v>42545</v>
      </c>
      <c r="C116" s="573" t="s">
        <v>5</v>
      </c>
      <c r="D116" s="573" t="s">
        <v>174</v>
      </c>
      <c r="E116" s="574">
        <v>0.6875</v>
      </c>
      <c r="F116" s="574">
        <v>0.90625</v>
      </c>
      <c r="G116" s="574">
        <v>0.6875</v>
      </c>
      <c r="I116" s="579">
        <f t="shared" si="6"/>
        <v>0</v>
      </c>
      <c r="J116" s="581">
        <f t="shared" si="7"/>
        <v>-9999</v>
      </c>
      <c r="N116" s="618"/>
    </row>
    <row r="117" spans="1:14" x14ac:dyDescent="0.2">
      <c r="A117" s="573" t="s">
        <v>210</v>
      </c>
      <c r="B117" s="575">
        <v>42545</v>
      </c>
      <c r="C117" s="573" t="s">
        <v>5</v>
      </c>
      <c r="D117" s="573" t="s">
        <v>174</v>
      </c>
      <c r="E117" s="574">
        <v>0.47916666666666669</v>
      </c>
      <c r="F117" s="574">
        <v>0.63541666666666663</v>
      </c>
      <c r="G117" s="574">
        <v>0.47916666666666663</v>
      </c>
      <c r="I117" s="579">
        <f t="shared" si="6"/>
        <v>0</v>
      </c>
      <c r="J117" s="581">
        <f t="shared" si="7"/>
        <v>-9999</v>
      </c>
      <c r="N117" s="618"/>
    </row>
    <row r="118" spans="1:14" x14ac:dyDescent="0.2">
      <c r="A118" s="573" t="s">
        <v>183</v>
      </c>
      <c r="B118" s="575">
        <v>42545</v>
      </c>
      <c r="C118" s="573" t="s">
        <v>5</v>
      </c>
      <c r="D118" s="573" t="s">
        <v>174</v>
      </c>
      <c r="E118" s="574">
        <v>0.70833333333333337</v>
      </c>
      <c r="F118" s="574">
        <v>0.875</v>
      </c>
      <c r="G118" s="574">
        <v>0.70833333333333326</v>
      </c>
      <c r="I118" s="579">
        <f t="shared" si="6"/>
        <v>0</v>
      </c>
      <c r="J118" s="581">
        <f t="shared" si="7"/>
        <v>-9999</v>
      </c>
      <c r="N118" s="618"/>
    </row>
    <row r="119" spans="1:14" x14ac:dyDescent="0.2">
      <c r="A119" s="573" t="s">
        <v>179</v>
      </c>
      <c r="B119" s="575">
        <v>42545</v>
      </c>
      <c r="C119" s="573" t="s">
        <v>24</v>
      </c>
      <c r="D119" s="573" t="s">
        <v>171</v>
      </c>
      <c r="E119" s="574">
        <v>0.72916666666666663</v>
      </c>
      <c r="F119" s="574">
        <v>0.91666666666666663</v>
      </c>
      <c r="G119" s="574">
        <v>0.72916666666666663</v>
      </c>
      <c r="I119" s="579">
        <f t="shared" si="6"/>
        <v>0</v>
      </c>
      <c r="J119" s="581">
        <f t="shared" si="7"/>
        <v>-9999</v>
      </c>
      <c r="N119" s="618"/>
    </row>
    <row r="120" spans="1:14" x14ac:dyDescent="0.2">
      <c r="A120" s="573" t="s">
        <v>220</v>
      </c>
      <c r="B120" s="575">
        <v>42545</v>
      </c>
      <c r="C120" s="573" t="s">
        <v>24</v>
      </c>
      <c r="D120" s="573" t="s">
        <v>171</v>
      </c>
      <c r="E120" s="574">
        <v>0.69791666666666663</v>
      </c>
      <c r="F120" s="574">
        <v>0.84375</v>
      </c>
      <c r="G120" s="574">
        <v>0.69791666666666663</v>
      </c>
      <c r="I120" s="579">
        <f t="shared" si="6"/>
        <v>0</v>
      </c>
      <c r="J120" s="581">
        <f t="shared" si="7"/>
        <v>-9999</v>
      </c>
      <c r="N120" s="618"/>
    </row>
    <row r="121" spans="1:14" x14ac:dyDescent="0.2">
      <c r="N121" s="618"/>
    </row>
    <row r="122" spans="1:14" x14ac:dyDescent="0.2">
      <c r="N122" s="618"/>
    </row>
    <row r="123" spans="1:14" x14ac:dyDescent="0.2">
      <c r="N123" s="618"/>
    </row>
    <row r="124" spans="1:14" x14ac:dyDescent="0.2">
      <c r="N124" s="618"/>
    </row>
    <row r="125" spans="1:14" x14ac:dyDescent="0.2">
      <c r="N125" s="618"/>
    </row>
    <row r="126" spans="1:14" x14ac:dyDescent="0.2">
      <c r="N126" s="618"/>
    </row>
    <row r="127" spans="1:14" x14ac:dyDescent="0.2">
      <c r="N127" s="618"/>
    </row>
    <row r="128" spans="1:14" x14ac:dyDescent="0.2">
      <c r="N128" s="618"/>
    </row>
    <row r="129" spans="14:14" x14ac:dyDescent="0.2">
      <c r="N129" s="618"/>
    </row>
    <row r="130" spans="14:14" x14ac:dyDescent="0.2">
      <c r="N130" s="618"/>
    </row>
    <row r="131" spans="14:14" x14ac:dyDescent="0.2">
      <c r="N131" s="618"/>
    </row>
    <row r="132" spans="14:14" x14ac:dyDescent="0.2">
      <c r="N132" s="618"/>
    </row>
    <row r="133" spans="14:14" x14ac:dyDescent="0.2">
      <c r="N133" s="618"/>
    </row>
    <row r="134" spans="14:14" x14ac:dyDescent="0.2">
      <c r="N134" s="618"/>
    </row>
    <row r="135" spans="14:14" x14ac:dyDescent="0.2">
      <c r="N135" s="618"/>
    </row>
    <row r="136" spans="14:14" x14ac:dyDescent="0.2">
      <c r="N136" s="618"/>
    </row>
    <row r="137" spans="14:14" x14ac:dyDescent="0.2">
      <c r="N137" s="618"/>
    </row>
    <row r="138" spans="14:14" x14ac:dyDescent="0.2">
      <c r="N138" s="618"/>
    </row>
    <row r="139" spans="14:14" x14ac:dyDescent="0.2">
      <c r="N139" s="618"/>
    </row>
    <row r="140" spans="14:14" x14ac:dyDescent="0.2">
      <c r="N140" s="618"/>
    </row>
    <row r="141" spans="14:14" x14ac:dyDescent="0.2">
      <c r="N141" s="618"/>
    </row>
    <row r="142" spans="14:14" x14ac:dyDescent="0.2">
      <c r="N142" s="618"/>
    </row>
    <row r="143" spans="14:14" x14ac:dyDescent="0.2">
      <c r="N143" s="618"/>
    </row>
    <row r="144" spans="14:14" x14ac:dyDescent="0.2">
      <c r="N144" s="618"/>
    </row>
    <row r="145" spans="14:14" x14ac:dyDescent="0.2">
      <c r="N145" s="618"/>
    </row>
    <row r="146" spans="14:14" x14ac:dyDescent="0.2">
      <c r="N146" s="618"/>
    </row>
    <row r="147" spans="14:14" x14ac:dyDescent="0.2">
      <c r="N147" s="618"/>
    </row>
    <row r="148" spans="14:14" x14ac:dyDescent="0.2">
      <c r="N148" s="618"/>
    </row>
    <row r="149" spans="14:14" x14ac:dyDescent="0.2">
      <c r="N149" s="618"/>
    </row>
    <row r="150" spans="14:14" x14ac:dyDescent="0.2">
      <c r="N150" s="618"/>
    </row>
    <row r="151" spans="14:14" x14ac:dyDescent="0.2">
      <c r="N151" s="618"/>
    </row>
    <row r="152" spans="14:14" x14ac:dyDescent="0.2">
      <c r="N152" s="618"/>
    </row>
    <row r="153" spans="14:14" x14ac:dyDescent="0.2">
      <c r="N153" s="618"/>
    </row>
    <row r="154" spans="14:14" x14ac:dyDescent="0.2">
      <c r="N154" s="618"/>
    </row>
    <row r="155" spans="14:14" x14ac:dyDescent="0.2">
      <c r="N155" s="618"/>
    </row>
    <row r="156" spans="14:14" x14ac:dyDescent="0.2">
      <c r="N156" s="618"/>
    </row>
    <row r="157" spans="14:14" x14ac:dyDescent="0.2">
      <c r="N157" s="618"/>
    </row>
    <row r="158" spans="14:14" x14ac:dyDescent="0.2">
      <c r="N158" s="618"/>
    </row>
    <row r="159" spans="14:14" x14ac:dyDescent="0.2">
      <c r="N159" s="618"/>
    </row>
    <row r="160" spans="14:14" x14ac:dyDescent="0.2">
      <c r="N160" s="618"/>
    </row>
    <row r="161" spans="14:14" x14ac:dyDescent="0.2">
      <c r="N161" s="618"/>
    </row>
    <row r="162" spans="14:14" x14ac:dyDescent="0.2">
      <c r="N162" s="618"/>
    </row>
    <row r="163" spans="14:14" x14ac:dyDescent="0.2">
      <c r="N163" s="618"/>
    </row>
    <row r="164" spans="14:14" x14ac:dyDescent="0.2">
      <c r="N164" s="618"/>
    </row>
    <row r="165" spans="14:14" x14ac:dyDescent="0.2">
      <c r="N165" s="618"/>
    </row>
    <row r="166" spans="14:14" x14ac:dyDescent="0.2">
      <c r="N166" s="618"/>
    </row>
    <row r="167" spans="14:14" x14ac:dyDescent="0.2">
      <c r="N167" s="618"/>
    </row>
    <row r="168" spans="14:14" x14ac:dyDescent="0.2">
      <c r="N168" s="618"/>
    </row>
    <row r="169" spans="14:14" x14ac:dyDescent="0.2">
      <c r="N169" s="618"/>
    </row>
  </sheetData>
  <sheetProtection algorithmName="SHA-512" hashValue="Q+oVApFst1ObJI1JgPVxiKcCudVKKfjxTtCmIVV6bTmkRJgViHCQ5U1VaJWtkL9jkqRI8W+kFYYN9XkX0AMuVg==" saltValue="lQojLmZUf7PvFe6LxdCOwg==" spinCount="100000" sheet="1" objects="1" scenarios="1"/>
  <sortState ref="A2:F120">
    <sortCondition ref="B2:B120"/>
    <sortCondition ref="C2:C120"/>
    <sortCondition ref="A2:A120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79</vt:i4>
      </vt:variant>
    </vt:vector>
  </HeadingPairs>
  <TitlesOfParts>
    <vt:vector size="94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2016-06-26T08:39:22Z</dcterms:modified>
  <cp:version>5.2.1</cp:version>
</cp:coreProperties>
</file>
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terj\Desktop\USA-Valet-Projects\"/>
    </mc:Choice>
  </mc:AlternateContent>
  <bookViews>
    <workbookView xWindow="0" yWindow="0" windowWidth="19476" windowHeight="8112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52511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3" i="16" l="1"/>
  <c r="I13" i="16"/>
  <c r="J52" i="16"/>
  <c r="I52" i="16"/>
  <c r="J26" i="16"/>
  <c r="I26" i="16"/>
  <c r="J11" i="16"/>
  <c r="I11" i="16"/>
  <c r="J51" i="16"/>
  <c r="I51" i="16"/>
  <c r="J76" i="16"/>
  <c r="I76" i="16"/>
  <c r="J56" i="16"/>
  <c r="I56" i="16"/>
  <c r="J34" i="16"/>
  <c r="I34" i="16"/>
  <c r="J53" i="16"/>
  <c r="I53" i="16"/>
  <c r="J39" i="16"/>
  <c r="I39" i="16"/>
  <c r="J44" i="16"/>
  <c r="I44" i="16"/>
  <c r="J50" i="16"/>
  <c r="I50" i="16"/>
  <c r="J43" i="16"/>
  <c r="I43" i="16"/>
  <c r="J33" i="16"/>
  <c r="I33" i="16"/>
  <c r="J16" i="16"/>
  <c r="I16" i="16"/>
  <c r="J15" i="16"/>
  <c r="I15" i="16"/>
  <c r="J49" i="16"/>
  <c r="I49" i="16"/>
  <c r="J23" i="16"/>
  <c r="I23" i="16"/>
  <c r="J2" i="16"/>
  <c r="I2" i="16"/>
  <c r="J55" i="16"/>
  <c r="I55" i="16"/>
  <c r="J29" i="16"/>
  <c r="I29" i="16"/>
  <c r="J48" i="16"/>
  <c r="I48" i="16"/>
  <c r="J27" i="16"/>
  <c r="I27" i="16"/>
  <c r="J10" i="16"/>
  <c r="I10" i="16"/>
  <c r="J41" i="16"/>
  <c r="I41" i="16"/>
  <c r="J42" i="16"/>
  <c r="I42" i="16"/>
  <c r="J24" i="16"/>
  <c r="I24" i="16"/>
  <c r="J9" i="16"/>
  <c r="I9" i="16"/>
  <c r="J54" i="16"/>
  <c r="I54" i="16"/>
  <c r="J47" i="16"/>
  <c r="I47" i="16"/>
  <c r="J32" i="16"/>
  <c r="I32" i="16"/>
  <c r="J12" i="16"/>
  <c r="I12" i="16"/>
  <c r="J46" i="16"/>
  <c r="I46" i="16"/>
  <c r="J31" i="16"/>
  <c r="I31" i="16"/>
  <c r="J30" i="16"/>
  <c r="I30" i="16"/>
  <c r="J75" i="16"/>
  <c r="I75" i="16"/>
  <c r="J74" i="16"/>
  <c r="I74" i="16"/>
  <c r="J38" i="16"/>
  <c r="I38" i="16"/>
  <c r="J37" i="16"/>
  <c r="I37" i="16"/>
  <c r="J45" i="16"/>
  <c r="I45" i="16"/>
  <c r="J25" i="16"/>
  <c r="I25" i="16"/>
  <c r="J22" i="16"/>
  <c r="I22" i="16"/>
  <c r="J14" i="16"/>
  <c r="I14" i="16"/>
  <c r="J28" i="16"/>
  <c r="I28" i="16"/>
  <c r="J5" i="16"/>
  <c r="I5" i="16"/>
  <c r="J4" i="16"/>
  <c r="I4" i="16"/>
  <c r="J21" i="16"/>
  <c r="I21" i="16"/>
  <c r="J40" i="16"/>
  <c r="I40" i="16"/>
  <c r="J6" i="16"/>
  <c r="I6" i="16"/>
  <c r="J73" i="16"/>
  <c r="I73" i="16"/>
  <c r="J72" i="16"/>
  <c r="I72" i="16"/>
  <c r="J20" i="16"/>
  <c r="I20" i="16"/>
  <c r="J19" i="16"/>
  <c r="I19" i="16"/>
  <c r="J18" i="16"/>
  <c r="I18" i="16"/>
  <c r="J7" i="16"/>
  <c r="I7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36" i="16"/>
  <c r="I36" i="16"/>
  <c r="J65" i="16"/>
  <c r="I65" i="16"/>
  <c r="J64" i="16"/>
  <c r="I64" i="16"/>
  <c r="J17" i="16"/>
  <c r="I17" i="16"/>
  <c r="J63" i="16"/>
  <c r="I63" i="16"/>
  <c r="J8" i="16"/>
  <c r="I8" i="16"/>
  <c r="J3" i="16"/>
  <c r="I3" i="16"/>
  <c r="J62" i="16"/>
  <c r="I62" i="16"/>
  <c r="J35" i="16"/>
  <c r="I35" i="16"/>
  <c r="J61" i="16"/>
  <c r="I61" i="16"/>
  <c r="J60" i="16"/>
  <c r="I60" i="16"/>
  <c r="J59" i="16"/>
  <c r="I59" i="16"/>
  <c r="J58" i="16"/>
  <c r="I58" i="16"/>
  <c r="J57" i="16"/>
  <c r="I57" i="16"/>
  <c r="Z99" i="13"/>
  <c r="Z95" i="13"/>
  <c r="Z90" i="13"/>
  <c r="Z77" i="13"/>
  <c r="Z70" i="13"/>
  <c r="Z80" i="13"/>
  <c r="Z67" i="13"/>
  <c r="Z83" i="13"/>
  <c r="Z63" i="13"/>
  <c r="Z78" i="13"/>
  <c r="Z61" i="13"/>
  <c r="Z94" i="13"/>
  <c r="Z89" i="13"/>
  <c r="Z73" i="13"/>
  <c r="Z59" i="13"/>
  <c r="Z76" i="13"/>
  <c r="Z64" i="13"/>
  <c r="Z79" i="13"/>
  <c r="Z58" i="13"/>
  <c r="Z74" i="13"/>
  <c r="Z60" i="13"/>
  <c r="Z96" i="13"/>
  <c r="Z81" i="13"/>
  <c r="Z84" i="13"/>
  <c r="Z71" i="13"/>
  <c r="Z69" i="13"/>
  <c r="Z97" i="13"/>
  <c r="Z93" i="13"/>
  <c r="Z85" i="13"/>
  <c r="Z62" i="13"/>
  <c r="Z88" i="13"/>
  <c r="Z72" i="13"/>
  <c r="Z91" i="13"/>
  <c r="Z75" i="13"/>
  <c r="Z86" i="13"/>
  <c r="Z68" i="13"/>
  <c r="Z92" i="13"/>
  <c r="Z57" i="13"/>
  <c r="Z65" i="13"/>
  <c r="Z66" i="13"/>
  <c r="Z87" i="13"/>
  <c r="Z82" i="13"/>
  <c r="Z98" i="13"/>
  <c r="U2" i="13" l="1"/>
  <c r="T2" i="13"/>
  <c r="S2" i="13"/>
  <c r="R2" i="13"/>
  <c r="Q2" i="13"/>
  <c r="P2" i="13"/>
  <c r="O2" i="13"/>
  <c r="N2" i="13"/>
  <c r="M2" i="13"/>
  <c r="L2" i="13"/>
  <c r="V2" i="13" s="1"/>
  <c r="K2" i="13"/>
  <c r="A209" i="11"/>
  <c r="A208" i="11"/>
  <c r="B207" i="11"/>
  <c r="A207" i="11"/>
  <c r="A206" i="11"/>
  <c r="A205" i="11"/>
  <c r="A204" i="11"/>
  <c r="A203" i="11"/>
  <c r="A202" i="11"/>
  <c r="B201" i="11"/>
  <c r="A201" i="11"/>
  <c r="B200" i="11"/>
  <c r="A200" i="11"/>
  <c r="B199" i="11"/>
  <c r="A199" i="11"/>
  <c r="B198" i="11"/>
  <c r="A198" i="11"/>
  <c r="A197" i="11"/>
  <c r="A196" i="11"/>
  <c r="A195" i="11"/>
  <c r="B194" i="11"/>
  <c r="A194" i="11"/>
  <c r="A193" i="11"/>
  <c r="A192" i="11"/>
  <c r="A191" i="11"/>
  <c r="A190" i="11"/>
  <c r="A189" i="11"/>
  <c r="B188" i="11"/>
  <c r="A188" i="11"/>
  <c r="B187" i="11"/>
  <c r="A187" i="11"/>
  <c r="B186" i="11"/>
  <c r="A186" i="11"/>
  <c r="B185" i="11"/>
  <c r="A185" i="11"/>
  <c r="A184" i="11"/>
  <c r="A183" i="11"/>
  <c r="A182" i="11"/>
  <c r="B181" i="11"/>
  <c r="A181" i="11"/>
  <c r="A180" i="11"/>
  <c r="A179" i="11"/>
  <c r="A178" i="11"/>
  <c r="A177" i="11"/>
  <c r="A176" i="11"/>
  <c r="B175" i="11"/>
  <c r="A175" i="11"/>
  <c r="B174" i="11"/>
  <c r="A174" i="11"/>
  <c r="B173" i="11"/>
  <c r="A173" i="11"/>
  <c r="B172" i="11"/>
  <c r="A172" i="11"/>
  <c r="A171" i="11"/>
  <c r="A170" i="11"/>
  <c r="A169" i="11"/>
  <c r="B168" i="11"/>
  <c r="A168" i="11"/>
  <c r="A167" i="11"/>
  <c r="A166" i="11"/>
  <c r="A165" i="11"/>
  <c r="A164" i="11"/>
  <c r="A163" i="11"/>
  <c r="B162" i="11"/>
  <c r="A162" i="11"/>
  <c r="B161" i="11"/>
  <c r="A161" i="11"/>
  <c r="B160" i="11"/>
  <c r="A160" i="11"/>
  <c r="B159" i="11"/>
  <c r="A159" i="11"/>
  <c r="A158" i="11"/>
  <c r="A157" i="11"/>
  <c r="A156" i="11"/>
  <c r="B155" i="11"/>
  <c r="A155" i="11"/>
  <c r="A154" i="11"/>
  <c r="A153" i="11"/>
  <c r="A152" i="11"/>
  <c r="A151" i="11"/>
  <c r="A150" i="11"/>
  <c r="B149" i="11"/>
  <c r="A149" i="11"/>
  <c r="B148" i="11"/>
  <c r="A148" i="11"/>
  <c r="B147" i="11"/>
  <c r="A147" i="11"/>
  <c r="B146" i="11"/>
  <c r="A146" i="11"/>
  <c r="A145" i="11"/>
  <c r="A144" i="11"/>
  <c r="A143" i="11"/>
  <c r="B142" i="11"/>
  <c r="A142" i="11"/>
  <c r="A141" i="11"/>
  <c r="A140" i="11"/>
  <c r="A139" i="11"/>
  <c r="A138" i="11"/>
  <c r="A137" i="11"/>
  <c r="B136" i="11"/>
  <c r="A136" i="11"/>
  <c r="B135" i="11"/>
  <c r="A135" i="11"/>
  <c r="B134" i="11"/>
  <c r="A134" i="11"/>
  <c r="B133" i="11"/>
  <c r="A133" i="11"/>
  <c r="A132" i="11"/>
  <c r="A131" i="11"/>
  <c r="A130" i="11"/>
  <c r="B129" i="11"/>
  <c r="A129" i="11"/>
  <c r="A128" i="11"/>
  <c r="A127" i="11"/>
  <c r="A126" i="11"/>
  <c r="A125" i="11"/>
  <c r="A124" i="11"/>
  <c r="B123" i="11"/>
  <c r="A123" i="11"/>
  <c r="B122" i="11"/>
  <c r="A122" i="11"/>
  <c r="B121" i="11"/>
  <c r="A121" i="11"/>
  <c r="B120" i="11"/>
  <c r="A120" i="11"/>
  <c r="A119" i="11"/>
  <c r="A118" i="11"/>
  <c r="A117" i="11"/>
  <c r="B116" i="11"/>
  <c r="A116" i="11"/>
  <c r="A115" i="11"/>
  <c r="A114" i="11"/>
  <c r="A113" i="11"/>
  <c r="A112" i="11"/>
  <c r="A111" i="11"/>
  <c r="B110" i="11"/>
  <c r="A110" i="11"/>
  <c r="B109" i="11"/>
  <c r="A109" i="11"/>
  <c r="B108" i="11"/>
  <c r="A108" i="11"/>
  <c r="B107" i="11"/>
  <c r="A107" i="11"/>
  <c r="A106" i="11"/>
  <c r="A105" i="11"/>
  <c r="A104" i="11"/>
  <c r="B103" i="11"/>
  <c r="A103" i="11"/>
  <c r="A102" i="11"/>
  <c r="A101" i="11"/>
  <c r="A100" i="11"/>
  <c r="A99" i="11"/>
  <c r="A98" i="11"/>
  <c r="B97" i="11"/>
  <c r="A97" i="11"/>
  <c r="B96" i="11"/>
  <c r="A96" i="11"/>
  <c r="B95" i="11"/>
  <c r="A95" i="11"/>
  <c r="B94" i="11"/>
  <c r="A94" i="11"/>
  <c r="A93" i="11"/>
  <c r="A92" i="11"/>
  <c r="A91" i="11"/>
  <c r="B90" i="11"/>
  <c r="A90" i="11"/>
  <c r="A89" i="11"/>
  <c r="A88" i="11"/>
  <c r="A87" i="11"/>
  <c r="A86" i="11"/>
  <c r="A85" i="11"/>
  <c r="B84" i="11"/>
  <c r="A84" i="11"/>
  <c r="B83" i="11"/>
  <c r="A83" i="11"/>
  <c r="B82" i="11"/>
  <c r="A82" i="11"/>
  <c r="B81" i="11"/>
  <c r="A81" i="11"/>
  <c r="A80" i="11"/>
  <c r="A79" i="11"/>
  <c r="A78" i="11"/>
  <c r="B77" i="11"/>
  <c r="A77" i="11"/>
  <c r="A76" i="11"/>
  <c r="A75" i="11"/>
  <c r="A74" i="11"/>
  <c r="A73" i="11"/>
  <c r="A72" i="11"/>
  <c r="B71" i="11"/>
  <c r="A71" i="11"/>
  <c r="B70" i="11"/>
  <c r="A70" i="11"/>
  <c r="B69" i="11"/>
  <c r="A69" i="11"/>
  <c r="B68" i="11"/>
  <c r="A68" i="11"/>
  <c r="A67" i="11"/>
  <c r="A66" i="11"/>
  <c r="A65" i="11"/>
  <c r="B64" i="11"/>
  <c r="A64" i="11"/>
  <c r="A63" i="11"/>
  <c r="A62" i="11"/>
  <c r="A61" i="11"/>
  <c r="A60" i="11"/>
  <c r="A59" i="11"/>
  <c r="B58" i="11"/>
  <c r="A58" i="11"/>
  <c r="B57" i="11"/>
  <c r="A57" i="11"/>
  <c r="B56" i="11"/>
  <c r="A56" i="11"/>
  <c r="B55" i="11"/>
  <c r="A55" i="11"/>
  <c r="A54" i="11"/>
  <c r="A53" i="11"/>
  <c r="A52" i="11"/>
  <c r="B51" i="11"/>
  <c r="A51" i="11"/>
  <c r="A50" i="11"/>
  <c r="A49" i="11"/>
  <c r="A48" i="11"/>
  <c r="A47" i="11"/>
  <c r="A46" i="11"/>
  <c r="B45" i="11"/>
  <c r="A45" i="11"/>
  <c r="B44" i="11"/>
  <c r="A44" i="11"/>
  <c r="B43" i="11"/>
  <c r="A43" i="11"/>
  <c r="B42" i="11"/>
  <c r="A42" i="11"/>
  <c r="A41" i="11"/>
  <c r="A40" i="11"/>
  <c r="A39" i="11"/>
  <c r="B38" i="11"/>
  <c r="A38" i="11"/>
  <c r="A37" i="11"/>
  <c r="A36" i="11"/>
  <c r="A35" i="11"/>
  <c r="A34" i="11"/>
  <c r="A33" i="11"/>
  <c r="B32" i="11"/>
  <c r="A32" i="11"/>
  <c r="B31" i="11"/>
  <c r="A31" i="11"/>
  <c r="B30" i="11"/>
  <c r="A30" i="11"/>
  <c r="B29" i="11"/>
  <c r="A29" i="11"/>
  <c r="A28" i="11"/>
  <c r="A27" i="11"/>
  <c r="A26" i="11"/>
  <c r="B25" i="11"/>
  <c r="A25" i="11"/>
  <c r="A24" i="11"/>
  <c r="A23" i="11"/>
  <c r="A22" i="11"/>
  <c r="A21" i="11"/>
  <c r="A20" i="11"/>
  <c r="B19" i="11"/>
  <c r="A19" i="11"/>
  <c r="B18" i="11"/>
  <c r="A18" i="11"/>
  <c r="B17" i="11"/>
  <c r="A17" i="11"/>
  <c r="B16" i="11"/>
  <c r="A16" i="11"/>
  <c r="A15" i="11"/>
  <c r="A14" i="11"/>
  <c r="A13" i="11"/>
  <c r="B12" i="11"/>
  <c r="A12" i="11"/>
  <c r="A11" i="11"/>
  <c r="A10" i="11"/>
  <c r="A9" i="11"/>
  <c r="A8" i="11"/>
  <c r="A7" i="11"/>
  <c r="B6" i="11"/>
  <c r="A6" i="11"/>
  <c r="B5" i="11"/>
  <c r="A5" i="11"/>
  <c r="B4" i="11"/>
  <c r="A4" i="11"/>
  <c r="B3" i="11"/>
  <c r="A3" i="11"/>
  <c r="A2" i="11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E17" i="10"/>
  <c r="D17" i="10"/>
  <c r="F17" i="10"/>
  <c r="A17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E16" i="10"/>
  <c r="D16" i="10"/>
  <c r="F16" i="10"/>
  <c r="A16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E15" i="10"/>
  <c r="D15" i="10"/>
  <c r="F15" i="10"/>
  <c r="A15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E14" i="10"/>
  <c r="D14" i="10"/>
  <c r="F14" i="10"/>
  <c r="A14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E13" i="10"/>
  <c r="D13" i="10"/>
  <c r="F13" i="10"/>
  <c r="A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E12" i="10"/>
  <c r="D12" i="10"/>
  <c r="F12" i="10"/>
  <c r="A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E11" i="10"/>
  <c r="D11" i="10"/>
  <c r="F11" i="10"/>
  <c r="A11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E10" i="10"/>
  <c r="D10" i="10"/>
  <c r="F10" i="10"/>
  <c r="A10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E9" i="10"/>
  <c r="D9" i="10"/>
  <c r="F9" i="10"/>
  <c r="A9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E8" i="10"/>
  <c r="D8" i="10"/>
  <c r="F8" i="10"/>
  <c r="A8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F7" i="10"/>
  <c r="A7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E6" i="10"/>
  <c r="D6" i="10"/>
  <c r="F6" i="10"/>
  <c r="A6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E5" i="10"/>
  <c r="D5" i="10"/>
  <c r="F5" i="10"/>
  <c r="A5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E4" i="10"/>
  <c r="D4" i="10"/>
  <c r="F4" i="10"/>
  <c r="A4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E3" i="10"/>
  <c r="D3" i="10"/>
  <c r="F3" i="10"/>
  <c r="A3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E2" i="10"/>
  <c r="D2" i="10"/>
  <c r="F2" i="10"/>
  <c r="A2" i="10"/>
  <c r="B38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A33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A32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A31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A29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A22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A21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20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A19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A17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A16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A15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A14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A13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A12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A11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A10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A9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A8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A7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A6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A5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A4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A3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A2" i="15"/>
  <c r="E35" i="14"/>
  <c r="D35" i="14"/>
  <c r="E34" i="14"/>
  <c r="D34" i="14"/>
  <c r="F33" i="14"/>
  <c r="G33" i="14" s="1"/>
  <c r="A33" i="14"/>
  <c r="G32" i="14"/>
  <c r="F32" i="14"/>
  <c r="A32" i="14"/>
  <c r="G31" i="14"/>
  <c r="F31" i="14"/>
  <c r="A31" i="14"/>
  <c r="F30" i="14"/>
  <c r="G30" i="14" s="1"/>
  <c r="A30" i="14"/>
  <c r="F29" i="14"/>
  <c r="G29" i="14" s="1"/>
  <c r="A29" i="14"/>
  <c r="G28" i="14"/>
  <c r="F28" i="14"/>
  <c r="A28" i="14"/>
  <c r="G27" i="14"/>
  <c r="F27" i="14"/>
  <c r="A27" i="14"/>
  <c r="F26" i="14"/>
  <c r="G26" i="14" s="1"/>
  <c r="A26" i="14"/>
  <c r="F25" i="14"/>
  <c r="G25" i="14" s="1"/>
  <c r="A25" i="14"/>
  <c r="G24" i="14"/>
  <c r="F24" i="14"/>
  <c r="A24" i="14"/>
  <c r="G23" i="14"/>
  <c r="F23" i="14"/>
  <c r="A23" i="14"/>
  <c r="F22" i="14"/>
  <c r="G22" i="14" s="1"/>
  <c r="A22" i="14"/>
  <c r="F21" i="14"/>
  <c r="G21" i="14" s="1"/>
  <c r="A21" i="14"/>
  <c r="G20" i="14"/>
  <c r="F20" i="14"/>
  <c r="A20" i="14"/>
  <c r="G19" i="14"/>
  <c r="F19" i="14"/>
  <c r="A19" i="14"/>
  <c r="F18" i="14"/>
  <c r="F34" i="14" s="1"/>
  <c r="F35" i="14" s="1"/>
  <c r="A18" i="14"/>
  <c r="G17" i="14"/>
  <c r="F17" i="14"/>
  <c r="E17" i="14"/>
  <c r="D17" i="14"/>
  <c r="C42" i="8"/>
  <c r="C41" i="8"/>
  <c r="D40" i="8"/>
  <c r="C40" i="8"/>
  <c r="B40" i="8"/>
  <c r="E35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A34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A33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A32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A31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A30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A29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28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27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26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25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A24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A23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A22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A21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A20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A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E18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H17" i="7"/>
  <c r="J17" i="7"/>
  <c r="I17" i="7"/>
  <c r="E17" i="7"/>
  <c r="A17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H16" i="7"/>
  <c r="J16" i="7"/>
  <c r="I16" i="7"/>
  <c r="E16" i="7"/>
  <c r="A16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H15" i="7"/>
  <c r="J15" i="7"/>
  <c r="I15" i="7"/>
  <c r="E15" i="7"/>
  <c r="A15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H14" i="7"/>
  <c r="J14" i="7"/>
  <c r="I14" i="7"/>
  <c r="E14" i="7"/>
  <c r="A14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H13" i="7"/>
  <c r="J13" i="7"/>
  <c r="I13" i="7"/>
  <c r="E13" i="7"/>
  <c r="A13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H12" i="7"/>
  <c r="J12" i="7"/>
  <c r="I12" i="7"/>
  <c r="E12" i="7"/>
  <c r="A12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H11" i="7"/>
  <c r="J11" i="7"/>
  <c r="I11" i="7"/>
  <c r="E11" i="7"/>
  <c r="A11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H10" i="7"/>
  <c r="J10" i="7"/>
  <c r="I10" i="7"/>
  <c r="E10" i="7"/>
  <c r="A10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H9" i="7"/>
  <c r="J9" i="7"/>
  <c r="I9" i="7"/>
  <c r="E9" i="7"/>
  <c r="A9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H8" i="7"/>
  <c r="J8" i="7"/>
  <c r="I8" i="7"/>
  <c r="E8" i="7"/>
  <c r="A8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H7" i="7"/>
  <c r="J7" i="7"/>
  <c r="I7" i="7"/>
  <c r="E7" i="7"/>
  <c r="A7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H6" i="7"/>
  <c r="J6" i="7"/>
  <c r="I6" i="7"/>
  <c r="E6" i="7"/>
  <c r="A6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H5" i="7"/>
  <c r="J5" i="7"/>
  <c r="I5" i="7"/>
  <c r="E5" i="7"/>
  <c r="A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H4" i="7"/>
  <c r="J4" i="7"/>
  <c r="I4" i="7"/>
  <c r="E4" i="7"/>
  <c r="A4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H3" i="7"/>
  <c r="J3" i="7"/>
  <c r="I3" i="7"/>
  <c r="E3" i="7"/>
  <c r="A3" i="7"/>
  <c r="AO2" i="7"/>
  <c r="AN2" i="7"/>
  <c r="AM2" i="7"/>
  <c r="AM18" i="7" s="1"/>
  <c r="AL2" i="7"/>
  <c r="AK2" i="7"/>
  <c r="AJ2" i="7"/>
  <c r="AI2" i="7"/>
  <c r="AI18" i="7" s="1"/>
  <c r="AH2" i="7"/>
  <c r="AG2" i="7"/>
  <c r="AF2" i="7"/>
  <c r="AE2" i="7"/>
  <c r="AE18" i="7" s="1"/>
  <c r="AD2" i="7"/>
  <c r="AC2" i="7"/>
  <c r="AB2" i="7"/>
  <c r="AA2" i="7"/>
  <c r="AA18" i="7" s="1"/>
  <c r="Z2" i="7"/>
  <c r="Y2" i="7"/>
  <c r="X2" i="7"/>
  <c r="W2" i="7"/>
  <c r="W18" i="7" s="1"/>
  <c r="V2" i="7"/>
  <c r="U2" i="7"/>
  <c r="T2" i="7"/>
  <c r="S2" i="7"/>
  <c r="S18" i="7" s="1"/>
  <c r="R2" i="7"/>
  <c r="Q2" i="7"/>
  <c r="P2" i="7"/>
  <c r="O2" i="7"/>
  <c r="O18" i="7" s="1"/>
  <c r="N2" i="7"/>
  <c r="M2" i="7"/>
  <c r="L2" i="7"/>
  <c r="K2" i="7"/>
  <c r="K18" i="7" s="1"/>
  <c r="H2" i="7"/>
  <c r="J2" i="7"/>
  <c r="I2" i="7"/>
  <c r="E2" i="7"/>
  <c r="A2" i="7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97" i="5"/>
  <c r="C96" i="5"/>
  <c r="A96" i="5"/>
  <c r="A95" i="5"/>
  <c r="B94" i="5"/>
  <c r="A94" i="5"/>
  <c r="C93" i="5"/>
  <c r="A93" i="5"/>
  <c r="A92" i="5"/>
  <c r="A91" i="5"/>
  <c r="C90" i="5"/>
  <c r="A90" i="5"/>
  <c r="A89" i="5"/>
  <c r="B88" i="5"/>
  <c r="A88" i="5"/>
  <c r="C87" i="5"/>
  <c r="A87" i="5"/>
  <c r="A86" i="5"/>
  <c r="A85" i="5"/>
  <c r="C84" i="5"/>
  <c r="A84" i="5"/>
  <c r="A83" i="5"/>
  <c r="B82" i="5"/>
  <c r="A82" i="5"/>
  <c r="C81" i="5"/>
  <c r="A81" i="5"/>
  <c r="A80" i="5"/>
  <c r="A79" i="5"/>
  <c r="C78" i="5"/>
  <c r="A78" i="5"/>
  <c r="A77" i="5"/>
  <c r="B76" i="5"/>
  <c r="A76" i="5"/>
  <c r="C75" i="5"/>
  <c r="A75" i="5"/>
  <c r="A74" i="5"/>
  <c r="A73" i="5"/>
  <c r="C72" i="5"/>
  <c r="A72" i="5"/>
  <c r="A71" i="5"/>
  <c r="B70" i="5"/>
  <c r="A70" i="5"/>
  <c r="C69" i="5"/>
  <c r="A69" i="5"/>
  <c r="A68" i="5"/>
  <c r="A67" i="5"/>
  <c r="C66" i="5"/>
  <c r="A66" i="5"/>
  <c r="A65" i="5"/>
  <c r="B64" i="5"/>
  <c r="A64" i="5"/>
  <c r="C63" i="5"/>
  <c r="A63" i="5"/>
  <c r="A62" i="5"/>
  <c r="A61" i="5"/>
  <c r="C60" i="5"/>
  <c r="A60" i="5"/>
  <c r="A59" i="5"/>
  <c r="B58" i="5"/>
  <c r="A58" i="5"/>
  <c r="C57" i="5"/>
  <c r="A57" i="5"/>
  <c r="A56" i="5"/>
  <c r="A55" i="5"/>
  <c r="C54" i="5"/>
  <c r="A54" i="5"/>
  <c r="A53" i="5"/>
  <c r="B52" i="5"/>
  <c r="A52" i="5"/>
  <c r="C51" i="5"/>
  <c r="A51" i="5"/>
  <c r="A50" i="5"/>
  <c r="A49" i="5"/>
  <c r="C48" i="5"/>
  <c r="A48" i="5"/>
  <c r="A47" i="5"/>
  <c r="B46" i="5"/>
  <c r="A46" i="5"/>
  <c r="C45" i="5"/>
  <c r="A45" i="5"/>
  <c r="A44" i="5"/>
  <c r="A43" i="5"/>
  <c r="C42" i="5"/>
  <c r="A42" i="5"/>
  <c r="A41" i="5"/>
  <c r="B40" i="5"/>
  <c r="A40" i="5"/>
  <c r="C39" i="5"/>
  <c r="A39" i="5"/>
  <c r="A38" i="5"/>
  <c r="A37" i="5"/>
  <c r="C36" i="5"/>
  <c r="A36" i="5"/>
  <c r="A35" i="5"/>
  <c r="B34" i="5"/>
  <c r="A34" i="5"/>
  <c r="C33" i="5"/>
  <c r="A33" i="5"/>
  <c r="A32" i="5"/>
  <c r="A31" i="5"/>
  <c r="C30" i="5"/>
  <c r="A30" i="5"/>
  <c r="A29" i="5"/>
  <c r="B28" i="5"/>
  <c r="A28" i="5"/>
  <c r="C27" i="5"/>
  <c r="A27" i="5"/>
  <c r="A26" i="5"/>
  <c r="A25" i="5"/>
  <c r="C24" i="5"/>
  <c r="A24" i="5"/>
  <c r="A23" i="5"/>
  <c r="B22" i="5"/>
  <c r="A22" i="5"/>
  <c r="C21" i="5"/>
  <c r="A21" i="5"/>
  <c r="A20" i="5"/>
  <c r="A19" i="5"/>
  <c r="C18" i="5"/>
  <c r="A18" i="5"/>
  <c r="A17" i="5"/>
  <c r="B16" i="5"/>
  <c r="A16" i="5"/>
  <c r="C15" i="5"/>
  <c r="A15" i="5"/>
  <c r="A14" i="5"/>
  <c r="A13" i="5"/>
  <c r="C12" i="5"/>
  <c r="A12" i="5"/>
  <c r="A11" i="5"/>
  <c r="B10" i="5"/>
  <c r="A10" i="5"/>
  <c r="C9" i="5"/>
  <c r="A9" i="5"/>
  <c r="A8" i="5"/>
  <c r="A7" i="5"/>
  <c r="C6" i="5"/>
  <c r="A6" i="5"/>
  <c r="A5" i="5"/>
  <c r="B4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77" i="4"/>
  <c r="C75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A72" i="4"/>
  <c r="C70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A67" i="4"/>
  <c r="C65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62" i="4"/>
  <c r="C60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4"/>
  <c r="C55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A52" i="4"/>
  <c r="C50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A47" i="4"/>
  <c r="C45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A42" i="4"/>
  <c r="C40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A37" i="4"/>
  <c r="C35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A32" i="4"/>
  <c r="C30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A27" i="4"/>
  <c r="C25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22" i="4"/>
  <c r="C20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A17" i="4"/>
  <c r="C15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12" i="4"/>
  <c r="C10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7" i="4"/>
  <c r="C5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BD2" i="4"/>
  <c r="BC2" i="4"/>
  <c r="BC85" i="4" s="1"/>
  <c r="BB2" i="4"/>
  <c r="BA2" i="4"/>
  <c r="AZ2" i="4"/>
  <c r="AY2" i="4"/>
  <c r="AY85" i="4" s="1"/>
  <c r="AX2" i="4"/>
  <c r="AW2" i="4"/>
  <c r="AV2" i="4"/>
  <c r="AU2" i="4"/>
  <c r="AU85" i="4" s="1"/>
  <c r="AT2" i="4"/>
  <c r="AS2" i="4"/>
  <c r="AR2" i="4"/>
  <c r="AQ2" i="4"/>
  <c r="AQ85" i="4" s="1"/>
  <c r="AP2" i="4"/>
  <c r="AO2" i="4"/>
  <c r="AN2" i="4"/>
  <c r="AM2" i="4"/>
  <c r="AM85" i="4" s="1"/>
  <c r="AL2" i="4"/>
  <c r="AK2" i="4"/>
  <c r="AJ2" i="4"/>
  <c r="AI2" i="4"/>
  <c r="AI85" i="4" s="1"/>
  <c r="AH2" i="4"/>
  <c r="AG2" i="4"/>
  <c r="AF2" i="4"/>
  <c r="AE2" i="4"/>
  <c r="AE85" i="4" s="1"/>
  <c r="AD2" i="4"/>
  <c r="AC2" i="4"/>
  <c r="AB2" i="4"/>
  <c r="AA2" i="4"/>
  <c r="AA85" i="4" s="1"/>
  <c r="Z2" i="4"/>
  <c r="Y2" i="4"/>
  <c r="X2" i="4"/>
  <c r="W2" i="4"/>
  <c r="W85" i="4" s="1"/>
  <c r="V2" i="4"/>
  <c r="U2" i="4"/>
  <c r="T2" i="4"/>
  <c r="S2" i="4"/>
  <c r="S85" i="4" s="1"/>
  <c r="R2" i="4"/>
  <c r="Q2" i="4"/>
  <c r="P2" i="4"/>
  <c r="O2" i="4"/>
  <c r="O85" i="4" s="1"/>
  <c r="N2" i="4"/>
  <c r="M2" i="4"/>
  <c r="L2" i="4"/>
  <c r="K2" i="4"/>
  <c r="K85" i="4" s="1"/>
  <c r="J2" i="4"/>
  <c r="I2" i="4"/>
  <c r="H2" i="4"/>
  <c r="G2" i="4"/>
  <c r="G85" i="4" s="1"/>
  <c r="F2" i="4"/>
  <c r="E2" i="4"/>
  <c r="D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A77" i="3"/>
  <c r="C75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A72" i="3"/>
  <c r="C70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67" i="3"/>
  <c r="C65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A62" i="3"/>
  <c r="C60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A57" i="3"/>
  <c r="C55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A52" i="3"/>
  <c r="C50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A47" i="3"/>
  <c r="C45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A42" i="3"/>
  <c r="C40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A37" i="3"/>
  <c r="C35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A32" i="3"/>
  <c r="C30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A27" i="3"/>
  <c r="C25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A22" i="3"/>
  <c r="C20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A17" i="3"/>
  <c r="C15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A12" i="3"/>
  <c r="C10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7" i="3"/>
  <c r="C5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BD2" i="3"/>
  <c r="BD84" i="3" s="1"/>
  <c r="BC2" i="3"/>
  <c r="BB2" i="3"/>
  <c r="BA2" i="3"/>
  <c r="AZ2" i="3"/>
  <c r="AZ84" i="3" s="1"/>
  <c r="AY2" i="3"/>
  <c r="AX2" i="3"/>
  <c r="AW2" i="3"/>
  <c r="AV2" i="3"/>
  <c r="AV84" i="3" s="1"/>
  <c r="AU2" i="3"/>
  <c r="AT2" i="3"/>
  <c r="AS2" i="3"/>
  <c r="AR2" i="3"/>
  <c r="AR84" i="3" s="1"/>
  <c r="AQ2" i="3"/>
  <c r="AP2" i="3"/>
  <c r="AO2" i="3"/>
  <c r="AN2" i="3"/>
  <c r="AN84" i="3" s="1"/>
  <c r="AM2" i="3"/>
  <c r="AL2" i="3"/>
  <c r="AK2" i="3"/>
  <c r="AJ2" i="3"/>
  <c r="AJ84" i="3" s="1"/>
  <c r="AI2" i="3"/>
  <c r="AH2" i="3"/>
  <c r="AG2" i="3"/>
  <c r="AF2" i="3"/>
  <c r="AF84" i="3" s="1"/>
  <c r="AE2" i="3"/>
  <c r="AD2" i="3"/>
  <c r="AC2" i="3"/>
  <c r="AB2" i="3"/>
  <c r="AB84" i="3" s="1"/>
  <c r="AA2" i="3"/>
  <c r="Z2" i="3"/>
  <c r="Y2" i="3"/>
  <c r="X2" i="3"/>
  <c r="X84" i="3" s="1"/>
  <c r="W2" i="3"/>
  <c r="V2" i="3"/>
  <c r="U2" i="3"/>
  <c r="T2" i="3"/>
  <c r="T84" i="3" s="1"/>
  <c r="S2" i="3"/>
  <c r="R2" i="3"/>
  <c r="Q2" i="3"/>
  <c r="P2" i="3"/>
  <c r="P84" i="3" s="1"/>
  <c r="O2" i="3"/>
  <c r="N2" i="3"/>
  <c r="M2" i="3"/>
  <c r="L2" i="3"/>
  <c r="L84" i="3" s="1"/>
  <c r="K2" i="3"/>
  <c r="J2" i="3"/>
  <c r="I2" i="3"/>
  <c r="H2" i="3"/>
  <c r="H84" i="3" s="1"/>
  <c r="G2" i="3"/>
  <c r="F2" i="3"/>
  <c r="E2" i="3"/>
  <c r="D2" i="3"/>
  <c r="D84" i="3" s="1"/>
  <c r="A2" i="3"/>
  <c r="B19" i="2"/>
  <c r="Q52" i="1" s="1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A2" i="2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P1" i="11" s="1"/>
  <c r="Z21" i="1"/>
  <c r="Z19" i="1"/>
  <c r="Z17" i="1"/>
  <c r="Z15" i="1"/>
  <c r="L1" i="11" s="1"/>
  <c r="Z14" i="1"/>
  <c r="Z12" i="1"/>
  <c r="Z11" i="1"/>
  <c r="Z10" i="1"/>
  <c r="Z9" i="1"/>
  <c r="Z8" i="1"/>
  <c r="Z7" i="1"/>
  <c r="Z6" i="1"/>
  <c r="Z4" i="1"/>
  <c r="U4" i="1" s="1"/>
  <c r="Z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Z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Z7" i="13"/>
  <c r="Z48" i="13"/>
  <c r="Z41" i="13"/>
  <c r="Z29" i="13"/>
  <c r="Z13" i="13"/>
  <c r="Z46" i="13"/>
  <c r="Z36" i="13"/>
  <c r="Z35" i="13"/>
  <c r="Z22" i="13"/>
  <c r="Z55" i="13"/>
  <c r="Z23" i="13"/>
  <c r="Z2" i="13"/>
  <c r="Z8" i="13"/>
  <c r="Z26" i="13"/>
  <c r="Z42" i="13"/>
  <c r="Z39" i="13"/>
  <c r="Z37" i="13"/>
  <c r="Z5" i="13"/>
  <c r="Z4" i="13"/>
  <c r="Z27" i="13"/>
  <c r="Z43" i="13"/>
  <c r="Z25" i="13"/>
  <c r="Z21" i="13"/>
  <c r="Z45" i="13"/>
  <c r="Z31" i="13"/>
  <c r="Z52" i="13"/>
  <c r="Z12" i="13"/>
  <c r="Z50" i="13"/>
  <c r="Z34" i="13"/>
  <c r="Z10" i="13"/>
  <c r="Z33" i="13"/>
  <c r="Z9" i="13"/>
  <c r="Z32" i="13"/>
  <c r="Z16" i="13"/>
  <c r="Z47" i="13"/>
  <c r="Z44" i="13"/>
  <c r="Z38" i="13"/>
  <c r="Z24" i="13"/>
  <c r="Z49" i="13"/>
  <c r="Z19" i="13"/>
  <c r="Z40" i="13"/>
  <c r="Z11" i="13"/>
  <c r="Z18" i="13"/>
  <c r="Z28" i="13"/>
  <c r="Z14" i="13"/>
  <c r="Z6" i="13"/>
  <c r="Z53" i="13"/>
  <c r="Z15" i="13"/>
  <c r="Z20" i="13"/>
  <c r="Z30" i="13"/>
  <c r="Z51" i="13"/>
  <c r="Z54" i="13"/>
  <c r="Z17" i="13"/>
  <c r="Z56" i="13"/>
  <c r="Z3" i="13"/>
  <c r="G1" i="11" l="1"/>
  <c r="K1" i="11"/>
  <c r="K211" i="11" s="1"/>
  <c r="AA1" i="11"/>
  <c r="AA211" i="11" s="1"/>
  <c r="O1" i="11"/>
  <c r="O102" i="11" s="1"/>
  <c r="F44" i="1"/>
  <c r="AF18" i="15"/>
  <c r="V1" i="11"/>
  <c r="V19" i="11" s="1"/>
  <c r="Z1" i="11"/>
  <c r="Z136" i="11" s="1"/>
  <c r="AD1" i="11"/>
  <c r="H1" i="11"/>
  <c r="H204" i="11" s="1"/>
  <c r="T1" i="11"/>
  <c r="T24" i="11" s="1"/>
  <c r="G18" i="14"/>
  <c r="G34" i="14" s="1"/>
  <c r="D1" i="11"/>
  <c r="L4" i="1"/>
  <c r="E1" i="11"/>
  <c r="E188" i="11" s="1"/>
  <c r="I1" i="11"/>
  <c r="I137" i="11" s="1"/>
  <c r="M1" i="11"/>
  <c r="U1" i="11"/>
  <c r="X1" i="11"/>
  <c r="AB1" i="11"/>
  <c r="AB167" i="11" s="1"/>
  <c r="C58" i="4"/>
  <c r="T4" i="1"/>
  <c r="F1" i="11"/>
  <c r="J1" i="11"/>
  <c r="J162" i="11" s="1"/>
  <c r="N1" i="11"/>
  <c r="R1" i="11"/>
  <c r="R212" i="11" s="1"/>
  <c r="Y1" i="11"/>
  <c r="Y11" i="11" s="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28" i="8"/>
  <c r="C28" i="8" s="1"/>
  <c r="D28" i="8" s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C17" i="15"/>
  <c r="M40" i="1"/>
  <c r="C18" i="3"/>
  <c r="C58" i="3"/>
  <c r="C32" i="4"/>
  <c r="C67" i="4"/>
  <c r="G28" i="1"/>
  <c r="C5" i="7"/>
  <c r="C9" i="7"/>
  <c r="C13" i="7"/>
  <c r="C15" i="7"/>
  <c r="C16" i="7"/>
  <c r="B33" i="17"/>
  <c r="C17" i="10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L17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G18" i="15"/>
  <c r="N29" i="1" s="1"/>
  <c r="K18" i="15"/>
  <c r="O18" i="15"/>
  <c r="S18" i="15"/>
  <c r="W18" i="15"/>
  <c r="AA18" i="15"/>
  <c r="AE18" i="15"/>
  <c r="AI18" i="15"/>
  <c r="C4" i="15"/>
  <c r="C8" i="15"/>
  <c r="C12" i="15"/>
  <c r="C16" i="15"/>
  <c r="B21" i="17"/>
  <c r="B29" i="17"/>
  <c r="F18" i="10"/>
  <c r="P17" i="1" s="1"/>
  <c r="H18" i="10"/>
  <c r="L18" i="10"/>
  <c r="P18" i="10"/>
  <c r="T18" i="10"/>
  <c r="X18" i="10"/>
  <c r="AB18" i="10"/>
  <c r="AF18" i="10"/>
  <c r="AJ18" i="10"/>
  <c r="C6" i="10"/>
  <c r="C10" i="10"/>
  <c r="C14" i="10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N12" i="1" s="1"/>
  <c r="H18" i="15"/>
  <c r="L18" i="15"/>
  <c r="P18" i="15"/>
  <c r="T18" i="15"/>
  <c r="X18" i="15"/>
  <c r="AB18" i="15"/>
  <c r="AJ18" i="15"/>
  <c r="C3" i="15"/>
  <c r="C7" i="15"/>
  <c r="C11" i="15"/>
  <c r="C15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I18" i="15"/>
  <c r="M18" i="15"/>
  <c r="Q18" i="15"/>
  <c r="U18" i="15"/>
  <c r="Y18" i="15"/>
  <c r="AC18" i="15"/>
  <c r="AG18" i="15"/>
  <c r="AK18" i="15"/>
  <c r="C6" i="15"/>
  <c r="C10" i="15"/>
  <c r="C14" i="15"/>
  <c r="B24" i="17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H25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B34" i="8"/>
  <c r="C34" i="8" s="1"/>
  <c r="D34" i="8" s="1"/>
  <c r="G34" i="17"/>
  <c r="K34" i="17"/>
  <c r="O34" i="17"/>
  <c r="S34" i="17"/>
  <c r="W34" i="17"/>
  <c r="C31" i="17"/>
  <c r="D31" i="17" s="1"/>
  <c r="B23" i="17"/>
  <c r="B26" i="17"/>
  <c r="B28" i="17"/>
  <c r="D18" i="10"/>
  <c r="P5" i="1" s="1"/>
  <c r="I18" i="10"/>
  <c r="M18" i="10"/>
  <c r="Q18" i="10"/>
  <c r="U18" i="10"/>
  <c r="Y18" i="10"/>
  <c r="AC18" i="10"/>
  <c r="AG18" i="10"/>
  <c r="AK18" i="10"/>
  <c r="C5" i="10"/>
  <c r="C9" i="10"/>
  <c r="C13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C2" i="15"/>
  <c r="H34" i="17"/>
  <c r="L34" i="17"/>
  <c r="P34" i="17"/>
  <c r="T34" i="17"/>
  <c r="X34" i="17"/>
  <c r="B27" i="17"/>
  <c r="B30" i="17"/>
  <c r="B32" i="17"/>
  <c r="E18" i="10"/>
  <c r="P13" i="1" s="1"/>
  <c r="J18" i="10"/>
  <c r="N18" i="10"/>
  <c r="R18" i="10"/>
  <c r="V18" i="10"/>
  <c r="Z18" i="10"/>
  <c r="AD18" i="10"/>
  <c r="AH18" i="10"/>
  <c r="C4" i="10"/>
  <c r="C8" i="10"/>
  <c r="C12" i="10"/>
  <c r="C16" i="10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O17" i="1" s="1"/>
  <c r="I34" i="17"/>
  <c r="M34" i="17"/>
  <c r="Q34" i="17"/>
  <c r="U34" i="17"/>
  <c r="Y34" i="17"/>
  <c r="B20" i="17"/>
  <c r="C21" i="17"/>
  <c r="D21" i="17" s="1"/>
  <c r="J34" i="17"/>
  <c r="N34" i="17"/>
  <c r="R34" i="17"/>
  <c r="V34" i="17"/>
  <c r="B31" i="17"/>
  <c r="G18" i="10"/>
  <c r="P26" i="1" s="1"/>
  <c r="K18" i="10"/>
  <c r="O18" i="10"/>
  <c r="S18" i="10"/>
  <c r="W18" i="10"/>
  <c r="AA18" i="10"/>
  <c r="AE18" i="10"/>
  <c r="AI18" i="10"/>
  <c r="C3" i="10"/>
  <c r="C7" i="10"/>
  <c r="C11" i="10"/>
  <c r="C15" i="10"/>
  <c r="F211" i="11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06" i="11"/>
  <c r="AJ202" i="11"/>
  <c r="AJ211" i="11"/>
  <c r="AJ193" i="11"/>
  <c r="AJ191" i="11"/>
  <c r="AJ204" i="11"/>
  <c r="AJ188" i="11"/>
  <c r="AJ189" i="11"/>
  <c r="AJ201" i="11"/>
  <c r="AJ197" i="11"/>
  <c r="AJ180" i="11"/>
  <c r="AJ176" i="11"/>
  <c r="AJ165" i="11"/>
  <c r="AJ178" i="11"/>
  <c r="AJ167" i="11"/>
  <c r="AJ162" i="11"/>
  <c r="AJ158" i="11"/>
  <c r="AJ184" i="11"/>
  <c r="AJ175" i="11"/>
  <c r="AJ163" i="11"/>
  <c r="AJ152" i="11"/>
  <c r="AJ150" i="11"/>
  <c r="AJ141" i="11"/>
  <c r="AJ137" i="11"/>
  <c r="AJ149" i="11"/>
  <c r="AJ145" i="11"/>
  <c r="AJ139" i="11"/>
  <c r="AJ126" i="11"/>
  <c r="AJ115" i="11"/>
  <c r="AJ111" i="11"/>
  <c r="AJ100" i="11"/>
  <c r="AJ154" i="11"/>
  <c r="AJ123" i="11"/>
  <c r="AJ119" i="11"/>
  <c r="AJ97" i="11"/>
  <c r="AJ93" i="11"/>
  <c r="AJ171" i="11"/>
  <c r="AJ128" i="11"/>
  <c r="AJ124" i="11"/>
  <c r="AJ113" i="11"/>
  <c r="AJ102" i="11"/>
  <c r="AJ98" i="11"/>
  <c r="AJ89" i="11"/>
  <c r="AJ84" i="11"/>
  <c r="AJ85" i="11"/>
  <c r="AJ136" i="11"/>
  <c r="AJ132" i="11"/>
  <c r="AJ110" i="11"/>
  <c r="AJ106" i="11"/>
  <c r="AJ74" i="11"/>
  <c r="AJ63" i="11"/>
  <c r="AJ59" i="11"/>
  <c r="AJ87" i="11"/>
  <c r="AJ71" i="11"/>
  <c r="AJ67" i="11"/>
  <c r="AJ80" i="11"/>
  <c r="AJ76" i="11"/>
  <c r="AJ72" i="11"/>
  <c r="AJ61" i="11"/>
  <c r="AJ58" i="11"/>
  <c r="AJ54" i="11"/>
  <c r="AJ32" i="11"/>
  <c r="AJ28" i="11"/>
  <c r="AJ48" i="11"/>
  <c r="AJ37" i="11"/>
  <c r="AJ33" i="11"/>
  <c r="AJ22" i="11"/>
  <c r="AJ11" i="11"/>
  <c r="AJ45" i="11"/>
  <c r="AJ41" i="11"/>
  <c r="AJ19" i="11"/>
  <c r="AJ15" i="11"/>
  <c r="AJ50" i="11"/>
  <c r="AJ46" i="11"/>
  <c r="AJ35" i="11"/>
  <c r="AJ24" i="11"/>
  <c r="AJ20" i="11"/>
  <c r="AJ6" i="11"/>
  <c r="AJ2" i="11"/>
  <c r="AJ7" i="11"/>
  <c r="AJ9" i="11"/>
  <c r="AN212" i="11"/>
  <c r="AN206" i="11"/>
  <c r="AN202" i="11"/>
  <c r="AN211" i="11"/>
  <c r="AN193" i="11"/>
  <c r="AN191" i="11"/>
  <c r="AN188" i="11"/>
  <c r="AN201" i="11"/>
  <c r="AN197" i="11"/>
  <c r="AN189" i="11"/>
  <c r="AN204" i="11"/>
  <c r="AN180" i="11"/>
  <c r="AN176" i="11"/>
  <c r="AN165" i="11"/>
  <c r="AN178" i="11"/>
  <c r="AN167" i="11"/>
  <c r="AN184" i="11"/>
  <c r="AN162" i="11"/>
  <c r="AN158" i="11"/>
  <c r="AN171" i="11"/>
  <c r="AN163" i="11"/>
  <c r="AN152" i="11"/>
  <c r="AN175" i="11"/>
  <c r="AN141" i="11"/>
  <c r="AN137" i="11"/>
  <c r="AN149" i="11"/>
  <c r="AN145" i="11"/>
  <c r="AN154" i="11"/>
  <c r="AN150" i="11"/>
  <c r="AN139" i="11"/>
  <c r="AN126" i="11"/>
  <c r="AN115" i="11"/>
  <c r="AN111" i="11"/>
  <c r="AN100" i="11"/>
  <c r="AN123" i="11"/>
  <c r="AN119" i="11"/>
  <c r="AN97" i="11"/>
  <c r="AN93" i="11"/>
  <c r="AN136" i="11"/>
  <c r="AN128" i="11"/>
  <c r="AN124" i="11"/>
  <c r="AN113" i="11"/>
  <c r="AN102" i="11"/>
  <c r="AN98" i="11"/>
  <c r="AN84" i="11"/>
  <c r="AN132" i="11"/>
  <c r="AN110" i="11"/>
  <c r="AN106" i="11"/>
  <c r="AN85" i="11"/>
  <c r="AN89" i="11"/>
  <c r="AN87" i="11"/>
  <c r="AN80" i="11"/>
  <c r="AN76" i="11"/>
  <c r="AN74" i="11"/>
  <c r="AN63" i="11"/>
  <c r="AN59" i="11"/>
  <c r="AN71" i="11"/>
  <c r="AN67" i="11"/>
  <c r="AN72" i="11"/>
  <c r="AN61" i="11"/>
  <c r="AN58" i="11"/>
  <c r="AN54" i="11"/>
  <c r="AN32" i="11"/>
  <c r="AN28" i="11"/>
  <c r="AN48" i="11"/>
  <c r="AN37" i="11"/>
  <c r="AN33" i="11"/>
  <c r="AN22" i="11"/>
  <c r="AN11" i="11"/>
  <c r="AN45" i="11"/>
  <c r="AN41" i="11"/>
  <c r="AN19" i="11"/>
  <c r="AN15" i="11"/>
  <c r="AN50" i="11"/>
  <c r="AN46" i="11"/>
  <c r="AN35" i="11"/>
  <c r="AN24" i="11"/>
  <c r="AN20" i="11"/>
  <c r="AN9" i="11"/>
  <c r="AN6" i="11"/>
  <c r="AN2" i="11"/>
  <c r="AN7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G212" i="11"/>
  <c r="G206" i="11"/>
  <c r="G202" i="11"/>
  <c r="G211" i="11"/>
  <c r="G204" i="11"/>
  <c r="G201" i="11"/>
  <c r="G197" i="11"/>
  <c r="G191" i="11"/>
  <c r="G193" i="11"/>
  <c r="G188" i="11"/>
  <c r="G175" i="11"/>
  <c r="G171" i="11"/>
  <c r="G184" i="11"/>
  <c r="G189" i="11"/>
  <c r="G154" i="11"/>
  <c r="G180" i="11"/>
  <c r="G167" i="11"/>
  <c r="G165" i="11"/>
  <c r="G162" i="11"/>
  <c r="G158" i="11"/>
  <c r="G163" i="11"/>
  <c r="G152" i="11"/>
  <c r="G136" i="11"/>
  <c r="G176" i="11"/>
  <c r="G141" i="11"/>
  <c r="G137" i="11"/>
  <c r="G149" i="11"/>
  <c r="G145" i="11"/>
  <c r="G178" i="11"/>
  <c r="G132" i="11"/>
  <c r="G110" i="11"/>
  <c r="G106" i="11"/>
  <c r="G150" i="11"/>
  <c r="G139" i="11"/>
  <c r="G126" i="11"/>
  <c r="G115" i="11"/>
  <c r="G111" i="11"/>
  <c r="G100" i="11"/>
  <c r="G123" i="11"/>
  <c r="G119" i="11"/>
  <c r="G97" i="11"/>
  <c r="G93" i="11"/>
  <c r="G124" i="11"/>
  <c r="G113" i="11"/>
  <c r="G98" i="11"/>
  <c r="G87" i="11"/>
  <c r="G84" i="11"/>
  <c r="G80" i="11"/>
  <c r="G128" i="11"/>
  <c r="G102" i="11"/>
  <c r="G89" i="11"/>
  <c r="G85" i="11"/>
  <c r="G72" i="11"/>
  <c r="G61" i="11"/>
  <c r="G76" i="11"/>
  <c r="G74" i="11"/>
  <c r="G63" i="11"/>
  <c r="G59" i="11"/>
  <c r="G71" i="11"/>
  <c r="G67" i="11"/>
  <c r="G50" i="11"/>
  <c r="G46" i="11"/>
  <c r="G35" i="11"/>
  <c r="G24" i="11"/>
  <c r="G20" i="11"/>
  <c r="G58" i="11"/>
  <c r="G54" i="11"/>
  <c r="G32" i="11"/>
  <c r="G28" i="11"/>
  <c r="G48" i="11"/>
  <c r="G37" i="11"/>
  <c r="G33" i="11"/>
  <c r="G22" i="11"/>
  <c r="G11" i="11"/>
  <c r="G45" i="11"/>
  <c r="G41" i="11"/>
  <c r="G19" i="11"/>
  <c r="G15" i="11"/>
  <c r="G9" i="11"/>
  <c r="G6" i="11"/>
  <c r="G2" i="11"/>
  <c r="G7" i="11"/>
  <c r="I10" i="1"/>
  <c r="M10" i="1"/>
  <c r="Q10" i="1"/>
  <c r="U10" i="1"/>
  <c r="G12" i="1"/>
  <c r="K12" i="1"/>
  <c r="O12" i="1"/>
  <c r="S12" i="1"/>
  <c r="K154" i="11"/>
  <c r="K110" i="11"/>
  <c r="K89" i="11"/>
  <c r="K46" i="11"/>
  <c r="K48" i="11"/>
  <c r="K15" i="11"/>
  <c r="L212" i="11"/>
  <c r="L206" i="11"/>
  <c r="L202" i="11"/>
  <c r="L211" i="11"/>
  <c r="L193" i="11"/>
  <c r="L204" i="11"/>
  <c r="L201" i="11"/>
  <c r="L188" i="11"/>
  <c r="L189" i="11"/>
  <c r="L197" i="11"/>
  <c r="L191" i="11"/>
  <c r="L180" i="11"/>
  <c r="L176" i="11"/>
  <c r="L165" i="11"/>
  <c r="L178" i="11"/>
  <c r="L167" i="11"/>
  <c r="L162" i="11"/>
  <c r="L158" i="11"/>
  <c r="L175" i="11"/>
  <c r="L163" i="11"/>
  <c r="L152" i="11"/>
  <c r="L141" i="11"/>
  <c r="L137" i="11"/>
  <c r="L154" i="11"/>
  <c r="L149" i="11"/>
  <c r="L145" i="11"/>
  <c r="L184" i="11"/>
  <c r="L171" i="11"/>
  <c r="L150" i="11"/>
  <c r="L139" i="11"/>
  <c r="L126" i="11"/>
  <c r="L115" i="11"/>
  <c r="L111" i="11"/>
  <c r="L100" i="11"/>
  <c r="L136" i="11"/>
  <c r="L123" i="11"/>
  <c r="L119" i="11"/>
  <c r="L97" i="11"/>
  <c r="L93" i="11"/>
  <c r="L128" i="11"/>
  <c r="L124" i="11"/>
  <c r="L113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4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7" i="11"/>
  <c r="L9" i="11"/>
  <c r="I17" i="1"/>
  <c r="M17" i="1"/>
  <c r="Q17" i="1"/>
  <c r="U17" i="1"/>
  <c r="G21" i="1"/>
  <c r="K21" i="1"/>
  <c r="O21" i="1"/>
  <c r="S21" i="1"/>
  <c r="P212" i="11"/>
  <c r="P206" i="11"/>
  <c r="P202" i="11"/>
  <c r="P211" i="11"/>
  <c r="P193" i="11"/>
  <c r="P188" i="11"/>
  <c r="P204" i="11"/>
  <c r="P197" i="11"/>
  <c r="P189" i="11"/>
  <c r="P201" i="11"/>
  <c r="P180" i="11"/>
  <c r="P176" i="11"/>
  <c r="P165" i="11"/>
  <c r="P191" i="11"/>
  <c r="P178" i="11"/>
  <c r="P167" i="11"/>
  <c r="P162" i="11"/>
  <c r="P158" i="11"/>
  <c r="P171" i="11"/>
  <c r="P163" i="11"/>
  <c r="P184" i="11"/>
  <c r="P154" i="11"/>
  <c r="P141" i="11"/>
  <c r="P137" i="11"/>
  <c r="P149" i="11"/>
  <c r="P145" i="11"/>
  <c r="P152" i="11"/>
  <c r="P150" i="11"/>
  <c r="P139" i="11"/>
  <c r="P136" i="11"/>
  <c r="P126" i="11"/>
  <c r="P115" i="11"/>
  <c r="P111" i="11"/>
  <c r="P100" i="11"/>
  <c r="P123" i="11"/>
  <c r="P119" i="11"/>
  <c r="P97" i="11"/>
  <c r="P93" i="11"/>
  <c r="P128" i="11"/>
  <c r="P124" i="11"/>
  <c r="P113" i="11"/>
  <c r="P102" i="11"/>
  <c r="P98" i="11"/>
  <c r="P84" i="11"/>
  <c r="P89" i="11"/>
  <c r="P85" i="11"/>
  <c r="P17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61" i="11"/>
  <c r="P58" i="11"/>
  <c r="P54" i="11"/>
  <c r="P32" i="11"/>
  <c r="P28" i="11"/>
  <c r="P48" i="11"/>
  <c r="P37" i="11"/>
  <c r="P33" i="11"/>
  <c r="P22" i="11"/>
  <c r="P11" i="11"/>
  <c r="P45" i="11"/>
  <c r="P41" i="11"/>
  <c r="P19" i="11"/>
  <c r="P15" i="11"/>
  <c r="P50" i="11"/>
  <c r="P46" i="11"/>
  <c r="P35" i="11"/>
  <c r="P24" i="11"/>
  <c r="P20" i="11"/>
  <c r="P9" i="11"/>
  <c r="P6" i="11"/>
  <c r="P2" i="11"/>
  <c r="P7" i="11"/>
  <c r="I26" i="1"/>
  <c r="M26" i="1"/>
  <c r="Q26" i="1"/>
  <c r="U26" i="1"/>
  <c r="H28" i="1"/>
  <c r="L28" i="1"/>
  <c r="P28" i="1"/>
  <c r="T28" i="1"/>
  <c r="G30" i="1"/>
  <c r="K30" i="1"/>
  <c r="O30" i="1"/>
  <c r="S30" i="1"/>
  <c r="U71" i="11"/>
  <c r="I5" i="1"/>
  <c r="M5" i="1"/>
  <c r="Q5" i="1"/>
  <c r="U5" i="1"/>
  <c r="G27" i="1"/>
  <c r="K27" i="1"/>
  <c r="O27" i="1"/>
  <c r="S27" i="1"/>
  <c r="I25" i="1"/>
  <c r="M25" i="1"/>
  <c r="Q25" i="1"/>
  <c r="U25" i="1"/>
  <c r="G16" i="1"/>
  <c r="K16" i="1"/>
  <c r="O16" i="1"/>
  <c r="S16" i="1"/>
  <c r="AC154" i="11"/>
  <c r="I22" i="1"/>
  <c r="M22" i="1"/>
  <c r="Q22" i="1"/>
  <c r="U22" i="1"/>
  <c r="G33" i="1"/>
  <c r="K33" i="1"/>
  <c r="O33" i="1"/>
  <c r="S33" i="1"/>
  <c r="AG211" i="11"/>
  <c r="AG204" i="11"/>
  <c r="AG212" i="11"/>
  <c r="AG206" i="11"/>
  <c r="AG201" i="11"/>
  <c r="AG197" i="11"/>
  <c r="AG193" i="11"/>
  <c r="AG191" i="11"/>
  <c r="AG189" i="11"/>
  <c r="AG202" i="11"/>
  <c r="AG184" i="11"/>
  <c r="AG188" i="11"/>
  <c r="AG175" i="11"/>
  <c r="AG171" i="11"/>
  <c r="AG180" i="11"/>
  <c r="AG167" i="11"/>
  <c r="AG165" i="11"/>
  <c r="AG163" i="11"/>
  <c r="AG152" i="11"/>
  <c r="AG178" i="11"/>
  <c r="AG176" i="11"/>
  <c r="AG154" i="11"/>
  <c r="AG150" i="11"/>
  <c r="AG149" i="11"/>
  <c r="AG145" i="11"/>
  <c r="AG162" i="11"/>
  <c r="AG139" i="11"/>
  <c r="AG136" i="11"/>
  <c r="AG123" i="11"/>
  <c r="AG119" i="11"/>
  <c r="AG97" i="11"/>
  <c r="AG141" i="11"/>
  <c r="AG128" i="11"/>
  <c r="AG124" i="11"/>
  <c r="AG113" i="11"/>
  <c r="AG102" i="11"/>
  <c r="AG98" i="11"/>
  <c r="AG158" i="11"/>
  <c r="AG132" i="11"/>
  <c r="AG110" i="11"/>
  <c r="AG106" i="11"/>
  <c r="AG126" i="11"/>
  <c r="AG115" i="11"/>
  <c r="AG100" i="11"/>
  <c r="AG85" i="11"/>
  <c r="AG89" i="11"/>
  <c r="AG111" i="11"/>
  <c r="AG93" i="11"/>
  <c r="AG87" i="11"/>
  <c r="AG76" i="11"/>
  <c r="AG137" i="11"/>
  <c r="AG84" i="11"/>
  <c r="AG80" i="11"/>
  <c r="AG74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20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04" i="11"/>
  <c r="AK212" i="11"/>
  <c r="AK206" i="11"/>
  <c r="AK201" i="11"/>
  <c r="AK197" i="11"/>
  <c r="AK202" i="11"/>
  <c r="AK189" i="11"/>
  <c r="AK193" i="11"/>
  <c r="AK188" i="11"/>
  <c r="AK184" i="11"/>
  <c r="AK191" i="11"/>
  <c r="AK175" i="11"/>
  <c r="AK171" i="11"/>
  <c r="AK180" i="11"/>
  <c r="AK178" i="11"/>
  <c r="AK176" i="11"/>
  <c r="AK163" i="11"/>
  <c r="AK152" i="11"/>
  <c r="AK167" i="11"/>
  <c r="AK165" i="11"/>
  <c r="AK154" i="11"/>
  <c r="AK150" i="11"/>
  <c r="AK162" i="11"/>
  <c r="AK149" i="11"/>
  <c r="AK145" i="11"/>
  <c r="AK139" i="11"/>
  <c r="AK158" i="11"/>
  <c r="AK136" i="11"/>
  <c r="AK141" i="11"/>
  <c r="AK123" i="11"/>
  <c r="AK119" i="11"/>
  <c r="AK97" i="11"/>
  <c r="AK128" i="11"/>
  <c r="AK124" i="11"/>
  <c r="AK113" i="11"/>
  <c r="AK102" i="11"/>
  <c r="AK98" i="11"/>
  <c r="AK137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48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04" i="11"/>
  <c r="AO212" i="11"/>
  <c r="AO206" i="11"/>
  <c r="AO201" i="11"/>
  <c r="AO197" i="11"/>
  <c r="AO193" i="11"/>
  <c r="AO191" i="11"/>
  <c r="AO189" i="11"/>
  <c r="AO202" i="11"/>
  <c r="AO184" i="11"/>
  <c r="AO188" i="11"/>
  <c r="AO175" i="11"/>
  <c r="AO171" i="11"/>
  <c r="AO180" i="11"/>
  <c r="AO167" i="11"/>
  <c r="AO165" i="11"/>
  <c r="AO163" i="11"/>
  <c r="AO152" i="11"/>
  <c r="AO178" i="11"/>
  <c r="AO176" i="11"/>
  <c r="AO154" i="11"/>
  <c r="AO150" i="11"/>
  <c r="AO149" i="11"/>
  <c r="AO145" i="11"/>
  <c r="AO158" i="11"/>
  <c r="AO139" i="11"/>
  <c r="AO136" i="11"/>
  <c r="AO162" i="11"/>
  <c r="AO123" i="11"/>
  <c r="AO119" i="11"/>
  <c r="AO97" i="11"/>
  <c r="AO137" i="11"/>
  <c r="AO128" i="11"/>
  <c r="AO124" i="11"/>
  <c r="AO113" i="11"/>
  <c r="AO102" i="11"/>
  <c r="AO98" i="11"/>
  <c r="AO132" i="11"/>
  <c r="AO110" i="11"/>
  <c r="AO106" i="11"/>
  <c r="AO141" i="11"/>
  <c r="AO111" i="11"/>
  <c r="AO85" i="11"/>
  <c r="AO89" i="11"/>
  <c r="AO126" i="11"/>
  <c r="AO115" i="11"/>
  <c r="AO100" i="11"/>
  <c r="AO93" i="11"/>
  <c r="AO87" i="11"/>
  <c r="AO76" i="11"/>
  <c r="AO80" i="11"/>
  <c r="AO74" i="11"/>
  <c r="AO63" i="11"/>
  <c r="AO59" i="11"/>
  <c r="AO71" i="11"/>
  <c r="AO67" i="11"/>
  <c r="AO84" i="11"/>
  <c r="AO72" i="11"/>
  <c r="AO61" i="11"/>
  <c r="AO48" i="11"/>
  <c r="AO37" i="11"/>
  <c r="AO33" i="11"/>
  <c r="AO22" i="11"/>
  <c r="AO11" i="11"/>
  <c r="AO45" i="11"/>
  <c r="AO41" i="11"/>
  <c r="AO19" i="11"/>
  <c r="AO15" i="11"/>
  <c r="AO50" i="11"/>
  <c r="AO46" i="11"/>
  <c r="AO35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04" i="11"/>
  <c r="AS212" i="11"/>
  <c r="AS206" i="11"/>
  <c r="AS197" i="11"/>
  <c r="AS201" i="11"/>
  <c r="AS202" i="11"/>
  <c r="AS189" i="11"/>
  <c r="AS193" i="11"/>
  <c r="AS188" i="11"/>
  <c r="AS184" i="11"/>
  <c r="AS175" i="11"/>
  <c r="AS171" i="11"/>
  <c r="AS191" i="11"/>
  <c r="AS180" i="11"/>
  <c r="AS178" i="11"/>
  <c r="AS176" i="11"/>
  <c r="AS163" i="11"/>
  <c r="AS152" i="11"/>
  <c r="AS167" i="11"/>
  <c r="AS165" i="11"/>
  <c r="AS154" i="11"/>
  <c r="AS150" i="11"/>
  <c r="AS158" i="11"/>
  <c r="AS149" i="11"/>
  <c r="AS145" i="11"/>
  <c r="AS139" i="11"/>
  <c r="AS162" i="11"/>
  <c r="AS136" i="11"/>
  <c r="AS137" i="11"/>
  <c r="AS123" i="11"/>
  <c r="AS119" i="11"/>
  <c r="AS97" i="11"/>
  <c r="AS128" i="11"/>
  <c r="AS124" i="11"/>
  <c r="AS113" i="11"/>
  <c r="AS102" i="11"/>
  <c r="AS98" i="11"/>
  <c r="AS141" i="11"/>
  <c r="AS110" i="11"/>
  <c r="AS106" i="11"/>
  <c r="AS132" i="11"/>
  <c r="AS93" i="11"/>
  <c r="AS85" i="11"/>
  <c r="AS126" i="11"/>
  <c r="AS115" i="11"/>
  <c r="AS100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F30" i="1"/>
  <c r="F27" i="1"/>
  <c r="N27" i="1"/>
  <c r="J33" i="1"/>
  <c r="N41" i="1"/>
  <c r="AV212" i="11"/>
  <c r="AV206" i="11"/>
  <c r="AV202" i="11"/>
  <c r="AV211" i="11"/>
  <c r="AV193" i="11"/>
  <c r="AV191" i="11"/>
  <c r="AV201" i="11"/>
  <c r="AV188" i="11"/>
  <c r="AV204" i="11"/>
  <c r="AV197" i="11"/>
  <c r="AV189" i="11"/>
  <c r="AV180" i="11"/>
  <c r="AV176" i="11"/>
  <c r="AV165" i="11"/>
  <c r="AV178" i="11"/>
  <c r="AV167" i="11"/>
  <c r="AV162" i="11"/>
  <c r="AV158" i="11"/>
  <c r="AV171" i="11"/>
  <c r="AV163" i="11"/>
  <c r="AV152" i="11"/>
  <c r="AV184" i="11"/>
  <c r="AV154" i="11"/>
  <c r="AV141" i="11"/>
  <c r="AV137" i="11"/>
  <c r="AV149" i="11"/>
  <c r="AV145" i="11"/>
  <c r="AV150" i="11"/>
  <c r="AV139" i="11"/>
  <c r="AV136" i="11"/>
  <c r="AV126" i="11"/>
  <c r="AV115" i="11"/>
  <c r="AV111" i="11"/>
  <c r="AV100" i="11"/>
  <c r="AV132" i="11"/>
  <c r="AV123" i="11"/>
  <c r="AV119" i="11"/>
  <c r="AV97" i="11"/>
  <c r="AV93" i="11"/>
  <c r="AV175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G82" i="4"/>
  <c r="AG26" i="4" s="1"/>
  <c r="AC82" i="4"/>
  <c r="Y82" i="4"/>
  <c r="Y76" i="4" s="1"/>
  <c r="U82" i="4"/>
  <c r="Q82" i="4"/>
  <c r="Q26" i="4" s="1"/>
  <c r="M82" i="4"/>
  <c r="M21" i="4" s="1"/>
  <c r="I82" i="4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J20" i="7" s="1"/>
  <c r="AF19" i="7"/>
  <c r="AB19" i="7"/>
  <c r="X19" i="7"/>
  <c r="T19" i="7"/>
  <c r="T20" i="7" s="1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S20" i="15" s="1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M20" i="7" s="1"/>
  <c r="AI19" i="7"/>
  <c r="AI20" i="7" s="1"/>
  <c r="AE19" i="7"/>
  <c r="AE20" i="7" s="1"/>
  <c r="AA19" i="7"/>
  <c r="AA20" i="7" s="1"/>
  <c r="W19" i="7"/>
  <c r="W20" i="7" s="1"/>
  <c r="S19" i="7"/>
  <c r="S20" i="7" s="1"/>
  <c r="O19" i="7"/>
  <c r="O20" i="7" s="1"/>
  <c r="K19" i="7"/>
  <c r="K20" i="7" s="1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E82" i="4"/>
  <c r="AE61" i="4" s="1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M56" i="3" s="1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G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E82" i="3"/>
  <c r="BD82" i="3"/>
  <c r="AZ82" i="3"/>
  <c r="AZ76" i="3" s="1"/>
  <c r="AV82" i="3"/>
  <c r="AV11" i="3" s="1"/>
  <c r="AR82" i="3"/>
  <c r="AR71" i="3" s="1"/>
  <c r="AN82" i="3"/>
  <c r="AN76" i="3" s="1"/>
  <c r="AJ82" i="3"/>
  <c r="AF82" i="3"/>
  <c r="AF11" i="3" s="1"/>
  <c r="AB82" i="3"/>
  <c r="AB71" i="3" s="1"/>
  <c r="X82" i="3"/>
  <c r="X76" i="3" s="1"/>
  <c r="T82" i="3"/>
  <c r="P82" i="3"/>
  <c r="P11" i="3" s="1"/>
  <c r="L82" i="3"/>
  <c r="L71" i="3" s="1"/>
  <c r="H82" i="3"/>
  <c r="D82" i="3"/>
  <c r="D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04" i="11"/>
  <c r="Q212" i="11"/>
  <c r="Q206" i="11"/>
  <c r="Q201" i="11"/>
  <c r="Q197" i="11"/>
  <c r="Q193" i="11"/>
  <c r="Q189" i="11"/>
  <c r="Q202" i="11"/>
  <c r="Q184" i="11"/>
  <c r="Q191" i="11"/>
  <c r="Q188" i="11"/>
  <c r="Q175" i="11"/>
  <c r="Q171" i="11"/>
  <c r="Q180" i="11"/>
  <c r="Q167" i="11"/>
  <c r="Q165" i="11"/>
  <c r="Q163" i="11"/>
  <c r="Q152" i="11"/>
  <c r="Q178" i="11"/>
  <c r="Q176" i="11"/>
  <c r="Q154" i="11"/>
  <c r="Q149" i="11"/>
  <c r="Q145" i="11"/>
  <c r="Q162" i="11"/>
  <c r="Q150" i="11"/>
  <c r="Q139" i="11"/>
  <c r="Q136" i="11"/>
  <c r="Q123" i="11"/>
  <c r="Q119" i="11"/>
  <c r="Q97" i="11"/>
  <c r="Q141" i="11"/>
  <c r="Q128" i="11"/>
  <c r="Q124" i="11"/>
  <c r="Q113" i="11"/>
  <c r="Q102" i="11"/>
  <c r="Q98" i="11"/>
  <c r="Q132" i="11"/>
  <c r="Q110" i="11"/>
  <c r="Q106" i="11"/>
  <c r="Q137" i="11"/>
  <c r="Q126" i="11"/>
  <c r="Q115" i="11"/>
  <c r="Q100" i="11"/>
  <c r="Q89" i="11"/>
  <c r="Q85" i="11"/>
  <c r="Q158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04" i="11"/>
  <c r="AD212" i="11"/>
  <c r="AD206" i="11"/>
  <c r="AD202" i="11"/>
  <c r="AD193" i="11"/>
  <c r="AD201" i="11"/>
  <c r="AD197" i="11"/>
  <c r="AD189" i="11"/>
  <c r="AD178" i="11"/>
  <c r="AD167" i="11"/>
  <c r="AD180" i="11"/>
  <c r="AD176" i="11"/>
  <c r="AD165" i="11"/>
  <c r="AD191" i="11"/>
  <c r="AD188" i="11"/>
  <c r="AD184" i="11"/>
  <c r="AD175" i="11"/>
  <c r="AD154" i="11"/>
  <c r="AD171" i="11"/>
  <c r="AD162" i="11"/>
  <c r="AD158" i="11"/>
  <c r="AD139" i="11"/>
  <c r="AD136" i="11"/>
  <c r="AD163" i="11"/>
  <c r="AD141" i="11"/>
  <c r="AD137" i="11"/>
  <c r="AD150" i="11"/>
  <c r="AD149" i="11"/>
  <c r="AD128" i="11"/>
  <c r="AD124" i="11"/>
  <c r="AD113" i="11"/>
  <c r="AD102" i="11"/>
  <c r="AD98" i="11"/>
  <c r="AD132" i="11"/>
  <c r="AD110" i="11"/>
  <c r="AD106" i="11"/>
  <c r="AD152" i="11"/>
  <c r="AD145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04" i="11"/>
  <c r="AH212" i="11"/>
  <c r="AH206" i="11"/>
  <c r="AH202" i="11"/>
  <c r="AH191" i="11"/>
  <c r="AH193" i="11"/>
  <c r="AH201" i="11"/>
  <c r="AH197" i="11"/>
  <c r="AH178" i="11"/>
  <c r="AH167" i="11"/>
  <c r="AH188" i="11"/>
  <c r="AH189" i="11"/>
  <c r="AH180" i="11"/>
  <c r="AH176" i="11"/>
  <c r="AH165" i="11"/>
  <c r="AH184" i="11"/>
  <c r="AH171" i="11"/>
  <c r="AH154" i="11"/>
  <c r="AH175" i="11"/>
  <c r="AH162" i="11"/>
  <c r="AH158" i="11"/>
  <c r="AH139" i="11"/>
  <c r="AH163" i="11"/>
  <c r="AH152" i="11"/>
  <c r="AH150" i="11"/>
  <c r="AH136" i="11"/>
  <c r="AH141" i="11"/>
  <c r="AH137" i="11"/>
  <c r="AH128" i="11"/>
  <c r="AH124" i="11"/>
  <c r="AH113" i="11"/>
  <c r="AH102" i="11"/>
  <c r="AH98" i="11"/>
  <c r="AH145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149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04" i="11"/>
  <c r="AL212" i="11"/>
  <c r="AL206" i="11"/>
  <c r="AL191" i="11"/>
  <c r="AL202" i="11"/>
  <c r="AL193" i="11"/>
  <c r="AL201" i="11"/>
  <c r="AL197" i="11"/>
  <c r="AL189" i="11"/>
  <c r="AL178" i="11"/>
  <c r="AL167" i="11"/>
  <c r="AL180" i="11"/>
  <c r="AL176" i="11"/>
  <c r="AL165" i="11"/>
  <c r="AL188" i="11"/>
  <c r="AL184" i="11"/>
  <c r="AL175" i="11"/>
  <c r="AL154" i="11"/>
  <c r="AL171" i="11"/>
  <c r="AL162" i="11"/>
  <c r="AL158" i="11"/>
  <c r="AL163" i="11"/>
  <c r="AL152" i="11"/>
  <c r="AL139" i="11"/>
  <c r="AL136" i="11"/>
  <c r="AL141" i="11"/>
  <c r="AL137" i="11"/>
  <c r="AL145" i="11"/>
  <c r="AL128" i="11"/>
  <c r="AL124" i="11"/>
  <c r="AL113" i="11"/>
  <c r="AL102" i="11"/>
  <c r="AL98" i="11"/>
  <c r="AL132" i="11"/>
  <c r="AL110" i="11"/>
  <c r="AL106" i="11"/>
  <c r="AL149" i="11"/>
  <c r="AL126" i="11"/>
  <c r="AL115" i="11"/>
  <c r="AL111" i="11"/>
  <c r="AL100" i="11"/>
  <c r="AL89" i="11"/>
  <c r="AL150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04" i="11"/>
  <c r="AP201" i="11"/>
  <c r="AP212" i="11"/>
  <c r="AP206" i="11"/>
  <c r="AP202" i="11"/>
  <c r="AP191" i="11"/>
  <c r="AP193" i="11"/>
  <c r="AP197" i="11"/>
  <c r="AP178" i="11"/>
  <c r="AP167" i="11"/>
  <c r="AP188" i="11"/>
  <c r="AP189" i="11"/>
  <c r="AP180" i="11"/>
  <c r="AP176" i="11"/>
  <c r="AP165" i="11"/>
  <c r="AP184" i="11"/>
  <c r="AP171" i="11"/>
  <c r="AP154" i="11"/>
  <c r="AP175" i="11"/>
  <c r="AP162" i="11"/>
  <c r="AP158" i="11"/>
  <c r="AP139" i="11"/>
  <c r="AP150" i="11"/>
  <c r="AP136" i="11"/>
  <c r="AP132" i="11"/>
  <c r="AP141" i="11"/>
  <c r="AP137" i="11"/>
  <c r="AP163" i="11"/>
  <c r="AP128" i="11"/>
  <c r="AP124" i="11"/>
  <c r="AP113" i="11"/>
  <c r="AP102" i="11"/>
  <c r="AP98" i="11"/>
  <c r="AP152" i="11"/>
  <c r="AP149" i="11"/>
  <c r="AP110" i="11"/>
  <c r="AP106" i="11"/>
  <c r="AP126" i="11"/>
  <c r="AP115" i="11"/>
  <c r="AP111" i="11"/>
  <c r="AP100" i="11"/>
  <c r="AP89" i="11"/>
  <c r="AP145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04" i="11"/>
  <c r="AT201" i="11"/>
  <c r="AT212" i="11"/>
  <c r="AT206" i="11"/>
  <c r="AT191" i="11"/>
  <c r="AT202" i="11"/>
  <c r="AT193" i="11"/>
  <c r="AT197" i="11"/>
  <c r="AT189" i="11"/>
  <c r="AT178" i="11"/>
  <c r="AT167" i="11"/>
  <c r="AT180" i="11"/>
  <c r="AT176" i="11"/>
  <c r="AT165" i="11"/>
  <c r="AT188" i="11"/>
  <c r="AT184" i="11"/>
  <c r="AT175" i="11"/>
  <c r="AT154" i="11"/>
  <c r="AT171" i="11"/>
  <c r="AT162" i="11"/>
  <c r="AT158" i="11"/>
  <c r="AT139" i="11"/>
  <c r="AT136" i="11"/>
  <c r="AT132" i="11"/>
  <c r="AT163" i="11"/>
  <c r="AT152" i="11"/>
  <c r="AT141" i="11"/>
  <c r="AT137" i="11"/>
  <c r="AT149" i="11"/>
  <c r="AT128" i="11"/>
  <c r="AT124" i="11"/>
  <c r="AT113" i="11"/>
  <c r="AT102" i="11"/>
  <c r="AT98" i="11"/>
  <c r="AT110" i="11"/>
  <c r="AT106" i="11"/>
  <c r="AT150" i="11"/>
  <c r="AT145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P6" i="3"/>
  <c r="C17" i="3"/>
  <c r="C37" i="3"/>
  <c r="C57" i="3"/>
  <c r="AO61" i="3"/>
  <c r="BB81" i="3"/>
  <c r="AA21" i="4"/>
  <c r="AG41" i="4"/>
  <c r="P51" i="4"/>
  <c r="AA56" i="4"/>
  <c r="J100" i="11"/>
  <c r="J27" i="1"/>
  <c r="AB119" i="11"/>
  <c r="AB19" i="11"/>
  <c r="AF212" i="11"/>
  <c r="AF206" i="11"/>
  <c r="AF202" i="11"/>
  <c r="AF211" i="11"/>
  <c r="AF193" i="11"/>
  <c r="AF191" i="11"/>
  <c r="AF188" i="11"/>
  <c r="AF197" i="11"/>
  <c r="AF189" i="11"/>
  <c r="AF204" i="11"/>
  <c r="AF201" i="11"/>
  <c r="AF180" i="11"/>
  <c r="AF176" i="11"/>
  <c r="AF165" i="11"/>
  <c r="AF178" i="11"/>
  <c r="AF167" i="11"/>
  <c r="AF162" i="11"/>
  <c r="AF158" i="11"/>
  <c r="AF171" i="11"/>
  <c r="AF163" i="11"/>
  <c r="AF184" i="11"/>
  <c r="AF154" i="11"/>
  <c r="AF141" i="11"/>
  <c r="AF137" i="11"/>
  <c r="AF175" i="11"/>
  <c r="AF149" i="11"/>
  <c r="AF145" i="11"/>
  <c r="AF152" i="11"/>
  <c r="AF150" i="11"/>
  <c r="AF139" i="11"/>
  <c r="AF136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06" i="11"/>
  <c r="AR202" i="11"/>
  <c r="AR211" i="11"/>
  <c r="AR193" i="11"/>
  <c r="AR191" i="11"/>
  <c r="AR204" i="11"/>
  <c r="AR201" i="11"/>
  <c r="AR188" i="11"/>
  <c r="AR189" i="11"/>
  <c r="AR197" i="11"/>
  <c r="AR180" i="11"/>
  <c r="AR176" i="11"/>
  <c r="AR165" i="11"/>
  <c r="AR178" i="11"/>
  <c r="AR167" i="11"/>
  <c r="AR162" i="11"/>
  <c r="AR158" i="11"/>
  <c r="AR175" i="11"/>
  <c r="AR163" i="11"/>
  <c r="AR152" i="11"/>
  <c r="AR184" i="11"/>
  <c r="AR150" i="11"/>
  <c r="AR141" i="11"/>
  <c r="AR137" i="11"/>
  <c r="AR154" i="11"/>
  <c r="AR149" i="11"/>
  <c r="AR145" i="11"/>
  <c r="AR171" i="11"/>
  <c r="AR139" i="11"/>
  <c r="AR132" i="11"/>
  <c r="AR126" i="11"/>
  <c r="AR115" i="11"/>
  <c r="AR111" i="11"/>
  <c r="AR100" i="11"/>
  <c r="AR136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06" i="11"/>
  <c r="D202" i="11"/>
  <c r="D211" i="11"/>
  <c r="D193" i="11"/>
  <c r="D204" i="11"/>
  <c r="D188" i="11"/>
  <c r="D189" i="11"/>
  <c r="D201" i="11"/>
  <c r="D197" i="11"/>
  <c r="D191" i="11"/>
  <c r="D180" i="11"/>
  <c r="D176" i="11"/>
  <c r="D165" i="11"/>
  <c r="D178" i="11"/>
  <c r="D167" i="11"/>
  <c r="D162" i="11"/>
  <c r="D158" i="11"/>
  <c r="D184" i="11"/>
  <c r="D175" i="11"/>
  <c r="D163" i="11"/>
  <c r="D152" i="11"/>
  <c r="D141" i="11"/>
  <c r="D137" i="11"/>
  <c r="D149" i="11"/>
  <c r="D145" i="11"/>
  <c r="D150" i="11"/>
  <c r="D139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171" i="11"/>
  <c r="D136" i="11"/>
  <c r="D84" i="11"/>
  <c r="D89" i="11"/>
  <c r="D85" i="11"/>
  <c r="D132" i="11"/>
  <c r="D110" i="11"/>
  <c r="D106" i="11"/>
  <c r="D154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H8" i="1"/>
  <c r="L8" i="1"/>
  <c r="P8" i="1"/>
  <c r="T8" i="1"/>
  <c r="H126" i="11"/>
  <c r="H50" i="11"/>
  <c r="M211" i="11"/>
  <c r="M204" i="11"/>
  <c r="M212" i="11"/>
  <c r="M206" i="11"/>
  <c r="M201" i="11"/>
  <c r="M197" i="11"/>
  <c r="M202" i="11"/>
  <c r="M189" i="11"/>
  <c r="M193" i="11"/>
  <c r="M188" i="11"/>
  <c r="M184" i="11"/>
  <c r="M175" i="11"/>
  <c r="M171" i="11"/>
  <c r="M191" i="11"/>
  <c r="M180" i="11"/>
  <c r="M178" i="11"/>
  <c r="M176" i="11"/>
  <c r="M163" i="11"/>
  <c r="M152" i="11"/>
  <c r="M167" i="11"/>
  <c r="M165" i="11"/>
  <c r="M154" i="11"/>
  <c r="M158" i="11"/>
  <c r="M149" i="11"/>
  <c r="M145" i="11"/>
  <c r="M150" i="11"/>
  <c r="M139" i="11"/>
  <c r="M162" i="11"/>
  <c r="M136" i="11"/>
  <c r="M137" i="11"/>
  <c r="M123" i="11"/>
  <c r="M119" i="11"/>
  <c r="M97" i="11"/>
  <c r="M128" i="11"/>
  <c r="M124" i="11"/>
  <c r="M113" i="11"/>
  <c r="M102" i="11"/>
  <c r="M98" i="11"/>
  <c r="M141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145" i="11"/>
  <c r="R33" i="11"/>
  <c r="H30" i="1"/>
  <c r="L30" i="1"/>
  <c r="P30" i="1"/>
  <c r="T30" i="1"/>
  <c r="V171" i="11"/>
  <c r="L27" i="1"/>
  <c r="P27" i="1"/>
  <c r="T27" i="1"/>
  <c r="Z204" i="11"/>
  <c r="Z171" i="11"/>
  <c r="Z163" i="11"/>
  <c r="Z84" i="11"/>
  <c r="Z46" i="11"/>
  <c r="Z7" i="11"/>
  <c r="R22" i="1"/>
  <c r="G4" i="1"/>
  <c r="K4" i="1"/>
  <c r="O4" i="1"/>
  <c r="S4" i="1"/>
  <c r="F6" i="1"/>
  <c r="J6" i="1"/>
  <c r="N6" i="1"/>
  <c r="R6" i="1"/>
  <c r="E74" i="11"/>
  <c r="I8" i="1"/>
  <c r="M8" i="1"/>
  <c r="Q8" i="1"/>
  <c r="U8" i="1"/>
  <c r="L9" i="1"/>
  <c r="P9" i="1"/>
  <c r="T9" i="1"/>
  <c r="G10" i="1"/>
  <c r="K10" i="1"/>
  <c r="O10" i="1"/>
  <c r="S10" i="1"/>
  <c r="I189" i="11"/>
  <c r="I145" i="11"/>
  <c r="I110" i="11"/>
  <c r="I71" i="11"/>
  <c r="I35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04" i="11"/>
  <c r="N212" i="11"/>
  <c r="N202" i="11"/>
  <c r="N193" i="11"/>
  <c r="N206" i="11"/>
  <c r="N201" i="11"/>
  <c r="N191" i="11"/>
  <c r="N197" i="11"/>
  <c r="N189" i="11"/>
  <c r="N178" i="11"/>
  <c r="N167" i="11"/>
  <c r="N180" i="11"/>
  <c r="N176" i="11"/>
  <c r="N165" i="11"/>
  <c r="N188" i="11"/>
  <c r="N184" i="11"/>
  <c r="N175" i="11"/>
  <c r="N154" i="11"/>
  <c r="N171" i="11"/>
  <c r="N162" i="11"/>
  <c r="N158" i="11"/>
  <c r="N150" i="11"/>
  <c r="N139" i="11"/>
  <c r="N136" i="11"/>
  <c r="N163" i="11"/>
  <c r="N141" i="11"/>
  <c r="N137" i="11"/>
  <c r="N152" i="11"/>
  <c r="N149" i="11"/>
  <c r="N128" i="11"/>
  <c r="N124" i="11"/>
  <c r="N113" i="11"/>
  <c r="N102" i="11"/>
  <c r="N98" i="11"/>
  <c r="N132" i="11"/>
  <c r="N110" i="11"/>
  <c r="N106" i="11"/>
  <c r="N145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06" i="11"/>
  <c r="S202" i="11"/>
  <c r="S211" i="11"/>
  <c r="S204" i="11"/>
  <c r="S201" i="11"/>
  <c r="S197" i="11"/>
  <c r="S191" i="11"/>
  <c r="S188" i="11"/>
  <c r="S193" i="11"/>
  <c r="S175" i="11"/>
  <c r="S171" i="11"/>
  <c r="S189" i="11"/>
  <c r="S184" i="11"/>
  <c r="S154" i="11"/>
  <c r="S178" i="11"/>
  <c r="S176" i="11"/>
  <c r="S162" i="11"/>
  <c r="S158" i="11"/>
  <c r="S180" i="11"/>
  <c r="S163" i="11"/>
  <c r="S152" i="11"/>
  <c r="S167" i="11"/>
  <c r="S136" i="11"/>
  <c r="S141" i="11"/>
  <c r="S137" i="11"/>
  <c r="S165" i="11"/>
  <c r="S149" i="11"/>
  <c r="S145" i="11"/>
  <c r="S132" i="11"/>
  <c r="S110" i="11"/>
  <c r="S106" i="11"/>
  <c r="S126" i="11"/>
  <c r="S115" i="11"/>
  <c r="S111" i="11"/>
  <c r="S100" i="11"/>
  <c r="S150" i="11"/>
  <c r="S139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06" i="11"/>
  <c r="W202" i="11"/>
  <c r="W211" i="11"/>
  <c r="W204" i="11"/>
  <c r="W201" i="11"/>
  <c r="W197" i="11"/>
  <c r="W191" i="11"/>
  <c r="W193" i="11"/>
  <c r="W188" i="11"/>
  <c r="W175" i="11"/>
  <c r="W171" i="11"/>
  <c r="W184" i="11"/>
  <c r="W189" i="11"/>
  <c r="W154" i="11"/>
  <c r="W180" i="11"/>
  <c r="W167" i="11"/>
  <c r="W165" i="11"/>
  <c r="W162" i="11"/>
  <c r="W158" i="11"/>
  <c r="W163" i="11"/>
  <c r="W152" i="11"/>
  <c r="W136" i="11"/>
  <c r="W178" i="11"/>
  <c r="W141" i="11"/>
  <c r="W137" i="11"/>
  <c r="W149" i="11"/>
  <c r="W145" i="11"/>
  <c r="W176" i="11"/>
  <c r="W132" i="11"/>
  <c r="W110" i="11"/>
  <c r="W106" i="11"/>
  <c r="W150" i="11"/>
  <c r="W139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206" i="11"/>
  <c r="AA202" i="11"/>
  <c r="AA201" i="11"/>
  <c r="AA197" i="11"/>
  <c r="AA193" i="11"/>
  <c r="AA175" i="11"/>
  <c r="AA184" i="11"/>
  <c r="AA180" i="11"/>
  <c r="AA178" i="11"/>
  <c r="AA176" i="11"/>
  <c r="AA163" i="11"/>
  <c r="AA152" i="11"/>
  <c r="AA141" i="11"/>
  <c r="AA137" i="11"/>
  <c r="AA139" i="11"/>
  <c r="AA132" i="11"/>
  <c r="AA167" i="11"/>
  <c r="AA126" i="11"/>
  <c r="AA100" i="11"/>
  <c r="AA123" i="11"/>
  <c r="AA93" i="11"/>
  <c r="AA87" i="11"/>
  <c r="AA84" i="11"/>
  <c r="AA80" i="11"/>
  <c r="AA124" i="11"/>
  <c r="AA113" i="11"/>
  <c r="AA72" i="11"/>
  <c r="AA61" i="11"/>
  <c r="AA59" i="11"/>
  <c r="AA71" i="11"/>
  <c r="AA46" i="11"/>
  <c r="AA35" i="11"/>
  <c r="AA58" i="11"/>
  <c r="AA54" i="11"/>
  <c r="AA48" i="11"/>
  <c r="AA37" i="11"/>
  <c r="AA11" i="11"/>
  <c r="AA45" i="11"/>
  <c r="AA15" i="11"/>
  <c r="AA6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06" i="11"/>
  <c r="AE202" i="11"/>
  <c r="AE211" i="11"/>
  <c r="AE204" i="11"/>
  <c r="AE201" i="11"/>
  <c r="AE197" i="11"/>
  <c r="AE193" i="11"/>
  <c r="AE191" i="11"/>
  <c r="AE188" i="11"/>
  <c r="AE175" i="11"/>
  <c r="AE171" i="11"/>
  <c r="AE184" i="11"/>
  <c r="AE189" i="11"/>
  <c r="AE154" i="11"/>
  <c r="AE150" i="11"/>
  <c r="AE167" i="11"/>
  <c r="AE165" i="11"/>
  <c r="AE162" i="11"/>
  <c r="AE158" i="11"/>
  <c r="AE163" i="11"/>
  <c r="AE152" i="11"/>
  <c r="AE178" i="11"/>
  <c r="AE136" i="11"/>
  <c r="AE180" i="11"/>
  <c r="AE141" i="11"/>
  <c r="AE137" i="11"/>
  <c r="AE176" i="11"/>
  <c r="AE149" i="11"/>
  <c r="AE145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139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06" i="11"/>
  <c r="AI202" i="11"/>
  <c r="AI211" i="11"/>
  <c r="AI204" i="11"/>
  <c r="AI201" i="11"/>
  <c r="AI197" i="11"/>
  <c r="AI188" i="11"/>
  <c r="AI193" i="11"/>
  <c r="AI175" i="11"/>
  <c r="AI171" i="11"/>
  <c r="AI189" i="11"/>
  <c r="AI191" i="11"/>
  <c r="AI184" i="11"/>
  <c r="AI154" i="11"/>
  <c r="AI150" i="11"/>
  <c r="AI178" i="11"/>
  <c r="AI176" i="11"/>
  <c r="AI162" i="11"/>
  <c r="AI158" i="11"/>
  <c r="AI180" i="11"/>
  <c r="AI163" i="11"/>
  <c r="AI152" i="11"/>
  <c r="AI165" i="11"/>
  <c r="AI136" i="11"/>
  <c r="AI141" i="11"/>
  <c r="AI137" i="11"/>
  <c r="AI167" i="11"/>
  <c r="AI149" i="11"/>
  <c r="AI145" i="11"/>
  <c r="AI132" i="11"/>
  <c r="AI110" i="11"/>
  <c r="AI106" i="11"/>
  <c r="AI126" i="11"/>
  <c r="AI115" i="11"/>
  <c r="AI111" i="11"/>
  <c r="AI100" i="11"/>
  <c r="AI89" i="11"/>
  <c r="AI13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06" i="11"/>
  <c r="AM202" i="11"/>
  <c r="AM211" i="11"/>
  <c r="AM204" i="11"/>
  <c r="AM201" i="11"/>
  <c r="AM197" i="11"/>
  <c r="AM193" i="11"/>
  <c r="AM191" i="11"/>
  <c r="AM188" i="11"/>
  <c r="AM175" i="11"/>
  <c r="AM171" i="11"/>
  <c r="AM184" i="11"/>
  <c r="AM189" i="11"/>
  <c r="AM154" i="11"/>
  <c r="AM150" i="11"/>
  <c r="AM180" i="11"/>
  <c r="AM167" i="11"/>
  <c r="AM165" i="11"/>
  <c r="AM162" i="11"/>
  <c r="AM158" i="11"/>
  <c r="AM163" i="11"/>
  <c r="AM152" i="11"/>
  <c r="AM136" i="11"/>
  <c r="AM176" i="11"/>
  <c r="AM141" i="11"/>
  <c r="AM137" i="11"/>
  <c r="AM149" i="11"/>
  <c r="AM145" i="11"/>
  <c r="AM132" i="11"/>
  <c r="AM110" i="11"/>
  <c r="AM106" i="11"/>
  <c r="AM139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78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01" i="11"/>
  <c r="AQ212" i="11"/>
  <c r="AQ206" i="11"/>
  <c r="AQ202" i="11"/>
  <c r="AQ211" i="11"/>
  <c r="AQ204" i="11"/>
  <c r="AQ197" i="11"/>
  <c r="AQ188" i="11"/>
  <c r="AQ193" i="11"/>
  <c r="AQ191" i="11"/>
  <c r="AQ175" i="11"/>
  <c r="AQ171" i="11"/>
  <c r="AQ189" i="11"/>
  <c r="AQ184" i="11"/>
  <c r="AQ180" i="11"/>
  <c r="AQ154" i="11"/>
  <c r="AQ150" i="11"/>
  <c r="AQ178" i="11"/>
  <c r="AQ176" i="11"/>
  <c r="AQ162" i="11"/>
  <c r="AQ158" i="11"/>
  <c r="AQ163" i="11"/>
  <c r="AQ152" i="11"/>
  <c r="AQ136" i="11"/>
  <c r="AQ167" i="11"/>
  <c r="AQ141" i="11"/>
  <c r="AQ137" i="11"/>
  <c r="AQ149" i="11"/>
  <c r="AQ145" i="11"/>
  <c r="AQ139" i="11"/>
  <c r="AQ110" i="11"/>
  <c r="AQ106" i="11"/>
  <c r="AQ165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01" i="11"/>
  <c r="AU212" i="11"/>
  <c r="AU206" i="11"/>
  <c r="AU202" i="11"/>
  <c r="AU211" i="11"/>
  <c r="AU204" i="11"/>
  <c r="AU197" i="11"/>
  <c r="AU193" i="11"/>
  <c r="AU191" i="11"/>
  <c r="AU188" i="11"/>
  <c r="AU175" i="11"/>
  <c r="AU171" i="11"/>
  <c r="AU184" i="11"/>
  <c r="AU189" i="11"/>
  <c r="AU154" i="11"/>
  <c r="AU150" i="11"/>
  <c r="AU167" i="11"/>
  <c r="AU165" i="11"/>
  <c r="AU162" i="11"/>
  <c r="AU158" i="11"/>
  <c r="AU163" i="11"/>
  <c r="AU152" i="11"/>
  <c r="AU180" i="11"/>
  <c r="AU176" i="11"/>
  <c r="AU136" i="11"/>
  <c r="AU141" i="11"/>
  <c r="AU137" i="11"/>
  <c r="AU178" i="11"/>
  <c r="AU149" i="11"/>
  <c r="AU145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39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I6" i="3"/>
  <c r="Q6" i="3"/>
  <c r="Y6" i="3"/>
  <c r="AC6" i="3"/>
  <c r="AO6" i="3"/>
  <c r="F51" i="3"/>
  <c r="V51" i="3"/>
  <c r="Z51" i="3"/>
  <c r="AD51" i="3"/>
  <c r="AL51" i="3"/>
  <c r="AP51" i="3"/>
  <c r="BB51" i="3"/>
  <c r="C52" i="3"/>
  <c r="F61" i="3"/>
  <c r="J61" i="3"/>
  <c r="V61" i="3"/>
  <c r="AL61" i="3"/>
  <c r="AP61" i="3"/>
  <c r="BB61" i="3"/>
  <c r="I66" i="3"/>
  <c r="Y66" i="3"/>
  <c r="AC66" i="3"/>
  <c r="AO66" i="3"/>
  <c r="P71" i="3"/>
  <c r="T71" i="3"/>
  <c r="AF71" i="3"/>
  <c r="AV71" i="3"/>
  <c r="AZ71" i="3"/>
  <c r="P76" i="3"/>
  <c r="AF76" i="3"/>
  <c r="AJ76" i="3"/>
  <c r="AV76" i="3"/>
  <c r="S81" i="3"/>
  <c r="W81" i="3"/>
  <c r="AI81" i="3"/>
  <c r="AY81" i="3"/>
  <c r="BC81" i="3"/>
  <c r="E11" i="4"/>
  <c r="Q11" i="4"/>
  <c r="AG11" i="4"/>
  <c r="AK11" i="4"/>
  <c r="AW11" i="4"/>
  <c r="P16" i="4"/>
  <c r="T16" i="4"/>
  <c r="AF16" i="4"/>
  <c r="AN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Q51" i="4"/>
  <c r="U51" i="4"/>
  <c r="AG51" i="4"/>
  <c r="AW51" i="4"/>
  <c r="BA51" i="4"/>
  <c r="D56" i="4"/>
  <c r="AF56" i="4"/>
  <c r="AV56" i="4"/>
  <c r="D66" i="3"/>
  <c r="K6" i="4"/>
  <c r="D21" i="4"/>
  <c r="AE56" i="4"/>
  <c r="AQ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I76" i="4"/>
  <c r="Q76" i="4"/>
  <c r="U76" i="4"/>
  <c r="AG76" i="4"/>
  <c r="AK76" i="4"/>
  <c r="AW76" i="4"/>
  <c r="BA76" i="4"/>
  <c r="Q81" i="4"/>
  <c r="U81" i="4"/>
  <c r="AG81" i="4"/>
  <c r="AW81" i="4"/>
  <c r="BA81" i="4"/>
  <c r="D46" i="4"/>
  <c r="F61" i="4"/>
  <c r="N61" i="4"/>
  <c r="R61" i="4"/>
  <c r="AD61" i="4"/>
  <c r="AT61" i="4"/>
  <c r="AX61" i="4"/>
  <c r="E66" i="4"/>
  <c r="Q66" i="4"/>
  <c r="U66" i="4"/>
  <c r="AG66" i="4"/>
  <c r="AK66" i="4"/>
  <c r="AW66" i="4"/>
  <c r="BA66" i="4"/>
  <c r="D71" i="4"/>
  <c r="P71" i="4"/>
  <c r="AF71" i="4"/>
  <c r="AJ71" i="4"/>
  <c r="AV71" i="4"/>
  <c r="N76" i="4"/>
  <c r="R76" i="4"/>
  <c r="AD76" i="4"/>
  <c r="AT76" i="4"/>
  <c r="AX76" i="4"/>
  <c r="N81" i="4"/>
  <c r="AD81" i="4"/>
  <c r="AH81" i="4"/>
  <c r="AT81" i="4"/>
  <c r="D76" i="3"/>
  <c r="C2" i="4"/>
  <c r="E6" i="4"/>
  <c r="Q6" i="4"/>
  <c r="U6" i="4"/>
  <c r="AG6" i="4"/>
  <c r="AK6" i="4"/>
  <c r="AW6" i="4"/>
  <c r="BA6" i="4"/>
  <c r="D11" i="4"/>
  <c r="C22" i="4"/>
  <c r="D51" i="4"/>
  <c r="E56" i="4"/>
  <c r="Q56" i="4"/>
  <c r="AG56" i="4"/>
  <c r="AK56" i="4"/>
  <c r="AW56" i="4"/>
  <c r="K61" i="4"/>
  <c r="O61" i="4"/>
  <c r="AA61" i="4"/>
  <c r="AQ61" i="4"/>
  <c r="AU61" i="4"/>
  <c r="N66" i="4"/>
  <c r="AD66" i="4"/>
  <c r="AH66" i="4"/>
  <c r="AT66" i="4"/>
  <c r="E71" i="4"/>
  <c r="Q71" i="4"/>
  <c r="U71" i="4"/>
  <c r="AG71" i="4"/>
  <c r="AK71" i="4"/>
  <c r="AW71" i="4"/>
  <c r="BA71" i="4"/>
  <c r="K76" i="4"/>
  <c r="O76" i="4"/>
  <c r="AA76" i="4"/>
  <c r="AE76" i="4"/>
  <c r="AI76" i="4"/>
  <c r="AQ76" i="4"/>
  <c r="AU76" i="4"/>
  <c r="K81" i="4"/>
  <c r="AA81" i="4"/>
  <c r="AE81" i="4"/>
  <c r="AQ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AD6" i="4"/>
  <c r="AH6" i="4"/>
  <c r="AT6" i="4"/>
  <c r="N56" i="4"/>
  <c r="R56" i="4"/>
  <c r="AD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AF76" i="4"/>
  <c r="AJ76" i="4"/>
  <c r="AV76" i="4"/>
  <c r="P81" i="4"/>
  <c r="T81" i="4"/>
  <c r="AF81" i="4"/>
  <c r="AN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AA91" i="6"/>
  <c r="C91" i="6"/>
  <c r="E97" i="6"/>
  <c r="AS97" i="6"/>
  <c r="AK97" i="6"/>
  <c r="J94" i="6"/>
  <c r="AE91" i="6"/>
  <c r="AO97" i="6"/>
  <c r="AW97" i="6"/>
  <c r="U97" i="6"/>
  <c r="AT94" i="6"/>
  <c r="AG97" i="6"/>
  <c r="N94" i="6"/>
  <c r="AC97" i="6"/>
  <c r="AP94" i="6"/>
  <c r="F94" i="6"/>
  <c r="G91" i="6"/>
  <c r="AD94" i="6"/>
  <c r="Y97" i="6"/>
  <c r="AL94" i="6"/>
  <c r="AI91" i="6"/>
  <c r="I97" i="6"/>
  <c r="AH94" i="6"/>
  <c r="AQ91" i="6"/>
  <c r="AX94" i="6"/>
  <c r="W91" i="6"/>
  <c r="Q97" i="6"/>
  <c r="AU91" i="6"/>
  <c r="R189" i="11" l="1"/>
  <c r="H76" i="11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K11" i="11"/>
  <c r="K58" i="11"/>
  <c r="K74" i="11"/>
  <c r="K119" i="11"/>
  <c r="K167" i="11"/>
  <c r="K191" i="11"/>
  <c r="H191" i="11"/>
  <c r="H123" i="11"/>
  <c r="H67" i="11"/>
  <c r="H20" i="11"/>
  <c r="H202" i="11"/>
  <c r="H149" i="11"/>
  <c r="H132" i="11"/>
  <c r="H22" i="11"/>
  <c r="R61" i="11"/>
  <c r="R93" i="11"/>
  <c r="H113" i="11"/>
  <c r="AK46" i="4"/>
  <c r="K6" i="11"/>
  <c r="K33" i="11"/>
  <c r="K24" i="11"/>
  <c r="K98" i="11"/>
  <c r="K111" i="11"/>
  <c r="K158" i="11"/>
  <c r="R184" i="11"/>
  <c r="R126" i="11"/>
  <c r="R59" i="11"/>
  <c r="R2" i="11"/>
  <c r="R201" i="11"/>
  <c r="R141" i="11"/>
  <c r="R97" i="11"/>
  <c r="R58" i="11"/>
  <c r="U184" i="11"/>
  <c r="U9" i="11"/>
  <c r="U93" i="11"/>
  <c r="K202" i="11"/>
  <c r="K197" i="11"/>
  <c r="K175" i="11"/>
  <c r="K180" i="11"/>
  <c r="K162" i="11"/>
  <c r="K136" i="11"/>
  <c r="K149" i="11"/>
  <c r="K132" i="11"/>
  <c r="K115" i="11"/>
  <c r="K123" i="11"/>
  <c r="K87" i="11"/>
  <c r="K80" i="11"/>
  <c r="K113" i="11"/>
  <c r="K61" i="11"/>
  <c r="K71" i="11"/>
  <c r="K35" i="11"/>
  <c r="K54" i="11"/>
  <c r="K37" i="11"/>
  <c r="K45" i="11"/>
  <c r="K9" i="11"/>
  <c r="K212" i="11"/>
  <c r="K204" i="11"/>
  <c r="K188" i="11"/>
  <c r="K189" i="11"/>
  <c r="K178" i="11"/>
  <c r="K163" i="11"/>
  <c r="K141" i="11"/>
  <c r="K150" i="11"/>
  <c r="K106" i="11"/>
  <c r="K100" i="11"/>
  <c r="K97" i="11"/>
  <c r="K102" i="11"/>
  <c r="K85" i="11"/>
  <c r="K76" i="11"/>
  <c r="K63" i="11"/>
  <c r="K50" i="11"/>
  <c r="K20" i="11"/>
  <c r="K28" i="11"/>
  <c r="K22" i="11"/>
  <c r="K19" i="11"/>
  <c r="K2" i="11"/>
  <c r="K193" i="11"/>
  <c r="K184" i="11"/>
  <c r="K152" i="11"/>
  <c r="K137" i="11"/>
  <c r="K126" i="11"/>
  <c r="K165" i="11"/>
  <c r="K84" i="11"/>
  <c r="K124" i="11"/>
  <c r="K59" i="11"/>
  <c r="K206" i="11"/>
  <c r="K201" i="11"/>
  <c r="K176" i="11"/>
  <c r="K139" i="11"/>
  <c r="K93" i="11"/>
  <c r="K72" i="11"/>
  <c r="R35" i="11"/>
  <c r="R139" i="11"/>
  <c r="H28" i="11"/>
  <c r="H163" i="11"/>
  <c r="U162" i="11"/>
  <c r="K41" i="11"/>
  <c r="K32" i="11"/>
  <c r="K67" i="11"/>
  <c r="K128" i="11"/>
  <c r="K145" i="11"/>
  <c r="K171" i="11"/>
  <c r="I32" i="11"/>
  <c r="I100" i="11"/>
  <c r="I167" i="11"/>
  <c r="Z28" i="11"/>
  <c r="Z100" i="11"/>
  <c r="Z178" i="11"/>
  <c r="AB67" i="11"/>
  <c r="J15" i="11"/>
  <c r="I22" i="11"/>
  <c r="Z74" i="11"/>
  <c r="E59" i="11"/>
  <c r="V111" i="11"/>
  <c r="T123" i="11"/>
  <c r="AA19" i="11"/>
  <c r="AA20" i="11"/>
  <c r="AA76" i="11"/>
  <c r="AA102" i="11"/>
  <c r="AA106" i="11"/>
  <c r="AA158" i="11"/>
  <c r="AA7" i="11"/>
  <c r="AA22" i="11"/>
  <c r="AA28" i="11"/>
  <c r="AA50" i="11"/>
  <c r="AA63" i="11"/>
  <c r="AA85" i="11"/>
  <c r="AA97" i="11"/>
  <c r="AA111" i="11"/>
  <c r="AA145" i="11"/>
  <c r="AA165" i="11"/>
  <c r="AA150" i="11"/>
  <c r="AA189" i="11"/>
  <c r="AA188" i="11"/>
  <c r="AA204" i="11"/>
  <c r="AA212" i="11"/>
  <c r="E123" i="11"/>
  <c r="AA2" i="11"/>
  <c r="AA41" i="11"/>
  <c r="AA33" i="11"/>
  <c r="AA32" i="11"/>
  <c r="AA24" i="11"/>
  <c r="AA67" i="11"/>
  <c r="AA74" i="11"/>
  <c r="AA98" i="11"/>
  <c r="AA89" i="11"/>
  <c r="AA128" i="11"/>
  <c r="AA119" i="11"/>
  <c r="AA115" i="11"/>
  <c r="AA110" i="11"/>
  <c r="AA149" i="11"/>
  <c r="AA136" i="11"/>
  <c r="AA162" i="11"/>
  <c r="AA154" i="11"/>
  <c r="AA171" i="11"/>
  <c r="AA191" i="11"/>
  <c r="AG46" i="4"/>
  <c r="AF11" i="4"/>
  <c r="P66" i="3"/>
  <c r="AC212" i="11"/>
  <c r="AC202" i="11"/>
  <c r="AC188" i="11"/>
  <c r="AC180" i="11"/>
  <c r="AC152" i="11"/>
  <c r="AC150" i="11"/>
  <c r="AC139" i="11"/>
  <c r="AC123" i="11"/>
  <c r="AC124" i="11"/>
  <c r="AC141" i="11"/>
  <c r="AC93" i="11"/>
  <c r="AC115" i="11"/>
  <c r="AC111" i="11"/>
  <c r="AC84" i="11"/>
  <c r="AC72" i="11"/>
  <c r="AC33" i="11"/>
  <c r="AC41" i="11"/>
  <c r="AC46" i="11"/>
  <c r="AC9" i="11"/>
  <c r="AC28" i="11"/>
  <c r="AC206" i="11"/>
  <c r="AC189" i="11"/>
  <c r="AC184" i="11"/>
  <c r="AC178" i="11"/>
  <c r="AC167" i="11"/>
  <c r="AC158" i="11"/>
  <c r="AC162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201" i="11"/>
  <c r="AC193" i="11"/>
  <c r="AC175" i="11"/>
  <c r="AC176" i="11"/>
  <c r="AC165" i="11"/>
  <c r="AC149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91" i="11"/>
  <c r="AC145" i="11"/>
  <c r="AC106" i="11"/>
  <c r="AC80" i="11"/>
  <c r="AC20" i="11"/>
  <c r="AC171" i="11"/>
  <c r="AC137" i="11"/>
  <c r="AC126" i="11"/>
  <c r="AC37" i="11"/>
  <c r="AC32" i="11"/>
  <c r="AC204" i="11"/>
  <c r="AC163" i="11"/>
  <c r="AC128" i="11"/>
  <c r="AC76" i="11"/>
  <c r="AC45" i="11"/>
  <c r="AC2" i="11"/>
  <c r="J212" i="11"/>
  <c r="J201" i="11"/>
  <c r="J167" i="11"/>
  <c r="J176" i="11"/>
  <c r="J154" i="11"/>
  <c r="J150" i="11"/>
  <c r="J141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193" i="11"/>
  <c r="J188" i="11"/>
  <c r="J184" i="11"/>
  <c r="J158" i="11"/>
  <c r="J137" i="11"/>
  <c r="J98" i="11"/>
  <c r="J163" i="11"/>
  <c r="J97" i="11"/>
  <c r="J119" i="11"/>
  <c r="J67" i="11"/>
  <c r="J59" i="11"/>
  <c r="J50" i="11"/>
  <c r="J58" i="11"/>
  <c r="J33" i="11"/>
  <c r="J2" i="11"/>
  <c r="J204" i="11"/>
  <c r="J197" i="11"/>
  <c r="J189" i="11"/>
  <c r="J171" i="11"/>
  <c r="J139" i="11"/>
  <c r="J128" i="11"/>
  <c r="J149" i="11"/>
  <c r="J115" i="11"/>
  <c r="J93" i="11"/>
  <c r="J84" i="11"/>
  <c r="J61" i="11"/>
  <c r="J45" i="11"/>
  <c r="J46" i="11"/>
  <c r="J32" i="11"/>
  <c r="J22" i="11"/>
  <c r="J7" i="11"/>
  <c r="J206" i="11"/>
  <c r="J191" i="11"/>
  <c r="J180" i="11"/>
  <c r="J175" i="11"/>
  <c r="J152" i="11"/>
  <c r="J124" i="11"/>
  <c r="J110" i="11"/>
  <c r="J111" i="11"/>
  <c r="J87" i="11"/>
  <c r="J89" i="11"/>
  <c r="J85" i="11"/>
  <c r="J41" i="11"/>
  <c r="J24" i="11"/>
  <c r="J28" i="11"/>
  <c r="J11" i="11"/>
  <c r="AB202" i="11"/>
  <c r="AB204" i="11"/>
  <c r="AB197" i="11"/>
  <c r="AB178" i="11"/>
  <c r="AB175" i="11"/>
  <c r="AB150" i="11"/>
  <c r="AB154" i="11"/>
  <c r="AB126" i="11"/>
  <c r="AB136" i="11"/>
  <c r="AB93" i="11"/>
  <c r="AB102" i="11"/>
  <c r="AB106" i="11"/>
  <c r="AB212" i="11"/>
  <c r="AB191" i="11"/>
  <c r="AB180" i="11"/>
  <c r="AB162" i="11"/>
  <c r="AB152" i="11"/>
  <c r="AB149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206" i="11"/>
  <c r="AB201" i="11"/>
  <c r="AB176" i="11"/>
  <c r="AB158" i="11"/>
  <c r="AB141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88" i="11"/>
  <c r="AB165" i="11"/>
  <c r="AB163" i="11"/>
  <c r="AB137" i="11"/>
  <c r="AB139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201" i="11"/>
  <c r="I202" i="11"/>
  <c r="I175" i="11"/>
  <c r="I165" i="11"/>
  <c r="I176" i="11"/>
  <c r="I158" i="11"/>
  <c r="I123" i="11"/>
  <c r="I128" i="11"/>
  <c r="I98" i="11"/>
  <c r="I106" i="11"/>
  <c r="I141" i="11"/>
  <c r="I93" i="11"/>
  <c r="I74" i="11"/>
  <c r="I67" i="11"/>
  <c r="I48" i="11"/>
  <c r="I11" i="11"/>
  <c r="I15" i="11"/>
  <c r="I204" i="11"/>
  <c r="I197" i="11"/>
  <c r="I184" i="11"/>
  <c r="I171" i="11"/>
  <c r="I163" i="11"/>
  <c r="I154" i="11"/>
  <c r="I150" i="11"/>
  <c r="I119" i="11"/>
  <c r="I124" i="11"/>
  <c r="I162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201" i="11"/>
  <c r="Z167" i="11"/>
  <c r="Z176" i="11"/>
  <c r="Z154" i="11"/>
  <c r="Z139" i="11"/>
  <c r="Z141" i="11"/>
  <c r="Z113" i="11"/>
  <c r="Z149" i="11"/>
  <c r="Z126" i="11"/>
  <c r="Z123" i="11"/>
  <c r="Z87" i="11"/>
  <c r="Z80" i="11"/>
  <c r="Z72" i="11"/>
  <c r="Z63" i="11"/>
  <c r="Z19" i="11"/>
  <c r="Z35" i="11"/>
  <c r="Z58" i="11"/>
  <c r="Z48" i="11"/>
  <c r="Z11" i="11"/>
  <c r="Z206" i="11"/>
  <c r="Z197" i="11"/>
  <c r="Z188" i="11"/>
  <c r="Z165" i="11"/>
  <c r="Z175" i="11"/>
  <c r="Z152" i="11"/>
  <c r="Z137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202" i="11"/>
  <c r="O197" i="11"/>
  <c r="O175" i="11"/>
  <c r="O154" i="11"/>
  <c r="O158" i="11"/>
  <c r="O136" i="11"/>
  <c r="O178" i="11"/>
  <c r="O110" i="11"/>
  <c r="O111" i="11"/>
  <c r="O97" i="11"/>
  <c r="O87" i="11"/>
  <c r="O139" i="11"/>
  <c r="O89" i="11"/>
  <c r="O76" i="11"/>
  <c r="O71" i="11"/>
  <c r="O35" i="11"/>
  <c r="O54" i="11"/>
  <c r="O37" i="11"/>
  <c r="O45" i="11"/>
  <c r="O9" i="11"/>
  <c r="O211" i="11"/>
  <c r="O191" i="11"/>
  <c r="O171" i="11"/>
  <c r="O167" i="11"/>
  <c r="O163" i="11"/>
  <c r="O141" i="11"/>
  <c r="O149" i="11"/>
  <c r="O106" i="11"/>
  <c r="O100" i="11"/>
  <c r="O93" i="11"/>
  <c r="O150" i="11"/>
  <c r="O124" i="11"/>
  <c r="O85" i="11"/>
  <c r="O74" i="11"/>
  <c r="O67" i="11"/>
  <c r="O24" i="11"/>
  <c r="O32" i="11"/>
  <c r="O33" i="11"/>
  <c r="O41" i="11"/>
  <c r="O6" i="11"/>
  <c r="O212" i="11"/>
  <c r="O204" i="11"/>
  <c r="O193" i="11"/>
  <c r="O184" i="11"/>
  <c r="O165" i="11"/>
  <c r="O152" i="11"/>
  <c r="O137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89" i="11"/>
  <c r="O132" i="11"/>
  <c r="O80" i="11"/>
  <c r="O46" i="11"/>
  <c r="O15" i="11"/>
  <c r="O206" i="11"/>
  <c r="O162" i="11"/>
  <c r="O115" i="11"/>
  <c r="O98" i="11"/>
  <c r="O58" i="11"/>
  <c r="O7" i="11"/>
  <c r="O201" i="11"/>
  <c r="O176" i="11"/>
  <c r="O119" i="11"/>
  <c r="O61" i="11"/>
  <c r="O48" i="11"/>
  <c r="I6" i="11"/>
  <c r="I54" i="11"/>
  <c r="I46" i="11"/>
  <c r="I33" i="11"/>
  <c r="I59" i="11"/>
  <c r="I115" i="11"/>
  <c r="I132" i="11"/>
  <c r="I97" i="11"/>
  <c r="I149" i="11"/>
  <c r="I180" i="11"/>
  <c r="I193" i="11"/>
  <c r="Z2" i="11"/>
  <c r="Z32" i="11"/>
  <c r="Z50" i="11"/>
  <c r="Z85" i="11"/>
  <c r="Z119" i="11"/>
  <c r="Z111" i="11"/>
  <c r="Z98" i="11"/>
  <c r="Z150" i="11"/>
  <c r="Z184" i="11"/>
  <c r="Z191" i="11"/>
  <c r="Z211" i="11"/>
  <c r="AB22" i="11"/>
  <c r="AB74" i="11"/>
  <c r="AB115" i="11"/>
  <c r="AB189" i="11"/>
  <c r="J6" i="11"/>
  <c r="J74" i="11"/>
  <c r="J106" i="11"/>
  <c r="J165" i="11"/>
  <c r="O180" i="11"/>
  <c r="AC50" i="11"/>
  <c r="AC197" i="11"/>
  <c r="I9" i="11"/>
  <c r="I58" i="11"/>
  <c r="I19" i="11"/>
  <c r="I61" i="11"/>
  <c r="I80" i="11"/>
  <c r="I85" i="11"/>
  <c r="I102" i="11"/>
  <c r="I136" i="11"/>
  <c r="I178" i="11"/>
  <c r="I188" i="11"/>
  <c r="I206" i="11"/>
  <c r="Z22" i="11"/>
  <c r="Z9" i="11"/>
  <c r="Z41" i="11"/>
  <c r="Z67" i="11"/>
  <c r="Z93" i="11"/>
  <c r="Z106" i="11"/>
  <c r="Z124" i="11"/>
  <c r="Z158" i="11"/>
  <c r="Z180" i="11"/>
  <c r="Z193" i="11"/>
  <c r="AB2" i="11"/>
  <c r="AB28" i="11"/>
  <c r="AB84" i="11"/>
  <c r="AB184" i="11"/>
  <c r="AB193" i="11"/>
  <c r="J48" i="11"/>
  <c r="J71" i="11"/>
  <c r="J102" i="11"/>
  <c r="J178" i="11"/>
  <c r="O11" i="11"/>
  <c r="O188" i="11"/>
  <c r="AC59" i="11"/>
  <c r="I7" i="11"/>
  <c r="I24" i="11"/>
  <c r="I41" i="11"/>
  <c r="I72" i="11"/>
  <c r="I76" i="11"/>
  <c r="I89" i="11"/>
  <c r="I113" i="11"/>
  <c r="I139" i="11"/>
  <c r="I152" i="11"/>
  <c r="I191" i="11"/>
  <c r="I212" i="11"/>
  <c r="Z33" i="11"/>
  <c r="Z20" i="11"/>
  <c r="Z45" i="11"/>
  <c r="Z71" i="11"/>
  <c r="Z145" i="11"/>
  <c r="Z110" i="11"/>
  <c r="Z128" i="11"/>
  <c r="Z162" i="11"/>
  <c r="Z189" i="11"/>
  <c r="Z202" i="11"/>
  <c r="AB35" i="11"/>
  <c r="AB61" i="11"/>
  <c r="AB113" i="11"/>
  <c r="AB171" i="11"/>
  <c r="J20" i="11"/>
  <c r="J145" i="11"/>
  <c r="J136" i="11"/>
  <c r="J202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04" i="11"/>
  <c r="E212" i="11"/>
  <c r="E191" i="11"/>
  <c r="E149" i="11"/>
  <c r="E124" i="11"/>
  <c r="E111" i="11"/>
  <c r="E80" i="11"/>
  <c r="E19" i="11"/>
  <c r="E28" i="11"/>
  <c r="E206" i="11"/>
  <c r="E180" i="11"/>
  <c r="E150" i="11"/>
  <c r="E113" i="11"/>
  <c r="E87" i="11"/>
  <c r="E61" i="11"/>
  <c r="E15" i="11"/>
  <c r="E7" i="11"/>
  <c r="V211" i="11"/>
  <c r="V206" i="11"/>
  <c r="V165" i="11"/>
  <c r="V139" i="11"/>
  <c r="V110" i="11"/>
  <c r="V84" i="11"/>
  <c r="V85" i="11"/>
  <c r="V24" i="11"/>
  <c r="V11" i="11"/>
  <c r="V191" i="11"/>
  <c r="V154" i="11"/>
  <c r="V145" i="11"/>
  <c r="V115" i="11"/>
  <c r="V93" i="11"/>
  <c r="V45" i="11"/>
  <c r="V54" i="11"/>
  <c r="BD81" i="4"/>
  <c r="AL56" i="4"/>
  <c r="AL6" i="4"/>
  <c r="AO66" i="4"/>
  <c r="V61" i="4"/>
  <c r="F46" i="4"/>
  <c r="T188" i="11"/>
  <c r="R202" i="11"/>
  <c r="R191" i="11"/>
  <c r="R176" i="11"/>
  <c r="R175" i="11"/>
  <c r="R163" i="11"/>
  <c r="R124" i="11"/>
  <c r="R132" i="11"/>
  <c r="R111" i="11"/>
  <c r="R76" i="11"/>
  <c r="R85" i="11"/>
  <c r="R89" i="11"/>
  <c r="R19" i="11"/>
  <c r="R24" i="11"/>
  <c r="R32" i="11"/>
  <c r="R11" i="11"/>
  <c r="R206" i="11"/>
  <c r="R167" i="11"/>
  <c r="R165" i="11"/>
  <c r="R162" i="11"/>
  <c r="R136" i="11"/>
  <c r="R113" i="11"/>
  <c r="R110" i="11"/>
  <c r="R149" i="11"/>
  <c r="R123" i="11"/>
  <c r="R71" i="11"/>
  <c r="R63" i="11"/>
  <c r="R15" i="11"/>
  <c r="R20" i="11"/>
  <c r="R48" i="11"/>
  <c r="R6" i="11"/>
  <c r="U180" i="11"/>
  <c r="U123" i="11"/>
  <c r="U87" i="11"/>
  <c r="U33" i="11"/>
  <c r="U28" i="11"/>
  <c r="U212" i="11"/>
  <c r="U152" i="11"/>
  <c r="U124" i="11"/>
  <c r="U100" i="11"/>
  <c r="U41" i="11"/>
  <c r="H212" i="11"/>
  <c r="H188" i="11"/>
  <c r="H180" i="11"/>
  <c r="H184" i="11"/>
  <c r="H175" i="11"/>
  <c r="H154" i="11"/>
  <c r="H111" i="11"/>
  <c r="H93" i="11"/>
  <c r="H102" i="11"/>
  <c r="H89" i="11"/>
  <c r="H74" i="11"/>
  <c r="H61" i="11"/>
  <c r="H37" i="11"/>
  <c r="H45" i="11"/>
  <c r="H46" i="11"/>
  <c r="H7" i="11"/>
  <c r="H206" i="11"/>
  <c r="H201" i="11"/>
  <c r="H165" i="11"/>
  <c r="H162" i="11"/>
  <c r="H141" i="11"/>
  <c r="H150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E167" i="11"/>
  <c r="V32" i="11"/>
  <c r="V71" i="11"/>
  <c r="V124" i="11"/>
  <c r="V197" i="11"/>
  <c r="R37" i="11"/>
  <c r="R50" i="11"/>
  <c r="R72" i="11"/>
  <c r="R119" i="11"/>
  <c r="R102" i="11"/>
  <c r="R150" i="11"/>
  <c r="R188" i="11"/>
  <c r="R211" i="11"/>
  <c r="H15" i="11"/>
  <c r="H32" i="11"/>
  <c r="H87" i="11"/>
  <c r="H124" i="11"/>
  <c r="H139" i="11"/>
  <c r="H158" i="11"/>
  <c r="H189" i="11"/>
  <c r="AJ51" i="4"/>
  <c r="J81" i="3"/>
  <c r="W56" i="3"/>
  <c r="U46" i="11"/>
  <c r="U137" i="11"/>
  <c r="U202" i="11"/>
  <c r="T176" i="11"/>
  <c r="T71" i="11"/>
  <c r="T139" i="11"/>
  <c r="T41" i="11"/>
  <c r="F71" i="4"/>
  <c r="V36" i="4"/>
  <c r="E24" i="11"/>
  <c r="E100" i="11"/>
  <c r="E141" i="11"/>
  <c r="E189" i="11"/>
  <c r="V33" i="11"/>
  <c r="V61" i="11"/>
  <c r="V132" i="11"/>
  <c r="V180" i="11"/>
  <c r="X81" i="4"/>
  <c r="AL71" i="4"/>
  <c r="AL66" i="4"/>
  <c r="V76" i="4"/>
  <c r="X71" i="4"/>
  <c r="BD56" i="4"/>
  <c r="I51" i="4"/>
  <c r="AL46" i="4"/>
  <c r="X16" i="4"/>
  <c r="BD76" i="3"/>
  <c r="E33" i="11"/>
  <c r="E132" i="11"/>
  <c r="E152" i="11"/>
  <c r="V35" i="11"/>
  <c r="V87" i="11"/>
  <c r="V150" i="11"/>
  <c r="V212" i="11"/>
  <c r="R54" i="11"/>
  <c r="R45" i="11"/>
  <c r="R80" i="11"/>
  <c r="R115" i="11"/>
  <c r="R137" i="11"/>
  <c r="R154" i="11"/>
  <c r="R197" i="11"/>
  <c r="H6" i="11"/>
  <c r="H59" i="11"/>
  <c r="H72" i="11"/>
  <c r="H110" i="11"/>
  <c r="H97" i="11"/>
  <c r="H145" i="11"/>
  <c r="H178" i="11"/>
  <c r="H193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U139" i="11"/>
  <c r="G20" i="15"/>
  <c r="W20" i="15"/>
  <c r="H20" i="15"/>
  <c r="X20" i="15"/>
  <c r="U20" i="7"/>
  <c r="AK20" i="7"/>
  <c r="R20" i="10"/>
  <c r="AH20" i="10"/>
  <c r="T211" i="11"/>
  <c r="T202" i="11"/>
  <c r="T201" i="11"/>
  <c r="T165" i="11"/>
  <c r="T184" i="11"/>
  <c r="T171" i="11"/>
  <c r="T126" i="11"/>
  <c r="T119" i="11"/>
  <c r="T113" i="11"/>
  <c r="T85" i="11"/>
  <c r="T74" i="11"/>
  <c r="T80" i="11"/>
  <c r="T54" i="11"/>
  <c r="T33" i="11"/>
  <c r="T15" i="11"/>
  <c r="T20" i="11"/>
  <c r="T193" i="11"/>
  <c r="T197" i="11"/>
  <c r="T178" i="11"/>
  <c r="T163" i="11"/>
  <c r="T149" i="11"/>
  <c r="T115" i="11"/>
  <c r="T93" i="11"/>
  <c r="T102" i="11"/>
  <c r="T132" i="11"/>
  <c r="T59" i="11"/>
  <c r="T76" i="11"/>
  <c r="T32" i="11"/>
  <c r="T11" i="11"/>
  <c r="T50" i="11"/>
  <c r="T6" i="11"/>
  <c r="T212" i="11"/>
  <c r="T204" i="11"/>
  <c r="T191" i="11"/>
  <c r="T162" i="11"/>
  <c r="T152" i="11"/>
  <c r="T145" i="11"/>
  <c r="T100" i="11"/>
  <c r="T154" i="11"/>
  <c r="T98" i="11"/>
  <c r="T106" i="11"/>
  <c r="T87" i="11"/>
  <c r="T72" i="11"/>
  <c r="T48" i="11"/>
  <c r="T45" i="11"/>
  <c r="T46" i="11"/>
  <c r="T7" i="11"/>
  <c r="E35" i="11"/>
  <c r="E67" i="11"/>
  <c r="E137" i="11"/>
  <c r="E158" i="11"/>
  <c r="E163" i="11"/>
  <c r="V58" i="11"/>
  <c r="V59" i="11"/>
  <c r="V152" i="11"/>
  <c r="V126" i="11"/>
  <c r="V137" i="11"/>
  <c r="V163" i="11"/>
  <c r="V184" i="11"/>
  <c r="V167" i="11"/>
  <c r="V201" i="11"/>
  <c r="T37" i="11"/>
  <c r="T89" i="11"/>
  <c r="T141" i="11"/>
  <c r="T206" i="11"/>
  <c r="Y204" i="11"/>
  <c r="Y201" i="11"/>
  <c r="Y176" i="11"/>
  <c r="Y102" i="11"/>
  <c r="Y74" i="11"/>
  <c r="Y15" i="11"/>
  <c r="Y189" i="11"/>
  <c r="Y145" i="11"/>
  <c r="Y106" i="11"/>
  <c r="Y67" i="11"/>
  <c r="Y24" i="11"/>
  <c r="Y175" i="11"/>
  <c r="Y123" i="11"/>
  <c r="Y141" i="11"/>
  <c r="Y48" i="11"/>
  <c r="Y54" i="11"/>
  <c r="F212" i="11"/>
  <c r="F184" i="11"/>
  <c r="F2" i="11"/>
  <c r="F102" i="11"/>
  <c r="F80" i="11"/>
  <c r="X211" i="11"/>
  <c r="X54" i="11"/>
  <c r="X191" i="11"/>
  <c r="X20" i="11"/>
  <c r="X139" i="11"/>
  <c r="E211" i="11"/>
  <c r="E201" i="11"/>
  <c r="E193" i="11"/>
  <c r="E171" i="11"/>
  <c r="E176" i="11"/>
  <c r="E165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204" i="11"/>
  <c r="V193" i="11"/>
  <c r="V189" i="11"/>
  <c r="V176" i="11"/>
  <c r="V175" i="11"/>
  <c r="V158" i="11"/>
  <c r="V136" i="11"/>
  <c r="V128" i="11"/>
  <c r="V98" i="11"/>
  <c r="V149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E162" i="11"/>
  <c r="E175" i="11"/>
  <c r="E202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E139" i="11"/>
  <c r="E154" i="11"/>
  <c r="E178" i="11"/>
  <c r="E184" i="11"/>
  <c r="E197" i="11"/>
  <c r="V6" i="11"/>
  <c r="V48" i="11"/>
  <c r="V20" i="11"/>
  <c r="V15" i="11"/>
  <c r="V63" i="11"/>
  <c r="V67" i="11"/>
  <c r="V80" i="11"/>
  <c r="V123" i="11"/>
  <c r="V106" i="11"/>
  <c r="V113" i="11"/>
  <c r="V141" i="11"/>
  <c r="V162" i="11"/>
  <c r="V188" i="11"/>
  <c r="V178" i="11"/>
  <c r="V202" i="11"/>
  <c r="T9" i="11"/>
  <c r="T58" i="11"/>
  <c r="T128" i="11"/>
  <c r="T158" i="11"/>
  <c r="N81" i="3"/>
  <c r="Y137" i="11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Y165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62" i="11"/>
  <c r="Y136" i="11"/>
  <c r="Y149" i="11"/>
  <c r="Y178" i="11"/>
  <c r="Y167" i="11"/>
  <c r="Y188" i="11"/>
  <c r="Y193" i="11"/>
  <c r="Y206" i="11"/>
  <c r="X50" i="11"/>
  <c r="X67" i="11"/>
  <c r="X113" i="11"/>
  <c r="X175" i="11"/>
  <c r="X189" i="11"/>
  <c r="F22" i="11"/>
  <c r="F45" i="11"/>
  <c r="F97" i="11"/>
  <c r="F145" i="11"/>
  <c r="F180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T150" i="11"/>
  <c r="T137" i="11"/>
  <c r="T175" i="11"/>
  <c r="T167" i="11"/>
  <c r="T180" i="11"/>
  <c r="T189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139" i="11"/>
  <c r="Y150" i="11"/>
  <c r="Y152" i="11"/>
  <c r="Y180" i="11"/>
  <c r="Y191" i="11"/>
  <c r="Y202" i="11"/>
  <c r="Y212" i="11"/>
  <c r="X45" i="11"/>
  <c r="X74" i="11"/>
  <c r="X93" i="11"/>
  <c r="X141" i="11"/>
  <c r="X204" i="11"/>
  <c r="F28" i="11"/>
  <c r="F85" i="11"/>
  <c r="F115" i="11"/>
  <c r="F139" i="11"/>
  <c r="F197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Y158" i="11"/>
  <c r="Y154" i="11"/>
  <c r="Y163" i="11"/>
  <c r="Y171" i="11"/>
  <c r="Y184" i="11"/>
  <c r="Y197" i="11"/>
  <c r="X7" i="11"/>
  <c r="X37" i="11"/>
  <c r="X85" i="11"/>
  <c r="X100" i="11"/>
  <c r="X162" i="11"/>
  <c r="X206" i="11"/>
  <c r="F20" i="11"/>
  <c r="F67" i="11"/>
  <c r="F110" i="11"/>
  <c r="F162" i="11"/>
  <c r="F202" i="11"/>
  <c r="G11" i="4"/>
  <c r="G76" i="4"/>
  <c r="AU76" i="3"/>
  <c r="R204" i="11"/>
  <c r="R193" i="11"/>
  <c r="R178" i="11"/>
  <c r="R180" i="11"/>
  <c r="R171" i="11"/>
  <c r="R158" i="11"/>
  <c r="R152" i="11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201" i="11"/>
  <c r="U193" i="11"/>
  <c r="U171" i="11"/>
  <c r="U176" i="11"/>
  <c r="U165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204" i="11"/>
  <c r="U197" i="11"/>
  <c r="U188" i="11"/>
  <c r="U191" i="11"/>
  <c r="U163" i="11"/>
  <c r="U154" i="11"/>
  <c r="U150" i="11"/>
  <c r="U141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206" i="11"/>
  <c r="U189" i="11"/>
  <c r="U175" i="11"/>
  <c r="U178" i="11"/>
  <c r="U167" i="11"/>
  <c r="U149" i="11"/>
  <c r="U158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97" i="11"/>
  <c r="H176" i="11"/>
  <c r="H167" i="11"/>
  <c r="H171" i="11"/>
  <c r="H137" i="11"/>
  <c r="H152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X154" i="11"/>
  <c r="X137" i="11"/>
  <c r="X158" i="11"/>
  <c r="X178" i="11"/>
  <c r="X180" i="11"/>
  <c r="X188" i="11"/>
  <c r="X202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F158" i="11"/>
  <c r="F175" i="11"/>
  <c r="F176" i="11"/>
  <c r="F189" i="11"/>
  <c r="F193" i="11"/>
  <c r="F204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50" i="11"/>
  <c r="X145" i="11"/>
  <c r="X163" i="11"/>
  <c r="X184" i="11"/>
  <c r="X165" i="11"/>
  <c r="X197" i="11"/>
  <c r="X193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F137" i="11"/>
  <c r="F150" i="11"/>
  <c r="F171" i="11"/>
  <c r="F188" i="11"/>
  <c r="F167" i="11"/>
  <c r="F191" i="11"/>
  <c r="F206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X152" i="11"/>
  <c r="X149" i="11"/>
  <c r="X171" i="11"/>
  <c r="X167" i="11"/>
  <c r="X176" i="11"/>
  <c r="X201" i="11"/>
  <c r="F9" i="11"/>
  <c r="F37" i="11"/>
  <c r="F54" i="11"/>
  <c r="F35" i="11"/>
  <c r="F19" i="11"/>
  <c r="F63" i="11"/>
  <c r="F72" i="11"/>
  <c r="F93" i="11"/>
  <c r="F76" i="11"/>
  <c r="F100" i="11"/>
  <c r="F149" i="11"/>
  <c r="F152" i="11"/>
  <c r="F124" i="11"/>
  <c r="F141" i="11"/>
  <c r="F163" i="11"/>
  <c r="F154" i="11"/>
  <c r="F165" i="11"/>
  <c r="F178" i="11"/>
  <c r="F201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V94" i="6"/>
  <c r="M97" i="6"/>
  <c r="K91" i="6"/>
  <c r="Z94" i="6"/>
  <c r="O91" i="6"/>
  <c r="S91" i="6"/>
  <c r="AY91" i="6"/>
  <c r="R94" i="6"/>
  <c r="AM91" i="6"/>
  <c r="F50" i="1" l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Q138" i="11"/>
  <c r="AQ177" i="11"/>
  <c r="AM21" i="11"/>
  <c r="AM112" i="11"/>
  <c r="AM99" i="11"/>
  <c r="AM138" i="11"/>
  <c r="AM151" i="11"/>
  <c r="AM177" i="11"/>
  <c r="AI60" i="11"/>
  <c r="AI86" i="11"/>
  <c r="AI99" i="11"/>
  <c r="AI203" i="11"/>
  <c r="AE73" i="11"/>
  <c r="AE99" i="11"/>
  <c r="AA47" i="11"/>
  <c r="AA60" i="11"/>
  <c r="AA99" i="11"/>
  <c r="AA151" i="11"/>
  <c r="W21" i="11"/>
  <c r="O50" i="1"/>
  <c r="T3" i="13" s="1"/>
  <c r="T4" i="13" s="1"/>
  <c r="Q50" i="1"/>
  <c r="Q53" i="1" s="1"/>
  <c r="F190" i="11"/>
  <c r="F99" i="11"/>
  <c r="F60" i="11"/>
  <c r="F73" i="11"/>
  <c r="F21" i="11"/>
  <c r="X203" i="11"/>
  <c r="X190" i="11"/>
  <c r="X151" i="11"/>
  <c r="X164" i="11"/>
  <c r="X138" i="11"/>
  <c r="X99" i="11"/>
  <c r="X21" i="11"/>
  <c r="AJ151" i="11"/>
  <c r="AJ164" i="11"/>
  <c r="AJ99" i="11"/>
  <c r="AJ8" i="11"/>
  <c r="AN203" i="11"/>
  <c r="AN190" i="11"/>
  <c r="AN151" i="11"/>
  <c r="AN99" i="11"/>
  <c r="AN21" i="11"/>
  <c r="G125" i="11"/>
  <c r="G164" i="11"/>
  <c r="G60" i="11"/>
  <c r="K164" i="11"/>
  <c r="K112" i="11"/>
  <c r="K86" i="11"/>
  <c r="K21" i="11"/>
  <c r="L125" i="11"/>
  <c r="L86" i="11"/>
  <c r="L60" i="11"/>
  <c r="L47" i="11"/>
  <c r="L34" i="11"/>
  <c r="P177" i="11"/>
  <c r="P138" i="11"/>
  <c r="P125" i="11"/>
  <c r="U138" i="11"/>
  <c r="U47" i="11"/>
  <c r="U8" i="11"/>
  <c r="Y203" i="11"/>
  <c r="Y86" i="11"/>
  <c r="Y60" i="11"/>
  <c r="Y34" i="11"/>
  <c r="AC177" i="11"/>
  <c r="AC112" i="11"/>
  <c r="AC151" i="11"/>
  <c r="AC47" i="11"/>
  <c r="AC8" i="11"/>
  <c r="AG203" i="11"/>
  <c r="AG177" i="11"/>
  <c r="AG151" i="11"/>
  <c r="AG60" i="11"/>
  <c r="AG34" i="11"/>
  <c r="AK151" i="11"/>
  <c r="AK47" i="11"/>
  <c r="AK8" i="11"/>
  <c r="AO203" i="11"/>
  <c r="AO177" i="11"/>
  <c r="AO164" i="11"/>
  <c r="AO86" i="11"/>
  <c r="AO60" i="11"/>
  <c r="AO34" i="11"/>
  <c r="AS112" i="11"/>
  <c r="AS99" i="11"/>
  <c r="AS151" i="11"/>
  <c r="AS86" i="11"/>
  <c r="AS47" i="11"/>
  <c r="AS8" i="11"/>
  <c r="O99" i="11"/>
  <c r="O86" i="11"/>
  <c r="O73" i="11"/>
  <c r="O8" i="11"/>
  <c r="AV164" i="11"/>
  <c r="AV177" i="11"/>
  <c r="AV138" i="11"/>
  <c r="AV99" i="11"/>
  <c r="AV21" i="11"/>
  <c r="AV34" i="11"/>
  <c r="Q177" i="11"/>
  <c r="Q151" i="11"/>
  <c r="Q60" i="11"/>
  <c r="Q21" i="11"/>
  <c r="AD138" i="11"/>
  <c r="AD125" i="11"/>
  <c r="AD47" i="11"/>
  <c r="AD8" i="11"/>
  <c r="AH34" i="11"/>
  <c r="AL86" i="11"/>
  <c r="AL60" i="11"/>
  <c r="AL47" i="11"/>
  <c r="AL8" i="11"/>
  <c r="AP138" i="11"/>
  <c r="AP112" i="11"/>
  <c r="AP34" i="11"/>
  <c r="AT203" i="11"/>
  <c r="AT125" i="11"/>
  <c r="AT60" i="11"/>
  <c r="AT73" i="11"/>
  <c r="AT47" i="11"/>
  <c r="AT8" i="11"/>
  <c r="J177" i="11"/>
  <c r="J138" i="11"/>
  <c r="J21" i="11"/>
  <c r="T203" i="11"/>
  <c r="T21" i="11"/>
  <c r="AB203" i="11"/>
  <c r="AB177" i="11"/>
  <c r="AB164" i="11"/>
  <c r="AB138" i="11"/>
  <c r="AB112" i="11"/>
  <c r="AB21" i="11"/>
  <c r="AF138" i="11"/>
  <c r="AF125" i="11"/>
  <c r="AF73" i="11"/>
  <c r="AF8" i="11"/>
  <c r="AR203" i="11"/>
  <c r="AR177" i="11"/>
  <c r="AR21" i="11"/>
  <c r="D151" i="11"/>
  <c r="D138" i="11"/>
  <c r="D99" i="11"/>
  <c r="D86" i="11"/>
  <c r="D60" i="11"/>
  <c r="H203" i="11"/>
  <c r="H190" i="11"/>
  <c r="H151" i="11"/>
  <c r="H164" i="11"/>
  <c r="H125" i="11"/>
  <c r="H60" i="11"/>
  <c r="M177" i="11"/>
  <c r="M164" i="11"/>
  <c r="M125" i="11"/>
  <c r="M86" i="11"/>
  <c r="M73" i="11"/>
  <c r="R177" i="11"/>
  <c r="R125" i="11"/>
  <c r="R112" i="11"/>
  <c r="R60" i="11"/>
  <c r="R47" i="11"/>
  <c r="R8" i="11"/>
  <c r="V203" i="11"/>
  <c r="V151" i="11"/>
  <c r="V125" i="11"/>
  <c r="V34" i="11"/>
  <c r="Z164" i="11"/>
  <c r="Z177" i="11"/>
  <c r="Z125" i="11"/>
  <c r="Z112" i="11"/>
  <c r="Z60" i="11"/>
  <c r="Z47" i="11"/>
  <c r="Z8" i="11"/>
  <c r="E151" i="11"/>
  <c r="E125" i="11"/>
  <c r="E21" i="11"/>
  <c r="I203" i="11"/>
  <c r="I190" i="11"/>
  <c r="I151" i="11"/>
  <c r="I60" i="11"/>
  <c r="I34" i="11"/>
  <c r="N164" i="11"/>
  <c r="N138" i="11"/>
  <c r="N125" i="11"/>
  <c r="N112" i="11"/>
  <c r="S151" i="11"/>
  <c r="S125" i="11"/>
  <c r="S112" i="11"/>
  <c r="S21" i="11"/>
  <c r="F164" i="11"/>
  <c r="X112" i="11"/>
  <c r="X125" i="11"/>
  <c r="X60" i="11"/>
  <c r="AJ138" i="11"/>
  <c r="AJ125" i="11"/>
  <c r="AJ86" i="11"/>
  <c r="AJ60" i="11"/>
  <c r="AJ47" i="11"/>
  <c r="AJ34" i="11"/>
  <c r="AN164" i="11"/>
  <c r="AN112" i="11"/>
  <c r="AN125" i="11"/>
  <c r="AN60" i="11"/>
  <c r="G203" i="11"/>
  <c r="G177" i="11"/>
  <c r="G151" i="11"/>
  <c r="G138" i="11"/>
  <c r="G99" i="11"/>
  <c r="G112" i="11"/>
  <c r="G73" i="11"/>
  <c r="G47" i="11"/>
  <c r="G34" i="11"/>
  <c r="K151" i="11"/>
  <c r="K138" i="11"/>
  <c r="K125" i="11"/>
  <c r="K73" i="11"/>
  <c r="K8" i="11"/>
  <c r="L203" i="11"/>
  <c r="L177" i="11"/>
  <c r="L164" i="11"/>
  <c r="L112" i="11"/>
  <c r="L21" i="11"/>
  <c r="P73" i="11"/>
  <c r="P8" i="11"/>
  <c r="U190" i="11"/>
  <c r="U112" i="11"/>
  <c r="U125" i="11"/>
  <c r="U21" i="11"/>
  <c r="Y190" i="11"/>
  <c r="Y164" i="11"/>
  <c r="Y151" i="11"/>
  <c r="Y73" i="11"/>
  <c r="AC138" i="11"/>
  <c r="AC125" i="11"/>
  <c r="AC86" i="11"/>
  <c r="AC21" i="11"/>
  <c r="AG190" i="11"/>
  <c r="AG164" i="11"/>
  <c r="AG86" i="11"/>
  <c r="AG73" i="11"/>
  <c r="AK138" i="11"/>
  <c r="AK125" i="11"/>
  <c r="AK60" i="11"/>
  <c r="AK21" i="11"/>
  <c r="AO190" i="11"/>
  <c r="AO151" i="11"/>
  <c r="AO73" i="11"/>
  <c r="AS164" i="11"/>
  <c r="AS138" i="11"/>
  <c r="AS60" i="11"/>
  <c r="AS21" i="11"/>
  <c r="O190" i="11"/>
  <c r="O151" i="11"/>
  <c r="O138" i="11"/>
  <c r="O112" i="11"/>
  <c r="O60" i="11"/>
  <c r="AV203" i="11"/>
  <c r="AV190" i="11"/>
  <c r="AV151" i="11"/>
  <c r="AV112" i="11"/>
  <c r="AV125" i="11"/>
  <c r="AV60" i="11"/>
  <c r="Q203" i="11"/>
  <c r="Q34" i="11"/>
  <c r="AD190" i="11"/>
  <c r="AD164" i="11"/>
  <c r="AD99" i="11"/>
  <c r="AD112" i="11"/>
  <c r="AD21" i="11"/>
  <c r="AH190" i="11"/>
  <c r="AH138" i="11"/>
  <c r="AH86" i="11"/>
  <c r="AL164" i="11"/>
  <c r="AL138" i="11"/>
  <c r="AL21" i="11"/>
  <c r="AP125" i="11"/>
  <c r="AT138" i="11"/>
  <c r="AT99" i="11"/>
  <c r="AT21" i="11"/>
  <c r="J151" i="11"/>
  <c r="J86" i="11"/>
  <c r="J60" i="11"/>
  <c r="J73" i="11"/>
  <c r="T190" i="11"/>
  <c r="T177" i="11"/>
  <c r="T164" i="11"/>
  <c r="T99" i="11"/>
  <c r="T86" i="11"/>
  <c r="T73" i="11"/>
  <c r="AB190" i="11"/>
  <c r="AF151" i="11"/>
  <c r="AF112" i="11"/>
  <c r="AF47" i="11"/>
  <c r="AF34" i="11"/>
  <c r="AR190" i="11"/>
  <c r="AR164" i="11"/>
  <c r="AR112" i="11"/>
  <c r="D112" i="11"/>
  <c r="D125" i="11"/>
  <c r="D47" i="11"/>
  <c r="D34" i="11"/>
  <c r="H138" i="11"/>
  <c r="H112" i="11"/>
  <c r="H73" i="11"/>
  <c r="H8" i="11"/>
  <c r="M138" i="11"/>
  <c r="M112" i="11"/>
  <c r="M99" i="11"/>
  <c r="M47" i="11"/>
  <c r="M8" i="11"/>
  <c r="R190" i="11"/>
  <c r="R151" i="11"/>
  <c r="R99" i="11"/>
  <c r="R73" i="11"/>
  <c r="R21" i="11"/>
  <c r="V177" i="11"/>
  <c r="V99" i="11"/>
  <c r="V86" i="11"/>
  <c r="V60" i="11"/>
  <c r="V73" i="11"/>
  <c r="Z190" i="11"/>
  <c r="Z151" i="11"/>
  <c r="Z99" i="11"/>
  <c r="Z73" i="11"/>
  <c r="Z21" i="11"/>
  <c r="E99" i="11"/>
  <c r="E60" i="11"/>
  <c r="E34" i="11"/>
  <c r="I164" i="11"/>
  <c r="I125" i="11"/>
  <c r="I73" i="11"/>
  <c r="I47" i="11"/>
  <c r="I8" i="11"/>
  <c r="N203" i="11"/>
  <c r="N151" i="11"/>
  <c r="N99" i="11"/>
  <c r="N86" i="11"/>
  <c r="N34" i="11"/>
  <c r="S99" i="11"/>
  <c r="S73" i="11"/>
  <c r="S8" i="11"/>
  <c r="W203" i="11"/>
  <c r="W151" i="11"/>
  <c r="W138" i="11"/>
  <c r="W99" i="11"/>
  <c r="W73" i="11"/>
  <c r="W47" i="11"/>
  <c r="W34" i="11"/>
  <c r="AA164" i="11"/>
  <c r="AA125" i="11"/>
  <c r="AA86" i="11"/>
  <c r="AA8" i="11"/>
  <c r="AE203" i="11"/>
  <c r="AE151" i="11"/>
  <c r="AE138" i="11"/>
  <c r="AE47" i="11"/>
  <c r="AE34" i="11"/>
  <c r="AI151" i="11"/>
  <c r="F203" i="11"/>
  <c r="F151" i="11"/>
  <c r="F138" i="11"/>
  <c r="F112" i="11"/>
  <c r="F34" i="11"/>
  <c r="X177" i="11"/>
  <c r="X73" i="11"/>
  <c r="X8" i="11"/>
  <c r="AJ203" i="11"/>
  <c r="AJ112" i="11"/>
  <c r="AJ21" i="11"/>
  <c r="AN138" i="11"/>
  <c r="AN73" i="11"/>
  <c r="AN8" i="11"/>
  <c r="G21" i="11"/>
  <c r="K203" i="11"/>
  <c r="K177" i="11"/>
  <c r="K99" i="11"/>
  <c r="K60" i="11"/>
  <c r="L190" i="11"/>
  <c r="L8" i="11"/>
  <c r="P151" i="11"/>
  <c r="P112" i="11"/>
  <c r="P47" i="11"/>
  <c r="P34" i="11"/>
  <c r="U203" i="11"/>
  <c r="U151" i="11"/>
  <c r="U99" i="11"/>
  <c r="U60" i="11"/>
  <c r="U34" i="11"/>
  <c r="Y112" i="11"/>
  <c r="Y125" i="11"/>
  <c r="Y47" i="11"/>
  <c r="Y8" i="11"/>
  <c r="AC203" i="11"/>
  <c r="AC190" i="11"/>
  <c r="AC99" i="11"/>
  <c r="AC60" i="11"/>
  <c r="AC34" i="11"/>
  <c r="AG138" i="11"/>
  <c r="AG112" i="11"/>
  <c r="AG125" i="11"/>
  <c r="AG47" i="11"/>
  <c r="AG8" i="11"/>
  <c r="AK203" i="11"/>
  <c r="AK190" i="11"/>
  <c r="AK112" i="11"/>
  <c r="AK99" i="11"/>
  <c r="AK86" i="11"/>
  <c r="AK34" i="11"/>
  <c r="AO125" i="11"/>
  <c r="AO47" i="11"/>
  <c r="AO8" i="11"/>
  <c r="AS203" i="11"/>
  <c r="AS190" i="11"/>
  <c r="O203" i="11"/>
  <c r="O47" i="11"/>
  <c r="O34" i="11"/>
  <c r="Q190" i="11"/>
  <c r="Q164" i="11"/>
  <c r="Q138" i="11"/>
  <c r="Q125" i="11"/>
  <c r="Q73" i="11"/>
  <c r="Q8" i="11"/>
  <c r="AD203" i="11"/>
  <c r="AD151" i="11"/>
  <c r="AD86" i="11"/>
  <c r="AD34" i="11"/>
  <c r="AH203" i="11"/>
  <c r="AH164" i="11"/>
  <c r="AH177" i="11"/>
  <c r="AH125" i="11"/>
  <c r="AH112" i="11"/>
  <c r="AH47" i="11"/>
  <c r="AH8" i="11"/>
  <c r="AL190" i="11"/>
  <c r="AL151" i="11"/>
  <c r="AL125" i="11"/>
  <c r="AL112" i="11"/>
  <c r="AL34" i="11"/>
  <c r="AP190" i="11"/>
  <c r="AP177" i="11"/>
  <c r="AP99" i="11"/>
  <c r="AP86" i="11"/>
  <c r="AP60" i="11"/>
  <c r="AP47" i="11"/>
  <c r="AP8" i="11"/>
  <c r="AT190" i="11"/>
  <c r="AT164" i="11"/>
  <c r="AT151" i="11"/>
  <c r="AT112" i="11"/>
  <c r="J190" i="11"/>
  <c r="J125" i="11"/>
  <c r="J34" i="11"/>
  <c r="T151" i="11"/>
  <c r="T138" i="11"/>
  <c r="T125" i="11"/>
  <c r="T8" i="11"/>
  <c r="AB151" i="11"/>
  <c r="AB99" i="11"/>
  <c r="AB73" i="11"/>
  <c r="AB8" i="11"/>
  <c r="AF203" i="11"/>
  <c r="AF190" i="11"/>
  <c r="AF164" i="11"/>
  <c r="AF177" i="11"/>
  <c r="AF86" i="11"/>
  <c r="AF60" i="11"/>
  <c r="AF21" i="11"/>
  <c r="AR151" i="11"/>
  <c r="AR99" i="11"/>
  <c r="AR8" i="11"/>
  <c r="D203" i="11"/>
  <c r="D73" i="11"/>
  <c r="D21" i="11"/>
  <c r="H177" i="11"/>
  <c r="H47" i="11"/>
  <c r="M151" i="11"/>
  <c r="M60" i="11"/>
  <c r="M21" i="11"/>
  <c r="R86" i="11"/>
  <c r="R34" i="11"/>
  <c r="V190" i="11"/>
  <c r="V47" i="11"/>
  <c r="V8" i="11"/>
  <c r="Z138" i="11"/>
  <c r="Z86" i="11"/>
  <c r="Z34" i="11"/>
  <c r="E203" i="11"/>
  <c r="E190" i="11"/>
  <c r="E177" i="11"/>
  <c r="E164" i="11"/>
  <c r="E112" i="11"/>
  <c r="E73" i="11"/>
  <c r="E8" i="11"/>
  <c r="I138" i="11"/>
  <c r="I112" i="11"/>
  <c r="I99" i="11"/>
  <c r="I86" i="11"/>
  <c r="I21" i="11"/>
  <c r="N177" i="11"/>
  <c r="N60" i="11"/>
  <c r="N47" i="11"/>
  <c r="N8" i="11"/>
  <c r="S203" i="11"/>
  <c r="S177" i="11"/>
  <c r="S164" i="11"/>
  <c r="S138" i="11"/>
  <c r="S86" i="11"/>
  <c r="S60" i="11"/>
  <c r="W177" i="11"/>
  <c r="F177" i="11"/>
  <c r="F125" i="11"/>
  <c r="F86" i="11"/>
  <c r="F47" i="11"/>
  <c r="F8" i="11"/>
  <c r="X86" i="11"/>
  <c r="X47" i="11"/>
  <c r="X34" i="11"/>
  <c r="AJ190" i="11"/>
  <c r="AJ177" i="11"/>
  <c r="AJ73" i="11"/>
  <c r="AN177" i="11"/>
  <c r="AN86" i="11"/>
  <c r="AN47" i="11"/>
  <c r="AN34" i="11"/>
  <c r="G190" i="11"/>
  <c r="G86" i="11"/>
  <c r="G8" i="11"/>
  <c r="K190" i="11"/>
  <c r="K47" i="11"/>
  <c r="K34" i="11"/>
  <c r="L151" i="11"/>
  <c r="L138" i="11"/>
  <c r="L99" i="11"/>
  <c r="L73" i="11"/>
  <c r="P203" i="11"/>
  <c r="P190" i="11"/>
  <c r="P164" i="11"/>
  <c r="P99" i="11"/>
  <c r="P86" i="11"/>
  <c r="P60" i="11"/>
  <c r="P21" i="11"/>
  <c r="U177" i="11"/>
  <c r="U164" i="11"/>
  <c r="U86" i="11"/>
  <c r="U73" i="11"/>
  <c r="Y177" i="11"/>
  <c r="Y138" i="11"/>
  <c r="Y99" i="11"/>
  <c r="Y21" i="11"/>
  <c r="AC164" i="11"/>
  <c r="AC73" i="11"/>
  <c r="AG99" i="11"/>
  <c r="AG21" i="11"/>
  <c r="AK177" i="11"/>
  <c r="AK164" i="11"/>
  <c r="AK73" i="11"/>
  <c r="AO138" i="11"/>
  <c r="AO112" i="11"/>
  <c r="AO99" i="11"/>
  <c r="AO21" i="11"/>
  <c r="AS177" i="11"/>
  <c r="AS125" i="11"/>
  <c r="AS73" i="11"/>
  <c r="AS34" i="11"/>
  <c r="O177" i="11"/>
  <c r="O164" i="11"/>
  <c r="O125" i="11"/>
  <c r="O21" i="11"/>
  <c r="AV86" i="11"/>
  <c r="AV73" i="11"/>
  <c r="AV47" i="11"/>
  <c r="AV8" i="11"/>
  <c r="Q112" i="11"/>
  <c r="Q99" i="11"/>
  <c r="Q86" i="11"/>
  <c r="Q47" i="11"/>
  <c r="AD177" i="11"/>
  <c r="AD60" i="11"/>
  <c r="AD73" i="11"/>
  <c r="AH151" i="11"/>
  <c r="AH99" i="11"/>
  <c r="AH60" i="11"/>
  <c r="AH73" i="11"/>
  <c r="AH21" i="11"/>
  <c r="AL203" i="11"/>
  <c r="AL177" i="11"/>
  <c r="AL99" i="11"/>
  <c r="AL73" i="11"/>
  <c r="AP203" i="11"/>
  <c r="AP164" i="11"/>
  <c r="AP151" i="11"/>
  <c r="AP73" i="11"/>
  <c r="AP21" i="11"/>
  <c r="AT177" i="11"/>
  <c r="AT86" i="11"/>
  <c r="AT34" i="11"/>
  <c r="J203" i="11"/>
  <c r="J16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38" i="11"/>
  <c r="AR125" i="11"/>
  <c r="AR86" i="11"/>
  <c r="AR73" i="11"/>
  <c r="AR60" i="11"/>
  <c r="AR47" i="11"/>
  <c r="AR34" i="11"/>
  <c r="D190" i="11"/>
  <c r="D177" i="11"/>
  <c r="D164" i="11"/>
  <c r="D8" i="11"/>
  <c r="H86" i="11"/>
  <c r="H99" i="11"/>
  <c r="H21" i="11"/>
  <c r="H34" i="11"/>
  <c r="M203" i="11"/>
  <c r="M190" i="11"/>
  <c r="M34" i="11"/>
  <c r="R203" i="11"/>
  <c r="R164" i="11"/>
  <c r="R138" i="11"/>
  <c r="V164" i="11"/>
  <c r="V138" i="11"/>
  <c r="V112" i="11"/>
  <c r="V21" i="11"/>
  <c r="Z203" i="11"/>
  <c r="E138" i="11"/>
  <c r="E86" i="11"/>
  <c r="E47" i="11"/>
  <c r="I177" i="11"/>
  <c r="N190" i="11"/>
  <c r="N73" i="11"/>
  <c r="N21" i="11"/>
  <c r="S190" i="11"/>
  <c r="S47" i="11"/>
  <c r="S34" i="11"/>
  <c r="W86" i="11"/>
  <c r="W8" i="11"/>
  <c r="AA190" i="11"/>
  <c r="AU8" i="11"/>
  <c r="AU86" i="11"/>
  <c r="AU99" i="11"/>
  <c r="AU177" i="11"/>
  <c r="AQ8" i="11"/>
  <c r="AQ86" i="11"/>
  <c r="AQ112" i="11"/>
  <c r="AQ99" i="11"/>
  <c r="AQ164" i="11"/>
  <c r="AM34" i="11"/>
  <c r="AM47" i="11"/>
  <c r="AM73" i="11"/>
  <c r="AM125" i="11"/>
  <c r="AM203" i="11"/>
  <c r="AI8" i="11"/>
  <c r="AI73" i="11"/>
  <c r="AI112" i="11"/>
  <c r="AI125" i="11"/>
  <c r="AI164" i="11"/>
  <c r="AI177" i="11"/>
  <c r="AI190" i="11"/>
  <c r="AE125" i="11"/>
  <c r="AE164" i="11"/>
  <c r="AE190" i="11"/>
  <c r="AA203" i="11"/>
  <c r="W125" i="11"/>
  <c r="F53" i="1"/>
  <c r="AU125" i="11"/>
  <c r="AU203" i="11"/>
  <c r="AQ21" i="11"/>
  <c r="AQ125" i="11"/>
  <c r="AM60" i="11"/>
  <c r="AM190" i="11"/>
  <c r="AI21" i="11"/>
  <c r="AE21" i="11"/>
  <c r="AE112" i="11"/>
  <c r="AA34" i="11"/>
  <c r="AA112" i="11"/>
  <c r="W164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U138" i="11"/>
  <c r="AU151" i="11"/>
  <c r="AU190" i="11"/>
  <c r="AU164" i="11"/>
  <c r="AQ34" i="11"/>
  <c r="AQ47" i="11"/>
  <c r="AQ151" i="11"/>
  <c r="AQ190" i="11"/>
  <c r="AQ203" i="11"/>
  <c r="AM8" i="11"/>
  <c r="AM86" i="11"/>
  <c r="AM164" i="11"/>
  <c r="AI34" i="11"/>
  <c r="AI47" i="11"/>
  <c r="AI138" i="11"/>
  <c r="AE8" i="11"/>
  <c r="AE60" i="11"/>
  <c r="AE86" i="11"/>
  <c r="AE177" i="11"/>
  <c r="AA21" i="11"/>
  <c r="AA73" i="11"/>
  <c r="AA138" i="11"/>
  <c r="AA177" i="11"/>
  <c r="W112" i="11"/>
  <c r="W190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06" i="11"/>
  <c r="C202" i="11"/>
  <c r="C211" i="11"/>
  <c r="C204" i="11"/>
  <c r="C203" i="11"/>
  <c r="C201" i="11"/>
  <c r="C197" i="11"/>
  <c r="C191" i="11"/>
  <c r="C188" i="11"/>
  <c r="C193" i="11"/>
  <c r="C175" i="11"/>
  <c r="C171" i="11"/>
  <c r="C190" i="11"/>
  <c r="C189" i="11"/>
  <c r="C184" i="11"/>
  <c r="C177" i="11"/>
  <c r="C154" i="11"/>
  <c r="C178" i="11"/>
  <c r="C176" i="11"/>
  <c r="C162" i="11"/>
  <c r="C158" i="11"/>
  <c r="C180" i="11"/>
  <c r="C163" i="11"/>
  <c r="C152" i="11"/>
  <c r="C165" i="11"/>
  <c r="C164" i="11"/>
  <c r="C151" i="11"/>
  <c r="C136" i="11"/>
  <c r="C141" i="11"/>
  <c r="C137" i="11"/>
  <c r="C167" i="11"/>
  <c r="C149" i="11"/>
  <c r="C145" i="11"/>
  <c r="C138" i="11"/>
  <c r="C132" i="11"/>
  <c r="C125" i="11"/>
  <c r="C110" i="11"/>
  <c r="C106" i="11"/>
  <c r="C99" i="11"/>
  <c r="C126" i="11"/>
  <c r="C115" i="11"/>
  <c r="C111" i="11"/>
  <c r="C100" i="11"/>
  <c r="C150" i="11"/>
  <c r="C139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X82" i="6"/>
  <c r="K79" i="6"/>
  <c r="AF88" i="6"/>
  <c r="AQ79" i="6"/>
  <c r="AG85" i="6"/>
  <c r="F82" i="6"/>
  <c r="AM79" i="6"/>
  <c r="Q85" i="6"/>
  <c r="T88" i="6"/>
  <c r="AD82" i="6"/>
  <c r="AH82" i="6"/>
  <c r="R82" i="6"/>
  <c r="I85" i="6"/>
  <c r="AB88" i="6"/>
  <c r="C79" i="6"/>
  <c r="AK85" i="6"/>
  <c r="E85" i="6"/>
  <c r="AW85" i="6"/>
  <c r="AP82" i="6"/>
  <c r="J82" i="6"/>
  <c r="AT82" i="6"/>
  <c r="AE79" i="6"/>
  <c r="P88" i="6"/>
  <c r="X88" i="6"/>
  <c r="AS85" i="6"/>
  <c r="Y85" i="6"/>
  <c r="AZ88" i="6"/>
  <c r="V82" i="6"/>
  <c r="L88" i="6"/>
  <c r="N82" i="6"/>
  <c r="AJ88" i="6"/>
  <c r="AL82" i="6"/>
  <c r="Z82" i="6"/>
  <c r="AN88" i="6"/>
  <c r="O79" i="6"/>
  <c r="AC85" i="6"/>
  <c r="AY79" i="6"/>
  <c r="AI79" i="6"/>
  <c r="AH85" i="3" l="1"/>
  <c r="AV85" i="3"/>
  <c r="AW86" i="4"/>
  <c r="W86" i="4"/>
  <c r="N86" i="4"/>
  <c r="B39" i="17"/>
  <c r="B40" i="17" s="1"/>
  <c r="U85" i="6"/>
  <c r="H88" i="6"/>
  <c r="W79" i="6"/>
  <c r="M85" i="6"/>
  <c r="AR88" i="6"/>
  <c r="S79" i="6"/>
  <c r="AU79" i="6"/>
  <c r="AO85" i="6"/>
  <c r="AV88" i="6"/>
  <c r="G79" i="6"/>
  <c r="AA79" i="6"/>
  <c r="AB86" i="4" l="1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AB76" i="6"/>
  <c r="AZ76" i="6"/>
  <c r="C67" i="6"/>
  <c r="AN76" i="6"/>
  <c r="R50" i="1" l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98" i="11"/>
  <c r="AJ120" i="11"/>
  <c r="AJ29" i="11"/>
  <c r="AJ16" i="11"/>
  <c r="AJ3" i="11"/>
  <c r="AN198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198" i="11"/>
  <c r="U94" i="11"/>
  <c r="U107" i="11"/>
  <c r="U68" i="11"/>
  <c r="U42" i="11"/>
  <c r="Y120" i="11"/>
  <c r="Y81" i="11"/>
  <c r="Y55" i="11"/>
  <c r="Y3" i="11"/>
  <c r="AC198" i="11"/>
  <c r="AC172" i="11"/>
  <c r="AC107" i="11"/>
  <c r="AC68" i="11"/>
  <c r="AC42" i="11"/>
  <c r="AG146" i="11"/>
  <c r="AG120" i="11"/>
  <c r="AG81" i="11"/>
  <c r="AG55" i="11"/>
  <c r="AG3" i="11"/>
  <c r="AK198" i="11"/>
  <c r="AK172" i="11"/>
  <c r="AK120" i="11"/>
  <c r="AK107" i="11"/>
  <c r="AK42" i="11"/>
  <c r="AO81" i="11"/>
  <c r="AO55" i="11"/>
  <c r="AO3" i="11"/>
  <c r="AS159" i="11"/>
  <c r="O198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98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198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98" i="11"/>
  <c r="R133" i="11"/>
  <c r="R146" i="11"/>
  <c r="R81" i="11"/>
  <c r="R42" i="11"/>
  <c r="V146" i="11"/>
  <c r="V94" i="11"/>
  <c r="V55" i="11"/>
  <c r="V3" i="11"/>
  <c r="Z198" i="11"/>
  <c r="Z185" i="11"/>
  <c r="Z133" i="11"/>
  <c r="Z120" i="11"/>
  <c r="Z42" i="11"/>
  <c r="E198" i="11"/>
  <c r="E185" i="11"/>
  <c r="E120" i="11"/>
  <c r="E81" i="11"/>
  <c r="E16" i="11"/>
  <c r="I146" i="11"/>
  <c r="I120" i="11"/>
  <c r="I107" i="11"/>
  <c r="I81" i="11"/>
  <c r="I29" i="11"/>
  <c r="I3" i="11"/>
  <c r="N198" i="11"/>
  <c r="N94" i="11"/>
  <c r="N68" i="11"/>
  <c r="N16" i="11"/>
  <c r="N55" i="11"/>
  <c r="S159" i="11"/>
  <c r="S146" i="11"/>
  <c r="S68" i="11"/>
  <c r="F198" i="11"/>
  <c r="F185" i="11"/>
  <c r="F81" i="11"/>
  <c r="F16" i="11"/>
  <c r="F55" i="11"/>
  <c r="X198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98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98" i="11"/>
  <c r="AL107" i="11"/>
  <c r="AL16" i="11"/>
  <c r="AP159" i="11"/>
  <c r="AP81" i="11"/>
  <c r="AP29" i="11"/>
  <c r="AT198" i="11"/>
  <c r="AT120" i="11"/>
  <c r="AT42" i="11"/>
  <c r="J107" i="11"/>
  <c r="J146" i="11"/>
  <c r="J16" i="11"/>
  <c r="J55" i="11"/>
  <c r="T198" i="11"/>
  <c r="T120" i="11"/>
  <c r="T68" i="11"/>
  <c r="T55" i="11"/>
  <c r="T42" i="11"/>
  <c r="AB107" i="11"/>
  <c r="AB68" i="11"/>
  <c r="AB55" i="11"/>
  <c r="AB42" i="11"/>
  <c r="AF198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98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98" i="11"/>
  <c r="S185" i="11"/>
  <c r="S172" i="11"/>
  <c r="S55" i="11"/>
  <c r="S42" i="11"/>
  <c r="S3" i="11"/>
  <c r="W133" i="11"/>
  <c r="W94" i="11"/>
  <c r="W81" i="11"/>
  <c r="AA198" i="11"/>
  <c r="AA185" i="11"/>
  <c r="AA172" i="11"/>
  <c r="AA133" i="11"/>
  <c r="AA55" i="11"/>
  <c r="AA42" i="11"/>
  <c r="AA3" i="11"/>
  <c r="AE94" i="11"/>
  <c r="AE81" i="11"/>
  <c r="AI198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98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98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98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98" i="11"/>
  <c r="AH185" i="11"/>
  <c r="AH146" i="11"/>
  <c r="AH81" i="11"/>
  <c r="AH94" i="11"/>
  <c r="AH42" i="11"/>
  <c r="AL120" i="11"/>
  <c r="AL81" i="11"/>
  <c r="AL68" i="11"/>
  <c r="AL55" i="11"/>
  <c r="AL3" i="11"/>
  <c r="AP198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98" i="11"/>
  <c r="AB146" i="11"/>
  <c r="AB120" i="11"/>
  <c r="AB133" i="11"/>
  <c r="AB29" i="11"/>
  <c r="AB16" i="11"/>
  <c r="AB3" i="11"/>
  <c r="AF146" i="11"/>
  <c r="AF107" i="11"/>
  <c r="AR198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98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P198" i="11"/>
  <c r="U172" i="11"/>
  <c r="U133" i="11"/>
  <c r="U120" i="11"/>
  <c r="U29" i="11"/>
  <c r="Y198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98" i="11"/>
  <c r="AO185" i="11"/>
  <c r="AO159" i="11"/>
  <c r="AO16" i="11"/>
  <c r="AS198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98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98" i="11"/>
  <c r="D120" i="11"/>
  <c r="D107" i="11"/>
  <c r="D81" i="11"/>
  <c r="D55" i="11"/>
  <c r="D42" i="11"/>
  <c r="H198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98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98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98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98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198" i="11"/>
  <c r="AE68" i="11"/>
  <c r="AI133" i="11"/>
  <c r="AI55" i="11"/>
  <c r="AI42" i="11"/>
  <c r="AI3" i="11"/>
  <c r="AM94" i="11"/>
  <c r="AM81" i="11"/>
  <c r="AQ198" i="11"/>
  <c r="AQ172" i="11"/>
  <c r="AQ55" i="11"/>
  <c r="AQ42" i="11"/>
  <c r="AQ3" i="11"/>
  <c r="AU198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198" i="11"/>
  <c r="C55" i="11"/>
  <c r="C42" i="11"/>
  <c r="C107" i="11"/>
  <c r="C120" i="11"/>
  <c r="C29" i="11"/>
  <c r="C16" i="11"/>
  <c r="C3" i="11"/>
  <c r="C87" i="3"/>
  <c r="A87" i="3" s="1"/>
  <c r="AI67" i="6"/>
  <c r="H76" i="6"/>
  <c r="AF76" i="6"/>
  <c r="K55" i="6"/>
  <c r="R58" i="6"/>
  <c r="S67" i="6"/>
  <c r="AE67" i="6"/>
  <c r="X76" i="6"/>
  <c r="V58" i="6"/>
  <c r="AQ55" i="6"/>
  <c r="AQ67" i="6"/>
  <c r="F70" i="6"/>
  <c r="AV76" i="6"/>
  <c r="J58" i="6"/>
  <c r="AC61" i="6"/>
  <c r="AT70" i="6"/>
  <c r="AA67" i="6"/>
  <c r="AR76" i="6"/>
  <c r="W55" i="6"/>
  <c r="AW61" i="6"/>
  <c r="AU67" i="6"/>
  <c r="V70" i="6"/>
  <c r="AX58" i="6"/>
  <c r="R70" i="6"/>
  <c r="AU55" i="6"/>
  <c r="AO61" i="6"/>
  <c r="AW73" i="6"/>
  <c r="AA55" i="6"/>
  <c r="T64" i="6"/>
  <c r="K67" i="6"/>
  <c r="N58" i="6"/>
  <c r="AK73" i="6"/>
  <c r="E61" i="6"/>
  <c r="U73" i="6"/>
  <c r="M73" i="6"/>
  <c r="F58" i="6"/>
  <c r="AG73" i="6"/>
  <c r="AJ64" i="6"/>
  <c r="E73" i="6"/>
  <c r="I73" i="6"/>
  <c r="Y61" i="6"/>
  <c r="AJ76" i="6"/>
  <c r="AP70" i="6"/>
  <c r="AV64" i="6"/>
  <c r="AH58" i="6"/>
  <c r="AM55" i="6"/>
  <c r="AL70" i="6"/>
  <c r="AM67" i="6"/>
  <c r="G67" i="6"/>
  <c r="M61" i="6"/>
  <c r="AY55" i="6"/>
  <c r="Y73" i="6"/>
  <c r="J70" i="6"/>
  <c r="AX70" i="6"/>
  <c r="H64" i="6"/>
  <c r="Z58" i="6"/>
  <c r="Z70" i="6"/>
  <c r="N70" i="6"/>
  <c r="P76" i="6"/>
  <c r="S55" i="6"/>
  <c r="P64" i="6"/>
  <c r="T76" i="6"/>
  <c r="AR64" i="6"/>
  <c r="W67" i="6"/>
  <c r="L76" i="6"/>
  <c r="AL58" i="6"/>
  <c r="AH70" i="6"/>
  <c r="AK61" i="6"/>
  <c r="AC73" i="6"/>
  <c r="AF64" i="6"/>
  <c r="AE55" i="6"/>
  <c r="AY67" i="6"/>
  <c r="Q73" i="6"/>
  <c r="AT58" i="6"/>
  <c r="O67" i="6"/>
  <c r="G55" i="6"/>
  <c r="AS73" i="6"/>
  <c r="AO73" i="6"/>
  <c r="I61" i="6"/>
  <c r="AD70" i="6"/>
  <c r="L64" i="6"/>
  <c r="C55" i="6"/>
  <c r="R53" i="1" l="1"/>
  <c r="F192" i="11"/>
  <c r="F114" i="11"/>
  <c r="F75" i="11"/>
  <c r="F36" i="11"/>
  <c r="X88" i="11"/>
  <c r="X75" i="11"/>
  <c r="X36" i="11"/>
  <c r="X23" i="11"/>
  <c r="AJ205" i="11"/>
  <c r="AJ140" i="11"/>
  <c r="AJ62" i="11"/>
  <c r="AN88" i="11"/>
  <c r="AN75" i="11"/>
  <c r="AN36" i="11"/>
  <c r="AN23" i="11"/>
  <c r="G179" i="11"/>
  <c r="G75" i="11"/>
  <c r="K205" i="11"/>
  <c r="K127" i="11"/>
  <c r="K88" i="11"/>
  <c r="K36" i="11"/>
  <c r="K23" i="11"/>
  <c r="L192" i="11"/>
  <c r="L179" i="11"/>
  <c r="L62" i="11"/>
  <c r="L49" i="11"/>
  <c r="P192" i="11"/>
  <c r="P166" i="11"/>
  <c r="P153" i="11"/>
  <c r="P75" i="11"/>
  <c r="P10" i="11"/>
  <c r="U166" i="11"/>
  <c r="U153" i="11"/>
  <c r="U62" i="11"/>
  <c r="Y166" i="11"/>
  <c r="Y179" i="11"/>
  <c r="Y88" i="11"/>
  <c r="Y49" i="11"/>
  <c r="Y10" i="11"/>
  <c r="AC153" i="11"/>
  <c r="AC140" i="11"/>
  <c r="AC127" i="11"/>
  <c r="AC62" i="11"/>
  <c r="AG205" i="11"/>
  <c r="AG179" i="11"/>
  <c r="AG49" i="11"/>
  <c r="AG10" i="11"/>
  <c r="AK166" i="11"/>
  <c r="AK153" i="11"/>
  <c r="AK88" i="11"/>
  <c r="AK62" i="11"/>
  <c r="AO179" i="11"/>
  <c r="AO101" i="11"/>
  <c r="AO88" i="11"/>
  <c r="AO49" i="11"/>
  <c r="AO10" i="11"/>
  <c r="AS166" i="11"/>
  <c r="AS153" i="11"/>
  <c r="AS140" i="11"/>
  <c r="AS127" i="11"/>
  <c r="AS114" i="11"/>
  <c r="AS62" i="11"/>
  <c r="AS23" i="11"/>
  <c r="O192" i="11"/>
  <c r="O166" i="11"/>
  <c r="O140" i="11"/>
  <c r="O153" i="11"/>
  <c r="O114" i="11"/>
  <c r="O10" i="11"/>
  <c r="AV192" i="11"/>
  <c r="AV179" i="11"/>
  <c r="AV153" i="11"/>
  <c r="AV75" i="11"/>
  <c r="AV62" i="11"/>
  <c r="AV36" i="11"/>
  <c r="AV49" i="11"/>
  <c r="Q140" i="11"/>
  <c r="Q101" i="11"/>
  <c r="Q36" i="11"/>
  <c r="AD140" i="11"/>
  <c r="AD88" i="11"/>
  <c r="AD62" i="11"/>
  <c r="AH192" i="11"/>
  <c r="AH101" i="11"/>
  <c r="AH88" i="11"/>
  <c r="AH75" i="11"/>
  <c r="AH62" i="11"/>
  <c r="AH49" i="11"/>
  <c r="AH10" i="11"/>
  <c r="AL192" i="11"/>
  <c r="AL88" i="11"/>
  <c r="AL62" i="11"/>
  <c r="AP127" i="11"/>
  <c r="AP62" i="11"/>
  <c r="AP49" i="11"/>
  <c r="AP10" i="11"/>
  <c r="AT192" i="11"/>
  <c r="AT140" i="11"/>
  <c r="AT127" i="11"/>
  <c r="AT23" i="11"/>
  <c r="J153" i="11"/>
  <c r="J88" i="11"/>
  <c r="J36" i="11"/>
  <c r="T179" i="11"/>
  <c r="T101" i="11"/>
  <c r="T36" i="11"/>
  <c r="T23" i="11"/>
  <c r="AB192" i="11"/>
  <c r="AB127" i="11"/>
  <c r="AB140" i="11"/>
  <c r="AB114" i="11"/>
  <c r="AB75" i="11"/>
  <c r="AB36" i="11"/>
  <c r="AB23" i="11"/>
  <c r="AF205" i="11"/>
  <c r="AR192" i="11"/>
  <c r="AR114" i="11"/>
  <c r="AR75" i="11"/>
  <c r="AR62" i="11"/>
  <c r="AR36" i="11"/>
  <c r="AR23" i="11"/>
  <c r="D153" i="11"/>
  <c r="D166" i="11"/>
  <c r="D75" i="11"/>
  <c r="H192" i="11"/>
  <c r="H88" i="11"/>
  <c r="H75" i="11"/>
  <c r="H10" i="11"/>
  <c r="H23" i="11"/>
  <c r="M205" i="11"/>
  <c r="M75" i="11"/>
  <c r="M23" i="11"/>
  <c r="R192" i="11"/>
  <c r="R153" i="11"/>
  <c r="R75" i="11"/>
  <c r="V192" i="11"/>
  <c r="V179" i="11"/>
  <c r="V153" i="11"/>
  <c r="V166" i="11"/>
  <c r="V140" i="11"/>
  <c r="V101" i="11"/>
  <c r="V75" i="11"/>
  <c r="V49" i="11"/>
  <c r="V10" i="11"/>
  <c r="Z192" i="11"/>
  <c r="Z88" i="11"/>
  <c r="E179" i="11"/>
  <c r="E36" i="11"/>
  <c r="I166" i="11"/>
  <c r="I179" i="11"/>
  <c r="I75" i="11"/>
  <c r="I49" i="11"/>
  <c r="I10" i="11"/>
  <c r="N205" i="11"/>
  <c r="N140" i="11"/>
  <c r="N101" i="11"/>
  <c r="N75" i="11"/>
  <c r="N62" i="11"/>
  <c r="N10" i="11"/>
  <c r="S205" i="11"/>
  <c r="S127" i="11"/>
  <c r="S75" i="11"/>
  <c r="S36" i="11"/>
  <c r="F205" i="11"/>
  <c r="F101" i="11"/>
  <c r="F62" i="11"/>
  <c r="F10" i="11"/>
  <c r="X153" i="11"/>
  <c r="X179" i="11"/>
  <c r="X127" i="11"/>
  <c r="X10" i="11"/>
  <c r="AJ153" i="11"/>
  <c r="AJ166" i="11"/>
  <c r="AJ49" i="11"/>
  <c r="AN192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205" i="11"/>
  <c r="P179" i="11"/>
  <c r="P114" i="11"/>
  <c r="U179" i="11"/>
  <c r="U140" i="11"/>
  <c r="U127" i="11"/>
  <c r="U75" i="11"/>
  <c r="U88" i="11"/>
  <c r="U36" i="11"/>
  <c r="Y205" i="11"/>
  <c r="Y192" i="11"/>
  <c r="Y75" i="11"/>
  <c r="Y23" i="11"/>
  <c r="AC166" i="11"/>
  <c r="AC101" i="11"/>
  <c r="AC36" i="11"/>
  <c r="AG192" i="11"/>
  <c r="AG166" i="11"/>
  <c r="AG88" i="11"/>
  <c r="AG23" i="11"/>
  <c r="AK205" i="11"/>
  <c r="AK140" i="11"/>
  <c r="AK36" i="11"/>
  <c r="AO205" i="11"/>
  <c r="AO192" i="11"/>
  <c r="AO166" i="11"/>
  <c r="AO75" i="11"/>
  <c r="AO23" i="11"/>
  <c r="AS179" i="11"/>
  <c r="AS101" i="11"/>
  <c r="AS75" i="11"/>
  <c r="AS36" i="11"/>
  <c r="O127" i="11"/>
  <c r="O75" i="11"/>
  <c r="O62" i="11"/>
  <c r="AV127" i="11"/>
  <c r="AV10" i="11"/>
  <c r="AV23" i="11"/>
  <c r="Q205" i="11"/>
  <c r="Q166" i="11"/>
  <c r="Q179" i="11"/>
  <c r="Q88" i="11"/>
  <c r="Q75" i="11"/>
  <c r="Q49" i="11"/>
  <c r="AD205" i="11"/>
  <c r="AD114" i="11"/>
  <c r="AD101" i="11"/>
  <c r="AD36" i="11"/>
  <c r="AH166" i="11"/>
  <c r="AH179" i="11"/>
  <c r="AH140" i="11"/>
  <c r="AH23" i="11"/>
  <c r="AL205" i="11"/>
  <c r="AL127" i="11"/>
  <c r="AL36" i="11"/>
  <c r="AP192" i="11"/>
  <c r="AP166" i="11"/>
  <c r="AP179" i="11"/>
  <c r="AP23" i="11"/>
  <c r="AT205" i="11"/>
  <c r="AT153" i="11"/>
  <c r="AT166" i="11"/>
  <c r="AT114" i="11"/>
  <c r="AT88" i="11"/>
  <c r="AT62" i="11"/>
  <c r="AT36" i="11"/>
  <c r="J205" i="11"/>
  <c r="J192" i="11"/>
  <c r="J140" i="11"/>
  <c r="J127" i="11"/>
  <c r="J75" i="11"/>
  <c r="J10" i="11"/>
  <c r="T140" i="11"/>
  <c r="T10" i="11"/>
  <c r="AB153" i="11"/>
  <c r="AB166" i="11"/>
  <c r="AB101" i="11"/>
  <c r="AB10" i="11"/>
  <c r="AF127" i="11"/>
  <c r="AF114" i="11"/>
  <c r="AF62" i="11"/>
  <c r="AF49" i="11"/>
  <c r="AR153" i="11"/>
  <c r="AR127" i="11"/>
  <c r="AR10" i="11"/>
  <c r="D205" i="11"/>
  <c r="D192" i="11"/>
  <c r="D127" i="11"/>
  <c r="D88" i="11"/>
  <c r="D49" i="11"/>
  <c r="H153" i="11"/>
  <c r="H127" i="11"/>
  <c r="H114" i="11"/>
  <c r="M166" i="11"/>
  <c r="M153" i="11"/>
  <c r="M140" i="11"/>
  <c r="M127" i="11"/>
  <c r="M114" i="11"/>
  <c r="M62" i="11"/>
  <c r="R205" i="11"/>
  <c r="R114" i="11"/>
  <c r="R101" i="11"/>
  <c r="R36" i="11"/>
  <c r="V114" i="11"/>
  <c r="V88" i="11"/>
  <c r="V23" i="11"/>
  <c r="Z205" i="11"/>
  <c r="Z153" i="11"/>
  <c r="Z114" i="11"/>
  <c r="Z127" i="11"/>
  <c r="Z75" i="11"/>
  <c r="Z36" i="11"/>
  <c r="E140" i="11"/>
  <c r="E114" i="11"/>
  <c r="E75" i="11"/>
  <c r="E49" i="11"/>
  <c r="I205" i="11"/>
  <c r="I192" i="11"/>
  <c r="I23" i="11"/>
  <c r="N179" i="11"/>
  <c r="N153" i="11"/>
  <c r="N166" i="11"/>
  <c r="N114" i="11"/>
  <c r="N49" i="11"/>
  <c r="S140" i="11"/>
  <c r="S114" i="11"/>
  <c r="S101" i="11"/>
  <c r="S88" i="11"/>
  <c r="S10" i="11"/>
  <c r="W179" i="11"/>
  <c r="W114" i="11"/>
  <c r="W153" i="11"/>
  <c r="W75" i="11"/>
  <c r="W49" i="11"/>
  <c r="AA101" i="11"/>
  <c r="AA10" i="11"/>
  <c r="AE179" i="11"/>
  <c r="AE153" i="11"/>
  <c r="AE75" i="11"/>
  <c r="AE49" i="11"/>
  <c r="F179" i="11"/>
  <c r="F153" i="11"/>
  <c r="F166" i="11"/>
  <c r="F140" i="11"/>
  <c r="F49" i="11"/>
  <c r="X205" i="11"/>
  <c r="X192" i="11"/>
  <c r="X166" i="11"/>
  <c r="X101" i="11"/>
  <c r="X114" i="11"/>
  <c r="AJ192" i="11"/>
  <c r="AJ179" i="11"/>
  <c r="AJ127" i="11"/>
  <c r="AJ114" i="11"/>
  <c r="AJ88" i="11"/>
  <c r="AJ75" i="11"/>
  <c r="AJ36" i="11"/>
  <c r="AJ23" i="11"/>
  <c r="AN205" i="11"/>
  <c r="AN166" i="11"/>
  <c r="AN153" i="11"/>
  <c r="AN101" i="11"/>
  <c r="AN114" i="11"/>
  <c r="G205" i="11"/>
  <c r="G166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92" i="11"/>
  <c r="U205" i="11"/>
  <c r="U101" i="11"/>
  <c r="U114" i="11"/>
  <c r="U49" i="11"/>
  <c r="U10" i="11"/>
  <c r="Y153" i="11"/>
  <c r="Y127" i="11"/>
  <c r="Y62" i="11"/>
  <c r="AC192" i="11"/>
  <c r="AC179" i="11"/>
  <c r="AC114" i="11"/>
  <c r="AC75" i="11"/>
  <c r="AC88" i="11"/>
  <c r="AC49" i="11"/>
  <c r="AC10" i="11"/>
  <c r="AG153" i="11"/>
  <c r="AG127" i="11"/>
  <c r="AG75" i="11"/>
  <c r="AG62" i="11"/>
  <c r="AK192" i="11"/>
  <c r="AK179" i="11"/>
  <c r="AK127" i="11"/>
  <c r="AK114" i="11"/>
  <c r="AK49" i="11"/>
  <c r="AK10" i="11"/>
  <c r="AO153" i="11"/>
  <c r="AO62" i="11"/>
  <c r="AS192" i="11"/>
  <c r="AS88" i="11"/>
  <c r="AS10" i="11"/>
  <c r="O179" i="11"/>
  <c r="O101" i="11"/>
  <c r="O88" i="11"/>
  <c r="O49" i="11"/>
  <c r="AV101" i="11"/>
  <c r="AV88" i="11"/>
  <c r="AV114" i="11"/>
  <c r="Q192" i="11"/>
  <c r="Q23" i="11"/>
  <c r="AD179" i="11"/>
  <c r="AD153" i="11"/>
  <c r="AD166" i="11"/>
  <c r="AD75" i="11"/>
  <c r="AD49" i="11"/>
  <c r="AD10" i="11"/>
  <c r="AH127" i="11"/>
  <c r="AL179" i="11"/>
  <c r="AL153" i="11"/>
  <c r="AL166" i="11"/>
  <c r="AL140" i="11"/>
  <c r="AL75" i="11"/>
  <c r="AL49" i="11"/>
  <c r="AL10" i="11"/>
  <c r="AP153" i="11"/>
  <c r="AP140" i="11"/>
  <c r="AP114" i="11"/>
  <c r="AP101" i="11"/>
  <c r="AT179" i="11"/>
  <c r="AT101" i="11"/>
  <c r="AT10" i="11"/>
  <c r="J166" i="11"/>
  <c r="J62" i="11"/>
  <c r="J49" i="11"/>
  <c r="T205" i="11"/>
  <c r="T153" i="11"/>
  <c r="T88" i="11"/>
  <c r="T75" i="11"/>
  <c r="T62" i="11"/>
  <c r="AB205" i="11"/>
  <c r="AB88" i="11"/>
  <c r="AF101" i="11"/>
  <c r="AF88" i="11"/>
  <c r="AF36" i="11"/>
  <c r="AF23" i="11"/>
  <c r="AR205" i="11"/>
  <c r="AR101" i="11"/>
  <c r="D179" i="11"/>
  <c r="D101" i="11"/>
  <c r="D114" i="11"/>
  <c r="D36" i="11"/>
  <c r="D23" i="11"/>
  <c r="H166" i="11"/>
  <c r="H179" i="11"/>
  <c r="H101" i="11"/>
  <c r="H62" i="11"/>
  <c r="M179" i="11"/>
  <c r="M101" i="11"/>
  <c r="M36" i="11"/>
  <c r="R166" i="11"/>
  <c r="R140" i="11"/>
  <c r="R88" i="11"/>
  <c r="R62" i="11"/>
  <c r="R49" i="11"/>
  <c r="R10" i="11"/>
  <c r="V127" i="11"/>
  <c r="V62" i="11"/>
  <c r="Z140" i="11"/>
  <c r="Z62" i="11"/>
  <c r="Z49" i="11"/>
  <c r="Z10" i="11"/>
  <c r="E205" i="11"/>
  <c r="E127" i="11"/>
  <c r="E23" i="11"/>
  <c r="I153" i="11"/>
  <c r="I127" i="11"/>
  <c r="I114" i="11"/>
  <c r="I62" i="11"/>
  <c r="I36" i="11"/>
  <c r="N127" i="11"/>
  <c r="N23" i="11"/>
  <c r="S62" i="11"/>
  <c r="W205" i="11"/>
  <c r="F88" i="11"/>
  <c r="F127" i="11"/>
  <c r="F23" i="11"/>
  <c r="X140" i="11"/>
  <c r="X62" i="11"/>
  <c r="X49" i="11"/>
  <c r="AJ101" i="11"/>
  <c r="AJ10" i="11"/>
  <c r="AN179" i="11"/>
  <c r="AN140" i="11"/>
  <c r="AN62" i="11"/>
  <c r="AN49" i="11"/>
  <c r="G192" i="11"/>
  <c r="G140" i="11"/>
  <c r="G88" i="11"/>
  <c r="G10" i="11"/>
  <c r="K192" i="11"/>
  <c r="K179" i="11"/>
  <c r="K166" i="11"/>
  <c r="K49" i="11"/>
  <c r="L205" i="11"/>
  <c r="L166" i="11"/>
  <c r="L140" i="11"/>
  <c r="P101" i="11"/>
  <c r="P140" i="11"/>
  <c r="P36" i="11"/>
  <c r="P23" i="11"/>
  <c r="U23" i="11"/>
  <c r="Y140" i="11"/>
  <c r="Y101" i="11"/>
  <c r="Y114" i="11"/>
  <c r="Y36" i="11"/>
  <c r="AC205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205" i="11"/>
  <c r="AS49" i="11"/>
  <c r="O205" i="11"/>
  <c r="O36" i="11"/>
  <c r="O23" i="11"/>
  <c r="AV205" i="11"/>
  <c r="AV166" i="11"/>
  <c r="AV140" i="11"/>
  <c r="Q153" i="11"/>
  <c r="Q127" i="11"/>
  <c r="Q114" i="11"/>
  <c r="Q62" i="11"/>
  <c r="Q10" i="11"/>
  <c r="AD192" i="11"/>
  <c r="AD127" i="11"/>
  <c r="AD23" i="11"/>
  <c r="AH205" i="11"/>
  <c r="AH153" i="11"/>
  <c r="AH114" i="11"/>
  <c r="AH36" i="11"/>
  <c r="AL114" i="11"/>
  <c r="AL101" i="11"/>
  <c r="AL23" i="11"/>
  <c r="AP205" i="11"/>
  <c r="AP88" i="11"/>
  <c r="AP75" i="11"/>
  <c r="AP36" i="11"/>
  <c r="AT75" i="11"/>
  <c r="AT49" i="11"/>
  <c r="J179" i="11"/>
  <c r="J114" i="11"/>
  <c r="J101" i="11"/>
  <c r="J23" i="11"/>
  <c r="T192" i="11"/>
  <c r="T127" i="11"/>
  <c r="T114" i="11"/>
  <c r="T166" i="11"/>
  <c r="T49" i="11"/>
  <c r="AB179" i="11"/>
  <c r="AB62" i="11"/>
  <c r="AB49" i="11"/>
  <c r="AF192" i="11"/>
  <c r="AF166" i="11"/>
  <c r="AF153" i="11"/>
  <c r="AF179" i="11"/>
  <c r="AF140" i="11"/>
  <c r="AF75" i="11"/>
  <c r="AF10" i="11"/>
  <c r="AR179" i="11"/>
  <c r="AR166" i="11"/>
  <c r="AR140" i="11"/>
  <c r="AR88" i="11"/>
  <c r="AR49" i="11"/>
  <c r="D140" i="11"/>
  <c r="D62" i="11"/>
  <c r="D10" i="11"/>
  <c r="H205" i="11"/>
  <c r="H140" i="11"/>
  <c r="H36" i="11"/>
  <c r="H49" i="11"/>
  <c r="M192" i="11"/>
  <c r="M88" i="11"/>
  <c r="M49" i="11"/>
  <c r="M10" i="11"/>
  <c r="R179" i="11"/>
  <c r="R127" i="11"/>
  <c r="R23" i="11"/>
  <c r="V205" i="11"/>
  <c r="V36" i="11"/>
  <c r="Z166" i="11"/>
  <c r="Z179" i="11"/>
  <c r="Z101" i="11"/>
  <c r="Z23" i="11"/>
  <c r="E192" i="11"/>
  <c r="E166" i="11"/>
  <c r="E153" i="11"/>
  <c r="E101" i="11"/>
  <c r="E88" i="11"/>
  <c r="E62" i="11"/>
  <c r="E10" i="11"/>
  <c r="I140" i="11"/>
  <c r="I101" i="11"/>
  <c r="I88" i="11"/>
  <c r="N192" i="11"/>
  <c r="N88" i="11"/>
  <c r="N36" i="11"/>
  <c r="S192" i="11"/>
  <c r="S179" i="11"/>
  <c r="S166" i="11"/>
  <c r="S153" i="11"/>
  <c r="S49" i="11"/>
  <c r="W192" i="11"/>
  <c r="W166" i="11"/>
  <c r="W140" i="11"/>
  <c r="W101" i="11"/>
  <c r="W88" i="11"/>
  <c r="W10" i="11"/>
  <c r="AA192" i="11"/>
  <c r="AA179" i="11"/>
  <c r="AA166" i="11"/>
  <c r="AA140" i="11"/>
  <c r="AA62" i="11"/>
  <c r="W127" i="11"/>
  <c r="AA205" i="11"/>
  <c r="AA153" i="11"/>
  <c r="AA36" i="11"/>
  <c r="AE62" i="11"/>
  <c r="AI192" i="11"/>
  <c r="AI140" i="11"/>
  <c r="AI49" i="11"/>
  <c r="AM192" i="11"/>
  <c r="AM166" i="11"/>
  <c r="AM153" i="11"/>
  <c r="AM101" i="11"/>
  <c r="AM88" i="11"/>
  <c r="AM10" i="11"/>
  <c r="AQ179" i="11"/>
  <c r="AQ166" i="11"/>
  <c r="AQ62" i="11"/>
  <c r="AQ49" i="11"/>
  <c r="AU179" i="11"/>
  <c r="AU153" i="11"/>
  <c r="AU75" i="11"/>
  <c r="AU36" i="11"/>
  <c r="AU49" i="11"/>
  <c r="AU10" i="11"/>
  <c r="AA127" i="11"/>
  <c r="AA75" i="11"/>
  <c r="AE166" i="11"/>
  <c r="AE127" i="11"/>
  <c r="AE88" i="11"/>
  <c r="AE36" i="11"/>
  <c r="AI205" i="11"/>
  <c r="AI36" i="11"/>
  <c r="AI23" i="11"/>
  <c r="AM140" i="11"/>
  <c r="AQ205" i="11"/>
  <c r="AQ192" i="11"/>
  <c r="AQ140" i="11"/>
  <c r="AQ36" i="11"/>
  <c r="AQ23" i="11"/>
  <c r="AU205" i="11"/>
  <c r="AU140" i="11"/>
  <c r="AU127" i="11"/>
  <c r="AU23" i="11"/>
  <c r="AA49" i="11"/>
  <c r="AA23" i="11"/>
  <c r="AE205" i="11"/>
  <c r="AE140" i="11"/>
  <c r="AE101" i="11"/>
  <c r="AE10" i="11"/>
  <c r="AI179" i="11"/>
  <c r="AI127" i="11"/>
  <c r="AI10" i="11"/>
  <c r="AM179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92" i="11"/>
  <c r="AE114" i="11"/>
  <c r="AE23" i="11"/>
  <c r="AI166" i="11"/>
  <c r="AI153" i="11"/>
  <c r="AI114" i="11"/>
  <c r="AI101" i="11"/>
  <c r="AI88" i="11"/>
  <c r="AI75" i="11"/>
  <c r="AI62" i="11"/>
  <c r="AM205" i="11"/>
  <c r="AM114" i="11"/>
  <c r="AM127" i="11"/>
  <c r="AM62" i="11"/>
  <c r="AM36" i="11"/>
  <c r="AM23" i="11"/>
  <c r="AQ153" i="11"/>
  <c r="AQ101" i="11"/>
  <c r="AQ75" i="11"/>
  <c r="AU192" i="11"/>
  <c r="AU166" i="11"/>
  <c r="C192" i="11"/>
  <c r="C166" i="11"/>
  <c r="C153" i="11"/>
  <c r="C49" i="11"/>
  <c r="C36" i="11"/>
  <c r="C205" i="11"/>
  <c r="C114" i="11"/>
  <c r="C127" i="11"/>
  <c r="C140" i="11"/>
  <c r="C101" i="11"/>
  <c r="C88" i="11"/>
  <c r="C62" i="11"/>
  <c r="C10" i="11"/>
  <c r="C23" i="11"/>
  <c r="C179" i="11"/>
  <c r="C75" i="11"/>
  <c r="Q61" i="6"/>
  <c r="AB64" i="6"/>
  <c r="AD58" i="6"/>
  <c r="O55" i="6"/>
  <c r="AG61" i="6"/>
  <c r="AN64" i="6"/>
  <c r="U61" i="6"/>
  <c r="AZ64" i="6"/>
  <c r="AI55" i="6"/>
  <c r="AS61" i="6"/>
  <c r="AP58" i="6"/>
  <c r="X64" i="6"/>
  <c r="V36" i="8" l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T53" i="1" s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V38" i="8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P53" i="1" l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Q207" i="11"/>
  <c r="AA207" i="11"/>
  <c r="K207" i="11"/>
  <c r="AP207" i="11"/>
  <c r="Z207" i="11"/>
  <c r="J207" i="11"/>
  <c r="AK207" i="11"/>
  <c r="U207" i="11"/>
  <c r="E207" i="11"/>
  <c r="AT194" i="11"/>
  <c r="AD194" i="11"/>
  <c r="N194" i="11"/>
  <c r="AB207" i="11"/>
  <c r="AK194" i="11"/>
  <c r="U194" i="11"/>
  <c r="E194" i="11"/>
  <c r="AV194" i="11"/>
  <c r="AF194" i="11"/>
  <c r="P194" i="11"/>
  <c r="AJ207" i="11"/>
  <c r="AQ194" i="11"/>
  <c r="AA194" i="11"/>
  <c r="K194" i="11"/>
  <c r="AP181" i="11"/>
  <c r="Z181" i="11"/>
  <c r="J181" i="11"/>
  <c r="AK181" i="11"/>
  <c r="U181" i="11"/>
  <c r="E181" i="11"/>
  <c r="AG168" i="11"/>
  <c r="AN181" i="11"/>
  <c r="X181" i="11"/>
  <c r="H181" i="11"/>
  <c r="AN168" i="11"/>
  <c r="X168" i="11"/>
  <c r="AI181" i="11"/>
  <c r="S181" i="11"/>
  <c r="C181" i="11"/>
  <c r="V168" i="11"/>
  <c r="F168" i="11"/>
  <c r="AH155" i="11"/>
  <c r="R155" i="11"/>
  <c r="AT142" i="11"/>
  <c r="AD142" i="11"/>
  <c r="N142" i="11"/>
  <c r="AH168" i="11"/>
  <c r="M168" i="11"/>
  <c r="AO155" i="11"/>
  <c r="Y155" i="11"/>
  <c r="I155" i="11"/>
  <c r="AK142" i="11"/>
  <c r="U142" i="11"/>
  <c r="E142" i="11"/>
  <c r="Y168" i="11"/>
  <c r="H168" i="11"/>
  <c r="AN155" i="11"/>
  <c r="X155" i="11"/>
  <c r="H155" i="11"/>
  <c r="AN142" i="11"/>
  <c r="X142" i="11"/>
  <c r="H142" i="11"/>
  <c r="AD168" i="11"/>
  <c r="K168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M207" i="11"/>
  <c r="W207" i="11"/>
  <c r="G207" i="11"/>
  <c r="AL207" i="11"/>
  <c r="V207" i="11"/>
  <c r="F207" i="11"/>
  <c r="AG207" i="11"/>
  <c r="Q207" i="11"/>
  <c r="AV207" i="11"/>
  <c r="AP194" i="11"/>
  <c r="Z194" i="11"/>
  <c r="J194" i="11"/>
  <c r="L207" i="11"/>
  <c r="AG194" i="11"/>
  <c r="Q194" i="11"/>
  <c r="AN207" i="11"/>
  <c r="AR194" i="11"/>
  <c r="AB194" i="11"/>
  <c r="L194" i="11"/>
  <c r="T207" i="11"/>
  <c r="AM194" i="11"/>
  <c r="W194" i="11"/>
  <c r="G194" i="11"/>
  <c r="AL181" i="11"/>
  <c r="V181" i="11"/>
  <c r="F181" i="11"/>
  <c r="AG181" i="11"/>
  <c r="Q181" i="11"/>
  <c r="AS168" i="11"/>
  <c r="AC168" i="11"/>
  <c r="AJ181" i="11"/>
  <c r="T181" i="11"/>
  <c r="D181" i="11"/>
  <c r="AJ168" i="11"/>
  <c r="AU181" i="11"/>
  <c r="AE181" i="11"/>
  <c r="O181" i="11"/>
  <c r="AQ168" i="11"/>
  <c r="R168" i="11"/>
  <c r="AT155" i="11"/>
  <c r="AD155" i="11"/>
  <c r="N155" i="11"/>
  <c r="AP142" i="11"/>
  <c r="Z142" i="11"/>
  <c r="J142" i="11"/>
  <c r="Z168" i="11"/>
  <c r="I168" i="11"/>
  <c r="AK155" i="11"/>
  <c r="U155" i="11"/>
  <c r="E155" i="11"/>
  <c r="AG142" i="11"/>
  <c r="Q142" i="11"/>
  <c r="AU168" i="11"/>
  <c r="T168" i="11"/>
  <c r="D168" i="11"/>
  <c r="AJ155" i="11"/>
  <c r="T155" i="11"/>
  <c r="D155" i="11"/>
  <c r="AJ142" i="11"/>
  <c r="T142" i="11"/>
  <c r="D142" i="11"/>
  <c r="W168" i="11"/>
  <c r="G168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I207" i="11"/>
  <c r="S207" i="11"/>
  <c r="C207" i="11"/>
  <c r="AH207" i="11"/>
  <c r="R207" i="11"/>
  <c r="AS207" i="11"/>
  <c r="AC207" i="11"/>
  <c r="M207" i="11"/>
  <c r="AF207" i="11"/>
  <c r="AL194" i="11"/>
  <c r="V194" i="11"/>
  <c r="F194" i="11"/>
  <c r="AS194" i="11"/>
  <c r="AC194" i="11"/>
  <c r="M194" i="11"/>
  <c r="X207" i="11"/>
  <c r="AN194" i="11"/>
  <c r="X194" i="11"/>
  <c r="H194" i="11"/>
  <c r="D207" i="11"/>
  <c r="AI194" i="11"/>
  <c r="S194" i="11"/>
  <c r="C194" i="11"/>
  <c r="AH181" i="11"/>
  <c r="R181" i="11"/>
  <c r="AS181" i="11"/>
  <c r="AC181" i="11"/>
  <c r="M181" i="11"/>
  <c r="AO168" i="11"/>
  <c r="AV181" i="11"/>
  <c r="AF181" i="11"/>
  <c r="P181" i="11"/>
  <c r="AV168" i="11"/>
  <c r="AF168" i="11"/>
  <c r="AQ181" i="11"/>
  <c r="AA181" i="11"/>
  <c r="K181" i="11"/>
  <c r="AI168" i="11"/>
  <c r="N168" i="11"/>
  <c r="AP155" i="11"/>
  <c r="Z155" i="11"/>
  <c r="J155" i="11"/>
  <c r="AL142" i="11"/>
  <c r="V142" i="11"/>
  <c r="F142" i="11"/>
  <c r="U168" i="11"/>
  <c r="E168" i="11"/>
  <c r="AG155" i="11"/>
  <c r="Q155" i="11"/>
  <c r="AS142" i="11"/>
  <c r="AC142" i="11"/>
  <c r="M142" i="11"/>
  <c r="AM168" i="11"/>
  <c r="P168" i="11"/>
  <c r="AV155" i="11"/>
  <c r="AF155" i="11"/>
  <c r="P155" i="11"/>
  <c r="AV142" i="11"/>
  <c r="AF142" i="11"/>
  <c r="P142" i="11"/>
  <c r="AT168" i="11"/>
  <c r="S168" i="11"/>
  <c r="C168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U207" i="11"/>
  <c r="AE207" i="11"/>
  <c r="O207" i="11"/>
  <c r="AT207" i="11"/>
  <c r="AD207" i="11"/>
  <c r="N207" i="11"/>
  <c r="AO207" i="11"/>
  <c r="Y207" i="11"/>
  <c r="I207" i="11"/>
  <c r="P207" i="11"/>
  <c r="AH194" i="11"/>
  <c r="R194" i="11"/>
  <c r="AR207" i="11"/>
  <c r="AO194" i="11"/>
  <c r="Y194" i="11"/>
  <c r="I194" i="11"/>
  <c r="H207" i="11"/>
  <c r="AJ194" i="11"/>
  <c r="T194" i="11"/>
  <c r="D194" i="11"/>
  <c r="AU194" i="11"/>
  <c r="AE194" i="11"/>
  <c r="O194" i="11"/>
  <c r="AT181" i="11"/>
  <c r="AD181" i="11"/>
  <c r="N181" i="11"/>
  <c r="AO181" i="11"/>
  <c r="Y181" i="11"/>
  <c r="I181" i="11"/>
  <c r="AK168" i="11"/>
  <c r="AR181" i="11"/>
  <c r="AB181" i="11"/>
  <c r="L181" i="11"/>
  <c r="AR168" i="11"/>
  <c r="AB168" i="11"/>
  <c r="AM181" i="11"/>
  <c r="W181" i="11"/>
  <c r="G181" i="11"/>
  <c r="AA168" i="11"/>
  <c r="J168" i="11"/>
  <c r="AL155" i="11"/>
  <c r="V155" i="11"/>
  <c r="F155" i="11"/>
  <c r="AH142" i="11"/>
  <c r="R142" i="11"/>
  <c r="AP168" i="11"/>
  <c r="Q168" i="11"/>
  <c r="AS155" i="11"/>
  <c r="AC155" i="11"/>
  <c r="M155" i="11"/>
  <c r="AO142" i="11"/>
  <c r="Y142" i="11"/>
  <c r="I142" i="11"/>
  <c r="AE168" i="11"/>
  <c r="L168" i="11"/>
  <c r="AR155" i="11"/>
  <c r="AB155" i="11"/>
  <c r="L155" i="11"/>
  <c r="AR142" i="11"/>
  <c r="AB142" i="11"/>
  <c r="L142" i="11"/>
  <c r="AL168" i="11"/>
  <c r="O168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Q3" i="13" l="1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Q4" i="13" l="1"/>
  <c r="V3" i="13"/>
  <c r="V4" i="13" s="1"/>
  <c r="K6" i="13" s="1"/>
  <c r="B44" i="8"/>
  <c r="B45" i="8" s="1"/>
  <c r="U53" i="1"/>
  <c r="D27" i="7"/>
  <c r="C27" i="7" s="1"/>
  <c r="C26" i="7"/>
  <c r="AZ52" i="6"/>
  <c r="AE58" i="6"/>
  <c r="J79" i="6"/>
  <c r="L16" i="6"/>
  <c r="AD85" i="6"/>
  <c r="R64" i="6"/>
  <c r="AP10" i="6"/>
  <c r="AK55" i="6"/>
  <c r="AU79" i="5"/>
  <c r="AN28" i="6"/>
  <c r="I13" i="6"/>
  <c r="AB16" i="6"/>
  <c r="E25" i="6"/>
  <c r="W79" i="5"/>
  <c r="W88" i="5"/>
  <c r="Z46" i="6"/>
  <c r="AM70" i="6"/>
  <c r="AX40" i="6"/>
  <c r="AG37" i="6"/>
  <c r="AU76" i="6"/>
  <c r="AS67" i="5"/>
  <c r="O94" i="5"/>
  <c r="AX19" i="6"/>
  <c r="AA82" i="6"/>
  <c r="T61" i="5"/>
  <c r="AB79" i="6"/>
  <c r="T49" i="6"/>
  <c r="AA61" i="6"/>
  <c r="AV88" i="5"/>
  <c r="E94" i="6"/>
  <c r="P97" i="6"/>
  <c r="AM94" i="6"/>
  <c r="L94" i="6"/>
  <c r="U79" i="6"/>
  <c r="AU82" i="6"/>
  <c r="X40" i="6"/>
  <c r="AG49" i="6"/>
  <c r="N46" i="6"/>
  <c r="T28" i="6"/>
  <c r="T40" i="6"/>
  <c r="AH19" i="6"/>
  <c r="AS49" i="6"/>
  <c r="AL46" i="6"/>
  <c r="AU31" i="6"/>
  <c r="AL49" i="6"/>
  <c r="Y34" i="6"/>
  <c r="L4" i="6"/>
  <c r="AU7" i="6"/>
  <c r="AT85" i="6"/>
  <c r="AL52" i="6"/>
  <c r="AC85" i="5"/>
  <c r="AZ73" i="5"/>
  <c r="H97" i="6"/>
  <c r="AC64" i="6"/>
  <c r="S7" i="6"/>
  <c r="L40" i="6"/>
  <c r="AX70" i="5"/>
  <c r="L85" i="6"/>
  <c r="AE79" i="5"/>
  <c r="S79" i="5"/>
  <c r="AJ40" i="6"/>
  <c r="E58" i="6"/>
  <c r="AT91" i="6"/>
  <c r="V70" i="5"/>
  <c r="AW37" i="6"/>
  <c r="J34" i="6"/>
  <c r="AS91" i="6"/>
  <c r="AR4" i="6"/>
  <c r="J97" i="6"/>
  <c r="AN82" i="5"/>
  <c r="C61" i="6"/>
  <c r="AZ58" i="6"/>
  <c r="L46" i="6"/>
  <c r="AI88" i="5"/>
  <c r="Y49" i="6"/>
  <c r="AO91" i="5"/>
  <c r="R67" i="6"/>
  <c r="S37" i="6"/>
  <c r="O34" i="6"/>
  <c r="AT40" i="6"/>
  <c r="AD49" i="6"/>
  <c r="AS94" i="6"/>
  <c r="AN94" i="6"/>
  <c r="AV97" i="5"/>
  <c r="AJ52" i="6"/>
  <c r="N10" i="6"/>
  <c r="X28" i="6"/>
  <c r="U37" i="6"/>
  <c r="V85" i="5"/>
  <c r="AM16" i="6"/>
  <c r="N73" i="6"/>
  <c r="C43" i="6"/>
  <c r="AK25" i="6"/>
  <c r="V46" i="6"/>
  <c r="H16" i="6"/>
  <c r="T91" i="6"/>
  <c r="S82" i="6"/>
  <c r="Z85" i="6"/>
  <c r="E28" i="6"/>
  <c r="AR28" i="6"/>
  <c r="R43" i="6"/>
  <c r="AB40" i="6"/>
  <c r="P31" i="6"/>
  <c r="F34" i="6"/>
  <c r="H61" i="6"/>
  <c r="N94" i="5"/>
  <c r="AD67" i="6"/>
  <c r="AU76" i="5"/>
  <c r="AP97" i="6"/>
  <c r="S70" i="6"/>
  <c r="E55" i="6"/>
  <c r="AH49" i="5"/>
  <c r="AD58" i="5"/>
  <c r="V94" i="5"/>
  <c r="U94" i="6"/>
  <c r="R73" i="6"/>
  <c r="C79" i="5"/>
  <c r="AT37" i="6"/>
  <c r="T16" i="6"/>
  <c r="Z70" i="5"/>
  <c r="AM85" i="6"/>
  <c r="Q37" i="6"/>
  <c r="AO49" i="6"/>
  <c r="AN85" i="6"/>
  <c r="O7" i="6"/>
  <c r="AJ97" i="5"/>
  <c r="AB4" i="6"/>
  <c r="AO37" i="6"/>
  <c r="V73" i="6"/>
  <c r="I34" i="6"/>
  <c r="AD22" i="6"/>
  <c r="Z85" i="5"/>
  <c r="AC13" i="6"/>
  <c r="AU34" i="6"/>
  <c r="V10" i="6"/>
  <c r="AM43" i="6"/>
  <c r="AB46" i="6"/>
  <c r="AA97" i="6"/>
  <c r="T58" i="6"/>
  <c r="AD94" i="5"/>
  <c r="AM7" i="6"/>
  <c r="V52" i="6"/>
  <c r="H25" i="6"/>
  <c r="M64" i="5"/>
  <c r="AS19" i="6"/>
  <c r="AG43" i="6"/>
  <c r="AP82" i="5"/>
  <c r="AK67" i="5"/>
  <c r="AS79" i="5"/>
  <c r="C31" i="6"/>
  <c r="V88" i="6"/>
  <c r="T34" i="6"/>
  <c r="AI82" i="6"/>
  <c r="AR70" i="6"/>
  <c r="AG70" i="6"/>
  <c r="O19" i="6"/>
  <c r="I37" i="6"/>
  <c r="AH40" i="6"/>
  <c r="AW91" i="5"/>
  <c r="AH97" i="6"/>
  <c r="AL10" i="6"/>
  <c r="Q91" i="6"/>
  <c r="H37" i="6"/>
  <c r="Z97" i="6"/>
  <c r="F25" i="6"/>
  <c r="K82" i="6"/>
  <c r="G70" i="6"/>
  <c r="AF55" i="6"/>
  <c r="AI64" i="6"/>
  <c r="AQ88" i="6"/>
  <c r="T97" i="6"/>
  <c r="AS76" i="5"/>
  <c r="W46" i="6"/>
  <c r="AW94" i="6"/>
  <c r="AV28" i="6"/>
  <c r="P52" i="6"/>
  <c r="Y82" i="6"/>
  <c r="AX10" i="6"/>
  <c r="AS52" i="6"/>
  <c r="S88" i="6"/>
  <c r="AN79" i="6"/>
  <c r="AG46" i="6"/>
  <c r="X82" i="6"/>
  <c r="W40" i="6"/>
  <c r="AI73" i="6"/>
  <c r="F10" i="6"/>
  <c r="AG25" i="6"/>
  <c r="AX46" i="6"/>
  <c r="AC40" i="6"/>
  <c r="AR46" i="6"/>
  <c r="AM22" i="6"/>
  <c r="AV73" i="6"/>
  <c r="AG79" i="6"/>
  <c r="X61" i="6"/>
  <c r="AD79" i="6"/>
  <c r="H67" i="6"/>
  <c r="Z55" i="6"/>
  <c r="AP34" i="6"/>
  <c r="Z28" i="6"/>
  <c r="W73" i="6"/>
  <c r="X61" i="5"/>
  <c r="M25" i="6"/>
  <c r="S13" i="6"/>
  <c r="P46" i="5"/>
  <c r="F52" i="6"/>
  <c r="S94" i="6"/>
  <c r="AB97" i="5"/>
  <c r="AD61" i="6"/>
  <c r="AQ73" i="6"/>
  <c r="AI37" i="6"/>
  <c r="AU43" i="6"/>
  <c r="I64" i="6"/>
  <c r="AH22" i="6"/>
  <c r="AL34" i="6"/>
  <c r="N85" i="6"/>
  <c r="AE31" i="6"/>
  <c r="W88" i="6"/>
  <c r="AJ16" i="6"/>
  <c r="AS40" i="6"/>
  <c r="X67" i="6"/>
  <c r="Q94" i="6"/>
  <c r="AF79" i="6"/>
  <c r="M64" i="6"/>
  <c r="W64" i="6"/>
  <c r="E52" i="6"/>
  <c r="J52" i="6"/>
  <c r="AI70" i="6"/>
  <c r="K94" i="6"/>
  <c r="H82" i="5"/>
  <c r="AM28" i="6"/>
  <c r="AH67" i="6"/>
  <c r="AH73" i="6"/>
  <c r="X91" i="5"/>
  <c r="AS13" i="6"/>
  <c r="G79" i="5"/>
  <c r="Z10" i="6"/>
  <c r="AI88" i="6"/>
  <c r="AT64" i="6"/>
  <c r="AF31" i="6"/>
  <c r="AD64" i="6"/>
  <c r="AP52" i="6"/>
  <c r="J61" i="6"/>
  <c r="E49" i="6"/>
  <c r="AY43" i="6"/>
  <c r="H91" i="6"/>
  <c r="AN61" i="6"/>
  <c r="O31" i="6"/>
  <c r="AL70" i="5"/>
  <c r="M19" i="6"/>
  <c r="AQ82" i="6"/>
  <c r="E79" i="6"/>
  <c r="P25" i="6"/>
  <c r="AB22" i="6"/>
  <c r="Q49" i="6"/>
  <c r="H28" i="6"/>
  <c r="AY85" i="6"/>
  <c r="L52" i="6"/>
  <c r="AC43" i="6"/>
  <c r="AE19" i="6"/>
  <c r="AZ97" i="5"/>
  <c r="O43" i="6"/>
  <c r="I91" i="5"/>
  <c r="AU97" i="6"/>
  <c r="I10" i="6"/>
  <c r="AZ82" i="5"/>
  <c r="E82" i="6"/>
  <c r="AX34" i="6"/>
  <c r="AX73" i="6"/>
  <c r="AO46" i="6"/>
  <c r="N91" i="6"/>
  <c r="AH64" i="6"/>
  <c r="AZ79" i="6"/>
  <c r="K25" i="6"/>
  <c r="I82" i="6"/>
  <c r="M40" i="6"/>
  <c r="H52" i="6"/>
  <c r="AB94" i="6"/>
  <c r="O52" i="6"/>
  <c r="AX67" i="6"/>
  <c r="Z52" i="6"/>
  <c r="AE82" i="6"/>
  <c r="X94" i="6"/>
  <c r="M37" i="6"/>
  <c r="AX85" i="6"/>
  <c r="K97" i="6"/>
  <c r="AJ97" i="6"/>
  <c r="AL25" i="6"/>
  <c r="AN67" i="6"/>
  <c r="AG88" i="6"/>
  <c r="K67" i="5"/>
  <c r="Y94" i="5"/>
  <c r="P82" i="6"/>
  <c r="AE4" i="6"/>
  <c r="L73" i="6"/>
  <c r="K52" i="6"/>
  <c r="AV55" i="6"/>
  <c r="AZ16" i="6"/>
  <c r="AM31" i="6"/>
  <c r="AN37" i="6"/>
  <c r="F46" i="6"/>
  <c r="M94" i="6"/>
  <c r="X70" i="6"/>
  <c r="AT88" i="6"/>
  <c r="AF97" i="6"/>
  <c r="AC67" i="6"/>
  <c r="J46" i="6"/>
  <c r="AL97" i="6"/>
  <c r="X97" i="5"/>
  <c r="F49" i="6"/>
  <c r="AG76" i="5"/>
  <c r="AD70" i="5"/>
  <c r="AT76" i="6"/>
  <c r="AU52" i="6"/>
  <c r="AT46" i="6"/>
  <c r="P79" i="6"/>
  <c r="P40" i="6"/>
  <c r="X43" i="6"/>
  <c r="AE76" i="6"/>
  <c r="AB73" i="5"/>
  <c r="AY79" i="5"/>
  <c r="J85" i="6"/>
  <c r="N16" i="6"/>
  <c r="O79" i="5"/>
  <c r="H58" i="6"/>
  <c r="AL88" i="6"/>
  <c r="AR61" i="5"/>
  <c r="AE37" i="6"/>
  <c r="AH94" i="5"/>
  <c r="J85" i="5"/>
  <c r="AR85" i="6"/>
  <c r="AF82" i="5"/>
  <c r="AJ82" i="6"/>
  <c r="AY7" i="6"/>
  <c r="AQ97" i="6"/>
  <c r="AT22" i="6"/>
  <c r="AB52" i="6"/>
  <c r="X16" i="6"/>
  <c r="J10" i="6"/>
  <c r="AF28" i="6"/>
  <c r="AF52" i="6"/>
  <c r="AK13" i="6"/>
  <c r="W19" i="6"/>
  <c r="H43" i="6"/>
  <c r="J22" i="6"/>
  <c r="P97" i="5"/>
  <c r="C19" i="6"/>
  <c r="E76" i="5"/>
  <c r="C88" i="5"/>
  <c r="E46" i="6"/>
  <c r="R28" i="6"/>
  <c r="Q52" i="6"/>
  <c r="W52" i="6"/>
  <c r="AJ73" i="5"/>
  <c r="AS43" i="6"/>
  <c r="AS91" i="5"/>
  <c r="AA73" i="6"/>
  <c r="AD37" i="6"/>
  <c r="L79" i="6"/>
  <c r="U91" i="5"/>
  <c r="O28" i="6"/>
  <c r="AP70" i="5"/>
  <c r="H70" i="6"/>
  <c r="AX61" i="6"/>
  <c r="AW76" i="5"/>
  <c r="K79" i="5"/>
  <c r="S43" i="6"/>
  <c r="J94" i="5"/>
  <c r="O88" i="5"/>
  <c r="Z43" i="6"/>
  <c r="M67" i="6"/>
  <c r="W22" i="6"/>
  <c r="AV16" i="6"/>
  <c r="AD91" i="6"/>
  <c r="AT79" i="6"/>
  <c r="Z64" i="6"/>
  <c r="Y58" i="6"/>
  <c r="AC49" i="6"/>
  <c r="Q91" i="5"/>
  <c r="X52" i="6"/>
  <c r="AW25" i="6"/>
  <c r="AN49" i="6"/>
  <c r="AH97" i="5"/>
  <c r="AC16" i="6"/>
  <c r="W7" i="6"/>
  <c r="AX64" i="6"/>
  <c r="Z22" i="6"/>
  <c r="F94" i="5"/>
  <c r="AH10" i="6"/>
  <c r="V91" i="6"/>
  <c r="AM25" i="6"/>
  <c r="O97" i="6"/>
  <c r="AT94" i="5"/>
  <c r="R10" i="6"/>
  <c r="AI43" i="6"/>
  <c r="M91" i="6"/>
  <c r="AC82" i="6"/>
  <c r="AM49" i="6"/>
  <c r="AR22" i="6"/>
  <c r="K88" i="6"/>
  <c r="R91" i="6"/>
  <c r="AS25" i="6"/>
  <c r="AN52" i="6"/>
  <c r="R22" i="6"/>
  <c r="R97" i="6"/>
  <c r="Y25" i="6"/>
  <c r="P73" i="5"/>
  <c r="AY31" i="6"/>
  <c r="V79" i="6"/>
  <c r="AK7" i="6"/>
  <c r="Q43" i="6"/>
  <c r="AK19" i="6"/>
  <c r="AN31" i="6"/>
  <c r="I94" i="5"/>
  <c r="AS64" i="5"/>
  <c r="AV64" i="5"/>
  <c r="E7" i="6"/>
  <c r="AO43" i="6"/>
  <c r="AC94" i="5"/>
  <c r="S31" i="6"/>
  <c r="N76" i="5"/>
  <c r="U52" i="6"/>
  <c r="C70" i="6"/>
  <c r="W67" i="5"/>
  <c r="R25" i="6"/>
  <c r="AU61" i="6"/>
  <c r="W28" i="6"/>
  <c r="Q55" i="6"/>
  <c r="AJ70" i="5"/>
  <c r="AO4" i="6"/>
  <c r="AE52" i="5"/>
  <c r="AX52" i="5"/>
  <c r="U25" i="6"/>
  <c r="AP76" i="6"/>
  <c r="F73" i="6"/>
  <c r="AF4" i="6"/>
  <c r="AP85" i="5"/>
  <c r="AM88" i="5"/>
  <c r="K58" i="6"/>
  <c r="AT34" i="6"/>
  <c r="AR58" i="6"/>
  <c r="AR49" i="6"/>
  <c r="AM61" i="6"/>
  <c r="AG82" i="6"/>
  <c r="AM91" i="5"/>
  <c r="G67" i="5"/>
  <c r="AV46" i="5"/>
  <c r="M49" i="5"/>
  <c r="AC64" i="5"/>
  <c r="H13" i="6"/>
  <c r="AC58" i="5"/>
  <c r="AV25" i="6"/>
  <c r="N43" i="5"/>
  <c r="AI79" i="5"/>
  <c r="O94" i="6"/>
  <c r="AG55" i="5"/>
  <c r="AK4" i="6"/>
  <c r="G61" i="6"/>
  <c r="T46" i="6"/>
  <c r="L58" i="6"/>
  <c r="C52" i="5"/>
  <c r="C85" i="6"/>
  <c r="AQ94" i="6"/>
  <c r="T73" i="5"/>
  <c r="X22" i="6"/>
  <c r="AO88" i="6"/>
  <c r="AY88" i="5"/>
  <c r="AV46" i="6"/>
  <c r="N79" i="6"/>
  <c r="R40" i="6"/>
  <c r="H4" i="6"/>
  <c r="AC97" i="5"/>
  <c r="I22" i="6"/>
  <c r="W52" i="5"/>
  <c r="L34" i="6"/>
  <c r="H46" i="5"/>
  <c r="S58" i="6"/>
  <c r="AJ25" i="6"/>
  <c r="U49" i="5"/>
  <c r="L82" i="5"/>
  <c r="AS88" i="6"/>
  <c r="AI94" i="6"/>
  <c r="I79" i="6"/>
  <c r="AC73" i="5"/>
  <c r="N37" i="6"/>
  <c r="O82" i="5"/>
  <c r="Z88" i="5"/>
  <c r="AO64" i="6"/>
  <c r="AP4" i="6"/>
  <c r="AU10" i="6"/>
  <c r="AN70" i="5"/>
  <c r="L85" i="5"/>
  <c r="AY37" i="6"/>
  <c r="F31" i="6"/>
  <c r="T79" i="6"/>
  <c r="E70" i="6"/>
  <c r="L31" i="6"/>
  <c r="AE43" i="6"/>
  <c r="AO58" i="6"/>
  <c r="G88" i="6"/>
  <c r="AP31" i="6"/>
  <c r="R88" i="6"/>
  <c r="AX49" i="6"/>
  <c r="AE28" i="6"/>
  <c r="AO82" i="6"/>
  <c r="AH91" i="6"/>
  <c r="R16" i="6"/>
  <c r="M88" i="6"/>
  <c r="AX16" i="6"/>
  <c r="AJ85" i="6"/>
  <c r="H22" i="6"/>
  <c r="AX97" i="6"/>
  <c r="AL40" i="6"/>
  <c r="N22" i="6"/>
  <c r="G31" i="6"/>
  <c r="E37" i="6"/>
  <c r="O76" i="6"/>
  <c r="W58" i="6"/>
  <c r="AU19" i="6"/>
  <c r="I88" i="6"/>
  <c r="J76" i="6"/>
  <c r="Y91" i="5"/>
  <c r="F79" i="6"/>
  <c r="V97" i="6"/>
  <c r="N91" i="5"/>
  <c r="AV94" i="6"/>
  <c r="T52" i="6"/>
  <c r="AO67" i="5"/>
  <c r="R85" i="6"/>
  <c r="AY19" i="6"/>
  <c r="Q70" i="6"/>
  <c r="AC25" i="6"/>
  <c r="U16" i="6"/>
  <c r="W43" i="6"/>
  <c r="AC94" i="6"/>
  <c r="L22" i="6"/>
  <c r="AW70" i="6"/>
  <c r="AX43" i="6"/>
  <c r="AK22" i="6"/>
  <c r="H79" i="5"/>
  <c r="AE73" i="6"/>
  <c r="AY82" i="5"/>
  <c r="I7" i="6"/>
  <c r="X73" i="6"/>
  <c r="AT73" i="6"/>
  <c r="AJ61" i="5"/>
  <c r="S85" i="6"/>
  <c r="AE22" i="5"/>
  <c r="M49" i="6"/>
  <c r="AK31" i="6"/>
  <c r="AY82" i="6"/>
  <c r="G73" i="6"/>
  <c r="AS10" i="6"/>
  <c r="AF88" i="5"/>
  <c r="M79" i="6"/>
  <c r="AI13" i="6"/>
  <c r="S10" i="6"/>
  <c r="M73" i="5"/>
  <c r="AI94" i="5"/>
  <c r="O70" i="5"/>
  <c r="AA31" i="6"/>
  <c r="AI7" i="6"/>
  <c r="AV31" i="6"/>
  <c r="AF49" i="6"/>
  <c r="AH34" i="6"/>
  <c r="G7" i="6"/>
  <c r="AC76" i="5"/>
  <c r="AY70" i="6"/>
  <c r="AZ4" i="6"/>
  <c r="AW67" i="5"/>
  <c r="AN67" i="5"/>
  <c r="AQ52" i="5"/>
  <c r="R76" i="6"/>
  <c r="M34" i="6"/>
  <c r="AL79" i="5"/>
  <c r="AH31" i="6"/>
  <c r="AZ22" i="6"/>
  <c r="AO52" i="6"/>
  <c r="AM19" i="6"/>
  <c r="AX52" i="6"/>
  <c r="L70" i="6"/>
  <c r="AW91" i="6"/>
  <c r="T85" i="6"/>
  <c r="AG67" i="6"/>
  <c r="AV58" i="6"/>
  <c r="Z58" i="5"/>
  <c r="K16" i="6"/>
  <c r="C13" i="6"/>
  <c r="AB70" i="6"/>
  <c r="T82" i="6"/>
  <c r="I49" i="6"/>
  <c r="AX88" i="6"/>
  <c r="AD25" i="6"/>
  <c r="M16" i="6"/>
  <c r="AV40" i="6"/>
  <c r="L28" i="6"/>
  <c r="W70" i="6"/>
  <c r="H82" i="6"/>
  <c r="AQ43" i="6"/>
  <c r="F70" i="5"/>
  <c r="AC88" i="6"/>
  <c r="V25" i="6"/>
  <c r="J70" i="5"/>
  <c r="AT61" i="6"/>
  <c r="AJ34" i="6"/>
  <c r="AU49" i="6"/>
  <c r="AN43" i="6"/>
  <c r="AH46" i="6"/>
  <c r="O64" i="6"/>
  <c r="AK79" i="6"/>
  <c r="AX91" i="6"/>
  <c r="G43" i="6"/>
  <c r="C94" i="6"/>
  <c r="T76" i="5"/>
  <c r="AO76" i="5"/>
  <c r="AM97" i="6"/>
  <c r="AC37" i="6"/>
  <c r="AQ31" i="6"/>
  <c r="AI31" i="6"/>
  <c r="AT10" i="6"/>
  <c r="AY97" i="6"/>
  <c r="G40" i="6"/>
  <c r="AU64" i="6"/>
  <c r="AU94" i="5"/>
  <c r="AA79" i="5"/>
  <c r="G46" i="6"/>
  <c r="R94" i="5"/>
  <c r="AD10" i="6"/>
  <c r="AV4" i="6"/>
  <c r="G22" i="6"/>
  <c r="K7" i="6"/>
  <c r="AE40" i="6"/>
  <c r="AH43" i="6"/>
  <c r="E31" i="6"/>
  <c r="AR79" i="6"/>
  <c r="AK40" i="6"/>
  <c r="AY70" i="5"/>
  <c r="E82" i="5"/>
  <c r="AN10" i="6"/>
  <c r="I64" i="5"/>
  <c r="AN61" i="5"/>
  <c r="AD82" i="5"/>
  <c r="AP22" i="6"/>
  <c r="F97" i="6"/>
  <c r="AI61" i="6"/>
  <c r="AE88" i="5"/>
  <c r="Q40" i="6"/>
  <c r="J76" i="5"/>
  <c r="AR97" i="5"/>
  <c r="AF58" i="6"/>
  <c r="AD40" i="6"/>
  <c r="AU52" i="5"/>
  <c r="S64" i="6"/>
  <c r="I40" i="6"/>
  <c r="U4" i="6"/>
  <c r="AI10" i="6"/>
  <c r="X85" i="6"/>
  <c r="O58" i="6"/>
  <c r="AE34" i="6"/>
  <c r="AF82" i="6"/>
  <c r="AA52" i="6"/>
  <c r="AG76" i="6"/>
  <c r="AA88" i="6"/>
  <c r="I19" i="6"/>
  <c r="AY76" i="6"/>
  <c r="K88" i="5"/>
  <c r="M31" i="6"/>
  <c r="AM76" i="6"/>
  <c r="T70" i="5"/>
  <c r="S52" i="5"/>
  <c r="Z4" i="6"/>
  <c r="AX49" i="5"/>
  <c r="K85" i="6"/>
  <c r="W61" i="5"/>
  <c r="AF25" i="6"/>
  <c r="U13" i="6"/>
  <c r="V49" i="6"/>
  <c r="AK94" i="6"/>
  <c r="AT91" i="5"/>
  <c r="P91" i="6"/>
  <c r="Y40" i="6"/>
  <c r="AA16" i="6"/>
  <c r="K46" i="6"/>
  <c r="AS97" i="5"/>
  <c r="E76" i="6"/>
  <c r="K73" i="6"/>
  <c r="H19" i="6"/>
  <c r="N85" i="5"/>
  <c r="AC55" i="6"/>
  <c r="AA88" i="5"/>
  <c r="AC91" i="6"/>
  <c r="AY67" i="5"/>
  <c r="AM64" i="6"/>
  <c r="AP85" i="6"/>
  <c r="P16" i="6"/>
  <c r="AV82" i="6"/>
  <c r="AF91" i="6"/>
  <c r="P58" i="6"/>
  <c r="Z34" i="6"/>
  <c r="AA19" i="6"/>
  <c r="AT67" i="5"/>
  <c r="S94" i="5"/>
  <c r="AX94" i="5"/>
  <c r="AO76" i="6"/>
  <c r="AA52" i="5"/>
  <c r="AR16" i="6"/>
  <c r="AW79" i="6"/>
  <c r="AW88" i="6"/>
  <c r="E64" i="5"/>
  <c r="AC70" i="5"/>
  <c r="W22" i="5"/>
  <c r="AT67" i="6"/>
  <c r="G52" i="5"/>
  <c r="AQ79" i="5"/>
  <c r="AN91" i="6"/>
  <c r="W16" i="6"/>
  <c r="T97" i="5"/>
  <c r="AG64" i="5"/>
  <c r="U58" i="6"/>
  <c r="AU70" i="5"/>
  <c r="Z7" i="6"/>
  <c r="AQ46" i="5"/>
  <c r="AJ94" i="5"/>
  <c r="Q79" i="5"/>
  <c r="G85" i="5"/>
  <c r="AS67" i="6"/>
  <c r="AH70" i="5"/>
  <c r="AE94" i="5"/>
  <c r="AZ25" i="6"/>
  <c r="AB55" i="6"/>
  <c r="AG16" i="6"/>
  <c r="AI76" i="5"/>
  <c r="AP7" i="6"/>
  <c r="N13" i="6"/>
  <c r="AD28" i="6"/>
  <c r="AB61" i="6"/>
  <c r="AN94" i="5"/>
  <c r="AJ4" i="6"/>
  <c r="AZ97" i="6"/>
  <c r="AH73" i="5"/>
  <c r="O76" i="5"/>
  <c r="AS22" i="6"/>
  <c r="AL22" i="6"/>
  <c r="Y25" i="5"/>
  <c r="AX67" i="5"/>
  <c r="AZ7" i="6"/>
  <c r="AQ7" i="6"/>
  <c r="AC79" i="5"/>
  <c r="E64" i="6"/>
  <c r="J82" i="5"/>
  <c r="AO7" i="6"/>
  <c r="AQ73" i="5"/>
  <c r="AL31" i="6"/>
  <c r="AX79" i="6"/>
  <c r="AR55" i="5"/>
  <c r="AU73" i="6"/>
  <c r="N97" i="5"/>
  <c r="Y88" i="5"/>
  <c r="AS55" i="6"/>
  <c r="AN7" i="6"/>
  <c r="H97" i="5"/>
  <c r="P28" i="6"/>
  <c r="T70" i="6"/>
  <c r="O85" i="6"/>
  <c r="AF40" i="6"/>
  <c r="AR97" i="6"/>
  <c r="X73" i="5"/>
  <c r="Q28" i="6"/>
  <c r="AR67" i="5"/>
  <c r="AR73" i="6"/>
  <c r="AJ67" i="6"/>
  <c r="I70" i="5"/>
  <c r="F49" i="5"/>
  <c r="K52" i="5"/>
  <c r="AZ34" i="6"/>
  <c r="H73" i="6"/>
  <c r="L40" i="5"/>
  <c r="N67" i="5"/>
  <c r="X19" i="6"/>
  <c r="J43" i="6"/>
  <c r="AW31" i="6"/>
  <c r="AH79" i="6"/>
  <c r="AW52" i="6"/>
  <c r="U34" i="5"/>
  <c r="AM76" i="5"/>
  <c r="AH37" i="6"/>
  <c r="AC25" i="5"/>
  <c r="S25" i="6"/>
  <c r="AY73" i="5"/>
  <c r="AH52" i="5"/>
  <c r="I46" i="6"/>
  <c r="AX82" i="5"/>
  <c r="G88" i="5"/>
  <c r="J31" i="6"/>
  <c r="U76" i="5"/>
  <c r="T4" i="6"/>
  <c r="U82" i="5"/>
  <c r="AY52" i="5"/>
  <c r="AH58" i="5"/>
  <c r="I58" i="6"/>
  <c r="Q76" i="5"/>
  <c r="C91" i="5"/>
  <c r="C64" i="6"/>
  <c r="AI46" i="5"/>
  <c r="AR46" i="5"/>
  <c r="C25" i="6"/>
  <c r="J52" i="5"/>
  <c r="T73" i="6"/>
  <c r="S82" i="5"/>
  <c r="AD76" i="5"/>
  <c r="Q46" i="6"/>
  <c r="AV85" i="5"/>
  <c r="M67" i="5"/>
  <c r="O88" i="6"/>
  <c r="U64" i="5"/>
  <c r="E88" i="5"/>
  <c r="M79" i="5"/>
  <c r="AG70" i="5"/>
  <c r="Z97" i="5"/>
  <c r="AQ37" i="5"/>
  <c r="AS94" i="5"/>
  <c r="AX28" i="6"/>
  <c r="AK67" i="6"/>
  <c r="J91" i="5"/>
  <c r="AA22" i="5"/>
  <c r="G10" i="6"/>
  <c r="AP79" i="6"/>
  <c r="F88" i="6"/>
  <c r="O4" i="6"/>
  <c r="AO16" i="6"/>
  <c r="X97" i="6"/>
  <c r="AF97" i="5"/>
  <c r="I91" i="6"/>
  <c r="O37" i="6"/>
  <c r="Y70" i="5"/>
  <c r="AK76" i="6"/>
  <c r="J4" i="6"/>
  <c r="AJ76" i="5"/>
  <c r="AZ37" i="6"/>
  <c r="F67" i="5"/>
  <c r="I49" i="5"/>
  <c r="AG49" i="5"/>
  <c r="AB97" i="6"/>
  <c r="Q67" i="5"/>
  <c r="K19" i="6"/>
  <c r="AB49" i="6"/>
  <c r="AS28" i="6"/>
  <c r="AB79" i="5"/>
  <c r="AL43" i="6"/>
  <c r="W82" i="5"/>
  <c r="T19" i="6"/>
  <c r="U25" i="5"/>
  <c r="P55" i="5"/>
  <c r="AH4" i="6"/>
  <c r="AK34" i="6"/>
  <c r="N79" i="5"/>
  <c r="C22" i="5"/>
  <c r="AS82" i="5"/>
  <c r="AN4" i="6"/>
  <c r="S73" i="5"/>
  <c r="AK76" i="5"/>
  <c r="Y28" i="6"/>
  <c r="AY22" i="6"/>
  <c r="L67" i="6"/>
  <c r="Q64" i="5"/>
  <c r="AM88" i="6"/>
  <c r="M7" i="6"/>
  <c r="W94" i="5"/>
  <c r="R79" i="5"/>
  <c r="AR37" i="6"/>
  <c r="M55" i="6"/>
  <c r="G4" i="6"/>
  <c r="AK52" i="6"/>
  <c r="U31" i="6"/>
  <c r="AE97" i="6"/>
  <c r="H85" i="6"/>
  <c r="M91" i="5"/>
  <c r="AP28" i="6"/>
  <c r="O61" i="6"/>
  <c r="AO25" i="6"/>
  <c r="Y55" i="6"/>
  <c r="AM73" i="6"/>
  <c r="X10" i="6"/>
  <c r="R91" i="5"/>
  <c r="L64" i="5"/>
  <c r="G49" i="6"/>
  <c r="AI67" i="5"/>
  <c r="N61" i="6"/>
  <c r="AR52" i="6"/>
  <c r="AE61" i="6"/>
  <c r="AB13" i="6"/>
  <c r="AA46" i="5"/>
  <c r="T40" i="5"/>
  <c r="U28" i="6"/>
  <c r="R34" i="6"/>
  <c r="AM79" i="5"/>
  <c r="AT70" i="5"/>
  <c r="AS16" i="6"/>
  <c r="AB34" i="6"/>
  <c r="AO10" i="6"/>
  <c r="AI76" i="6"/>
  <c r="AE70" i="6"/>
  <c r="O25" i="6"/>
  <c r="E4" i="6"/>
  <c r="AF46" i="5"/>
  <c r="AY37" i="5"/>
  <c r="P73" i="6"/>
  <c r="AX22" i="6"/>
  <c r="AQ49" i="6"/>
  <c r="AM52" i="5"/>
  <c r="AB91" i="6"/>
  <c r="AK55" i="5"/>
  <c r="T10" i="6"/>
  <c r="AY28" i="6"/>
  <c r="AP67" i="6"/>
  <c r="K64" i="6"/>
  <c r="P4" i="6"/>
  <c r="AF67" i="6"/>
  <c r="V64" i="6"/>
  <c r="AV82" i="5"/>
  <c r="I52" i="6"/>
  <c r="AD52" i="5"/>
  <c r="AQ52" i="6"/>
  <c r="S70" i="5"/>
  <c r="AY88" i="6"/>
  <c r="V13" i="6"/>
  <c r="AJ28" i="6"/>
  <c r="Z79" i="6"/>
  <c r="AN70" i="6"/>
  <c r="Y76" i="6"/>
  <c r="C22" i="6"/>
  <c r="U22" i="6"/>
  <c r="U88" i="5"/>
  <c r="AC34" i="5"/>
  <c r="AY46" i="5"/>
  <c r="AU64" i="5"/>
  <c r="AF85" i="5"/>
  <c r="K58" i="5"/>
  <c r="AJ40" i="5"/>
  <c r="AC4" i="6"/>
  <c r="AN73" i="6"/>
  <c r="AP88" i="6"/>
  <c r="G19" i="6"/>
  <c r="AE85" i="6"/>
  <c r="AM73" i="5"/>
  <c r="AP16" i="6"/>
  <c r="AK91" i="5"/>
  <c r="Z61" i="6"/>
  <c r="K28" i="6"/>
  <c r="AY13" i="6"/>
  <c r="N4" i="6"/>
  <c r="AZ40" i="6"/>
  <c r="AD88" i="6"/>
  <c r="AI46" i="6"/>
  <c r="J88" i="6"/>
  <c r="AO49" i="5"/>
  <c r="AA94" i="6"/>
  <c r="M88" i="5"/>
  <c r="AF73" i="5"/>
  <c r="AR91" i="6"/>
  <c r="AX97" i="5"/>
  <c r="S34" i="6"/>
  <c r="AM97" i="5"/>
  <c r="C61" i="5"/>
  <c r="R58" i="5"/>
  <c r="L61" i="6"/>
  <c r="I25" i="5"/>
  <c r="AM67" i="5"/>
  <c r="AM64" i="5"/>
  <c r="J67" i="5"/>
  <c r="AU22" i="5"/>
  <c r="P79" i="5"/>
  <c r="AW82" i="6"/>
  <c r="AD76" i="6"/>
  <c r="AZ28" i="6"/>
  <c r="C7" i="6"/>
  <c r="AN34" i="6"/>
  <c r="F58" i="5"/>
  <c r="AR19" i="6"/>
  <c r="Z43" i="5"/>
  <c r="X37" i="6"/>
  <c r="Z82" i="5"/>
  <c r="H73" i="5"/>
  <c r="AT7" i="6"/>
  <c r="AF64" i="5"/>
  <c r="U49" i="6"/>
  <c r="AT97" i="6"/>
  <c r="AK70" i="6"/>
  <c r="AZ73" i="6"/>
  <c r="E34" i="6"/>
  <c r="AK28" i="6"/>
  <c r="I43" i="6"/>
  <c r="AP40" i="6"/>
  <c r="O82" i="6"/>
  <c r="C88" i="6"/>
  <c r="AO70" i="6"/>
  <c r="AP76" i="5"/>
  <c r="W25" i="6"/>
  <c r="AU46" i="6"/>
  <c r="AW13" i="6"/>
  <c r="AA49" i="6"/>
  <c r="AY61" i="6"/>
  <c r="Y76" i="5"/>
  <c r="F22" i="6"/>
  <c r="Y88" i="6"/>
  <c r="K31" i="6"/>
  <c r="P49" i="6"/>
  <c r="AZ85" i="6"/>
  <c r="AC91" i="5"/>
  <c r="C85" i="5"/>
  <c r="N64" i="6"/>
  <c r="S85" i="5"/>
  <c r="AR82" i="5"/>
  <c r="E43" i="6"/>
  <c r="AG52" i="6"/>
  <c r="AU88" i="5"/>
  <c r="AE52" i="6"/>
  <c r="AE76" i="5"/>
  <c r="AI34" i="6"/>
  <c r="AJ22" i="6"/>
  <c r="AM46" i="6"/>
  <c r="P94" i="6"/>
  <c r="AK37" i="6"/>
  <c r="AL91" i="6"/>
  <c r="M76" i="5"/>
  <c r="AU85" i="6"/>
  <c r="AZ94" i="5"/>
  <c r="J49" i="5"/>
  <c r="AZ94" i="6"/>
  <c r="AZ61" i="5"/>
  <c r="M55" i="5"/>
  <c r="AU46" i="5"/>
  <c r="AI91" i="5"/>
  <c r="AB28" i="6"/>
  <c r="AJ58" i="6"/>
  <c r="C82" i="6"/>
  <c r="P85" i="6"/>
  <c r="AZ70" i="6"/>
  <c r="AH49" i="6"/>
  <c r="AJ19" i="6"/>
  <c r="X85" i="5"/>
  <c r="G13" i="6"/>
  <c r="AO88" i="5"/>
  <c r="AV97" i="6"/>
  <c r="AO79" i="6"/>
  <c r="G97" i="5"/>
  <c r="G34" i="6"/>
  <c r="J55" i="6"/>
  <c r="J58" i="5"/>
  <c r="AA34" i="6"/>
  <c r="S61" i="5"/>
  <c r="AS25" i="5"/>
  <c r="F85" i="6"/>
  <c r="S61" i="6"/>
  <c r="S4" i="6"/>
  <c r="AL85" i="6"/>
  <c r="AN91" i="5"/>
  <c r="AR25" i="6"/>
  <c r="V97" i="5"/>
  <c r="AK82" i="5"/>
  <c r="C94" i="5"/>
  <c r="AH67" i="5"/>
  <c r="AQ64" i="5"/>
  <c r="R43" i="5"/>
  <c r="AN55" i="5"/>
  <c r="AI22" i="5"/>
  <c r="AI28" i="6"/>
  <c r="AQ16" i="6"/>
  <c r="AH82" i="5"/>
  <c r="H31" i="6"/>
  <c r="N70" i="5"/>
  <c r="T82" i="5"/>
  <c r="AY94" i="6"/>
  <c r="C67" i="5"/>
  <c r="AN40" i="6"/>
  <c r="V76" i="6"/>
  <c r="AR13" i="6"/>
  <c r="AN85" i="5"/>
  <c r="C46" i="5"/>
  <c r="Y91" i="6"/>
  <c r="Y10" i="6"/>
  <c r="AY76" i="5"/>
  <c r="R55" i="6"/>
  <c r="AE64" i="6"/>
  <c r="R88" i="5"/>
  <c r="Z94" i="5"/>
  <c r="AD67" i="5"/>
  <c r="AH85" i="5"/>
  <c r="N49" i="5"/>
  <c r="V67" i="6"/>
  <c r="AP49" i="5"/>
  <c r="AJ46" i="5"/>
  <c r="G91" i="5"/>
  <c r="G58" i="6"/>
  <c r="AW10" i="6"/>
  <c r="AY22" i="5"/>
  <c r="C37" i="5"/>
  <c r="AH55" i="6"/>
  <c r="W4" i="6"/>
  <c r="AV10" i="6"/>
  <c r="S64" i="5"/>
  <c r="Z40" i="6"/>
  <c r="R70" i="5"/>
  <c r="AW76" i="6"/>
  <c r="AV49" i="6"/>
  <c r="H61" i="5"/>
  <c r="AY91" i="5"/>
  <c r="W94" i="6"/>
  <c r="AO34" i="6"/>
  <c r="AL79" i="6"/>
  <c r="AW55" i="6"/>
  <c r="AL61" i="6"/>
  <c r="AU82" i="5"/>
  <c r="AZ91" i="6"/>
  <c r="AI16" i="6"/>
  <c r="M85" i="5"/>
  <c r="AG31" i="6"/>
  <c r="AO82" i="5"/>
  <c r="L91" i="6"/>
  <c r="H76" i="5"/>
  <c r="K76" i="6"/>
  <c r="AH85" i="6"/>
  <c r="T46" i="5"/>
  <c r="AL55" i="6"/>
  <c r="AF61" i="5"/>
  <c r="AW49" i="5"/>
  <c r="Z49" i="6"/>
  <c r="AQ91" i="5"/>
  <c r="O70" i="6"/>
  <c r="AL43" i="5"/>
  <c r="AR10" i="6"/>
  <c r="AU28" i="6"/>
  <c r="AH16" i="6"/>
  <c r="AA58" i="6"/>
  <c r="S46" i="6"/>
  <c r="J37" i="6"/>
  <c r="AX13" i="6"/>
  <c r="P82" i="5"/>
  <c r="AJ55" i="6"/>
  <c r="AY58" i="6"/>
  <c r="AL37" i="6"/>
  <c r="V49" i="5"/>
  <c r="F85" i="5"/>
  <c r="N49" i="6"/>
  <c r="AN64" i="5"/>
  <c r="AQ34" i="6"/>
  <c r="W61" i="6"/>
  <c r="AZ46" i="6"/>
  <c r="AX7" i="6"/>
  <c r="W37" i="6"/>
  <c r="AJ94" i="6"/>
  <c r="S49" i="6"/>
  <c r="AL52" i="5"/>
  <c r="AG55" i="6"/>
  <c r="AB25" i="6"/>
  <c r="U79" i="5"/>
  <c r="K64" i="5"/>
  <c r="AZ70" i="5"/>
  <c r="AS37" i="6"/>
  <c r="AT19" i="5"/>
  <c r="W97" i="5"/>
  <c r="AH43" i="5"/>
  <c r="S91" i="5"/>
  <c r="Y58" i="5"/>
  <c r="Z91" i="6"/>
  <c r="K37" i="5"/>
  <c r="AF79" i="5"/>
  <c r="U64" i="6"/>
  <c r="C52" i="6"/>
  <c r="U94" i="5"/>
  <c r="T61" i="6"/>
  <c r="J73" i="6"/>
  <c r="G94" i="6"/>
  <c r="S88" i="5"/>
  <c r="U67" i="6"/>
  <c r="AO13" i="6"/>
  <c r="AV61" i="5"/>
  <c r="AT49" i="5"/>
  <c r="AW64" i="5"/>
  <c r="K49" i="6"/>
  <c r="R46" i="6"/>
  <c r="AG25" i="5"/>
  <c r="AK82" i="6"/>
  <c r="Y31" i="6"/>
  <c r="AL58" i="5"/>
  <c r="M52" i="6"/>
  <c r="AH7" i="6"/>
  <c r="S76" i="5"/>
  <c r="P46" i="6"/>
  <c r="AM22" i="5"/>
  <c r="AI97" i="6"/>
  <c r="T37" i="6"/>
  <c r="AN22" i="6"/>
  <c r="U76" i="6"/>
  <c r="AH52" i="6"/>
  <c r="AV7" i="6"/>
  <c r="C76" i="6"/>
  <c r="AW34" i="6"/>
  <c r="AB64" i="5"/>
  <c r="AS34" i="5"/>
  <c r="AE25" i="6"/>
  <c r="AZ10" i="6"/>
  <c r="Y61" i="5"/>
  <c r="AD85" i="5"/>
  <c r="AB85" i="6"/>
  <c r="AN40" i="5"/>
  <c r="F28" i="5"/>
  <c r="Z31" i="6"/>
  <c r="AL91" i="5"/>
  <c r="AW70" i="5"/>
  <c r="AX91" i="5"/>
  <c r="AZ82" i="6"/>
  <c r="AL67" i="6"/>
  <c r="AS31" i="6"/>
  <c r="AM70" i="5"/>
  <c r="AT4" i="6"/>
  <c r="AP67" i="5"/>
  <c r="AI22" i="6"/>
  <c r="C37" i="6"/>
  <c r="AO58" i="5"/>
  <c r="AC19" i="6"/>
  <c r="X55" i="5"/>
  <c r="Y46" i="5"/>
  <c r="AU67" i="5"/>
  <c r="AM94" i="5"/>
  <c r="AQ85" i="6"/>
  <c r="AQ61" i="6"/>
  <c r="AH46" i="5"/>
  <c r="AA19" i="5"/>
  <c r="T34" i="5"/>
  <c r="AE7" i="5"/>
  <c r="AX46" i="5"/>
  <c r="M19" i="5"/>
  <c r="Z16" i="5"/>
  <c r="W10" i="5"/>
  <c r="M52" i="5"/>
  <c r="AW40" i="5"/>
  <c r="AW58" i="6"/>
  <c r="AA64" i="6"/>
  <c r="AM43" i="5"/>
  <c r="AF73" i="6"/>
  <c r="Q13" i="6"/>
  <c r="I55" i="5"/>
  <c r="W13" i="6"/>
  <c r="P61" i="6"/>
  <c r="AG28" i="6"/>
  <c r="AG91" i="5"/>
  <c r="Y64" i="5"/>
  <c r="AN73" i="5"/>
  <c r="S67" i="5"/>
  <c r="I94" i="6"/>
  <c r="AJ37" i="6"/>
  <c r="AG34" i="6"/>
  <c r="U55" i="6"/>
  <c r="L13" i="6"/>
  <c r="E91" i="6"/>
  <c r="AM4" i="6"/>
  <c r="AW7" i="6"/>
  <c r="AF7" i="6"/>
  <c r="S46" i="5"/>
  <c r="AG85" i="5"/>
  <c r="G97" i="6"/>
  <c r="AN13" i="6"/>
  <c r="AM34" i="6"/>
  <c r="Z79" i="5"/>
  <c r="AV52" i="6"/>
  <c r="U55" i="5"/>
  <c r="G64" i="6"/>
  <c r="AB82" i="5"/>
  <c r="AS46" i="6"/>
  <c r="L43" i="6"/>
  <c r="AY52" i="6"/>
  <c r="C10" i="6"/>
  <c r="AH61" i="6"/>
  <c r="N40" i="6"/>
  <c r="N19" i="5"/>
  <c r="C34" i="6"/>
  <c r="AJ46" i="6"/>
  <c r="AW22" i="6"/>
  <c r="AK64" i="6"/>
  <c r="AC22" i="6"/>
  <c r="Z76" i="6"/>
  <c r="E13" i="6"/>
  <c r="AL49" i="5"/>
  <c r="AW49" i="6"/>
  <c r="AT31" i="6"/>
  <c r="AB37" i="6"/>
  <c r="C76" i="5"/>
  <c r="AA73" i="5"/>
  <c r="AL94" i="5"/>
  <c r="AS64" i="6"/>
  <c r="T67" i="6"/>
  <c r="AK64" i="5"/>
  <c r="AR64" i="5"/>
  <c r="T94" i="5"/>
  <c r="AS49" i="5"/>
  <c r="AQ85" i="5"/>
  <c r="AH91" i="5"/>
  <c r="AC28" i="6"/>
  <c r="AD73" i="6"/>
  <c r="AS7" i="6"/>
  <c r="C16" i="6"/>
  <c r="AP55" i="6"/>
  <c r="AE67" i="5"/>
  <c r="AV43" i="6"/>
  <c r="Y82" i="5"/>
  <c r="Q82" i="6"/>
  <c r="AC49" i="5"/>
  <c r="AI58" i="5"/>
  <c r="M70" i="5"/>
  <c r="M82" i="5"/>
  <c r="AD97" i="5"/>
  <c r="L79" i="5"/>
  <c r="AW55" i="5"/>
  <c r="AL16" i="6"/>
  <c r="I76" i="6"/>
  <c r="AQ64" i="6"/>
  <c r="AN82" i="6"/>
  <c r="Y79" i="6"/>
  <c r="AR67" i="6"/>
  <c r="C70" i="5"/>
  <c r="G37" i="6"/>
  <c r="AM61" i="5"/>
  <c r="S19" i="6"/>
  <c r="I25" i="6"/>
  <c r="AK49" i="5"/>
  <c r="K22" i="5"/>
  <c r="AV70" i="6"/>
  <c r="V79" i="5"/>
  <c r="M13" i="6"/>
  <c r="AA70" i="6"/>
  <c r="S97" i="6"/>
  <c r="AW19" i="6"/>
  <c r="AF40" i="5"/>
  <c r="AC46" i="6"/>
  <c r="AV79" i="6"/>
  <c r="Y13" i="6"/>
  <c r="V34" i="6"/>
  <c r="T88" i="5"/>
  <c r="K13" i="6"/>
  <c r="AW85" i="5"/>
  <c r="AG79" i="5"/>
  <c r="AU40" i="6"/>
  <c r="AL73" i="6"/>
  <c r="AL97" i="5"/>
  <c r="AT58" i="5"/>
  <c r="C97" i="6"/>
  <c r="AD34" i="6"/>
  <c r="R31" i="6"/>
  <c r="G46" i="5"/>
  <c r="AK85" i="5"/>
  <c r="AO34" i="5"/>
  <c r="AQ97" i="5"/>
  <c r="AQ28" i="6"/>
  <c r="AM82" i="5"/>
  <c r="P55" i="6"/>
  <c r="AJ82" i="5"/>
  <c r="W97" i="6"/>
  <c r="AQ19" i="6"/>
  <c r="R85" i="5"/>
  <c r="AQ37" i="6"/>
  <c r="AA67" i="5"/>
  <c r="M70" i="6"/>
  <c r="F55" i="6"/>
  <c r="J67" i="6"/>
  <c r="Y49" i="5"/>
  <c r="L97" i="5"/>
  <c r="AI70" i="5"/>
  <c r="AX85" i="5"/>
  <c r="AO31" i="6"/>
  <c r="AE70" i="5"/>
  <c r="AT25" i="6"/>
  <c r="AU37" i="5"/>
  <c r="AR91" i="5"/>
  <c r="H64" i="5"/>
  <c r="R49" i="6"/>
  <c r="AE61" i="5"/>
  <c r="X79" i="6"/>
  <c r="G64" i="5"/>
  <c r="AA4" i="6"/>
  <c r="AP61" i="6"/>
  <c r="AM82" i="6"/>
  <c r="AF85" i="6"/>
  <c r="L19" i="6"/>
  <c r="AK88" i="5"/>
  <c r="AH19" i="5"/>
  <c r="U37" i="5"/>
  <c r="R82" i="5"/>
  <c r="O37" i="5"/>
  <c r="L67" i="5"/>
  <c r="V37" i="6"/>
  <c r="S52" i="6"/>
  <c r="U40" i="6"/>
  <c r="AI52" i="6"/>
  <c r="O10" i="6"/>
  <c r="AA76" i="6"/>
  <c r="M25" i="5"/>
  <c r="Z91" i="5"/>
  <c r="M97" i="5"/>
  <c r="G73" i="5"/>
  <c r="AX58" i="5"/>
  <c r="AT13" i="6"/>
  <c r="AR40" i="5"/>
  <c r="Y52" i="6"/>
  <c r="E88" i="6"/>
  <c r="AI25" i="6"/>
  <c r="AO64" i="5"/>
  <c r="P43" i="6"/>
  <c r="AZ67" i="5"/>
  <c r="O49" i="6"/>
  <c r="K94" i="5"/>
  <c r="AF22" i="6"/>
  <c r="AB82" i="6"/>
  <c r="W55" i="5"/>
  <c r="AL25" i="5"/>
  <c r="AV76" i="5"/>
  <c r="V88" i="5"/>
  <c r="Y70" i="6"/>
  <c r="N4" i="5"/>
  <c r="T7" i="6"/>
  <c r="AY43" i="5"/>
  <c r="U34" i="6"/>
  <c r="AZ37" i="5"/>
  <c r="AD52" i="6"/>
  <c r="X34" i="5"/>
  <c r="Y16" i="5"/>
  <c r="AC46" i="5"/>
  <c r="C25" i="5"/>
  <c r="AH34" i="5"/>
  <c r="AW46" i="6"/>
  <c r="AM40" i="5"/>
  <c r="M4" i="5"/>
  <c r="AQ67" i="5"/>
  <c r="C73" i="6"/>
  <c r="AF31" i="5"/>
  <c r="T85" i="5"/>
  <c r="K40" i="6"/>
  <c r="AP64" i="5"/>
  <c r="AU25" i="5"/>
  <c r="AH88" i="5"/>
  <c r="J64" i="5"/>
  <c r="AA55" i="5"/>
  <c r="W43" i="5"/>
  <c r="AY46" i="6"/>
  <c r="AB52" i="5"/>
  <c r="AQ55" i="5"/>
  <c r="AQ40" i="6"/>
  <c r="Q25" i="5"/>
  <c r="AU88" i="6"/>
  <c r="U82" i="6"/>
  <c r="X91" i="6"/>
  <c r="AT61" i="5"/>
  <c r="AT52" i="5"/>
  <c r="AR94" i="6"/>
  <c r="AE46" i="6"/>
  <c r="AC79" i="6"/>
  <c r="AA76" i="5"/>
  <c r="AZ58" i="5"/>
  <c r="I58" i="5"/>
  <c r="AB85" i="5"/>
  <c r="AR31" i="6"/>
  <c r="AQ34" i="5"/>
  <c r="AX73" i="5"/>
  <c r="E55" i="5"/>
  <c r="AP73" i="6"/>
  <c r="E58" i="5"/>
  <c r="Q64" i="6"/>
  <c r="AB31" i="5"/>
  <c r="AQ4" i="6"/>
  <c r="AA46" i="6"/>
  <c r="AZ64" i="5"/>
  <c r="Q16" i="6"/>
  <c r="U43" i="6"/>
  <c r="AV19" i="6"/>
  <c r="AY10" i="5"/>
  <c r="AZ43" i="5"/>
  <c r="X31" i="5"/>
  <c r="AV28" i="5"/>
  <c r="AM13" i="5"/>
  <c r="AW13" i="5"/>
  <c r="AO52" i="5"/>
  <c r="AM34" i="5"/>
  <c r="Q46" i="5"/>
  <c r="AY49" i="5"/>
  <c r="M46" i="5"/>
  <c r="AV70" i="5"/>
  <c r="AX64" i="5"/>
  <c r="J16" i="6"/>
  <c r="AF28" i="5"/>
  <c r="N31" i="6"/>
  <c r="AO46" i="5"/>
  <c r="Z22" i="5"/>
  <c r="V13" i="5"/>
  <c r="AR19" i="5"/>
  <c r="AA7" i="5"/>
  <c r="AS58" i="5"/>
  <c r="R97" i="5"/>
  <c r="AS55" i="5"/>
  <c r="J25" i="6"/>
  <c r="J88" i="5"/>
  <c r="AE94" i="6"/>
  <c r="AQ70" i="6"/>
  <c r="AS61" i="5"/>
  <c r="Q61" i="5"/>
  <c r="AU34" i="5"/>
  <c r="AB34" i="5"/>
  <c r="I28" i="5"/>
  <c r="Q22" i="5"/>
  <c r="M43" i="5"/>
  <c r="N25" i="5"/>
  <c r="Q76" i="6"/>
  <c r="K46" i="5"/>
  <c r="AA10" i="6"/>
  <c r="N82" i="5"/>
  <c r="AO70" i="5"/>
  <c r="R76" i="5"/>
  <c r="AC67" i="5"/>
  <c r="AI52" i="5"/>
  <c r="AQ88" i="5"/>
  <c r="K34" i="6"/>
  <c r="J73" i="5"/>
  <c r="M82" i="6"/>
  <c r="AG22" i="6"/>
  <c r="AT28" i="5"/>
  <c r="AU94" i="6"/>
  <c r="AF94" i="6"/>
  <c r="W85" i="5"/>
  <c r="AQ61" i="5"/>
  <c r="AK58" i="5"/>
  <c r="AH28" i="5"/>
  <c r="AG73" i="5"/>
  <c r="Z25" i="6"/>
  <c r="H94" i="6"/>
  <c r="V19" i="5"/>
  <c r="AV61" i="6"/>
  <c r="AO19" i="6"/>
  <c r="G43" i="5"/>
  <c r="AK61" i="5"/>
  <c r="AK10" i="6"/>
  <c r="P76" i="5"/>
  <c r="I85" i="5"/>
  <c r="AV25" i="5"/>
  <c r="AA16" i="5"/>
  <c r="AH4" i="5"/>
  <c r="X82" i="5"/>
  <c r="AK7" i="5"/>
  <c r="AB49" i="5"/>
  <c r="AP22" i="5"/>
  <c r="AF37" i="5"/>
  <c r="F7" i="5"/>
  <c r="F19" i="5"/>
  <c r="AT79" i="5"/>
  <c r="M61" i="5"/>
  <c r="AL64" i="5"/>
  <c r="AJ37" i="5"/>
  <c r="AZ4" i="5"/>
  <c r="AH25" i="5"/>
  <c r="AS10" i="5"/>
  <c r="AC28" i="5"/>
  <c r="AU58" i="6"/>
  <c r="S16" i="6"/>
  <c r="AA91" i="5"/>
  <c r="G22" i="5"/>
  <c r="V73" i="5"/>
  <c r="AP64" i="6"/>
  <c r="AV43" i="5"/>
  <c r="AA10" i="5"/>
  <c r="AR88" i="5"/>
  <c r="AU85" i="5"/>
  <c r="R16" i="5"/>
  <c r="X25" i="5"/>
  <c r="AA13" i="5"/>
  <c r="AB10" i="5"/>
  <c r="E91" i="5"/>
  <c r="AE7" i="6"/>
  <c r="I28" i="6"/>
  <c r="AD49" i="5"/>
  <c r="AA85" i="5"/>
  <c r="P7" i="6"/>
  <c r="AY64" i="5"/>
  <c r="AL28" i="6"/>
  <c r="AS70" i="5"/>
  <c r="AU91" i="5"/>
  <c r="AQ76" i="6"/>
  <c r="Y7" i="6"/>
  <c r="H88" i="5"/>
  <c r="R73" i="5"/>
  <c r="AA40" i="6"/>
  <c r="AU58" i="5"/>
  <c r="AX55" i="6"/>
  <c r="AJ31" i="6"/>
  <c r="O19" i="5"/>
  <c r="L28" i="5"/>
  <c r="AK73" i="5"/>
  <c r="Q58" i="5"/>
  <c r="P19" i="6"/>
  <c r="AI64" i="5"/>
  <c r="AK16" i="6"/>
  <c r="X7" i="6"/>
  <c r="AB4" i="5"/>
  <c r="V46" i="5"/>
  <c r="AU61" i="5"/>
  <c r="Q28" i="5"/>
  <c r="M13" i="5"/>
  <c r="F55" i="5"/>
  <c r="X67" i="5"/>
  <c r="V82" i="5"/>
  <c r="K70" i="5"/>
  <c r="AY16" i="6"/>
  <c r="L16" i="5"/>
  <c r="AG28" i="5"/>
  <c r="L25" i="5"/>
  <c r="AR61" i="6"/>
  <c r="AK79" i="5"/>
  <c r="AK58" i="6"/>
  <c r="Q97" i="5"/>
  <c r="AT43" i="5"/>
  <c r="AZ13" i="6"/>
  <c r="AZ22" i="5"/>
  <c r="E37" i="5"/>
  <c r="F10" i="5"/>
  <c r="AP10" i="5"/>
  <c r="AG7" i="6"/>
  <c r="AS82" i="6"/>
  <c r="K85" i="5"/>
  <c r="F46" i="5"/>
  <c r="AJ61" i="6"/>
  <c r="R28" i="5"/>
  <c r="AZ52" i="5"/>
  <c r="AP94" i="5"/>
  <c r="H70" i="5"/>
  <c r="Q7" i="6"/>
  <c r="AA25" i="6"/>
  <c r="L70" i="5"/>
  <c r="AE58" i="5"/>
  <c r="AP97" i="5"/>
  <c r="AE16" i="6"/>
  <c r="AX37" i="6"/>
  <c r="K43" i="6"/>
  <c r="N34" i="6"/>
  <c r="AR31" i="5"/>
  <c r="AC55" i="5"/>
  <c r="AP13" i="6"/>
  <c r="AD4" i="6"/>
  <c r="O64" i="5"/>
  <c r="AN34" i="5"/>
  <c r="AV67" i="6"/>
  <c r="AO43" i="5"/>
  <c r="J37" i="5"/>
  <c r="E40" i="6"/>
  <c r="S40" i="5"/>
  <c r="O55" i="5"/>
  <c r="AU70" i="6"/>
  <c r="L37" i="5"/>
  <c r="Q13" i="5"/>
  <c r="K19" i="5"/>
  <c r="Y22" i="5"/>
  <c r="I13" i="5"/>
  <c r="Y64" i="6"/>
  <c r="AX40" i="5"/>
  <c r="Q34" i="5"/>
  <c r="AR73" i="5"/>
  <c r="AR70" i="5"/>
  <c r="G61" i="5"/>
  <c r="AP43" i="5"/>
  <c r="V37" i="5"/>
  <c r="C40" i="5"/>
  <c r="V16" i="5"/>
  <c r="L4" i="5"/>
  <c r="T4" i="5"/>
  <c r="AJ22" i="5"/>
  <c r="AZ19" i="6"/>
  <c r="AF67" i="5"/>
  <c r="AB31" i="6"/>
  <c r="Y46" i="6"/>
  <c r="S28" i="6"/>
  <c r="AV73" i="5"/>
  <c r="AG64" i="6"/>
  <c r="W10" i="6"/>
  <c r="AL16" i="5"/>
  <c r="H10" i="6"/>
  <c r="E16" i="6"/>
  <c r="AX31" i="5"/>
  <c r="P91" i="5"/>
  <c r="Q55" i="5"/>
  <c r="AA85" i="6"/>
  <c r="E85" i="5"/>
  <c r="K91" i="5"/>
  <c r="AE22" i="6"/>
  <c r="AE64" i="5"/>
  <c r="T28" i="5"/>
  <c r="AF37" i="6"/>
  <c r="AU97" i="5"/>
  <c r="AH61" i="5"/>
  <c r="N37" i="5"/>
  <c r="AQ10" i="6"/>
  <c r="U46" i="5"/>
  <c r="AO40" i="5"/>
  <c r="O52" i="5"/>
  <c r="X58" i="6"/>
  <c r="AE34" i="5"/>
  <c r="AQ25" i="6"/>
  <c r="AY13" i="5"/>
  <c r="V85" i="6"/>
  <c r="AK46" i="5"/>
  <c r="AI10" i="5"/>
  <c r="AA28" i="5"/>
  <c r="AQ4" i="5"/>
  <c r="N88" i="6"/>
  <c r="R67" i="5"/>
  <c r="AA64" i="5"/>
  <c r="Z52" i="5"/>
  <c r="AL4" i="6"/>
  <c r="AW22" i="5"/>
  <c r="N52" i="6"/>
  <c r="AL4" i="5"/>
  <c r="K70" i="6"/>
  <c r="AS52" i="5"/>
  <c r="AP4" i="5"/>
  <c r="AV34" i="6"/>
  <c r="AN31" i="5"/>
  <c r="AF94" i="5"/>
  <c r="U58" i="5"/>
  <c r="AN55" i="6"/>
  <c r="AT88" i="5"/>
  <c r="O16" i="6"/>
  <c r="F16" i="6"/>
  <c r="AY49" i="6"/>
  <c r="E97" i="5"/>
  <c r="AN88" i="5"/>
  <c r="AG58" i="6"/>
  <c r="G85" i="6"/>
  <c r="AB58" i="6"/>
  <c r="F40" i="6"/>
  <c r="AZ61" i="6"/>
  <c r="W37" i="5"/>
  <c r="O22" i="5"/>
  <c r="E34" i="5"/>
  <c r="X46" i="6"/>
  <c r="AZ40" i="5"/>
  <c r="V4" i="6"/>
  <c r="AN46" i="6"/>
  <c r="H94" i="5"/>
  <c r="AJ49" i="6"/>
  <c r="AB94" i="5"/>
  <c r="E13" i="5"/>
  <c r="AY34" i="5"/>
  <c r="AR79" i="5"/>
  <c r="AL55" i="5"/>
  <c r="AF70" i="6"/>
  <c r="AA4" i="5"/>
  <c r="O13" i="5"/>
  <c r="AD13" i="5"/>
  <c r="V19" i="6"/>
  <c r="V25" i="5"/>
  <c r="R13" i="5"/>
  <c r="AG7" i="5"/>
  <c r="AD25" i="5"/>
  <c r="AS7" i="5"/>
  <c r="AU7" i="5"/>
  <c r="AE91" i="5"/>
  <c r="AC22" i="5"/>
  <c r="AE25" i="5"/>
  <c r="AR49" i="5"/>
  <c r="AV22" i="5"/>
  <c r="AR13" i="5"/>
  <c r="W7" i="5"/>
  <c r="AF25" i="5"/>
  <c r="Y37" i="6"/>
  <c r="AH76" i="5"/>
  <c r="AD28" i="5"/>
  <c r="Q70" i="5"/>
  <c r="G82" i="6"/>
  <c r="G82" i="5"/>
  <c r="H28" i="5"/>
  <c r="AG31" i="5"/>
  <c r="AA49" i="5"/>
  <c r="K49" i="5"/>
  <c r="AQ28" i="5"/>
  <c r="AW7" i="5"/>
  <c r="AZ7" i="5"/>
  <c r="AX13" i="5"/>
  <c r="J13" i="6"/>
  <c r="H46" i="6"/>
  <c r="AT13" i="5"/>
  <c r="Q7" i="5"/>
  <c r="AZ91" i="5"/>
  <c r="AS4" i="5"/>
  <c r="R4" i="5"/>
  <c r="W91" i="5"/>
  <c r="AO31" i="5"/>
  <c r="F13" i="5"/>
  <c r="Q40" i="5"/>
  <c r="AU37" i="6"/>
  <c r="AJ7" i="6"/>
  <c r="Y40" i="5"/>
  <c r="X55" i="6"/>
  <c r="Y73" i="5"/>
  <c r="Y19" i="5"/>
  <c r="AM40" i="6"/>
  <c r="AS85" i="5"/>
  <c r="G94" i="5"/>
  <c r="AX76" i="6"/>
  <c r="K40" i="5"/>
  <c r="AX43" i="5"/>
  <c r="AK40" i="5"/>
  <c r="I61" i="5"/>
  <c r="O46" i="5"/>
  <c r="P25" i="5"/>
  <c r="AY28" i="5"/>
  <c r="AP37" i="5"/>
  <c r="Q43" i="5"/>
  <c r="O25" i="5"/>
  <c r="P49" i="5"/>
  <c r="S4" i="5"/>
  <c r="E7" i="5"/>
  <c r="J16" i="5"/>
  <c r="H16" i="5"/>
  <c r="H22" i="5"/>
  <c r="I7" i="5"/>
  <c r="J34" i="5"/>
  <c r="AF76" i="5"/>
  <c r="AP31" i="5"/>
  <c r="K4" i="6"/>
  <c r="W13" i="5"/>
  <c r="AS34" i="6"/>
  <c r="AN37" i="5"/>
  <c r="AH13" i="6"/>
  <c r="AG94" i="6"/>
  <c r="F91" i="6"/>
  <c r="AL76" i="6"/>
  <c r="E67" i="5"/>
  <c r="X76" i="5"/>
  <c r="P13" i="6"/>
  <c r="AD43" i="5"/>
  <c r="H55" i="5"/>
  <c r="AG10" i="6"/>
  <c r="C64" i="5"/>
  <c r="AN16" i="6"/>
  <c r="AT28" i="6"/>
  <c r="I67" i="5"/>
  <c r="AU16" i="6"/>
  <c r="AM10" i="6"/>
  <c r="N97" i="6"/>
  <c r="AB19" i="6"/>
  <c r="AG13" i="6"/>
  <c r="H31" i="5"/>
  <c r="L55" i="5"/>
  <c r="AA13" i="6"/>
  <c r="G52" i="6"/>
  <c r="AX19" i="5"/>
  <c r="Y94" i="6"/>
  <c r="V55" i="6"/>
  <c r="AI85" i="5"/>
  <c r="H4" i="5"/>
  <c r="N28" i="5"/>
  <c r="N73" i="5"/>
  <c r="AG43" i="5"/>
  <c r="AJ10" i="6"/>
  <c r="AA43" i="6"/>
  <c r="AR10" i="5"/>
  <c r="F61" i="5"/>
  <c r="AV49" i="5"/>
  <c r="O49" i="5"/>
  <c r="AW16" i="5"/>
  <c r="AM49" i="5"/>
  <c r="AC61" i="5"/>
  <c r="Q73" i="5"/>
  <c r="AF46" i="6"/>
  <c r="AX28" i="5"/>
  <c r="AU73" i="5"/>
  <c r="R4" i="6"/>
  <c r="J40" i="5"/>
  <c r="AV4" i="5"/>
  <c r="S43" i="5"/>
  <c r="AP16" i="5"/>
  <c r="AU16" i="5"/>
  <c r="AX10" i="5"/>
  <c r="AB91" i="5"/>
  <c r="AF10" i="6"/>
  <c r="AM13" i="6"/>
  <c r="AD13" i="6"/>
  <c r="AO94" i="6"/>
  <c r="P37" i="6"/>
  <c r="AU4" i="6"/>
  <c r="AS88" i="5"/>
  <c r="Q88" i="6"/>
  <c r="M46" i="6"/>
  <c r="X49" i="6"/>
  <c r="AH88" i="6"/>
  <c r="AW40" i="6"/>
  <c r="I70" i="6"/>
  <c r="AE37" i="5"/>
  <c r="AZ43" i="6"/>
  <c r="AE73" i="5"/>
  <c r="AP19" i="6"/>
  <c r="M10" i="6"/>
  <c r="AD40" i="5"/>
  <c r="AO28" i="6"/>
  <c r="R19" i="5"/>
  <c r="L10" i="6"/>
  <c r="C28" i="5"/>
  <c r="V61" i="5"/>
  <c r="AU49" i="5"/>
  <c r="AD34" i="5"/>
  <c r="AB73" i="6"/>
  <c r="H7" i="5"/>
  <c r="F16" i="5"/>
  <c r="AK4" i="5"/>
  <c r="AK19" i="5"/>
  <c r="AS58" i="6"/>
  <c r="AP91" i="5"/>
  <c r="AA43" i="5"/>
  <c r="Z13" i="5"/>
  <c r="Z34" i="5"/>
  <c r="AE85" i="5"/>
  <c r="Q31" i="6"/>
  <c r="AJ31" i="5"/>
  <c r="AO79" i="5"/>
  <c r="AJ79" i="5"/>
  <c r="P94" i="5"/>
  <c r="AJ52" i="5"/>
  <c r="T19" i="5"/>
  <c r="X58" i="5"/>
  <c r="F40" i="5"/>
  <c r="AY25" i="6"/>
  <c r="AB76" i="5"/>
  <c r="V43" i="6"/>
  <c r="AE88" i="6"/>
  <c r="Q49" i="5"/>
  <c r="L31" i="5"/>
  <c r="X13" i="6"/>
  <c r="AN79" i="5"/>
  <c r="X94" i="5"/>
  <c r="AA61" i="5"/>
  <c r="I4" i="6"/>
  <c r="U10" i="6"/>
  <c r="O22" i="6"/>
  <c r="AS73" i="5"/>
  <c r="K61" i="5"/>
  <c r="C4" i="6"/>
  <c r="T91" i="5"/>
  <c r="N64" i="5"/>
  <c r="Q79" i="6"/>
  <c r="C82" i="5"/>
  <c r="L88" i="5"/>
  <c r="AL7" i="5"/>
  <c r="Z67" i="6"/>
  <c r="AK43" i="6"/>
  <c r="C4" i="5"/>
  <c r="K34" i="5"/>
  <c r="X22" i="5"/>
  <c r="K7" i="5"/>
  <c r="AY4" i="6"/>
  <c r="P28" i="5"/>
  <c r="V4" i="5"/>
  <c r="AP25" i="6"/>
  <c r="T55" i="5"/>
  <c r="Y10" i="5"/>
  <c r="AC43" i="5"/>
  <c r="C16" i="5"/>
  <c r="Z40" i="5"/>
  <c r="X46" i="5"/>
  <c r="E19" i="6"/>
  <c r="Y97" i="5"/>
  <c r="AK34" i="5"/>
  <c r="AD91" i="5"/>
  <c r="Z73" i="6"/>
  <c r="I79" i="5"/>
  <c r="AR34" i="6"/>
  <c r="P22" i="5"/>
  <c r="S58" i="5"/>
  <c r="H13" i="5"/>
  <c r="Z76" i="5"/>
  <c r="N76" i="6"/>
  <c r="AL64" i="6"/>
  <c r="AQ49" i="5"/>
  <c r="AT43" i="6"/>
  <c r="O61" i="5"/>
  <c r="M22" i="6"/>
  <c r="AT97" i="5"/>
  <c r="W73" i="5"/>
  <c r="W31" i="6"/>
  <c r="AD46" i="6"/>
  <c r="AF43" i="6"/>
  <c r="AK25" i="5"/>
  <c r="AN46" i="5"/>
  <c r="F13" i="6"/>
  <c r="N67" i="6"/>
  <c r="X4" i="6"/>
  <c r="AG4" i="6"/>
  <c r="Q25" i="6"/>
  <c r="X25" i="6"/>
  <c r="AA97" i="5"/>
  <c r="N52" i="5"/>
  <c r="AP58" i="5"/>
  <c r="AT73" i="5"/>
  <c r="AN97" i="5"/>
  <c r="AZ67" i="6"/>
  <c r="AC58" i="6"/>
  <c r="AR85" i="5"/>
  <c r="V58" i="5"/>
  <c r="R55" i="5"/>
  <c r="T43" i="6"/>
  <c r="R13" i="6"/>
  <c r="P64" i="5"/>
  <c r="J28" i="6"/>
  <c r="AH76" i="6"/>
  <c r="AX76" i="5"/>
  <c r="AV52" i="5"/>
  <c r="AS46" i="5"/>
  <c r="AJ58" i="5"/>
  <c r="T52" i="5"/>
  <c r="AO61" i="5"/>
  <c r="AG94" i="5"/>
  <c r="X40" i="5"/>
  <c r="L94" i="5"/>
  <c r="AQ40" i="5"/>
  <c r="I43" i="5"/>
  <c r="AR7" i="5"/>
  <c r="E40" i="5"/>
  <c r="I76" i="5"/>
  <c r="M34" i="5"/>
  <c r="AD88" i="5"/>
  <c r="R49" i="5"/>
  <c r="Y19" i="6"/>
  <c r="AN25" i="6"/>
  <c r="G58" i="5"/>
  <c r="AH31" i="5"/>
  <c r="AV16" i="5"/>
  <c r="P4" i="5"/>
  <c r="AB46" i="5"/>
  <c r="I34" i="5"/>
  <c r="AZ55" i="6"/>
  <c r="AZ76" i="5"/>
  <c r="U19" i="6"/>
  <c r="E22" i="6"/>
  <c r="AY64" i="6"/>
  <c r="W46" i="5"/>
  <c r="AJ70" i="6"/>
  <c r="F19" i="6"/>
  <c r="AH79" i="5"/>
  <c r="AB40" i="5"/>
  <c r="U7" i="6"/>
  <c r="Y67" i="6"/>
  <c r="AV91" i="5"/>
  <c r="AB70" i="5"/>
  <c r="V16" i="6"/>
  <c r="AL85" i="5"/>
  <c r="Y16" i="6"/>
  <c r="X31" i="6"/>
  <c r="AY25" i="5"/>
  <c r="J25" i="5"/>
  <c r="AJ85" i="5"/>
  <c r="S40" i="6"/>
  <c r="AM4" i="5"/>
  <c r="AD55" i="5"/>
  <c r="H40" i="6"/>
  <c r="AO19" i="5"/>
  <c r="Z28" i="5"/>
  <c r="G4" i="5"/>
  <c r="AM31" i="5"/>
  <c r="L46" i="5"/>
  <c r="AQ70" i="5"/>
  <c r="AG16" i="5"/>
  <c r="AF34" i="5"/>
  <c r="X28" i="5"/>
  <c r="AK94" i="5"/>
  <c r="AK88" i="6"/>
  <c r="U85" i="5"/>
  <c r="P85" i="5"/>
  <c r="V67" i="5"/>
  <c r="AG58" i="5"/>
  <c r="AP7" i="5"/>
  <c r="Z37" i="6"/>
  <c r="AD16" i="6"/>
  <c r="AZ34" i="5"/>
  <c r="AB88" i="5"/>
  <c r="W28" i="5"/>
  <c r="AY10" i="6"/>
  <c r="Q58" i="6"/>
  <c r="O91" i="5"/>
  <c r="P31" i="5"/>
  <c r="AV40" i="5"/>
  <c r="AI58" i="6"/>
  <c r="T64" i="5"/>
  <c r="Z19" i="6"/>
  <c r="AY97" i="5"/>
  <c r="V40" i="6"/>
  <c r="V52" i="5"/>
  <c r="V61" i="6"/>
  <c r="H85" i="5"/>
  <c r="AT82" i="5"/>
  <c r="U97" i="5"/>
  <c r="AI40" i="6"/>
  <c r="AV91" i="6"/>
  <c r="Z49" i="5"/>
  <c r="T31" i="6"/>
  <c r="U46" i="6"/>
  <c r="Q34" i="6"/>
  <c r="S34" i="5"/>
  <c r="U22" i="5"/>
  <c r="Z31" i="5"/>
  <c r="T55" i="6"/>
  <c r="K28" i="5"/>
  <c r="K97" i="5"/>
  <c r="V31" i="6"/>
  <c r="AT31" i="5"/>
  <c r="Q22" i="6"/>
  <c r="AQ16" i="5"/>
  <c r="C73" i="5"/>
  <c r="AN43" i="5"/>
  <c r="V28" i="6"/>
  <c r="Y43" i="5"/>
  <c r="AW28" i="5"/>
  <c r="AW10" i="5"/>
  <c r="F52" i="5"/>
  <c r="P67" i="6"/>
  <c r="AW25" i="5"/>
  <c r="X79" i="5"/>
  <c r="AP73" i="5"/>
  <c r="AG67" i="5"/>
  <c r="G34" i="5"/>
  <c r="C34" i="5"/>
  <c r="I52" i="5"/>
  <c r="AE19" i="5"/>
  <c r="AX55" i="5"/>
  <c r="AV55" i="5"/>
  <c r="AK97" i="5"/>
  <c r="K73" i="5"/>
  <c r="AI85" i="6"/>
  <c r="AI49" i="6"/>
  <c r="Z19" i="5"/>
  <c r="AD79" i="5"/>
  <c r="T49" i="5"/>
  <c r="X70" i="5"/>
  <c r="AQ22" i="6"/>
  <c r="AO55" i="6"/>
  <c r="M37" i="5"/>
  <c r="AZ88" i="5"/>
  <c r="R61" i="6"/>
  <c r="W64" i="5"/>
  <c r="AL82" i="5"/>
  <c r="Y43" i="6"/>
  <c r="L73" i="5"/>
  <c r="AI19" i="6"/>
  <c r="AW34" i="5"/>
  <c r="R52" i="5"/>
  <c r="H55" i="6"/>
  <c r="AC70" i="6"/>
  <c r="AD19" i="5"/>
  <c r="AU4" i="5"/>
  <c r="E52" i="5"/>
  <c r="AG61" i="5"/>
  <c r="T22" i="6"/>
  <c r="O13" i="6"/>
  <c r="AT4" i="5"/>
  <c r="AM85" i="5"/>
  <c r="S73" i="6"/>
  <c r="N28" i="6"/>
  <c r="S22" i="5"/>
  <c r="H79" i="6"/>
  <c r="AN52" i="5"/>
  <c r="U70" i="6"/>
  <c r="AL13" i="6"/>
  <c r="AM28" i="5"/>
  <c r="AC52" i="6"/>
  <c r="E73" i="5"/>
  <c r="AK70" i="5"/>
  <c r="R19" i="6"/>
  <c r="G37" i="5"/>
  <c r="AG40" i="6"/>
  <c r="AL19" i="6"/>
  <c r="AA82" i="5"/>
  <c r="AO97" i="5"/>
  <c r="AA31" i="5"/>
  <c r="AR7" i="6"/>
  <c r="AY85" i="5"/>
  <c r="F73" i="5"/>
  <c r="AL61" i="5"/>
  <c r="J7" i="5"/>
  <c r="AR55" i="6"/>
  <c r="AT85" i="5"/>
  <c r="AM58" i="6"/>
  <c r="G76" i="6"/>
  <c r="AY61" i="5"/>
  <c r="C40" i="6"/>
  <c r="AW58" i="5"/>
  <c r="L49" i="6"/>
  <c r="AV13" i="6"/>
  <c r="Q10" i="6"/>
  <c r="F43" i="5"/>
  <c r="F79" i="5"/>
  <c r="AW82" i="5"/>
  <c r="AA22" i="6"/>
  <c r="AI25" i="5"/>
  <c r="AH16" i="5"/>
  <c r="AZ49" i="5"/>
  <c r="AZ49" i="6"/>
  <c r="Y7" i="5"/>
  <c r="AT16" i="6"/>
  <c r="U70" i="5"/>
  <c r="O43" i="5"/>
  <c r="G16" i="6"/>
  <c r="AY34" i="6"/>
  <c r="AW79" i="5"/>
  <c r="AE10" i="5"/>
  <c r="AX31" i="6"/>
  <c r="K16" i="5"/>
  <c r="O7" i="5"/>
  <c r="AH7" i="5"/>
  <c r="O97" i="5"/>
  <c r="M43" i="6"/>
  <c r="I67" i="6"/>
  <c r="AC76" i="6"/>
  <c r="F43" i="6"/>
  <c r="AW43" i="6"/>
  <c r="S31" i="5"/>
  <c r="AQ25" i="5"/>
  <c r="T37" i="5"/>
  <c r="AL34" i="5"/>
  <c r="AW37" i="5"/>
  <c r="U52" i="5"/>
  <c r="T10" i="5"/>
  <c r="AY7" i="5"/>
  <c r="AT46" i="5"/>
  <c r="AX7" i="5"/>
  <c r="AX88" i="5"/>
  <c r="F25" i="5"/>
  <c r="J79" i="5"/>
  <c r="H43" i="5"/>
  <c r="R64" i="5"/>
  <c r="AO55" i="5"/>
  <c r="AZ16" i="5"/>
  <c r="U19" i="5"/>
  <c r="AM25" i="5"/>
  <c r="P70" i="5"/>
  <c r="C43" i="5"/>
  <c r="S19" i="5"/>
  <c r="J55" i="5"/>
  <c r="AS76" i="6"/>
  <c r="R25" i="5"/>
  <c r="N40" i="5"/>
  <c r="U16" i="5"/>
  <c r="M10" i="5"/>
  <c r="E61" i="5"/>
  <c r="AD16" i="5"/>
  <c r="AQ58" i="5"/>
  <c r="AA70" i="5"/>
  <c r="AA28" i="6"/>
  <c r="C13" i="5"/>
  <c r="AK16" i="5"/>
  <c r="AB55" i="5"/>
  <c r="V55" i="5"/>
  <c r="AL19" i="5"/>
  <c r="O28" i="5"/>
  <c r="AU22" i="6"/>
  <c r="C31" i="5"/>
  <c r="AQ7" i="5"/>
  <c r="P10" i="6"/>
  <c r="P19" i="5"/>
  <c r="T22" i="5"/>
  <c r="AQ13" i="5"/>
  <c r="AD46" i="5"/>
  <c r="AO25" i="5"/>
  <c r="AS43" i="5"/>
  <c r="C10" i="5"/>
  <c r="J61" i="5"/>
  <c r="AQ13" i="6"/>
  <c r="AE13" i="5"/>
  <c r="L25" i="6"/>
  <c r="G10" i="5"/>
  <c r="AC4" i="5"/>
  <c r="AV58" i="5"/>
  <c r="AF7" i="5"/>
  <c r="AB7" i="5"/>
  <c r="G55" i="5"/>
  <c r="AK31" i="5"/>
  <c r="AG19" i="5"/>
  <c r="AE31" i="5"/>
  <c r="Y4" i="5"/>
  <c r="L43" i="5"/>
  <c r="F4" i="6"/>
  <c r="H49" i="6"/>
  <c r="P10" i="5"/>
  <c r="AQ22" i="5"/>
  <c r="AO85" i="5"/>
  <c r="M58" i="5"/>
  <c r="AJ34" i="5"/>
  <c r="AU13" i="5"/>
  <c r="C7" i="5"/>
  <c r="Q4" i="5"/>
  <c r="P70" i="6"/>
  <c r="N88" i="5"/>
  <c r="AP40" i="5"/>
  <c r="I37" i="5"/>
  <c r="E28" i="5"/>
  <c r="F34" i="5"/>
  <c r="AC52" i="5"/>
  <c r="Q16" i="5"/>
  <c r="E22" i="5"/>
  <c r="AM58" i="5"/>
  <c r="P43" i="5"/>
  <c r="AL73" i="5"/>
  <c r="AP13" i="5"/>
  <c r="P7" i="5"/>
  <c r="G7" i="5"/>
  <c r="AI7" i="5"/>
  <c r="R34" i="5"/>
  <c r="J22" i="5"/>
  <c r="AP49" i="6"/>
  <c r="AB25" i="5"/>
  <c r="AN16" i="5"/>
  <c r="O40" i="6"/>
  <c r="AD37" i="5"/>
  <c r="J46" i="5"/>
  <c r="W49" i="5"/>
  <c r="AO10" i="5"/>
  <c r="S76" i="6"/>
  <c r="I46" i="5"/>
  <c r="AS4" i="6"/>
  <c r="E67" i="6"/>
  <c r="AM7" i="5"/>
  <c r="AG91" i="6"/>
  <c r="U43" i="5"/>
  <c r="Q4" i="6"/>
  <c r="AJ49" i="5"/>
  <c r="AH10" i="5"/>
  <c r="AF61" i="6"/>
  <c r="AD55" i="6"/>
  <c r="AF19" i="6"/>
  <c r="AB67" i="5"/>
  <c r="N19" i="6"/>
  <c r="AD19" i="6"/>
  <c r="AO67" i="6"/>
  <c r="AG97" i="5"/>
  <c r="G70" i="5"/>
  <c r="J49" i="6"/>
  <c r="R61" i="5"/>
  <c r="AD10" i="5"/>
  <c r="AH40" i="5"/>
  <c r="AJ91" i="6"/>
  <c r="AD97" i="6"/>
  <c r="AT55" i="5"/>
  <c r="N58" i="5"/>
  <c r="I31" i="6"/>
  <c r="I16" i="6"/>
  <c r="N55" i="6"/>
  <c r="AV67" i="5"/>
  <c r="AA37" i="5"/>
  <c r="AW52" i="5"/>
  <c r="AF58" i="5"/>
  <c r="AG82" i="5"/>
  <c r="AY55" i="5"/>
  <c r="AA37" i="6"/>
  <c r="AA34" i="5"/>
  <c r="AZ55" i="5"/>
  <c r="AK46" i="6"/>
  <c r="W58" i="5"/>
  <c r="Z16" i="6"/>
  <c r="E49" i="5"/>
  <c r="V43" i="5"/>
  <c r="AG52" i="5"/>
  <c r="AM16" i="5"/>
  <c r="AO40" i="6"/>
  <c r="AJ79" i="6"/>
  <c r="Q67" i="6"/>
  <c r="V7" i="5"/>
  <c r="AT49" i="6"/>
  <c r="AS70" i="6"/>
  <c r="AF16" i="6"/>
  <c r="AM46" i="5"/>
  <c r="AD43" i="6"/>
  <c r="AA94" i="5"/>
  <c r="AJ88" i="5"/>
  <c r="L76" i="5"/>
  <c r="J7" i="6"/>
  <c r="AO73" i="5"/>
  <c r="V28" i="5"/>
  <c r="W70" i="5"/>
  <c r="N25" i="6"/>
  <c r="AU25" i="6"/>
  <c r="AM52" i="6"/>
  <c r="J28" i="5"/>
  <c r="W40" i="5"/>
  <c r="AF70" i="5"/>
  <c r="P34" i="6"/>
  <c r="S22" i="6"/>
  <c r="Y85" i="5"/>
  <c r="AQ10" i="5"/>
  <c r="AJ10" i="5"/>
  <c r="AT76" i="5"/>
  <c r="AL31" i="5"/>
  <c r="AF43" i="5"/>
  <c r="Y34" i="5"/>
  <c r="AH28" i="6"/>
  <c r="AC40" i="5"/>
  <c r="AU13" i="6"/>
  <c r="AK91" i="6"/>
  <c r="AW97" i="5"/>
  <c r="AN58" i="6"/>
  <c r="AC10" i="6"/>
  <c r="AL67" i="5"/>
  <c r="G28" i="6"/>
  <c r="H67" i="5"/>
  <c r="T13" i="6"/>
  <c r="N10" i="5"/>
  <c r="AU43" i="5"/>
  <c r="AV94" i="5"/>
  <c r="AC19" i="5"/>
  <c r="C19" i="5"/>
  <c r="O4" i="5"/>
  <c r="P37" i="5"/>
  <c r="Q31" i="5"/>
  <c r="AD22" i="5"/>
  <c r="AQ46" i="6"/>
  <c r="F64" i="5"/>
  <c r="AV34" i="5"/>
  <c r="S7" i="5"/>
  <c r="G13" i="5"/>
  <c r="F64" i="6"/>
  <c r="AQ76" i="5"/>
  <c r="AU28" i="5"/>
  <c r="Z67" i="5"/>
  <c r="AY58" i="5"/>
  <c r="AR16" i="5"/>
  <c r="AM55" i="5"/>
  <c r="Y28" i="5"/>
  <c r="I22" i="5"/>
  <c r="H52" i="5"/>
  <c r="C55" i="5"/>
  <c r="AD4" i="5"/>
  <c r="AB28" i="5"/>
  <c r="AM19" i="5"/>
  <c r="AN22" i="5"/>
  <c r="P16" i="5"/>
  <c r="AK13" i="5"/>
  <c r="AZ28" i="5"/>
  <c r="AM37" i="5"/>
  <c r="S25" i="5"/>
  <c r="AB10" i="6"/>
  <c r="Z55" i="5"/>
  <c r="E46" i="5"/>
  <c r="AP34" i="5"/>
  <c r="AS16" i="5"/>
  <c r="T25" i="5"/>
  <c r="AI4" i="5"/>
  <c r="L13" i="5"/>
  <c r="W85" i="6"/>
  <c r="AY94" i="5"/>
  <c r="Q10" i="5"/>
  <c r="C58" i="5"/>
  <c r="AT37" i="5"/>
  <c r="AR25" i="5"/>
  <c r="H10" i="5"/>
  <c r="AD64" i="5"/>
  <c r="AE13" i="6"/>
  <c r="AH37" i="5"/>
  <c r="E10" i="5"/>
  <c r="L52" i="5"/>
  <c r="AV19" i="5"/>
  <c r="AS37" i="5"/>
  <c r="AI49" i="5"/>
  <c r="AJ4" i="5"/>
  <c r="AN49" i="5"/>
  <c r="O34" i="5"/>
  <c r="AJ16" i="5"/>
  <c r="M7" i="5"/>
  <c r="AI37" i="5"/>
  <c r="AC10" i="5"/>
  <c r="AW19" i="5"/>
  <c r="AT64" i="5"/>
  <c r="AF19" i="5"/>
  <c r="O73" i="5"/>
  <c r="AK52" i="5"/>
  <c r="AI61" i="5"/>
  <c r="AC13" i="5"/>
  <c r="AZ13" i="5"/>
  <c r="AT55" i="6"/>
  <c r="AR43" i="6"/>
  <c r="AV31" i="5"/>
  <c r="P40" i="5"/>
  <c r="AZ25" i="5"/>
  <c r="V40" i="5"/>
  <c r="W31" i="5"/>
  <c r="AR34" i="5"/>
  <c r="V76" i="5"/>
  <c r="AP37" i="6"/>
  <c r="U61" i="5"/>
  <c r="AX16" i="5"/>
  <c r="AC37" i="5"/>
  <c r="U31" i="5"/>
  <c r="P34" i="5"/>
  <c r="AP46" i="5"/>
  <c r="AR28" i="5"/>
  <c r="W34" i="5"/>
  <c r="AI55" i="5"/>
  <c r="W16" i="5"/>
  <c r="K25" i="5"/>
  <c r="R37" i="5"/>
  <c r="AQ19" i="5"/>
  <c r="G25" i="6"/>
  <c r="Q19" i="6"/>
  <c r="AO4" i="5"/>
  <c r="AJ43" i="5"/>
  <c r="AT40" i="5"/>
  <c r="AG88" i="5"/>
  <c r="AY40" i="5"/>
  <c r="F37" i="6"/>
  <c r="AN25" i="5"/>
  <c r="AV7" i="5"/>
  <c r="X64" i="5"/>
  <c r="AL28" i="5"/>
  <c r="F91" i="5"/>
  <c r="AT52" i="6"/>
  <c r="F28" i="6"/>
  <c r="E31" i="5"/>
  <c r="U4" i="5"/>
  <c r="AI31" i="5"/>
  <c r="E94" i="5"/>
  <c r="V34" i="5"/>
  <c r="L58" i="5"/>
  <c r="O10" i="5"/>
  <c r="V22" i="6"/>
  <c r="H91" i="5"/>
  <c r="F61" i="6"/>
  <c r="F67" i="6"/>
  <c r="M28" i="6"/>
  <c r="AO22" i="6"/>
  <c r="AO22" i="5"/>
  <c r="AE55" i="5"/>
  <c r="AT7" i="5"/>
  <c r="AZ46" i="5"/>
  <c r="R7" i="6"/>
  <c r="AO7" i="5"/>
  <c r="AI4" i="6"/>
  <c r="AD73" i="5"/>
  <c r="Y55" i="5"/>
  <c r="AZ31" i="6"/>
  <c r="M94" i="5"/>
  <c r="AF52" i="5"/>
  <c r="AI19" i="5"/>
  <c r="AK49" i="6"/>
  <c r="AB67" i="6"/>
  <c r="L7" i="6"/>
  <c r="R52" i="6"/>
  <c r="W19" i="5"/>
  <c r="AW94" i="5"/>
  <c r="AI34" i="5"/>
  <c r="M76" i="6"/>
  <c r="AD31" i="6"/>
  <c r="AX4" i="6"/>
  <c r="R7" i="5"/>
  <c r="M31" i="5"/>
  <c r="AW67" i="6"/>
  <c r="AX25" i="5"/>
  <c r="J19" i="5"/>
  <c r="C46" i="6"/>
  <c r="AN58" i="5"/>
  <c r="V91" i="5"/>
  <c r="AZ31" i="5"/>
  <c r="AP88" i="5"/>
  <c r="AL76" i="5"/>
  <c r="AE82" i="5"/>
  <c r="J19" i="6"/>
  <c r="H7" i="6"/>
  <c r="Q85" i="5"/>
  <c r="W76" i="5"/>
  <c r="AR94" i="5"/>
  <c r="Z61" i="5"/>
  <c r="AO94" i="5"/>
  <c r="J43" i="5"/>
  <c r="AU10" i="5"/>
  <c r="K10" i="6"/>
  <c r="E79" i="5"/>
  <c r="F88" i="5"/>
  <c r="Y13" i="5"/>
  <c r="C97" i="5"/>
  <c r="AS22" i="5"/>
  <c r="AT16" i="5"/>
  <c r="AY40" i="6"/>
  <c r="AJ13" i="6"/>
  <c r="AA25" i="5"/>
  <c r="AO91" i="6"/>
  <c r="AS79" i="6"/>
  <c r="AE49" i="5"/>
  <c r="P52" i="5"/>
  <c r="K4" i="5"/>
  <c r="E16" i="5"/>
  <c r="AE28" i="5"/>
  <c r="L97" i="6"/>
  <c r="AC82" i="5"/>
  <c r="AW64" i="6"/>
  <c r="P88" i="5"/>
  <c r="Q88" i="5"/>
  <c r="AG19" i="6"/>
  <c r="I97" i="5"/>
  <c r="V22" i="5"/>
  <c r="C58" i="6"/>
  <c r="Z25" i="5"/>
  <c r="AT22" i="5"/>
  <c r="I40" i="5"/>
  <c r="AB7" i="6"/>
  <c r="AX37" i="5"/>
  <c r="G28" i="5"/>
  <c r="AY4" i="5"/>
  <c r="X4" i="5"/>
  <c r="AB61" i="5"/>
  <c r="K37" i="6"/>
  <c r="AC7" i="6"/>
  <c r="G40" i="5"/>
  <c r="E43" i="5"/>
  <c r="AB16" i="5"/>
  <c r="S37" i="5"/>
  <c r="P67" i="5"/>
  <c r="O67" i="5"/>
  <c r="AN28" i="5"/>
  <c r="H34" i="6"/>
  <c r="AK37" i="5"/>
  <c r="G49" i="5"/>
  <c r="AG4" i="5"/>
  <c r="AU31" i="5"/>
  <c r="X7" i="5"/>
  <c r="K13" i="5"/>
  <c r="U40" i="5"/>
  <c r="E4" i="5"/>
  <c r="AQ43" i="5"/>
  <c r="G31" i="5"/>
  <c r="N13" i="5"/>
  <c r="AC34" i="6"/>
  <c r="AE16" i="5"/>
  <c r="T94" i="6"/>
  <c r="AI40" i="5"/>
  <c r="F31" i="5"/>
  <c r="W82" i="6"/>
  <c r="AG46" i="5"/>
  <c r="N7" i="5"/>
  <c r="L82" i="6"/>
  <c r="L55" i="6"/>
  <c r="W76" i="6"/>
  <c r="I55" i="6"/>
  <c r="G16" i="5"/>
  <c r="F7" i="6"/>
  <c r="AJ91" i="5"/>
  <c r="I73" i="5"/>
  <c r="K61" i="6"/>
  <c r="AF10" i="5"/>
  <c r="AK28" i="5"/>
  <c r="Z37" i="5"/>
  <c r="T7" i="5"/>
  <c r="AC16" i="5"/>
  <c r="V7" i="6"/>
  <c r="S28" i="5"/>
  <c r="AK43" i="5"/>
  <c r="AU55" i="5"/>
  <c r="AG10" i="5"/>
  <c r="AN4" i="5"/>
  <c r="AI73" i="5"/>
  <c r="I4" i="5"/>
  <c r="H40" i="5"/>
  <c r="AM10" i="5"/>
  <c r="AE97" i="5"/>
  <c r="S55" i="5"/>
  <c r="AF49" i="5"/>
  <c r="U13" i="5"/>
  <c r="AK22" i="5"/>
  <c r="AZ85" i="5"/>
  <c r="AO16" i="5"/>
  <c r="AI43" i="5"/>
  <c r="X34" i="6"/>
  <c r="AQ94" i="5"/>
  <c r="R37" i="6"/>
  <c r="AO37" i="5"/>
  <c r="N43" i="6"/>
  <c r="AE40" i="5"/>
  <c r="AV13" i="5"/>
  <c r="AN13" i="5"/>
  <c r="I31" i="5"/>
  <c r="AH55" i="5"/>
  <c r="J31" i="5"/>
  <c r="T58" i="5"/>
  <c r="Z10" i="5"/>
  <c r="F22" i="5"/>
  <c r="X19" i="5"/>
  <c r="L10" i="5"/>
  <c r="P13" i="5"/>
  <c r="AW31" i="5"/>
  <c r="AR82" i="6"/>
  <c r="AL13" i="5"/>
  <c r="AC7" i="5"/>
  <c r="N55" i="5"/>
  <c r="AU40" i="5"/>
  <c r="Y67" i="5"/>
  <c r="AE4" i="5"/>
  <c r="AV85" i="6"/>
  <c r="H49" i="5"/>
  <c r="Z46" i="5"/>
  <c r="O46" i="6"/>
  <c r="X37" i="5"/>
  <c r="AJ28" i="5"/>
  <c r="U91" i="6"/>
  <c r="AK10" i="5"/>
  <c r="W49" i="6"/>
  <c r="Q94" i="5"/>
  <c r="AO13" i="5"/>
  <c r="AB37" i="5"/>
  <c r="K76" i="5"/>
  <c r="AN10" i="5"/>
  <c r="AP43" i="6"/>
  <c r="X88" i="5"/>
  <c r="J4" i="5"/>
  <c r="AF22" i="5"/>
  <c r="AF13" i="5"/>
  <c r="AJ43" i="6"/>
  <c r="AV37" i="5"/>
  <c r="AJ25" i="5"/>
  <c r="L49" i="5"/>
  <c r="Y31" i="5"/>
  <c r="Z4" i="5"/>
  <c r="AU19" i="5"/>
  <c r="R40" i="5"/>
  <c r="F76" i="5"/>
  <c r="L7" i="5"/>
  <c r="O73" i="6"/>
  <c r="G19" i="5"/>
  <c r="F76" i="6"/>
  <c r="AW16" i="6"/>
  <c r="N7" i="6"/>
  <c r="AE10" i="6"/>
  <c r="AV22" i="6"/>
  <c r="AL88" i="5"/>
  <c r="AW46" i="5"/>
  <c r="AF16" i="5"/>
  <c r="X49" i="5"/>
  <c r="AJ55" i="5"/>
  <c r="N16" i="5"/>
  <c r="W25" i="5"/>
  <c r="Y22" i="6"/>
  <c r="AD7" i="6"/>
  <c r="AW73" i="5"/>
  <c r="AP79" i="5"/>
  <c r="L61" i="5"/>
  <c r="AM37" i="6"/>
  <c r="AN76" i="5"/>
  <c r="AO28" i="5"/>
  <c r="AE43" i="5"/>
  <c r="E25" i="5"/>
  <c r="AC88" i="5"/>
  <c r="AS40" i="5"/>
  <c r="L22" i="5"/>
  <c r="T25" i="6"/>
  <c r="AV79" i="5"/>
  <c r="AJ64" i="5"/>
  <c r="AN97" i="6"/>
  <c r="AS13" i="5"/>
  <c r="AW4" i="6"/>
  <c r="AR43" i="5"/>
  <c r="AH22" i="5"/>
  <c r="J91" i="6"/>
  <c r="AB43" i="6"/>
  <c r="AW28" i="6"/>
  <c r="AR76" i="5"/>
  <c r="Z88" i="6"/>
  <c r="AI82" i="5"/>
  <c r="AN19" i="6"/>
  <c r="L37" i="6"/>
  <c r="AJ19" i="5"/>
  <c r="Y4" i="6"/>
  <c r="AP28" i="5"/>
  <c r="I82" i="5"/>
  <c r="F97" i="5"/>
  <c r="AP46" i="6"/>
  <c r="P22" i="6"/>
  <c r="AE46" i="5"/>
  <c r="AJ67" i="5"/>
  <c r="AT19" i="6"/>
  <c r="AI97" i="5"/>
  <c r="U67" i="5"/>
  <c r="K43" i="5"/>
  <c r="R31" i="5"/>
  <c r="AX22" i="5"/>
  <c r="V10" i="5"/>
  <c r="AV37" i="6"/>
  <c r="AY31" i="5"/>
  <c r="AI16" i="5"/>
  <c r="J97" i="5"/>
  <c r="AF13" i="6"/>
  <c r="S97" i="5"/>
  <c r="AR58" i="5"/>
  <c r="K22" i="6"/>
  <c r="K31" i="5"/>
  <c r="C28" i="6"/>
  <c r="AF34" i="6"/>
  <c r="L91" i="5"/>
  <c r="AY73" i="6"/>
  <c r="AF55" i="5"/>
  <c r="AX61" i="5"/>
  <c r="AD61" i="5"/>
  <c r="Y79" i="5"/>
  <c r="AX4" i="5"/>
  <c r="Y37" i="5"/>
  <c r="L34" i="5"/>
  <c r="AN19" i="5"/>
  <c r="U7" i="5"/>
  <c r="AG40" i="5"/>
  <c r="AL46" i="5"/>
  <c r="AG37" i="5"/>
  <c r="AJ13" i="5"/>
  <c r="T67" i="5"/>
  <c r="AP52" i="5"/>
  <c r="W4" i="5"/>
  <c r="Z13" i="6"/>
  <c r="AB13" i="5"/>
  <c r="AS28" i="5"/>
  <c r="U10" i="5"/>
  <c r="AP19" i="5"/>
  <c r="AW4" i="5"/>
  <c r="AA58" i="5"/>
  <c r="AQ31" i="5"/>
  <c r="AX25" i="6"/>
  <c r="J10" i="5"/>
  <c r="AR4" i="5"/>
  <c r="V31" i="5"/>
  <c r="J64" i="6"/>
  <c r="M4" i="6"/>
  <c r="X13" i="5"/>
  <c r="F82" i="5"/>
  <c r="AB58" i="5"/>
  <c r="AL37" i="5"/>
  <c r="S10" i="5"/>
  <c r="AZ10" i="5"/>
  <c r="Z64" i="5"/>
  <c r="O31" i="5"/>
  <c r="R46" i="5"/>
  <c r="AA7" i="6"/>
  <c r="P58" i="5"/>
  <c r="T79" i="5"/>
  <c r="AW43" i="5"/>
  <c r="N34" i="5"/>
  <c r="AF91" i="5"/>
  <c r="Z73" i="5"/>
  <c r="U73" i="5"/>
  <c r="O40" i="5"/>
  <c r="I16" i="5"/>
  <c r="J13" i="5"/>
  <c r="AZ19" i="5"/>
  <c r="AR22" i="5"/>
  <c r="AP61" i="5"/>
  <c r="I10" i="5"/>
  <c r="M58" i="6"/>
  <c r="AL40" i="5"/>
  <c r="AX34" i="5"/>
  <c r="AT10" i="5"/>
  <c r="AL7" i="6"/>
  <c r="AN7" i="5"/>
  <c r="Q52" i="5"/>
  <c r="S49" i="5"/>
  <c r="H25" i="5"/>
  <c r="F4" i="5"/>
  <c r="K55" i="5"/>
  <c r="AA40" i="5"/>
  <c r="E70" i="5"/>
  <c r="T16" i="5"/>
  <c r="Q82" i="5"/>
  <c r="H34" i="5"/>
  <c r="R79" i="6"/>
  <c r="K10" i="5"/>
  <c r="AV10" i="5"/>
  <c r="X52" i="5"/>
  <c r="AP25" i="5"/>
  <c r="Y52" i="5"/>
  <c r="AB43" i="5"/>
  <c r="AW88" i="5"/>
  <c r="AR40" i="6"/>
  <c r="AW61" i="5"/>
  <c r="AS19" i="5"/>
  <c r="G25" i="5"/>
  <c r="X43" i="5"/>
  <c r="E10" i="6"/>
  <c r="T31" i="5"/>
  <c r="W34" i="6"/>
  <c r="V64" i="5"/>
  <c r="AL10" i="5"/>
  <c r="AF4" i="5"/>
  <c r="AQ82" i="5"/>
  <c r="O16" i="5"/>
  <c r="AH64" i="5"/>
  <c r="AL22" i="5"/>
  <c r="I19" i="5"/>
  <c r="AD31" i="5"/>
  <c r="N46" i="5"/>
  <c r="S16" i="5"/>
  <c r="AG13" i="5"/>
  <c r="AS31" i="5"/>
  <c r="AB19" i="5"/>
  <c r="AJ73" i="6"/>
  <c r="AG34" i="5"/>
  <c r="AR37" i="5"/>
  <c r="AX79" i="5"/>
  <c r="N61" i="5"/>
  <c r="J40" i="6"/>
  <c r="M22" i="5"/>
  <c r="M16" i="5"/>
  <c r="S13" i="5"/>
  <c r="AE49" i="6"/>
  <c r="AG22" i="5"/>
  <c r="AQ58" i="6"/>
  <c r="M28" i="5"/>
  <c r="O85" i="5"/>
  <c r="AJ7" i="5"/>
  <c r="H37" i="5"/>
  <c r="AT25" i="5"/>
  <c r="AH25" i="6"/>
  <c r="C49" i="5"/>
  <c r="U28" i="5"/>
  <c r="AY16" i="5"/>
  <c r="AP55" i="5"/>
  <c r="AC31" i="6"/>
  <c r="I88" i="5"/>
  <c r="X16" i="5"/>
  <c r="Z7" i="5"/>
  <c r="T43" i="5"/>
  <c r="Q19" i="5"/>
  <c r="AC31" i="5"/>
  <c r="T13" i="5"/>
  <c r="Q37" i="5"/>
  <c r="AH13" i="5"/>
  <c r="E19" i="5"/>
  <c r="P61" i="5"/>
  <c r="G76" i="5"/>
  <c r="M40" i="5"/>
  <c r="K82" i="5"/>
  <c r="X10" i="5"/>
  <c r="N22" i="5"/>
  <c r="AB22" i="5"/>
  <c r="H19" i="5"/>
  <c r="AT34" i="5"/>
  <c r="U88" i="6"/>
  <c r="AD7" i="5"/>
  <c r="AR52" i="5"/>
  <c r="N31" i="5"/>
  <c r="AP91" i="6"/>
  <c r="AZ79" i="5"/>
  <c r="F37" i="5"/>
  <c r="O58" i="5"/>
  <c r="R22" i="5"/>
  <c r="AY19" i="5"/>
  <c r="AI28" i="5"/>
  <c r="C49" i="6"/>
  <c r="L19" i="5"/>
  <c r="AI13" i="5"/>
  <c r="R10" i="5"/>
  <c r="H58" i="5"/>
  <c r="D49" i="6" l="1"/>
  <c r="D49" i="5"/>
  <c r="AF99" i="5"/>
  <c r="F99" i="5"/>
  <c r="M99" i="6"/>
  <c r="AR99" i="5"/>
  <c r="AW99" i="5"/>
  <c r="W99" i="5"/>
  <c r="AX99" i="5"/>
  <c r="D28" i="6"/>
  <c r="Y99" i="6"/>
  <c r="AW99" i="6"/>
  <c r="Z99" i="5"/>
  <c r="J99" i="5"/>
  <c r="AE99" i="5"/>
  <c r="I99" i="5"/>
  <c r="AN99" i="5"/>
  <c r="E99" i="5"/>
  <c r="AN186" i="11"/>
  <c r="T147" i="11"/>
  <c r="AH56" i="11"/>
  <c r="T4" i="11"/>
  <c r="K147" i="11"/>
  <c r="AG56" i="11"/>
  <c r="AS173" i="11"/>
  <c r="AQ95" i="11"/>
  <c r="V30" i="11"/>
  <c r="E186" i="11"/>
  <c r="V95" i="11"/>
  <c r="U30" i="11"/>
  <c r="Q134" i="11"/>
  <c r="E95" i="11"/>
  <c r="AB30" i="11"/>
  <c r="X147" i="11"/>
  <c r="AL56" i="11"/>
  <c r="X4" i="11"/>
  <c r="AE121" i="11"/>
  <c r="P56" i="11"/>
  <c r="D199" i="11"/>
  <c r="AG160" i="11"/>
  <c r="E121" i="11"/>
  <c r="U17" i="11"/>
  <c r="AF160" i="11"/>
  <c r="F82" i="11"/>
  <c r="AG199" i="11"/>
  <c r="AJ121" i="11"/>
  <c r="AA43" i="11"/>
  <c r="AO173" i="11"/>
  <c r="G121" i="11"/>
  <c r="AL43" i="11"/>
  <c r="AQ173" i="11"/>
  <c r="AL108" i="11"/>
  <c r="AK43" i="11"/>
  <c r="U160" i="11"/>
  <c r="I121" i="11"/>
  <c r="Y17" i="11"/>
  <c r="AU147" i="11"/>
  <c r="Y69" i="11"/>
  <c r="R4" i="11"/>
  <c r="Y186" i="11"/>
  <c r="O147" i="11"/>
  <c r="AK56" i="11"/>
  <c r="AC4" i="11"/>
  <c r="R134" i="11"/>
  <c r="AR56" i="11"/>
  <c r="S173" i="11"/>
  <c r="Z95" i="11"/>
  <c r="Y30" i="11"/>
  <c r="U134" i="11"/>
  <c r="I95" i="11"/>
  <c r="AF30" i="11"/>
  <c r="AR134" i="11"/>
  <c r="J56" i="11"/>
  <c r="AQ4" i="11"/>
  <c r="S147" i="11"/>
  <c r="AO56" i="11"/>
  <c r="AG4" i="11"/>
  <c r="Z134" i="11"/>
  <c r="AD186" i="11"/>
  <c r="AL147" i="11"/>
  <c r="P82" i="11"/>
  <c r="AS199" i="11"/>
  <c r="AP134" i="11"/>
  <c r="W82" i="11"/>
  <c r="AS147" i="11"/>
  <c r="AG108" i="11"/>
  <c r="E17" i="11"/>
  <c r="P160" i="11"/>
  <c r="AH69" i="11"/>
  <c r="P17" i="11"/>
  <c r="G160" i="11"/>
  <c r="AG69" i="11"/>
  <c r="Z4" i="11"/>
  <c r="J160" i="11"/>
  <c r="T82" i="11"/>
  <c r="Q199" i="11"/>
  <c r="D121" i="11"/>
  <c r="K43" i="11"/>
  <c r="M199" i="11"/>
  <c r="AF95" i="11"/>
  <c r="AM17" i="11"/>
  <c r="X173" i="11"/>
  <c r="S95" i="11"/>
  <c r="AK17" i="11"/>
  <c r="AS186" i="11"/>
  <c r="C69" i="11"/>
  <c r="E160" i="11"/>
  <c r="I56" i="11"/>
  <c r="AA69" i="11"/>
  <c r="AO199" i="11"/>
  <c r="H69" i="11"/>
  <c r="R186" i="11"/>
  <c r="AC69" i="11"/>
  <c r="N173" i="11"/>
  <c r="AM82" i="11"/>
  <c r="F108" i="11"/>
  <c r="AT199" i="11"/>
  <c r="AE108" i="11"/>
  <c r="X17" i="11"/>
  <c r="F30" i="11"/>
  <c r="AL121" i="11"/>
  <c r="AM69" i="11"/>
  <c r="G199" i="11"/>
  <c r="AR108" i="11"/>
  <c r="AC82" i="11"/>
  <c r="O4" i="11"/>
  <c r="AC56" i="11"/>
  <c r="D186" i="11"/>
  <c r="AS82" i="11"/>
  <c r="AE199" i="11"/>
  <c r="J108" i="11"/>
  <c r="Y121" i="11"/>
  <c r="AB4" i="11"/>
  <c r="H108" i="11"/>
  <c r="AN43" i="11"/>
  <c r="AL186" i="11"/>
  <c r="E147" i="11"/>
  <c r="R43" i="11"/>
  <c r="AN134" i="11"/>
  <c r="AE69" i="11"/>
  <c r="T30" i="11"/>
  <c r="T134" i="11"/>
  <c r="W56" i="11"/>
  <c r="F199" i="11"/>
  <c r="AB95" i="11"/>
  <c r="AR82" i="11"/>
  <c r="R199" i="11"/>
  <c r="X69" i="11"/>
  <c r="AJ173" i="11"/>
  <c r="J69" i="11"/>
  <c r="M147" i="11"/>
  <c r="AT56" i="11"/>
  <c r="AF121" i="11"/>
  <c r="AP4" i="11"/>
  <c r="AU108" i="11"/>
  <c r="H30" i="11"/>
  <c r="AC160" i="11"/>
  <c r="AB147" i="11"/>
  <c r="Z17" i="11"/>
  <c r="AI147" i="11"/>
  <c r="AE43" i="11"/>
  <c r="P69" i="11"/>
  <c r="AV147" i="11"/>
  <c r="R69" i="11"/>
  <c r="AV4" i="11"/>
  <c r="AM147" i="11"/>
  <c r="X186" i="11"/>
  <c r="G95" i="11"/>
  <c r="AO121" i="11"/>
  <c r="AR4" i="11"/>
  <c r="AL134" i="11"/>
  <c r="Q43" i="11"/>
  <c r="AS4" i="11"/>
  <c r="U186" i="11"/>
  <c r="AI30" i="11"/>
  <c r="H147" i="11"/>
  <c r="AU69" i="11"/>
  <c r="Z82" i="11"/>
  <c r="AF4" i="11"/>
  <c r="Q69" i="11"/>
  <c r="AU199" i="11"/>
  <c r="E108" i="11"/>
  <c r="AV199" i="11"/>
  <c r="W69" i="11"/>
  <c r="AH95" i="11"/>
  <c r="AD199" i="11"/>
  <c r="Q4" i="11"/>
  <c r="AU56" i="11"/>
  <c r="F43" i="11"/>
  <c r="U95" i="11"/>
  <c r="T199" i="11"/>
  <c r="H134" i="11"/>
  <c r="AG43" i="11"/>
  <c r="P43" i="11"/>
  <c r="Z56" i="11"/>
  <c r="L186" i="11"/>
  <c r="X95" i="11"/>
  <c r="W4" i="11"/>
  <c r="E69" i="11"/>
  <c r="C108" i="11"/>
  <c r="AK4" i="11"/>
  <c r="AO17" i="11"/>
  <c r="AG82" i="11"/>
  <c r="AK186" i="11"/>
  <c r="W134" i="11"/>
  <c r="AV56" i="11"/>
  <c r="AB199" i="11"/>
  <c r="AT160" i="11"/>
  <c r="G69" i="11"/>
  <c r="Y134" i="11"/>
  <c r="M95" i="11"/>
  <c r="AJ30" i="11"/>
  <c r="AV134" i="11"/>
  <c r="N56" i="11"/>
  <c r="AU4" i="11"/>
  <c r="AM134" i="11"/>
  <c r="M56" i="11"/>
  <c r="E4" i="11"/>
  <c r="AD134" i="11"/>
  <c r="D69" i="11"/>
  <c r="H199" i="11"/>
  <c r="AJ95" i="11"/>
  <c r="AQ17" i="11"/>
  <c r="AA186" i="11"/>
  <c r="AE160" i="11"/>
  <c r="M82" i="11"/>
  <c r="C4" i="11"/>
  <c r="V147" i="11"/>
  <c r="L82" i="11"/>
  <c r="AF173" i="11"/>
  <c r="AT108" i="11"/>
  <c r="AS43" i="11"/>
  <c r="AO147" i="11"/>
  <c r="AC108" i="11"/>
  <c r="AV43" i="11"/>
  <c r="L160" i="11"/>
  <c r="AD69" i="11"/>
  <c r="L17" i="11"/>
  <c r="AI160" i="11"/>
  <c r="Q82" i="11"/>
  <c r="G4" i="11"/>
  <c r="AP121" i="11"/>
  <c r="AQ69" i="11"/>
  <c r="S199" i="11"/>
  <c r="Q160" i="11"/>
  <c r="J121" i="11"/>
  <c r="K69" i="11"/>
  <c r="W186" i="11"/>
  <c r="P108" i="11"/>
  <c r="W30" i="11"/>
  <c r="D147" i="11"/>
  <c r="R56" i="11"/>
  <c r="D4" i="11"/>
  <c r="AQ134" i="11"/>
  <c r="Q56" i="11"/>
  <c r="I4" i="11"/>
  <c r="AM121" i="11"/>
  <c r="X56" i="11"/>
  <c r="AJ199" i="11"/>
  <c r="N121" i="11"/>
  <c r="O69" i="11"/>
  <c r="AC173" i="11"/>
  <c r="AA95" i="11"/>
  <c r="Z199" i="11"/>
  <c r="AG121" i="11"/>
  <c r="AQ43" i="11"/>
  <c r="Q186" i="11"/>
  <c r="AV121" i="11"/>
  <c r="G17" i="11"/>
  <c r="O160" i="11"/>
  <c r="AO69" i="11"/>
  <c r="AH4" i="11"/>
  <c r="S134" i="11"/>
  <c r="AR69" i="11"/>
  <c r="Y199" i="11"/>
  <c r="F134" i="11"/>
  <c r="C82" i="11"/>
  <c r="AR186" i="11"/>
  <c r="AK121" i="11"/>
  <c r="AU43" i="11"/>
  <c r="P173" i="11"/>
  <c r="AD108" i="11"/>
  <c r="AC43" i="11"/>
  <c r="AS160" i="11"/>
  <c r="F95" i="11"/>
  <c r="E30" i="11"/>
  <c r="AL173" i="11"/>
  <c r="AH82" i="11"/>
  <c r="AV160" i="11"/>
  <c r="AM160" i="11"/>
  <c r="U43" i="11"/>
  <c r="AI134" i="11"/>
  <c r="AU30" i="11"/>
  <c r="AM186" i="11"/>
  <c r="I160" i="11"/>
  <c r="C17" i="11"/>
  <c r="C160" i="11"/>
  <c r="O56" i="11"/>
  <c r="AF82" i="11"/>
  <c r="AO4" i="11"/>
  <c r="X82" i="11"/>
  <c r="Q173" i="11"/>
  <c r="AP69" i="11"/>
  <c r="F186" i="11"/>
  <c r="O199" i="11"/>
  <c r="AM108" i="11"/>
  <c r="V43" i="11"/>
  <c r="AA173" i="11"/>
  <c r="V108" i="11"/>
  <c r="S4" i="11"/>
  <c r="H173" i="11"/>
  <c r="C43" i="11"/>
  <c r="M134" i="11"/>
  <c r="T69" i="11"/>
  <c r="AA108" i="11"/>
  <c r="I43" i="11"/>
  <c r="AT69" i="11"/>
  <c r="O186" i="11"/>
  <c r="U108" i="11"/>
  <c r="AP199" i="11"/>
  <c r="P95" i="11"/>
  <c r="R121" i="11"/>
  <c r="AR17" i="11"/>
  <c r="AD121" i="11"/>
  <c r="F17" i="11"/>
  <c r="Y173" i="11"/>
  <c r="W95" i="11"/>
  <c r="AT17" i="11"/>
  <c r="AO160" i="11"/>
  <c r="AT82" i="11"/>
  <c r="C199" i="11"/>
  <c r="Y160" i="11"/>
  <c r="S17" i="11"/>
  <c r="AN147" i="11"/>
  <c r="O82" i="11"/>
  <c r="P199" i="11"/>
  <c r="T108" i="11"/>
  <c r="AA30" i="11"/>
  <c r="V186" i="11"/>
  <c r="G108" i="11"/>
  <c r="AH30" i="11"/>
  <c r="AU134" i="11"/>
  <c r="U56" i="11"/>
  <c r="M4" i="11"/>
  <c r="AQ121" i="11"/>
  <c r="AB56" i="11"/>
  <c r="AQ199" i="11"/>
  <c r="J147" i="11"/>
  <c r="AI56" i="11"/>
  <c r="AE186" i="11"/>
  <c r="X108" i="11"/>
  <c r="AE30" i="11"/>
  <c r="J186" i="11"/>
  <c r="J95" i="11"/>
  <c r="I30" i="11"/>
  <c r="C173" i="11"/>
  <c r="N147" i="11"/>
  <c r="AA82" i="11"/>
  <c r="AJ186" i="11"/>
  <c r="AC121" i="11"/>
  <c r="AM43" i="11"/>
  <c r="T160" i="11"/>
  <c r="AL69" i="11"/>
  <c r="T17" i="11"/>
  <c r="K160" i="11"/>
  <c r="AK69" i="11"/>
  <c r="AD4" i="11"/>
  <c r="N134" i="11"/>
  <c r="AN69" i="11"/>
  <c r="N199" i="11"/>
  <c r="AD147" i="11"/>
  <c r="AE82" i="11"/>
  <c r="K186" i="11"/>
  <c r="AQ108" i="11"/>
  <c r="Z43" i="11"/>
  <c r="AE173" i="11"/>
  <c r="AP186" i="11"/>
  <c r="K108" i="11"/>
  <c r="AL30" i="11"/>
  <c r="AH186" i="11"/>
  <c r="AL95" i="11"/>
  <c r="AK30" i="11"/>
  <c r="AU121" i="11"/>
  <c r="AF56" i="11"/>
  <c r="L199" i="11"/>
  <c r="Z147" i="11"/>
  <c r="AM56" i="11"/>
  <c r="C186" i="11"/>
  <c r="AR95" i="11"/>
  <c r="C30" i="11"/>
  <c r="AO186" i="11"/>
  <c r="O108" i="11"/>
  <c r="AP30" i="11"/>
  <c r="I134" i="11"/>
  <c r="AQ82" i="11"/>
  <c r="AV173" i="11"/>
  <c r="AB121" i="11"/>
  <c r="R17" i="11"/>
  <c r="M160" i="11"/>
  <c r="AS108" i="11"/>
  <c r="Q17" i="11"/>
  <c r="P134" i="11"/>
  <c r="K82" i="11"/>
  <c r="T186" i="11"/>
  <c r="T121" i="11"/>
  <c r="W43" i="11"/>
  <c r="AK173" i="11"/>
  <c r="C121" i="11"/>
  <c r="AH43" i="11"/>
  <c r="D173" i="11"/>
  <c r="AR121" i="11"/>
  <c r="V17" i="11"/>
  <c r="D160" i="11"/>
  <c r="V69" i="11"/>
  <c r="D17" i="11"/>
  <c r="AF134" i="11"/>
  <c r="AO82" i="11"/>
  <c r="AE4" i="11"/>
  <c r="AT173" i="11"/>
  <c r="J173" i="11"/>
  <c r="V82" i="11"/>
  <c r="L95" i="11"/>
  <c r="K4" i="11"/>
  <c r="AN108" i="11"/>
  <c r="I17" i="11"/>
  <c r="AF108" i="11"/>
  <c r="AB134" i="11"/>
  <c r="L30" i="11"/>
  <c r="J134" i="11"/>
  <c r="AC30" i="11"/>
  <c r="V199" i="11"/>
  <c r="K173" i="11"/>
  <c r="S30" i="11"/>
  <c r="X160" i="11"/>
  <c r="T56" i="11"/>
  <c r="N108" i="11"/>
  <c r="Y147" i="11"/>
  <c r="M108" i="11"/>
  <c r="AF43" i="11"/>
  <c r="AR147" i="11"/>
  <c r="N69" i="11"/>
  <c r="AP160" i="11"/>
  <c r="Z160" i="11"/>
  <c r="AC17" i="11"/>
  <c r="F160" i="11"/>
  <c r="AT43" i="11"/>
  <c r="J43" i="11"/>
  <c r="AF186" i="11"/>
  <c r="S82" i="11"/>
  <c r="AG147" i="11"/>
  <c r="AJ82" i="11"/>
  <c r="D134" i="11"/>
  <c r="W17" i="11"/>
  <c r="AK95" i="11"/>
  <c r="E199" i="11"/>
  <c r="F121" i="11"/>
  <c r="AM4" i="11"/>
  <c r="E134" i="11"/>
  <c r="AL82" i="11"/>
  <c r="P30" i="11"/>
  <c r="AH173" i="11"/>
  <c r="AK82" i="11"/>
  <c r="AS121" i="11"/>
  <c r="AT147" i="11"/>
  <c r="AR30" i="11"/>
  <c r="V134" i="11"/>
  <c r="J30" i="11"/>
  <c r="T43" i="11"/>
  <c r="I186" i="11"/>
  <c r="S56" i="11"/>
  <c r="AO30" i="11"/>
  <c r="AP147" i="11"/>
  <c r="G30" i="11"/>
  <c r="G173" i="11"/>
  <c r="AV82" i="11"/>
  <c r="K17" i="11"/>
  <c r="X134" i="11"/>
  <c r="G82" i="11"/>
  <c r="AG186" i="11"/>
  <c r="Q108" i="11"/>
  <c r="AC95" i="11"/>
  <c r="K199" i="11"/>
  <c r="AM95" i="11"/>
  <c r="Q30" i="11"/>
  <c r="AE134" i="11"/>
  <c r="AJ17" i="11"/>
  <c r="L121" i="11"/>
  <c r="AO43" i="11"/>
  <c r="AN160" i="11"/>
  <c r="AF69" i="11"/>
  <c r="AM199" i="11"/>
  <c r="U82" i="11"/>
  <c r="AM30" i="11"/>
  <c r="V4" i="11"/>
  <c r="AI121" i="11"/>
  <c r="U69" i="11"/>
  <c r="AB82" i="11"/>
  <c r="X30" i="11"/>
  <c r="AD173" i="11"/>
  <c r="AN56" i="11"/>
  <c r="AA134" i="11"/>
  <c r="AH160" i="11"/>
  <c r="AE95" i="11"/>
  <c r="AF17" i="11"/>
  <c r="AG173" i="11"/>
  <c r="AJ56" i="11"/>
  <c r="AH17" i="11"/>
  <c r="AB108" i="11"/>
  <c r="AB186" i="11"/>
  <c r="M69" i="11"/>
  <c r="E56" i="11"/>
  <c r="AV108" i="11"/>
  <c r="Y43" i="11"/>
  <c r="AH121" i="11"/>
  <c r="AA17" i="11"/>
  <c r="AR160" i="11"/>
  <c r="AA199" i="11"/>
  <c r="AS69" i="11"/>
  <c r="I69" i="11"/>
  <c r="F147" i="11"/>
  <c r="U199" i="11"/>
  <c r="V56" i="11"/>
  <c r="D30" i="11"/>
  <c r="W147" i="11"/>
  <c r="J4" i="11"/>
  <c r="D82" i="11"/>
  <c r="AR199" i="11"/>
  <c r="L134" i="11"/>
  <c r="H186" i="11"/>
  <c r="AU95" i="11"/>
  <c r="W108" i="11"/>
  <c r="H56" i="11"/>
  <c r="R173" i="11"/>
  <c r="N160" i="11"/>
  <c r="S186" i="11"/>
  <c r="J17" i="11"/>
  <c r="O43" i="11"/>
  <c r="N186" i="11"/>
  <c r="AS17" i="11"/>
  <c r="Q95" i="11"/>
  <c r="AK134" i="11"/>
  <c r="AQ56" i="11"/>
  <c r="AN173" i="11"/>
  <c r="AT95" i="11"/>
  <c r="AI4" i="11"/>
  <c r="AC186" i="11"/>
  <c r="AV69" i="11"/>
  <c r="P186" i="11"/>
  <c r="H95" i="11"/>
  <c r="AJ43" i="11"/>
  <c r="D43" i="11"/>
  <c r="D108" i="11"/>
  <c r="R30" i="11"/>
  <c r="AS134" i="11"/>
  <c r="AF199" i="11"/>
  <c r="AA160" i="11"/>
  <c r="AP43" i="11"/>
  <c r="AK147" i="11"/>
  <c r="N82" i="11"/>
  <c r="AA56" i="11"/>
  <c r="O134" i="11"/>
  <c r="AU186" i="11"/>
  <c r="AO108" i="11"/>
  <c r="R160" i="11"/>
  <c r="N43" i="11"/>
  <c r="N4" i="11"/>
  <c r="C95" i="11"/>
  <c r="O173" i="11"/>
  <c r="O30" i="11"/>
  <c r="M186" i="11"/>
  <c r="AU82" i="11"/>
  <c r="G56" i="11"/>
  <c r="AN4" i="11"/>
  <c r="W160" i="11"/>
  <c r="V173" i="11"/>
  <c r="AD43" i="11"/>
  <c r="X121" i="11"/>
  <c r="AP56" i="11"/>
  <c r="Z173" i="11"/>
  <c r="M30" i="11"/>
  <c r="AL199" i="11"/>
  <c r="Z108" i="11"/>
  <c r="I199" i="11"/>
  <c r="AI108" i="11"/>
  <c r="L173" i="11"/>
  <c r="R82" i="11"/>
  <c r="W173" i="11"/>
  <c r="AE56" i="11"/>
  <c r="R147" i="11"/>
  <c r="K121" i="11"/>
  <c r="T173" i="11"/>
  <c r="AL17" i="11"/>
  <c r="AQ160" i="11"/>
  <c r="S108" i="11"/>
  <c r="Q147" i="11"/>
  <c r="AU17" i="11"/>
  <c r="V121" i="11"/>
  <c r="H82" i="11"/>
  <c r="H160" i="11"/>
  <c r="H17" i="11"/>
  <c r="X199" i="11"/>
  <c r="AT30" i="11"/>
  <c r="Y56" i="11"/>
  <c r="AQ30" i="11"/>
  <c r="L147" i="11"/>
  <c r="AA4" i="11"/>
  <c r="AN30" i="11"/>
  <c r="AJ4" i="11"/>
  <c r="G147" i="11"/>
  <c r="AT186" i="11"/>
  <c r="S121" i="11"/>
  <c r="AI173" i="11"/>
  <c r="Y95" i="11"/>
  <c r="G186" i="11"/>
  <c r="AI95" i="11"/>
  <c r="AS30" i="11"/>
  <c r="AI199" i="11"/>
  <c r="P121" i="11"/>
  <c r="AC199" i="11"/>
  <c r="M121" i="11"/>
  <c r="O17" i="11"/>
  <c r="J199" i="11"/>
  <c r="P147" i="11"/>
  <c r="K30" i="11"/>
  <c r="AP173" i="11"/>
  <c r="AG95" i="11"/>
  <c r="AJ160" i="11"/>
  <c r="I82" i="11"/>
  <c r="AU173" i="11"/>
  <c r="Y108" i="11"/>
  <c r="AN17" i="11"/>
  <c r="AA121" i="11"/>
  <c r="AN121" i="11"/>
  <c r="AK108" i="11"/>
  <c r="W199" i="11"/>
  <c r="AT134" i="11"/>
  <c r="M43" i="11"/>
  <c r="V160" i="11"/>
  <c r="U4" i="11"/>
  <c r="AB160" i="11"/>
  <c r="K56" i="11"/>
  <c r="F56" i="11"/>
  <c r="AH199" i="11"/>
  <c r="O121" i="11"/>
  <c r="AS95" i="11"/>
  <c r="E82" i="11"/>
  <c r="G134" i="11"/>
  <c r="M173" i="11"/>
  <c r="AG17" i="11"/>
  <c r="AI69" i="11"/>
  <c r="U121" i="11"/>
  <c r="F4" i="11"/>
  <c r="AB173" i="11"/>
  <c r="AB69" i="11"/>
  <c r="U173" i="11"/>
  <c r="I108" i="11"/>
  <c r="AD17" i="11"/>
  <c r="AI82" i="11"/>
  <c r="S160" i="11"/>
  <c r="AL4" i="11"/>
  <c r="L69" i="11"/>
  <c r="AN82" i="11"/>
  <c r="AT121" i="11"/>
  <c r="H4" i="11"/>
  <c r="Y82" i="11"/>
  <c r="C56" i="11"/>
  <c r="AH134" i="11"/>
  <c r="X43" i="11"/>
  <c r="Y4" i="11"/>
  <c r="AI17" i="11"/>
  <c r="AP82" i="11"/>
  <c r="F69" i="11"/>
  <c r="AG134" i="11"/>
  <c r="AB17" i="11"/>
  <c r="AE17" i="11"/>
  <c r="I147" i="11"/>
  <c r="L108" i="11"/>
  <c r="AK160" i="11"/>
  <c r="D56" i="11"/>
  <c r="AA147" i="11"/>
  <c r="AS56" i="11"/>
  <c r="AC134" i="11"/>
  <c r="Z30" i="11"/>
  <c r="L43" i="11"/>
  <c r="AD160" i="11"/>
  <c r="Z69" i="11"/>
  <c r="S69" i="11"/>
  <c r="AH108" i="11"/>
  <c r="AI43" i="11"/>
  <c r="AP95" i="11"/>
  <c r="AV30" i="11"/>
  <c r="AV95" i="11"/>
  <c r="N30" i="11"/>
  <c r="AJ134" i="11"/>
  <c r="D95" i="11"/>
  <c r="N17" i="11"/>
  <c r="K134" i="11"/>
  <c r="S43" i="11"/>
  <c r="AC147" i="11"/>
  <c r="AO134" i="11"/>
  <c r="AD56" i="11"/>
  <c r="AR173" i="11"/>
  <c r="R95" i="11"/>
  <c r="H43" i="11"/>
  <c r="J82" i="11"/>
  <c r="AQ186" i="11"/>
  <c r="AP108" i="11"/>
  <c r="AR43" i="11"/>
  <c r="C134" i="11"/>
  <c r="L56" i="11"/>
  <c r="AV17" i="11"/>
  <c r="Z121" i="11"/>
  <c r="AD95" i="11"/>
  <c r="AB43" i="11"/>
  <c r="AQ147" i="11"/>
  <c r="AU160" i="11"/>
  <c r="Q121" i="11"/>
  <c r="AP17" i="11"/>
  <c r="AN199" i="11"/>
  <c r="AJ147" i="11"/>
  <c r="W121" i="11"/>
  <c r="AK199" i="11"/>
  <c r="AF147" i="11"/>
  <c r="E43" i="11"/>
  <c r="AD82" i="11"/>
  <c r="K95" i="11"/>
  <c r="AI186" i="11"/>
  <c r="L4" i="11"/>
  <c r="N95" i="11"/>
  <c r="AH147" i="11"/>
  <c r="AL160" i="11"/>
  <c r="G43" i="11"/>
  <c r="U147" i="11"/>
  <c r="T95" i="11"/>
  <c r="AV186" i="11"/>
  <c r="AD30" i="11"/>
  <c r="R108" i="11"/>
  <c r="AE147" i="11"/>
  <c r="AT4" i="11"/>
  <c r="M17" i="11"/>
  <c r="O95" i="11"/>
  <c r="F173" i="11"/>
  <c r="E173" i="11"/>
  <c r="AG30" i="11"/>
  <c r="AN95" i="11"/>
  <c r="AJ108" i="11"/>
  <c r="Z186" i="11"/>
  <c r="AJ69" i="11"/>
  <c r="I173" i="11"/>
  <c r="AM173" i="11"/>
  <c r="AO95" i="11"/>
  <c r="C147" i="11"/>
  <c r="P4" i="11"/>
  <c r="H121" i="11"/>
  <c r="AG99" i="5"/>
  <c r="X99" i="5"/>
  <c r="AY99" i="5"/>
  <c r="D58" i="6"/>
  <c r="K99" i="5"/>
  <c r="D97" i="5"/>
  <c r="D46" i="6"/>
  <c r="AX99" i="6"/>
  <c r="AI99" i="6"/>
  <c r="U99" i="5"/>
  <c r="AO99" i="5"/>
  <c r="AJ99" i="5"/>
  <c r="D58" i="5"/>
  <c r="AI99" i="5"/>
  <c r="AD99" i="5"/>
  <c r="D55" i="5"/>
  <c r="O99" i="5"/>
  <c r="D19" i="5"/>
  <c r="Q99" i="6"/>
  <c r="D67" i="6"/>
  <c r="AS99" i="6"/>
  <c r="Q99" i="5"/>
  <c r="D7" i="5"/>
  <c r="F99" i="6"/>
  <c r="Y99" i="5"/>
  <c r="AC99" i="5"/>
  <c r="D10" i="5"/>
  <c r="D31" i="5"/>
  <c r="D13" i="5"/>
  <c r="D43" i="5"/>
  <c r="D40" i="6"/>
  <c r="AT99" i="5"/>
  <c r="AU99" i="5"/>
  <c r="D34" i="5"/>
  <c r="D73" i="5"/>
  <c r="G99" i="5"/>
  <c r="AM99" i="5"/>
  <c r="P99" i="5"/>
  <c r="AG99" i="6"/>
  <c r="X99" i="6"/>
  <c r="D16" i="5"/>
  <c r="V99" i="5"/>
  <c r="AY99" i="6"/>
  <c r="C100" i="5"/>
  <c r="D100" i="5" s="1"/>
  <c r="D4" i="5"/>
  <c r="D82" i="5"/>
  <c r="C100" i="6"/>
  <c r="D100" i="6" s="1"/>
  <c r="D4" i="6"/>
  <c r="I99" i="6"/>
  <c r="AK99" i="5"/>
  <c r="D28" i="5"/>
  <c r="AU99" i="6"/>
  <c r="AV99" i="5"/>
  <c r="R99" i="6"/>
  <c r="H99" i="5"/>
  <c r="D64" i="5"/>
  <c r="K99" i="6"/>
  <c r="S99" i="5"/>
  <c r="R99" i="5"/>
  <c r="AS99" i="5"/>
  <c r="AA99" i="5"/>
  <c r="V99" i="6"/>
  <c r="AP99" i="5"/>
  <c r="AL99" i="5"/>
  <c r="AL99" i="6"/>
  <c r="AQ99" i="5"/>
  <c r="T99" i="5"/>
  <c r="L99" i="5"/>
  <c r="D40" i="5"/>
  <c r="AD99" i="6"/>
  <c r="AB99" i="5"/>
  <c r="AZ99" i="5"/>
  <c r="AH99" i="5"/>
  <c r="AQ99" i="6"/>
  <c r="D73" i="6"/>
  <c r="M99" i="5"/>
  <c r="D25" i="5"/>
  <c r="N99" i="5"/>
  <c r="AA99" i="6"/>
  <c r="D97" i="6"/>
  <c r="D70" i="5"/>
  <c r="D16" i="6"/>
  <c r="D76" i="5"/>
  <c r="D34" i="6"/>
  <c r="D10" i="6"/>
  <c r="AM99" i="6"/>
  <c r="D91" i="6"/>
  <c r="D37" i="6"/>
  <c r="AT99" i="6"/>
  <c r="D76" i="6"/>
  <c r="D52" i="6"/>
  <c r="W99" i="6"/>
  <c r="D37" i="5"/>
  <c r="D46" i="5"/>
  <c r="D67" i="5"/>
  <c r="D94" i="5"/>
  <c r="S99" i="6"/>
  <c r="D82" i="6"/>
  <c r="D85" i="5"/>
  <c r="D88" i="6"/>
  <c r="D7" i="6"/>
  <c r="D61" i="5"/>
  <c r="N99" i="6"/>
  <c r="AC99" i="6"/>
  <c r="D22" i="6"/>
  <c r="P99" i="6"/>
  <c r="AA200" i="11"/>
  <c r="AJ109" i="11"/>
  <c r="V200" i="11"/>
  <c r="N148" i="11"/>
  <c r="AF70" i="11"/>
  <c r="AQ161" i="11"/>
  <c r="E99" i="6"/>
  <c r="AH148" i="11"/>
  <c r="S187" i="11"/>
  <c r="V109" i="11"/>
  <c r="M161" i="11"/>
  <c r="J70" i="11"/>
  <c r="J78" i="11" s="1"/>
  <c r="J79" i="11" s="1"/>
  <c r="AO161" i="11"/>
  <c r="AI161" i="11"/>
  <c r="AT57" i="11"/>
  <c r="M148" i="11"/>
  <c r="M156" i="11" s="1"/>
  <c r="M157" i="11" s="1"/>
  <c r="AD83" i="11"/>
  <c r="I174" i="11"/>
  <c r="AI109" i="11"/>
  <c r="X200" i="11"/>
  <c r="N174" i="11"/>
  <c r="N182" i="11" s="1"/>
  <c r="N183" i="11" s="1"/>
  <c r="R70" i="11"/>
  <c r="AC148" i="11"/>
  <c r="AT83" i="11"/>
  <c r="Y174" i="11"/>
  <c r="H122" i="11"/>
  <c r="AN200" i="11"/>
  <c r="Q174" i="11"/>
  <c r="AQ109" i="11"/>
  <c r="Y187" i="11"/>
  <c r="F148" i="11"/>
  <c r="C70" i="11"/>
  <c r="C78" i="11" s="1"/>
  <c r="C79" i="11" s="1"/>
  <c r="AT161" i="11"/>
  <c r="AG57" i="11"/>
  <c r="AG174" i="11"/>
  <c r="AN122" i="11"/>
  <c r="AO187" i="11"/>
  <c r="F122" i="11"/>
  <c r="S70" i="11"/>
  <c r="K135" i="11"/>
  <c r="K143" i="11" s="1"/>
  <c r="K144" i="11" s="1"/>
  <c r="E70" i="11"/>
  <c r="R174" i="11"/>
  <c r="C135" i="11"/>
  <c r="AO57" i="11"/>
  <c r="AO65" i="11" s="1"/>
  <c r="AO66" i="11" s="1"/>
  <c r="AB148" i="11"/>
  <c r="AB156" i="11" s="1"/>
  <c r="AB157" i="11" s="1"/>
  <c r="AO83" i="11"/>
  <c r="AD174" i="11"/>
  <c r="AH109" i="11"/>
  <c r="AQ200" i="11"/>
  <c r="AF161" i="11"/>
  <c r="E109" i="11"/>
  <c r="AE174" i="11"/>
  <c r="G96" i="11"/>
  <c r="AU187" i="11"/>
  <c r="AU195" i="11" s="1"/>
  <c r="AU196" i="11" s="1"/>
  <c r="AB109" i="11"/>
  <c r="S44" i="11"/>
  <c r="AM187" i="11"/>
  <c r="T109" i="11"/>
  <c r="F200" i="11"/>
  <c r="F208" i="11" s="1"/>
  <c r="F209" i="11" s="1"/>
  <c r="AU122" i="11"/>
  <c r="P70" i="11"/>
  <c r="AA161" i="11"/>
  <c r="AL57" i="11"/>
  <c r="AL65" i="11" s="1"/>
  <c r="AL66" i="11" s="1"/>
  <c r="F161" i="11"/>
  <c r="AO44" i="11"/>
  <c r="AG148" i="11"/>
  <c r="F96" i="11"/>
  <c r="AC174" i="11"/>
  <c r="P135" i="11"/>
  <c r="AL44" i="11"/>
  <c r="AC109" i="11"/>
  <c r="N122" i="11"/>
  <c r="AH18" i="11"/>
  <c r="AH26" i="11" s="1"/>
  <c r="AH27" i="11" s="1"/>
  <c r="M174" i="11"/>
  <c r="AC161" i="11"/>
  <c r="AC169" i="11" s="1"/>
  <c r="AC170" i="11" s="1"/>
  <c r="AA187" i="11"/>
  <c r="Q83" i="11"/>
  <c r="AI31" i="11"/>
  <c r="D44" i="11"/>
  <c r="D52" i="11" s="1"/>
  <c r="D53" i="11" s="1"/>
  <c r="AJ174" i="11"/>
  <c r="AS96" i="11"/>
  <c r="C96" i="11"/>
  <c r="C104" i="11" s="1"/>
  <c r="C105" i="11" s="1"/>
  <c r="AT148" i="11"/>
  <c r="W18" i="11"/>
  <c r="AH174" i="11"/>
  <c r="Y161" i="11"/>
  <c r="AP96" i="11"/>
  <c r="AP104" i="11" s="1"/>
  <c r="AP105" i="11" s="1"/>
  <c r="AS187" i="11"/>
  <c r="AS195" i="11" s="1"/>
  <c r="AS196" i="11" s="1"/>
  <c r="J122" i="11"/>
  <c r="W70" i="11"/>
  <c r="W78" i="11" s="1"/>
  <c r="W79" i="11" s="1"/>
  <c r="O135" i="11"/>
  <c r="AE161" i="11"/>
  <c r="X135" i="11"/>
  <c r="X143" i="11" s="1"/>
  <c r="X144" i="11" s="1"/>
  <c r="AP174" i="11"/>
  <c r="AP182" i="11" s="1"/>
  <c r="AP183" i="11" s="1"/>
  <c r="D83" i="11"/>
  <c r="C161" i="11"/>
  <c r="V44" i="11"/>
  <c r="M109" i="11"/>
  <c r="AL148" i="11"/>
  <c r="AL156" i="11" s="1"/>
  <c r="AL157" i="11" s="1"/>
  <c r="R18" i="11"/>
  <c r="AV5" i="11"/>
  <c r="AV13" i="11" s="1"/>
  <c r="AV14" i="11" s="1"/>
  <c r="Y31" i="11"/>
  <c r="Y39" i="11" s="1"/>
  <c r="Y40" i="11" s="1"/>
  <c r="AU174" i="11"/>
  <c r="AU182" i="11" s="1"/>
  <c r="AU183" i="11" s="1"/>
  <c r="Y148" i="11"/>
  <c r="AL187" i="11"/>
  <c r="AL195" i="11" s="1"/>
  <c r="AL196" i="11" s="1"/>
  <c r="W83" i="11"/>
  <c r="W91" i="11" s="1"/>
  <c r="W92" i="11" s="1"/>
  <c r="S31" i="11"/>
  <c r="T135" i="11"/>
  <c r="T143" i="11" s="1"/>
  <c r="T144" i="11" s="1"/>
  <c r="E148" i="11"/>
  <c r="E156" i="11" s="1"/>
  <c r="E157" i="11" s="1"/>
  <c r="V83" i="11"/>
  <c r="AB187" i="11"/>
  <c r="M122" i="11"/>
  <c r="M130" i="11" s="1"/>
  <c r="M131" i="11" s="1"/>
  <c r="G57" i="11"/>
  <c r="G65" i="11" s="1"/>
  <c r="G66" i="11" s="1"/>
  <c r="R148" i="11"/>
  <c r="O122" i="11"/>
  <c r="O130" i="11" s="1"/>
  <c r="O131" i="11" s="1"/>
  <c r="AQ135" i="11"/>
  <c r="AG135" i="11"/>
  <c r="M57" i="11"/>
  <c r="AL135" i="11"/>
  <c r="AV70" i="11"/>
  <c r="AV78" i="11" s="1"/>
  <c r="AV79" i="11" s="1"/>
  <c r="Z70" i="11"/>
  <c r="X109" i="11"/>
  <c r="AK31" i="11"/>
  <c r="AU31" i="11"/>
  <c r="E18" i="11"/>
  <c r="E26" i="11" s="1"/>
  <c r="E27" i="11" s="1"/>
  <c r="L161" i="11"/>
  <c r="AN148" i="11"/>
  <c r="H174" i="11"/>
  <c r="R57" i="11"/>
  <c r="C18" i="11"/>
  <c r="AD122" i="11"/>
  <c r="AJ161" i="11"/>
  <c r="I109" i="11"/>
  <c r="W187" i="11"/>
  <c r="AJ122" i="11"/>
  <c r="F174" i="11"/>
  <c r="AT70" i="11"/>
  <c r="AA122" i="11"/>
  <c r="AR57" i="11"/>
  <c r="U200" i="11"/>
  <c r="S122" i="11"/>
  <c r="AJ57" i="11"/>
  <c r="AU148" i="11"/>
  <c r="J57" i="11"/>
  <c r="U135" i="11"/>
  <c r="AS109" i="11"/>
  <c r="AK200" i="11"/>
  <c r="AI122" i="11"/>
  <c r="D70" i="11"/>
  <c r="D78" i="11" s="1"/>
  <c r="D79" i="11" s="1"/>
  <c r="O161" i="11"/>
  <c r="Z57" i="11"/>
  <c r="AK135" i="11"/>
  <c r="J83" i="11"/>
  <c r="J91" i="11" s="1"/>
  <c r="J92" i="11" s="1"/>
  <c r="F187" i="11"/>
  <c r="F195" i="11" s="1"/>
  <c r="F196" i="11" s="1"/>
  <c r="AC135" i="11"/>
  <c r="AF122" i="11"/>
  <c r="AF174" i="11"/>
  <c r="G109" i="11"/>
  <c r="AJ187" i="11"/>
  <c r="U122" i="11"/>
  <c r="U130" i="11" s="1"/>
  <c r="U131" i="11" s="1"/>
  <c r="O57" i="11"/>
  <c r="AS135" i="11"/>
  <c r="R83" i="11"/>
  <c r="AV174" i="11"/>
  <c r="W109" i="11"/>
  <c r="O200" i="11"/>
  <c r="AK122" i="11"/>
  <c r="AE57" i="11"/>
  <c r="AR187" i="11"/>
  <c r="AR195" i="11" s="1"/>
  <c r="AR196" i="11" s="1"/>
  <c r="AC122" i="11"/>
  <c r="W57" i="11"/>
  <c r="R161" i="11"/>
  <c r="R169" i="11" s="1"/>
  <c r="R170" i="11" s="1"/>
  <c r="E57" i="11"/>
  <c r="AN135" i="11"/>
  <c r="E83" i="11"/>
  <c r="G174" i="11"/>
  <c r="G182" i="11" s="1"/>
  <c r="G183" i="11" s="1"/>
  <c r="S135" i="11"/>
  <c r="S143" i="11" s="1"/>
  <c r="S144" i="11" s="1"/>
  <c r="M70" i="11"/>
  <c r="M78" i="11" s="1"/>
  <c r="M79" i="11" s="1"/>
  <c r="AR148" i="11"/>
  <c r="M96" i="11"/>
  <c r="M104" i="11" s="1"/>
  <c r="M105" i="11" s="1"/>
  <c r="AT174" i="11"/>
  <c r="D122" i="11"/>
  <c r="P187" i="11"/>
  <c r="P195" i="11" s="1"/>
  <c r="P196" i="11" s="1"/>
  <c r="AL174" i="11"/>
  <c r="AL182" i="11" s="1"/>
  <c r="AL183" i="11" s="1"/>
  <c r="AP109" i="11"/>
  <c r="C187" i="11"/>
  <c r="AF96" i="11"/>
  <c r="M200" i="11"/>
  <c r="K122" i="11"/>
  <c r="AB57" i="11"/>
  <c r="AN109" i="11"/>
  <c r="AA44" i="11"/>
  <c r="S161" i="11"/>
  <c r="AD57" i="11"/>
  <c r="AD65" i="11" s="1"/>
  <c r="AD66" i="11" s="1"/>
  <c r="AO135" i="11"/>
  <c r="AH70" i="11"/>
  <c r="AK187" i="11"/>
  <c r="AK195" i="11" s="1"/>
  <c r="AK196" i="11" s="1"/>
  <c r="O70" i="11"/>
  <c r="AU83" i="11"/>
  <c r="AU91" i="11" s="1"/>
  <c r="AU92" i="11" s="1"/>
  <c r="AR18" i="11"/>
  <c r="AR26" i="11" s="1"/>
  <c r="AR27" i="11" s="1"/>
  <c r="P109" i="11"/>
  <c r="P117" i="11" s="1"/>
  <c r="P118" i="11" s="1"/>
  <c r="AQ122" i="11"/>
  <c r="D148" i="11"/>
  <c r="C174" i="11"/>
  <c r="AC83" i="11"/>
  <c r="AB135" i="11"/>
  <c r="AC200" i="11"/>
  <c r="L96" i="11"/>
  <c r="N200" i="11"/>
  <c r="N208" i="11" s="1"/>
  <c r="N209" i="11" s="1"/>
  <c r="AH187" i="11"/>
  <c r="D96" i="11"/>
  <c r="AF200" i="11"/>
  <c r="V135" i="11"/>
  <c r="AV44" i="11"/>
  <c r="K148" i="11"/>
  <c r="S83" i="11"/>
  <c r="G200" i="11"/>
  <c r="T96" i="11"/>
  <c r="AV200" i="11"/>
  <c r="AP148" i="11"/>
  <c r="P57" i="11"/>
  <c r="AA148" i="11"/>
  <c r="AH44" i="11"/>
  <c r="U148" i="11"/>
  <c r="S148" i="11"/>
  <c r="Z44" i="11"/>
  <c r="Z52" i="11" s="1"/>
  <c r="Z53" i="11" s="1"/>
  <c r="AR161" i="11"/>
  <c r="Q109" i="11"/>
  <c r="AQ174" i="11"/>
  <c r="S96" i="11"/>
  <c r="Q187" i="11"/>
  <c r="AI148" i="11"/>
  <c r="AP44" i="11"/>
  <c r="I135" i="11"/>
  <c r="I143" i="11" s="1"/>
  <c r="I144" i="11" s="1"/>
  <c r="AG109" i="11"/>
  <c r="L174" i="11"/>
  <c r="AI96" i="11"/>
  <c r="AG187" i="11"/>
  <c r="D174" i="11"/>
  <c r="D182" i="11" s="1"/>
  <c r="D183" i="11" s="1"/>
  <c r="AA96" i="11"/>
  <c r="H187" i="11"/>
  <c r="AV109" i="11"/>
  <c r="AH200" i="11"/>
  <c r="AR122" i="11"/>
  <c r="AR130" i="11" s="1"/>
  <c r="AR131" i="11" s="1"/>
  <c r="AR70" i="11"/>
  <c r="AU200" i="11"/>
  <c r="AS122" i="11"/>
  <c r="AS130" i="11" s="1"/>
  <c r="AS131" i="11" s="1"/>
  <c r="AM57" i="11"/>
  <c r="AM65" i="11" s="1"/>
  <c r="AM66" i="11" s="1"/>
  <c r="AH161" i="11"/>
  <c r="U57" i="11"/>
  <c r="U65" i="11" s="1"/>
  <c r="U66" i="11" s="1"/>
  <c r="H148" i="11"/>
  <c r="U83" i="11"/>
  <c r="W174" i="11"/>
  <c r="AV135" i="11"/>
  <c r="M83" i="11"/>
  <c r="AG161" i="11"/>
  <c r="F109" i="11"/>
  <c r="Z187" i="11"/>
  <c r="Z195" i="11" s="1"/>
  <c r="Z196" i="11" s="1"/>
  <c r="AR83" i="11"/>
  <c r="X174" i="11"/>
  <c r="AE83" i="11"/>
  <c r="AE91" i="11" s="1"/>
  <c r="AE92" i="11" s="1"/>
  <c r="E200" i="11"/>
  <c r="E208" i="11" s="1"/>
  <c r="E209" i="11" s="1"/>
  <c r="C122" i="11"/>
  <c r="C130" i="11" s="1"/>
  <c r="C131" i="11" s="1"/>
  <c r="T57" i="11"/>
  <c r="T65" i="11" s="1"/>
  <c r="T66" i="11" s="1"/>
  <c r="AE148" i="11"/>
  <c r="AE156" i="11" s="1"/>
  <c r="AE157" i="11" s="1"/>
  <c r="AS148" i="11"/>
  <c r="E135" i="11"/>
  <c r="U174" i="11"/>
  <c r="U182" i="11" s="1"/>
  <c r="U183" i="11" s="1"/>
  <c r="F70" i="11"/>
  <c r="Q148" i="11"/>
  <c r="I83" i="11"/>
  <c r="AT96" i="11"/>
  <c r="G122" i="11"/>
  <c r="AL31" i="11"/>
  <c r="AL39" i="11" s="1"/>
  <c r="AL40" i="11" s="1"/>
  <c r="AF5" i="11"/>
  <c r="F18" i="11"/>
  <c r="AN187" i="11"/>
  <c r="AA174" i="11"/>
  <c r="AV187" i="11"/>
  <c r="AV195" i="11" s="1"/>
  <c r="AV196" i="11" s="1"/>
  <c r="AK96" i="11"/>
  <c r="AK104" i="11" s="1"/>
  <c r="AK105" i="11" s="1"/>
  <c r="Y5" i="11"/>
  <c r="V187" i="11"/>
  <c r="AM122" i="11"/>
  <c r="H70" i="11"/>
  <c r="M135" i="11"/>
  <c r="AK109" i="11"/>
  <c r="P174" i="11"/>
  <c r="J135" i="11"/>
  <c r="J143" i="11" s="1"/>
  <c r="J144" i="11" s="1"/>
  <c r="AG44" i="11"/>
  <c r="AP70" i="11"/>
  <c r="AB122" i="11"/>
  <c r="I44" i="11"/>
  <c r="Y135" i="11"/>
  <c r="AN161" i="11"/>
  <c r="E174" i="11"/>
  <c r="AH57" i="11"/>
  <c r="S18" i="11"/>
  <c r="AJ18" i="11"/>
  <c r="AV161" i="11"/>
  <c r="N70" i="11"/>
  <c r="AP83" i="11"/>
  <c r="J148" i="11"/>
  <c r="J156" i="11" s="1"/>
  <c r="J157" i="11" s="1"/>
  <c r="V31" i="11"/>
  <c r="AV83" i="11"/>
  <c r="X44" i="11"/>
  <c r="AT122" i="11"/>
  <c r="AN44" i="11"/>
  <c r="AV148" i="11"/>
  <c r="Q96" i="11"/>
  <c r="M187" i="11"/>
  <c r="AJ96" i="11"/>
  <c r="K83" i="11"/>
  <c r="AK70" i="11"/>
  <c r="AK78" i="11" s="1"/>
  <c r="AK79" i="11" s="1"/>
  <c r="H96" i="11"/>
  <c r="AG18" i="11"/>
  <c r="AG26" i="11" s="1"/>
  <c r="AG27" i="11" s="1"/>
  <c r="O148" i="11"/>
  <c r="H135" i="11"/>
  <c r="Z174" i="11"/>
  <c r="AG70" i="11"/>
  <c r="AH31" i="11"/>
  <c r="AH39" i="11" s="1"/>
  <c r="AH40" i="11" s="1"/>
  <c r="H5" i="11"/>
  <c r="H13" i="11" s="1"/>
  <c r="H14" i="11" s="1"/>
  <c r="AI135" i="11"/>
  <c r="I70" i="11"/>
  <c r="I96" i="11"/>
  <c r="AG122" i="11"/>
  <c r="AT5" i="11"/>
  <c r="AP57" i="11"/>
  <c r="AP65" i="11" s="1"/>
  <c r="AP66" i="11" s="1"/>
  <c r="U44" i="11"/>
  <c r="R135" i="11"/>
  <c r="AQ57" i="11"/>
  <c r="AF135" i="11"/>
  <c r="G83" i="11"/>
  <c r="Q161" i="11"/>
  <c r="J109" i="11"/>
  <c r="R200" i="11"/>
  <c r="AB70" i="11"/>
  <c r="AE109" i="11"/>
  <c r="L44" i="11"/>
  <c r="V122" i="11"/>
  <c r="AA135" i="11"/>
  <c r="Q135" i="11"/>
  <c r="O83" i="11"/>
  <c r="N18" i="11"/>
  <c r="N5" i="11"/>
  <c r="V148" i="11"/>
  <c r="AV57" i="11"/>
  <c r="V57" i="11"/>
  <c r="H109" i="11"/>
  <c r="U31" i="11"/>
  <c r="U5" i="11"/>
  <c r="AK57" i="11"/>
  <c r="E44" i="11"/>
  <c r="AK18" i="11"/>
  <c r="AP161" i="11"/>
  <c r="AP169" i="11" s="1"/>
  <c r="AP170" i="11" s="1"/>
  <c r="Q44" i="11"/>
  <c r="Y122" i="11"/>
  <c r="AI18" i="11"/>
  <c r="AI26" i="11" s="1"/>
  <c r="AI27" i="11" s="1"/>
  <c r="D31" i="11"/>
  <c r="AO5" i="11"/>
  <c r="P44" i="11"/>
  <c r="N109" i="11"/>
  <c r="N117" i="11" s="1"/>
  <c r="N118" i="11" s="1"/>
  <c r="AJ31" i="11"/>
  <c r="AF57" i="11"/>
  <c r="AF65" i="11" s="1"/>
  <c r="AF66" i="11" s="1"/>
  <c r="AS18" i="11"/>
  <c r="U18" i="11"/>
  <c r="Z135" i="11"/>
  <c r="AC31" i="11"/>
  <c r="AS83" i="11"/>
  <c r="T18" i="11"/>
  <c r="T26" i="11" s="1"/>
  <c r="T27" i="11" s="1"/>
  <c r="X148" i="11"/>
  <c r="AN18" i="11"/>
  <c r="AR5" i="11"/>
  <c r="F83" i="11"/>
  <c r="T31" i="11"/>
  <c r="S57" i="11"/>
  <c r="S65" i="11" s="1"/>
  <c r="S66" i="11" s="1"/>
  <c r="AC18" i="11"/>
  <c r="AC26" i="11" s="1"/>
  <c r="AC27" i="11" s="1"/>
  <c r="AV18" i="11"/>
  <c r="L31" i="11"/>
  <c r="L39" i="11" s="1"/>
  <c r="L40" i="11" s="1"/>
  <c r="V18" i="11"/>
  <c r="W148" i="11"/>
  <c r="W156" i="11" s="1"/>
  <c r="W157" i="11" s="1"/>
  <c r="AL5" i="11"/>
  <c r="AV122" i="11"/>
  <c r="C31" i="11"/>
  <c r="C39" i="11" s="1"/>
  <c r="C40" i="11" s="1"/>
  <c r="J31" i="11"/>
  <c r="AF187" i="11"/>
  <c r="AF195" i="11" s="1"/>
  <c r="AF196" i="11" s="1"/>
  <c r="AU5" i="11"/>
  <c r="P148" i="11"/>
  <c r="AV96" i="11"/>
  <c r="AD96" i="11"/>
  <c r="AD104" i="11" s="1"/>
  <c r="AD105" i="11" s="1"/>
  <c r="E161" i="11"/>
  <c r="AS174" i="11"/>
  <c r="S200" i="11"/>
  <c r="AE70" i="11"/>
  <c r="AL96" i="11"/>
  <c r="AF83" i="11"/>
  <c r="AH122" i="11"/>
  <c r="D200" i="11"/>
  <c r="AM70" i="11"/>
  <c r="AK44" i="11"/>
  <c r="AP187" i="11"/>
  <c r="AP195" i="11" s="1"/>
  <c r="AP196" i="11" s="1"/>
  <c r="K187" i="11"/>
  <c r="V96" i="11"/>
  <c r="P83" i="11"/>
  <c r="R122" i="11"/>
  <c r="U161" i="11"/>
  <c r="N187" i="11"/>
  <c r="L200" i="11"/>
  <c r="AU70" i="11"/>
  <c r="Z122" i="11"/>
  <c r="AE135" i="11"/>
  <c r="T200" i="11"/>
  <c r="AO70" i="11"/>
  <c r="P161" i="11"/>
  <c r="AE187" i="11"/>
  <c r="AQ96" i="11"/>
  <c r="AT135" i="11"/>
  <c r="AT143" i="11" s="1"/>
  <c r="AT144" i="11" s="1"/>
  <c r="C83" i="11"/>
  <c r="N96" i="11"/>
  <c r="AJ83" i="11"/>
  <c r="J161" i="11"/>
  <c r="AS200" i="11"/>
  <c r="AR31" i="11"/>
  <c r="P18" i="11"/>
  <c r="AD161" i="11"/>
  <c r="AD169" i="11" s="1"/>
  <c r="AD170" i="11" s="1"/>
  <c r="AN70" i="11"/>
  <c r="AO200" i="11"/>
  <c r="W31" i="11"/>
  <c r="AS70" i="11"/>
  <c r="T70" i="11"/>
  <c r="AT200" i="11"/>
  <c r="P5" i="11"/>
  <c r="AH135" i="11"/>
  <c r="K70" i="11"/>
  <c r="AA31" i="11"/>
  <c r="AR200" i="11"/>
  <c r="AE96" i="11"/>
  <c r="F135" i="11"/>
  <c r="H83" i="11"/>
  <c r="AL161" i="11"/>
  <c r="L148" i="11"/>
  <c r="AR174" i="11"/>
  <c r="AO109" i="11"/>
  <c r="AO117" i="11" s="1"/>
  <c r="AO118" i="11" s="1"/>
  <c r="AL109" i="11"/>
  <c r="AM135" i="11"/>
  <c r="AN31" i="11"/>
  <c r="AC70" i="11"/>
  <c r="AU44" i="11"/>
  <c r="L18" i="11"/>
  <c r="AK174" i="11"/>
  <c r="Z200" i="11"/>
  <c r="Z109" i="11"/>
  <c r="Z117" i="11" s="1"/>
  <c r="Z118" i="11" s="1"/>
  <c r="AU161" i="11"/>
  <c r="AU169" i="11" s="1"/>
  <c r="AU170" i="11" s="1"/>
  <c r="AF109" i="11"/>
  <c r="R109" i="11"/>
  <c r="E96" i="11"/>
  <c r="T83" i="11"/>
  <c r="T91" i="11" s="1"/>
  <c r="T92" i="11" s="1"/>
  <c r="AB174" i="11"/>
  <c r="AD135" i="11"/>
  <c r="Q18" i="11"/>
  <c r="Y18" i="11"/>
  <c r="G70" i="11"/>
  <c r="K161" i="11"/>
  <c r="G135" i="11"/>
  <c r="G143" i="11" s="1"/>
  <c r="G144" i="11" s="1"/>
  <c r="S5" i="11"/>
  <c r="I31" i="11"/>
  <c r="AF44" i="11"/>
  <c r="L187" i="11"/>
  <c r="AT18" i="11"/>
  <c r="J5" i="11"/>
  <c r="J13" i="11" s="1"/>
  <c r="J14" i="11" s="1"/>
  <c r="AB5" i="11"/>
  <c r="R31" i="11"/>
  <c r="R39" i="11" s="1"/>
  <c r="R40" i="11" s="1"/>
  <c r="K31" i="11"/>
  <c r="AI5" i="11"/>
  <c r="AI13" i="11" s="1"/>
  <c r="AI14" i="11" s="1"/>
  <c r="AV31" i="11"/>
  <c r="AV39" i="11" s="1"/>
  <c r="AV40" i="11" s="1"/>
  <c r="E31" i="11"/>
  <c r="S174" i="11"/>
  <c r="AD18" i="11"/>
  <c r="D5" i="11"/>
  <c r="N44" i="11"/>
  <c r="N52" i="11" s="1"/>
  <c r="N53" i="11" s="1"/>
  <c r="AD44" i="11"/>
  <c r="AD52" i="11" s="1"/>
  <c r="AD53" i="11" s="1"/>
  <c r="AP31" i="11"/>
  <c r="C5" i="11"/>
  <c r="P31" i="11"/>
  <c r="AC5" i="11"/>
  <c r="AC13" i="11" s="1"/>
  <c r="AC14" i="11" s="1"/>
  <c r="J18" i="11"/>
  <c r="AR109" i="11"/>
  <c r="AE5" i="11"/>
  <c r="AE13" i="11" s="1"/>
  <c r="AE14" i="11" s="1"/>
  <c r="AK148" i="11"/>
  <c r="AK156" i="11" s="1"/>
  <c r="AK157" i="11" s="1"/>
  <c r="X5" i="11"/>
  <c r="X13" i="11" s="1"/>
  <c r="X14" i="11" s="1"/>
  <c r="U96" i="11"/>
  <c r="Y70" i="11"/>
  <c r="AP122" i="11"/>
  <c r="X161" i="11"/>
  <c r="AG96" i="11"/>
  <c r="AG104" i="11" s="1"/>
  <c r="AG105" i="11" s="1"/>
  <c r="L109" i="11"/>
  <c r="X187" i="11"/>
  <c r="AC44" i="11"/>
  <c r="L135" i="11"/>
  <c r="L143" i="11" s="1"/>
  <c r="L144" i="11" s="1"/>
  <c r="T148" i="11"/>
  <c r="P200" i="11"/>
  <c r="AM161" i="11"/>
  <c r="L70" i="11"/>
  <c r="AG31" i="11"/>
  <c r="K109" i="11"/>
  <c r="Q57" i="11"/>
  <c r="Q65" i="11" s="1"/>
  <c r="Q66" i="11" s="1"/>
  <c r="AS5" i="11"/>
  <c r="D135" i="11"/>
  <c r="E187" i="11"/>
  <c r="AE200" i="11"/>
  <c r="T122" i="11"/>
  <c r="G148" i="11"/>
  <c r="G156" i="11" s="1"/>
  <c r="G157" i="11" s="1"/>
  <c r="N57" i="11"/>
  <c r="N65" i="11" s="1"/>
  <c r="N66" i="11" s="1"/>
  <c r="AU57" i="11"/>
  <c r="AB18" i="11"/>
  <c r="AB26" i="11" s="1"/>
  <c r="AB27" i="11" s="1"/>
  <c r="W5" i="11"/>
  <c r="Z148" i="11"/>
  <c r="H57" i="11"/>
  <c r="AQ70" i="11"/>
  <c r="AQ78" i="11" s="1"/>
  <c r="AQ79" i="11" s="1"/>
  <c r="AT44" i="11"/>
  <c r="K96" i="11"/>
  <c r="G187" i="11"/>
  <c r="G195" i="11" s="1"/>
  <c r="G196" i="11" s="1"/>
  <c r="S109" i="11"/>
  <c r="S117" i="11" s="1"/>
  <c r="S118" i="11" s="1"/>
  <c r="G31" i="11"/>
  <c r="G39" i="11" s="1"/>
  <c r="G40" i="11" s="1"/>
  <c r="AM200" i="11"/>
  <c r="AM208" i="11" s="1"/>
  <c r="AM209" i="11" s="1"/>
  <c r="J96" i="11"/>
  <c r="AS31" i="11"/>
  <c r="AS39" i="11" s="1"/>
  <c r="AS40" i="11" s="1"/>
  <c r="AM96" i="11"/>
  <c r="AM104" i="11" s="1"/>
  <c r="AM105" i="11" s="1"/>
  <c r="G161" i="11"/>
  <c r="G169" i="11" s="1"/>
  <c r="G170" i="11" s="1"/>
  <c r="AF148" i="11"/>
  <c r="AF156" i="11" s="1"/>
  <c r="AF157" i="11" s="1"/>
  <c r="W135" i="11"/>
  <c r="W143" i="11" s="1"/>
  <c r="W144" i="11" s="1"/>
  <c r="V174" i="11"/>
  <c r="AJ70" i="11"/>
  <c r="AE122" i="11"/>
  <c r="AE130" i="11" s="1"/>
  <c r="AE131" i="11" s="1"/>
  <c r="Y83" i="11"/>
  <c r="Y91" i="11" s="1"/>
  <c r="Y92" i="11" s="1"/>
  <c r="AQ187" i="11"/>
  <c r="AQ195" i="11" s="1"/>
  <c r="AQ196" i="11" s="1"/>
  <c r="AN57" i="11"/>
  <c r="AN65" i="11" s="1"/>
  <c r="AN66" i="11" s="1"/>
  <c r="AI200" i="11"/>
  <c r="AI208" i="11" s="1"/>
  <c r="AI209" i="11" s="1"/>
  <c r="C109" i="11"/>
  <c r="AN83" i="11"/>
  <c r="AN91" i="11" s="1"/>
  <c r="AN92" i="11" s="1"/>
  <c r="F5" i="11"/>
  <c r="Z31" i="11"/>
  <c r="J174" i="11"/>
  <c r="AB83" i="11"/>
  <c r="AB91" i="11" s="1"/>
  <c r="AB92" i="11" s="1"/>
  <c r="AL83" i="11"/>
  <c r="AR44" i="11"/>
  <c r="V161" i="11"/>
  <c r="V169" i="11" s="1"/>
  <c r="V170" i="11" s="1"/>
  <c r="E5" i="11"/>
  <c r="R96" i="11"/>
  <c r="R104" i="11" s="1"/>
  <c r="R105" i="11" s="1"/>
  <c r="AM5" i="11"/>
  <c r="N161" i="11"/>
  <c r="N169" i="11" s="1"/>
  <c r="N170" i="11" s="1"/>
  <c r="AP18" i="11"/>
  <c r="AP26" i="11" s="1"/>
  <c r="AP27" i="11" s="1"/>
  <c r="O96" i="11"/>
  <c r="I57" i="11"/>
  <c r="AB44" i="11"/>
  <c r="AB52" i="11" s="1"/>
  <c r="AB53" i="11" s="1"/>
  <c r="L122" i="11"/>
  <c r="Y44" i="11"/>
  <c r="AC96" i="11"/>
  <c r="AC104" i="11" s="1"/>
  <c r="AC105" i="11" s="1"/>
  <c r="R5" i="11"/>
  <c r="R13" i="11" s="1"/>
  <c r="R14" i="11" s="1"/>
  <c r="AL70" i="11"/>
  <c r="AL78" i="11" s="1"/>
  <c r="AL79" i="11" s="1"/>
  <c r="AF18" i="11"/>
  <c r="G44" i="11"/>
  <c r="AL200" i="11"/>
  <c r="H44" i="11"/>
  <c r="AQ83" i="11"/>
  <c r="AE31" i="11"/>
  <c r="AE39" i="11" s="1"/>
  <c r="AE40" i="11" s="1"/>
  <c r="K5" i="11"/>
  <c r="K57" i="11"/>
  <c r="K65" i="11" s="1"/>
  <c r="K66" i="11" s="1"/>
  <c r="AH5" i="11"/>
  <c r="AC57" i="11"/>
  <c r="AC65" i="11" s="1"/>
  <c r="AC66" i="11" s="1"/>
  <c r="T5" i="11"/>
  <c r="V5" i="11"/>
  <c r="V13" i="11" s="1"/>
  <c r="V14" i="11" s="1"/>
  <c r="AA5" i="11"/>
  <c r="AA13" i="11" s="1"/>
  <c r="AA14" i="11" s="1"/>
  <c r="H161" i="11"/>
  <c r="AA83" i="11"/>
  <c r="AO96" i="11"/>
  <c r="O174" i="11"/>
  <c r="C44" i="11"/>
  <c r="I122" i="11"/>
  <c r="AP200" i="11"/>
  <c r="AD70" i="11"/>
  <c r="AG83" i="11"/>
  <c r="AL122" i="11"/>
  <c r="AA70" i="11"/>
  <c r="O109" i="11"/>
  <c r="AT31" i="11"/>
  <c r="AO122" i="11"/>
  <c r="T161" i="11"/>
  <c r="AP5" i="11"/>
  <c r="X96" i="11"/>
  <c r="C148" i="11"/>
  <c r="AB161" i="11"/>
  <c r="O187" i="11"/>
  <c r="Z96" i="11"/>
  <c r="AM109" i="11"/>
  <c r="W161" i="11"/>
  <c r="M18" i="11"/>
  <c r="U109" i="11"/>
  <c r="L57" i="11"/>
  <c r="L65" i="11" s="1"/>
  <c r="L66" i="11" s="1"/>
  <c r="AB31" i="11"/>
  <c r="W200" i="11"/>
  <c r="W208" i="11" s="1"/>
  <c r="W209" i="11" s="1"/>
  <c r="G18" i="11"/>
  <c r="Y57" i="11"/>
  <c r="Q200" i="11"/>
  <c r="H200" i="11"/>
  <c r="AJ200" i="11"/>
  <c r="AB96" i="11"/>
  <c r="AI44" i="11"/>
  <c r="K18" i="11"/>
  <c r="K26" i="11" s="1"/>
  <c r="K27" i="11" s="1"/>
  <c r="T187" i="11"/>
  <c r="AD109" i="11"/>
  <c r="Z83" i="11"/>
  <c r="AU96" i="11"/>
  <c r="AD148" i="11"/>
  <c r="AD156" i="11" s="1"/>
  <c r="AD157" i="11" s="1"/>
  <c r="AG200" i="11"/>
  <c r="AG208" i="11" s="1"/>
  <c r="AG209" i="11" s="1"/>
  <c r="AK161" i="11"/>
  <c r="AS161" i="11"/>
  <c r="AJ148" i="11"/>
  <c r="AJ156" i="11" s="1"/>
  <c r="AJ157" i="11" s="1"/>
  <c r="J44" i="11"/>
  <c r="P122" i="11"/>
  <c r="U70" i="11"/>
  <c r="U78" i="11" s="1"/>
  <c r="U79" i="11" s="1"/>
  <c r="Y109" i="11"/>
  <c r="X18" i="11"/>
  <c r="AF31" i="11"/>
  <c r="AF39" i="11" s="1"/>
  <c r="AF40" i="11" s="1"/>
  <c r="AH96" i="11"/>
  <c r="AH104" i="11" s="1"/>
  <c r="AH105" i="11" s="1"/>
  <c r="Y200" i="11"/>
  <c r="AS57" i="11"/>
  <c r="W44" i="11"/>
  <c r="AK83" i="11"/>
  <c r="AO18" i="11"/>
  <c r="L83" i="11"/>
  <c r="L91" i="11" s="1"/>
  <c r="L92" i="11" s="1"/>
  <c r="AJ5" i="11"/>
  <c r="D161" i="11"/>
  <c r="M5" i="11"/>
  <c r="O31" i="11"/>
  <c r="O39" i="11" s="1"/>
  <c r="O40" i="11" s="1"/>
  <c r="D187" i="11"/>
  <c r="AU18" i="11"/>
  <c r="F57" i="11"/>
  <c r="F65" i="11" s="1"/>
  <c r="F66" i="11" s="1"/>
  <c r="I18" i="11"/>
  <c r="AI83" i="11"/>
  <c r="AK5" i="11"/>
  <c r="H31" i="11"/>
  <c r="AR135" i="11"/>
  <c r="AD31" i="11"/>
  <c r="AD39" i="11" s="1"/>
  <c r="AD40" i="11" s="1"/>
  <c r="AO174" i="11"/>
  <c r="O18" i="11"/>
  <c r="O26" i="11" s="1"/>
  <c r="O27" i="11" s="1"/>
  <c r="AS44" i="11"/>
  <c r="Q5" i="11"/>
  <c r="Q13" i="11" s="1"/>
  <c r="Q14" i="11" s="1"/>
  <c r="AB200" i="11"/>
  <c r="AB208" i="11" s="1"/>
  <c r="AB209" i="11" s="1"/>
  <c r="G5" i="11"/>
  <c r="F44" i="11"/>
  <c r="Z5" i="11"/>
  <c r="Z13" i="11" s="1"/>
  <c r="Z14" i="11" s="1"/>
  <c r="H18" i="11"/>
  <c r="H26" i="11" s="1"/>
  <c r="H27" i="11" s="1"/>
  <c r="AI187" i="11"/>
  <c r="AI195" i="11" s="1"/>
  <c r="AI196" i="11" s="1"/>
  <c r="X31" i="11"/>
  <c r="Y96" i="11"/>
  <c r="Y104" i="11" s="1"/>
  <c r="Y105" i="11" s="1"/>
  <c r="AU135" i="11"/>
  <c r="AN174" i="11"/>
  <c r="AM83" i="11"/>
  <c r="T174" i="11"/>
  <c r="T182" i="11" s="1"/>
  <c r="T183" i="11" s="1"/>
  <c r="C57" i="11"/>
  <c r="N135" i="11"/>
  <c r="AO148" i="11"/>
  <c r="R187" i="11"/>
  <c r="X122" i="11"/>
  <c r="AH83" i="11"/>
  <c r="X57" i="11"/>
  <c r="I5" i="11"/>
  <c r="AI57" i="11"/>
  <c r="X83" i="11"/>
  <c r="X91" i="11" s="1"/>
  <c r="X92" i="11" s="1"/>
  <c r="I148" i="11"/>
  <c r="V70" i="11"/>
  <c r="AA109" i="11"/>
  <c r="J200" i="11"/>
  <c r="J208" i="11" s="1"/>
  <c r="J209" i="11" s="1"/>
  <c r="AR96" i="11"/>
  <c r="AQ44" i="11"/>
  <c r="U187" i="11"/>
  <c r="AT109" i="11"/>
  <c r="Z18" i="11"/>
  <c r="P96" i="11"/>
  <c r="P104" i="11" s="1"/>
  <c r="P105" i="11" s="1"/>
  <c r="AJ135" i="11"/>
  <c r="AJ143" i="11" s="1"/>
  <c r="AJ144" i="11" s="1"/>
  <c r="Q31" i="11"/>
  <c r="Q39" i="11" s="1"/>
  <c r="Q40" i="11" s="1"/>
  <c r="AM148" i="11"/>
  <c r="AI174" i="11"/>
  <c r="AI182" i="11" s="1"/>
  <c r="AI183" i="11" s="1"/>
  <c r="K200" i="11"/>
  <c r="K208" i="11" s="1"/>
  <c r="K209" i="11" s="1"/>
  <c r="N83" i="11"/>
  <c r="N91" i="11" s="1"/>
  <c r="N92" i="11" s="1"/>
  <c r="Z161" i="11"/>
  <c r="D57" i="11"/>
  <c r="AD200" i="11"/>
  <c r="AN5" i="11"/>
  <c r="AN13" i="11" s="1"/>
  <c r="AN14" i="11" s="1"/>
  <c r="AD5" i="11"/>
  <c r="E122" i="11"/>
  <c r="E130" i="11" s="1"/>
  <c r="E131" i="11" s="1"/>
  <c r="AA57" i="11"/>
  <c r="AA65" i="11" s="1"/>
  <c r="AA66" i="11" s="1"/>
  <c r="F31" i="11"/>
  <c r="F39" i="11" s="1"/>
  <c r="F40" i="11" s="1"/>
  <c r="Q70" i="11"/>
  <c r="D109" i="11"/>
  <c r="D117" i="11" s="1"/>
  <c r="D118" i="11" s="1"/>
  <c r="AT187" i="11"/>
  <c r="AD187" i="11"/>
  <c r="AP135" i="11"/>
  <c r="AP143" i="11" s="1"/>
  <c r="AP144" i="11" s="1"/>
  <c r="W122" i="11"/>
  <c r="I187" i="11"/>
  <c r="AI70" i="11"/>
  <c r="AI78" i="11" s="1"/>
  <c r="AI79" i="11" s="1"/>
  <c r="C200" i="11"/>
  <c r="AM18" i="11"/>
  <c r="AE18" i="11"/>
  <c r="AC187" i="11"/>
  <c r="J187" i="11"/>
  <c r="J195" i="11" s="1"/>
  <c r="J196" i="11" s="1"/>
  <c r="I161" i="11"/>
  <c r="K44" i="11"/>
  <c r="K52" i="11" s="1"/>
  <c r="K53" i="11" s="1"/>
  <c r="M31" i="11"/>
  <c r="Q122" i="11"/>
  <c r="Q130" i="11" s="1"/>
  <c r="Q131" i="11" s="1"/>
  <c r="AM44" i="11"/>
  <c r="AM31" i="11"/>
  <c r="AM39" i="11" s="1"/>
  <c r="AM40" i="11" s="1"/>
  <c r="M44" i="11"/>
  <c r="M52" i="11" s="1"/>
  <c r="M53" i="11" s="1"/>
  <c r="X70" i="11"/>
  <c r="X78" i="11" s="1"/>
  <c r="X79" i="11" s="1"/>
  <c r="AL18" i="11"/>
  <c r="T44" i="11"/>
  <c r="AE44" i="11"/>
  <c r="AE52" i="11" s="1"/>
  <c r="AE53" i="11" s="1"/>
  <c r="AQ18" i="11"/>
  <c r="AN96" i="11"/>
  <c r="AN104" i="11" s="1"/>
  <c r="AN105" i="11" s="1"/>
  <c r="O44" i="11"/>
  <c r="O52" i="11" s="1"/>
  <c r="O53" i="11" s="1"/>
  <c r="AJ44" i="11"/>
  <c r="AJ52" i="11" s="1"/>
  <c r="AJ53" i="11" s="1"/>
  <c r="AQ5" i="11"/>
  <c r="AQ13" i="11" s="1"/>
  <c r="AQ14" i="11" s="1"/>
  <c r="R44" i="11"/>
  <c r="R52" i="11" s="1"/>
  <c r="R53" i="11" s="1"/>
  <c r="AM174" i="11"/>
  <c r="AM182" i="11" s="1"/>
  <c r="AM183" i="11" s="1"/>
  <c r="D18" i="11"/>
  <c r="I200" i="11"/>
  <c r="AA18" i="11"/>
  <c r="AU109" i="11"/>
  <c r="AQ31" i="11"/>
  <c r="L5" i="11"/>
  <c r="W96" i="11"/>
  <c r="O5" i="11"/>
  <c r="O13" i="11" s="1"/>
  <c r="O14" i="11" s="1"/>
  <c r="AQ148" i="11"/>
  <c r="AQ156" i="11" s="1"/>
  <c r="AQ157" i="11" s="1"/>
  <c r="N31" i="11"/>
  <c r="N39" i="11" s="1"/>
  <c r="N40" i="11" s="1"/>
  <c r="K174" i="11"/>
  <c r="K182" i="11" s="1"/>
  <c r="K183" i="11" s="1"/>
  <c r="AO31" i="11"/>
  <c r="AO39" i="11" s="1"/>
  <c r="AO40" i="11" s="1"/>
  <c r="AG5" i="11"/>
  <c r="AG13" i="11" s="1"/>
  <c r="AG14" i="11" s="1"/>
  <c r="G99" i="6"/>
  <c r="AN99" i="6"/>
  <c r="D22" i="5"/>
  <c r="AH99" i="6"/>
  <c r="J99" i="6"/>
  <c r="O99" i="6"/>
  <c r="D25" i="6"/>
  <c r="D64" i="6"/>
  <c r="D91" i="5"/>
  <c r="T99" i="6"/>
  <c r="AJ99" i="6"/>
  <c r="Z99" i="6"/>
  <c r="C101" i="6" s="1"/>
  <c r="U99" i="6"/>
  <c r="AV99" i="6"/>
  <c r="D94" i="6"/>
  <c r="D13" i="6"/>
  <c r="AZ99" i="6"/>
  <c r="AP99" i="6"/>
  <c r="H99" i="6"/>
  <c r="D99" i="6" s="1"/>
  <c r="D85" i="6"/>
  <c r="D52" i="5"/>
  <c r="AK99" i="6"/>
  <c r="AF99" i="6"/>
  <c r="AO99" i="6"/>
  <c r="D70" i="6"/>
  <c r="D88" i="5"/>
  <c r="D19" i="6"/>
  <c r="AE99" i="6"/>
  <c r="D79" i="6"/>
  <c r="D31" i="6"/>
  <c r="AB99" i="6"/>
  <c r="D79" i="5"/>
  <c r="D55" i="6"/>
  <c r="D43" i="6"/>
  <c r="D61" i="6"/>
  <c r="AR99" i="6"/>
  <c r="L99" i="6"/>
  <c r="E143" i="11"/>
  <c r="E144" i="11" s="1"/>
  <c r="AE195" i="11"/>
  <c r="AE196" i="11" s="1"/>
  <c r="O117" i="11"/>
  <c r="O118" i="11" s="1"/>
  <c r="P208" i="11"/>
  <c r="P209" i="11" s="1"/>
  <c r="N143" i="11"/>
  <c r="N144" i="11" s="1"/>
  <c r="L208" i="11"/>
  <c r="L209" i="11" s="1"/>
  <c r="N195" i="11"/>
  <c r="N196" i="11" s="1"/>
  <c r="M13" i="11"/>
  <c r="M14" i="11" s="1"/>
  <c r="AM52" i="11"/>
  <c r="AM53" i="11" s="1"/>
  <c r="T130" i="11"/>
  <c r="T131" i="11" s="1"/>
  <c r="AB65" i="11"/>
  <c r="AB66" i="11" s="1"/>
  <c r="AJ195" i="11"/>
  <c r="AJ196" i="11" s="1"/>
  <c r="G117" i="11"/>
  <c r="G118" i="11" s="1"/>
  <c r="AS117" i="11"/>
  <c r="AS118" i="11" s="1"/>
  <c r="C182" i="11"/>
  <c r="C183" i="11" s="1"/>
  <c r="AQ91" i="11"/>
  <c r="AQ92" i="11" s="1"/>
  <c r="AF52" i="11"/>
  <c r="AF53" i="11" s="1"/>
  <c r="AD13" i="11"/>
  <c r="AD14" i="11" s="1"/>
  <c r="J104" i="11"/>
  <c r="J105" i="11" s="1"/>
  <c r="Z169" i="11"/>
  <c r="Z170" i="11" s="1"/>
  <c r="Z156" i="11"/>
  <c r="Z157" i="11" s="1"/>
  <c r="AR104" i="11"/>
  <c r="AR105" i="11" s="1"/>
  <c r="K117" i="11"/>
  <c r="K118" i="11" s="1"/>
  <c r="AN117" i="11"/>
  <c r="AN118" i="11" s="1"/>
  <c r="C195" i="11"/>
  <c r="C196" i="11" s="1"/>
  <c r="AT182" i="11"/>
  <c r="AT183" i="11" s="1"/>
  <c r="I39" i="11"/>
  <c r="I40" i="11" s="1"/>
  <c r="K169" i="11"/>
  <c r="K170" i="11" s="1"/>
  <c r="X117" i="11"/>
  <c r="X118" i="11" s="1"/>
  <c r="T117" i="11"/>
  <c r="T118" i="11" s="1"/>
  <c r="AQ208" i="11"/>
  <c r="AQ209" i="11" s="1"/>
  <c r="AV26" i="11"/>
  <c r="AV27" i="11" s="1"/>
  <c r="AN26" i="11"/>
  <c r="AN27" i="11" s="1"/>
  <c r="E52" i="11"/>
  <c r="E53" i="11" s="1"/>
  <c r="U13" i="11"/>
  <c r="U14" i="11" s="1"/>
  <c r="N13" i="11"/>
  <c r="N14" i="11" s="1"/>
  <c r="N26" i="11"/>
  <c r="N27" i="11" s="1"/>
  <c r="AA143" i="11"/>
  <c r="AA144" i="11" s="1"/>
  <c r="L52" i="11"/>
  <c r="L53" i="11" s="1"/>
  <c r="G91" i="11"/>
  <c r="G92" i="11" s="1"/>
  <c r="AQ65" i="11"/>
  <c r="AQ66" i="11" s="1"/>
  <c r="H104" i="11"/>
  <c r="H105" i="11" s="1"/>
  <c r="AV91" i="11"/>
  <c r="AV92" i="11" s="1"/>
  <c r="AJ26" i="11"/>
  <c r="AJ27" i="11" s="1"/>
  <c r="AN169" i="11"/>
  <c r="AN170" i="11" s="1"/>
  <c r="AK117" i="11"/>
  <c r="AK118" i="11" s="1"/>
  <c r="I91" i="11"/>
  <c r="I92" i="11" s="1"/>
  <c r="U91" i="11"/>
  <c r="U92" i="11" s="1"/>
  <c r="AG195" i="11"/>
  <c r="AG196" i="11" s="1"/>
  <c r="AP52" i="11"/>
  <c r="AP53" i="11" s="1"/>
  <c r="Q117" i="11"/>
  <c r="Q118" i="11" s="1"/>
  <c r="AP156" i="11"/>
  <c r="AP157" i="11" s="1"/>
  <c r="AF208" i="11"/>
  <c r="AF209" i="11" s="1"/>
  <c r="D104" i="11"/>
  <c r="D105" i="11" s="1"/>
  <c r="P156" i="11"/>
  <c r="P157" i="11" s="1"/>
  <c r="AK143" i="11"/>
  <c r="AK144" i="11" s="1"/>
  <c r="AA130" i="11"/>
  <c r="AA131" i="11" s="1"/>
  <c r="AC208" i="11"/>
  <c r="AC209" i="11" s="1"/>
  <c r="AV104" i="11"/>
  <c r="AV105" i="11" s="1"/>
  <c r="AD182" i="11"/>
  <c r="AD183" i="11" s="1"/>
  <c r="C143" i="11"/>
  <c r="C144" i="11" s="1"/>
  <c r="AN130" i="11"/>
  <c r="AN131" i="11" s="1"/>
  <c r="AN208" i="11"/>
  <c r="AN209" i="11" s="1"/>
  <c r="AC156" i="11"/>
  <c r="AC157" i="11" s="1"/>
  <c r="D26" i="11"/>
  <c r="D27" i="11" s="1"/>
  <c r="D169" i="11"/>
  <c r="D170" i="11" s="1"/>
  <c r="J182" i="11"/>
  <c r="J183" i="11" s="1"/>
  <c r="Q26" i="11"/>
  <c r="Q27" i="11" s="1"/>
  <c r="AF117" i="11"/>
  <c r="AF118" i="11" s="1"/>
  <c r="AK39" i="11"/>
  <c r="AK40" i="11" s="1"/>
  <c r="V91" i="11"/>
  <c r="V92" i="11" s="1"/>
  <c r="S39" i="11"/>
  <c r="S40" i="11" s="1"/>
  <c r="Y156" i="11"/>
  <c r="Y157" i="11" s="1"/>
  <c r="R26" i="11"/>
  <c r="R27" i="11" s="1"/>
  <c r="M117" i="11"/>
  <c r="M118" i="11" s="1"/>
  <c r="P143" i="11"/>
  <c r="P144" i="11" s="1"/>
  <c r="F169" i="11"/>
  <c r="F170" i="11" s="1"/>
  <c r="AU130" i="11"/>
  <c r="AU131" i="11" s="1"/>
  <c r="AE182" i="11"/>
  <c r="AE183" i="11" s="1"/>
  <c r="AO91" i="11"/>
  <c r="AO92" i="11" s="1"/>
  <c r="AO195" i="11"/>
  <c r="AO196" i="11" s="1"/>
  <c r="V208" i="11"/>
  <c r="V209" i="11" s="1"/>
  <c r="AU13" i="11"/>
  <c r="AU14" i="11" s="1"/>
  <c r="AJ39" i="11"/>
  <c r="AJ40" i="11" s="1"/>
  <c r="AV65" i="11"/>
  <c r="AV66" i="11" s="1"/>
  <c r="V143" i="11"/>
  <c r="V144" i="11" s="1"/>
  <c r="AU26" i="11"/>
  <c r="AU27" i="11" s="1"/>
  <c r="J52" i="11"/>
  <c r="J53" i="11" s="1"/>
  <c r="F13" i="11"/>
  <c r="F14" i="11" s="1"/>
  <c r="AT52" i="11"/>
  <c r="AT53" i="11" s="1"/>
  <c r="D143" i="11"/>
  <c r="D144" i="11" s="1"/>
  <c r="W26" i="11"/>
  <c r="W27" i="11" s="1"/>
  <c r="G52" i="11"/>
  <c r="G53" i="11" s="1"/>
  <c r="AI91" i="11"/>
  <c r="AI92" i="11" s="1"/>
  <c r="AM13" i="11"/>
  <c r="AM14" i="11" s="1"/>
  <c r="V182" i="11"/>
  <c r="V183" i="11" s="1"/>
  <c r="K104" i="11"/>
  <c r="K105" i="11" s="1"/>
  <c r="J26" i="11"/>
  <c r="J27" i="11" s="1"/>
  <c r="AB195" i="11"/>
  <c r="AB196" i="11" s="1"/>
  <c r="AH182" i="11"/>
  <c r="AH183" i="11" s="1"/>
  <c r="AT156" i="11"/>
  <c r="AT157" i="11" s="1"/>
  <c r="AG156" i="11"/>
  <c r="AG157" i="11" s="1"/>
  <c r="F130" i="11"/>
  <c r="F131" i="11" s="1"/>
  <c r="AK91" i="11"/>
  <c r="AK92" i="11" s="1"/>
  <c r="Q208" i="11"/>
  <c r="Q209" i="11" s="1"/>
  <c r="AG182" i="11"/>
  <c r="AG183" i="11" s="1"/>
  <c r="AA195" i="11"/>
  <c r="AA196" i="11" s="1"/>
  <c r="P52" i="11"/>
  <c r="P53" i="11" s="1"/>
  <c r="Y13" i="11"/>
  <c r="Y14" i="11" s="1"/>
  <c r="E65" i="11"/>
  <c r="E66" i="11" s="1"/>
  <c r="AP208" i="11"/>
  <c r="AP209" i="11" s="1"/>
  <c r="G26" i="11"/>
  <c r="G27" i="11" s="1"/>
  <c r="AV208" i="11"/>
  <c r="AV209" i="11" s="1"/>
  <c r="R65" i="11"/>
  <c r="R66" i="11" s="1"/>
  <c r="AE169" i="11"/>
  <c r="AE170" i="11" s="1"/>
  <c r="Q182" i="11"/>
  <c r="Q183" i="11" s="1"/>
  <c r="G13" i="11"/>
  <c r="G14" i="11" s="1"/>
  <c r="C13" i="11"/>
  <c r="C14" i="11" s="1"/>
  <c r="E13" i="11"/>
  <c r="E14" i="11" s="1"/>
  <c r="S13" i="11"/>
  <c r="S14" i="11" s="1"/>
  <c r="G78" i="11"/>
  <c r="G79" i="11" s="1"/>
  <c r="AD143" i="11"/>
  <c r="AD144" i="11" s="1"/>
  <c r="AS169" i="11"/>
  <c r="AS170" i="11" s="1"/>
  <c r="L26" i="11"/>
  <c r="L27" i="11" s="1"/>
  <c r="AM143" i="11"/>
  <c r="AM144" i="11" s="1"/>
  <c r="AJ208" i="11"/>
  <c r="AJ209" i="11" s="1"/>
  <c r="H208" i="11"/>
  <c r="H209" i="11" s="1"/>
  <c r="F143" i="11"/>
  <c r="F144" i="11" s="1"/>
  <c r="M26" i="11"/>
  <c r="M27" i="11" s="1"/>
  <c r="K78" i="11"/>
  <c r="K79" i="11" s="1"/>
  <c r="X130" i="11"/>
  <c r="X131" i="11" s="1"/>
  <c r="AO156" i="11"/>
  <c r="AO157" i="11" s="1"/>
  <c r="AD78" i="11"/>
  <c r="AD79" i="11" s="1"/>
  <c r="AL13" i="11"/>
  <c r="AL14" i="11" s="1"/>
  <c r="AO13" i="11"/>
  <c r="AO14" i="11" s="1"/>
  <c r="O91" i="11"/>
  <c r="O92" i="11" s="1"/>
  <c r="AB78" i="11"/>
  <c r="AB79" i="11" s="1"/>
  <c r="AI143" i="11"/>
  <c r="AI144" i="11" s="1"/>
  <c r="AJ104" i="11"/>
  <c r="AJ105" i="11" s="1"/>
  <c r="S26" i="11"/>
  <c r="S27" i="11" s="1"/>
  <c r="AP78" i="11"/>
  <c r="AP79" i="11" s="1"/>
  <c r="P182" i="11"/>
  <c r="P183" i="11" s="1"/>
  <c r="AM130" i="11"/>
  <c r="AM131" i="11" s="1"/>
  <c r="M91" i="11"/>
  <c r="M92" i="11" s="1"/>
  <c r="AR78" i="11"/>
  <c r="AR79" i="11" s="1"/>
  <c r="Q195" i="11"/>
  <c r="Q196" i="11" s="1"/>
  <c r="AV52" i="11"/>
  <c r="AV53" i="11" s="1"/>
  <c r="W13" i="11"/>
  <c r="W14" i="11" s="1"/>
  <c r="AI39" i="11"/>
  <c r="AI40" i="11" s="1"/>
  <c r="AO130" i="11"/>
  <c r="AO131" i="11" s="1"/>
  <c r="AI156" i="11"/>
  <c r="AI157" i="11" s="1"/>
  <c r="AJ182" i="11"/>
  <c r="AJ183" i="11" s="1"/>
  <c r="AE78" i="11"/>
  <c r="AE79" i="11" s="1"/>
  <c r="AM78" i="11"/>
  <c r="AM79" i="11" s="1"/>
  <c r="AL130" i="11"/>
  <c r="AL131" i="11" s="1"/>
  <c r="AM91" i="11"/>
  <c r="AM92" i="11" s="1"/>
  <c r="AM26" i="11"/>
  <c r="AM27" i="11" s="1"/>
  <c r="AD195" i="11"/>
  <c r="AD196" i="11" s="1"/>
  <c r="AK52" i="11"/>
  <c r="AK53" i="11" s="1"/>
  <c r="D208" i="11"/>
  <c r="D209" i="11" s="1"/>
  <c r="AG65" i="11"/>
  <c r="AG66" i="11" s="1"/>
  <c r="AM156" i="11"/>
  <c r="AM157" i="11" s="1"/>
  <c r="Z26" i="11"/>
  <c r="Z27" i="11" s="1"/>
  <c r="AE208" i="11"/>
  <c r="AE209" i="11" s="1"/>
  <c r="E195" i="11"/>
  <c r="E196" i="11" s="1"/>
  <c r="AH78" i="11"/>
  <c r="AH79" i="11" s="1"/>
  <c r="AA52" i="11"/>
  <c r="AA53" i="11" s="1"/>
  <c r="M208" i="11"/>
  <c r="M209" i="11" s="1"/>
  <c r="AF104" i="11"/>
  <c r="AF105" i="11" s="1"/>
  <c r="D130" i="11"/>
  <c r="D131" i="11" s="1"/>
  <c r="U143" i="11"/>
  <c r="U144" i="11" s="1"/>
  <c r="J65" i="11"/>
  <c r="J66" i="11" s="1"/>
  <c r="AR65" i="11"/>
  <c r="AR66" i="11" s="1"/>
  <c r="I65" i="11"/>
  <c r="I66" i="11" s="1"/>
  <c r="AL117" i="11"/>
  <c r="AL118" i="11" s="1"/>
  <c r="T156" i="11"/>
  <c r="T157" i="11" s="1"/>
  <c r="I130" i="11"/>
  <c r="I131" i="11" s="1"/>
  <c r="AQ104" i="11"/>
  <c r="AQ105" i="11" s="1"/>
  <c r="T13" i="11"/>
  <c r="T14" i="11" s="1"/>
  <c r="S182" i="11"/>
  <c r="S183" i="11" s="1"/>
  <c r="Z104" i="11"/>
  <c r="Z105" i="11" s="1"/>
  <c r="X156" i="11"/>
  <c r="X157" i="11" s="1"/>
  <c r="Z143" i="11"/>
  <c r="Z144" i="11" s="1"/>
  <c r="U26" i="11"/>
  <c r="U27" i="11" s="1"/>
  <c r="AK65" i="11"/>
  <c r="AK66" i="11" s="1"/>
  <c r="U39" i="11"/>
  <c r="U40" i="11" s="1"/>
  <c r="Q143" i="11"/>
  <c r="Q144" i="11" s="1"/>
  <c r="R143" i="11"/>
  <c r="R144" i="11" s="1"/>
  <c r="AG78" i="11"/>
  <c r="AG79" i="11" s="1"/>
  <c r="V39" i="11"/>
  <c r="V40" i="11" s="1"/>
  <c r="AH65" i="11"/>
  <c r="AH66" i="11" s="1"/>
  <c r="AN195" i="11"/>
  <c r="AN196" i="11" s="1"/>
  <c r="X182" i="11"/>
  <c r="X183" i="11" s="1"/>
  <c r="AG169" i="11"/>
  <c r="AG170" i="11" s="1"/>
  <c r="H156" i="11"/>
  <c r="H157" i="11" s="1"/>
  <c r="AG117" i="11"/>
  <c r="AG118" i="11" s="1"/>
  <c r="G208" i="11"/>
  <c r="G209" i="11" s="1"/>
  <c r="R78" i="11"/>
  <c r="R79" i="11" s="1"/>
  <c r="P78" i="11"/>
  <c r="P79" i="11" s="1"/>
  <c r="AP13" i="11"/>
  <c r="AP14" i="11" s="1"/>
  <c r="X169" i="11"/>
  <c r="X170" i="11" s="1"/>
  <c r="D65" i="11"/>
  <c r="D66" i="11" s="1"/>
  <c r="I156" i="11"/>
  <c r="I157" i="11" s="1"/>
  <c r="AG39" i="11"/>
  <c r="AG40" i="11" s="1"/>
  <c r="K130" i="11"/>
  <c r="K131" i="11" s="1"/>
  <c r="AC143" i="11"/>
  <c r="AC144" i="11" s="1"/>
  <c r="U208" i="11"/>
  <c r="U209" i="11" s="1"/>
  <c r="AA26" i="11"/>
  <c r="AA27" i="11" s="1"/>
  <c r="AB13" i="11"/>
  <c r="AB14" i="11" s="1"/>
  <c r="AC78" i="11"/>
  <c r="AC79" i="11" s="1"/>
  <c r="AT39" i="11"/>
  <c r="AT40" i="11" s="1"/>
  <c r="AK208" i="11"/>
  <c r="AK209" i="11" s="1"/>
  <c r="AG52" i="11"/>
  <c r="AG53" i="11" s="1"/>
  <c r="AF13" i="11"/>
  <c r="AF14" i="11" s="1"/>
  <c r="AH169" i="11"/>
  <c r="AH170" i="11" s="1"/>
  <c r="AH208" i="11"/>
  <c r="AH209" i="11" s="1"/>
  <c r="AA156" i="11"/>
  <c r="AA157" i="11" s="1"/>
  <c r="F182" i="11"/>
  <c r="F183" i="11" s="1"/>
  <c r="H169" i="11"/>
  <c r="H170" i="11" s="1"/>
  <c r="AR208" i="11"/>
  <c r="AR209" i="11" s="1"/>
  <c r="W182" i="11"/>
  <c r="W183" i="11" s="1"/>
  <c r="AI117" i="11"/>
  <c r="AI118" i="11" s="1"/>
  <c r="P39" i="11"/>
  <c r="P40" i="11" s="1"/>
  <c r="AQ169" i="11"/>
  <c r="AQ170" i="11" s="1"/>
  <c r="AL208" i="11"/>
  <c r="AL209" i="11" s="1"/>
  <c r="AK13" i="11"/>
  <c r="AK14" i="11" s="1"/>
  <c r="AJ13" i="11"/>
  <c r="AJ14" i="11" s="1"/>
  <c r="L195" i="11"/>
  <c r="L196" i="11" s="1"/>
  <c r="AL91" i="11"/>
  <c r="AL92" i="11" s="1"/>
  <c r="AK182" i="11"/>
  <c r="AK183" i="11" s="1"/>
  <c r="AI52" i="11"/>
  <c r="AI53" i="11" s="1"/>
  <c r="C156" i="11"/>
  <c r="C157" i="11" s="1"/>
  <c r="P26" i="11"/>
  <c r="P27" i="11" s="1"/>
  <c r="AR39" i="11"/>
  <c r="AR40" i="11" s="1"/>
  <c r="AA78" i="11"/>
  <c r="AA79" i="11" s="1"/>
  <c r="AJ91" i="11"/>
  <c r="AJ92" i="11" s="1"/>
  <c r="N104" i="11"/>
  <c r="N105" i="11" s="1"/>
  <c r="T104" i="11"/>
  <c r="T105" i="11" s="1"/>
  <c r="F52" i="11"/>
  <c r="F53" i="11" s="1"/>
  <c r="AO104" i="11"/>
  <c r="AO105" i="11" s="1"/>
  <c r="AP91" i="11"/>
  <c r="AP92" i="11" s="1"/>
  <c r="I78" i="11"/>
  <c r="I79" i="11" s="1"/>
  <c r="AR169" i="11"/>
  <c r="AR170" i="11" s="1"/>
  <c r="U156" i="11"/>
  <c r="U157" i="11" s="1"/>
  <c r="AN143" i="11"/>
  <c r="AN144" i="11" s="1"/>
  <c r="W65" i="11"/>
  <c r="W66" i="11" s="1"/>
  <c r="W117" i="11"/>
  <c r="W118" i="11" s="1"/>
  <c r="S78" i="11"/>
  <c r="S79" i="11" s="1"/>
  <c r="AE26" i="11"/>
  <c r="AE27" i="11" s="1"/>
  <c r="X208" i="11"/>
  <c r="X209" i="11" s="1"/>
  <c r="H91" i="11"/>
  <c r="H92" i="11" s="1"/>
  <c r="AJ117" i="11"/>
  <c r="AJ118" i="11" s="1"/>
  <c r="D91" i="11"/>
  <c r="D92" i="11" s="1"/>
  <c r="C65" i="11"/>
  <c r="C66" i="11" s="1"/>
  <c r="E182" i="11"/>
  <c r="E183" i="11" s="1"/>
  <c r="R156" i="11"/>
  <c r="R157" i="11" s="1"/>
  <c r="AA208" i="11"/>
  <c r="AA209" i="11" s="1"/>
  <c r="AH130" i="11"/>
  <c r="AH131" i="11" s="1"/>
  <c r="M182" i="11"/>
  <c r="M183" i="11" s="1"/>
  <c r="AD91" i="11"/>
  <c r="AD92" i="11" s="1"/>
  <c r="AF26" i="11"/>
  <c r="AF27" i="11" s="1"/>
  <c r="AS104" i="11"/>
  <c r="AS105" i="11" s="1"/>
  <c r="AN156" i="11"/>
  <c r="AN157" i="11" s="1"/>
  <c r="Y169" i="11"/>
  <c r="Y170" i="11" s="1"/>
  <c r="AO169" i="11"/>
  <c r="AO170" i="11" s="1"/>
  <c r="AD130" i="11"/>
  <c r="AD131" i="11" s="1"/>
  <c r="R130" i="11"/>
  <c r="R131" i="11" s="1"/>
  <c r="C52" i="11"/>
  <c r="C53" i="11" s="1"/>
  <c r="AF91" i="11"/>
  <c r="AF92" i="11" s="1"/>
  <c r="C26" i="11"/>
  <c r="C27" i="11" s="1"/>
  <c r="AO78" i="11"/>
  <c r="AO79" i="11" s="1"/>
  <c r="N130" i="11"/>
  <c r="N131" i="11" s="1"/>
  <c r="T39" i="11"/>
  <c r="T40" i="11" s="1"/>
  <c r="AS26" i="11"/>
  <c r="AS27" i="11" s="1"/>
  <c r="Y130" i="11"/>
  <c r="Y131" i="11" s="1"/>
  <c r="Q52" i="11"/>
  <c r="Q53" i="11" s="1"/>
  <c r="AK26" i="11"/>
  <c r="AK27" i="11" s="1"/>
  <c r="H117" i="11"/>
  <c r="H118" i="11" s="1"/>
  <c r="V65" i="11"/>
  <c r="V66" i="11" s="1"/>
  <c r="V130" i="11"/>
  <c r="V131" i="11" s="1"/>
  <c r="R208" i="11"/>
  <c r="R209" i="11" s="1"/>
  <c r="J117" i="11"/>
  <c r="J118" i="11" s="1"/>
  <c r="AT13" i="11"/>
  <c r="AT14" i="11" s="1"/>
  <c r="I104" i="11"/>
  <c r="I105" i="11" s="1"/>
  <c r="Z182" i="11"/>
  <c r="Z183" i="11" s="1"/>
  <c r="H143" i="11"/>
  <c r="H144" i="11" s="1"/>
  <c r="O156" i="11"/>
  <c r="O157" i="11" s="1"/>
  <c r="X52" i="11"/>
  <c r="X53" i="11" s="1"/>
  <c r="G130" i="11"/>
  <c r="G131" i="11" s="1"/>
  <c r="F117" i="11"/>
  <c r="F118" i="11" s="1"/>
  <c r="AU208" i="11"/>
  <c r="AU209" i="11" s="1"/>
  <c r="L182" i="11"/>
  <c r="L183" i="11" s="1"/>
  <c r="S104" i="11"/>
  <c r="S105" i="11" s="1"/>
  <c r="S156" i="11"/>
  <c r="S157" i="11" s="1"/>
  <c r="K156" i="11"/>
  <c r="K157" i="11" s="1"/>
  <c r="D99" i="5"/>
  <c r="AT195" i="11"/>
  <c r="AT196" i="11" s="1"/>
  <c r="P13" i="11"/>
  <c r="P14" i="11" s="1"/>
  <c r="AJ78" i="11"/>
  <c r="AJ79" i="11" s="1"/>
  <c r="Q156" i="11"/>
  <c r="Q157" i="11" s="1"/>
  <c r="I208" i="11"/>
  <c r="I209" i="11" s="1"/>
  <c r="AL169" i="11"/>
  <c r="AL170" i="11" s="1"/>
  <c r="E91" i="11"/>
  <c r="E92" i="11" s="1"/>
  <c r="C208" i="11"/>
  <c r="C209" i="11" s="1"/>
  <c r="T78" i="11"/>
  <c r="T79" i="11" s="1"/>
  <c r="AA182" i="11"/>
  <c r="AA183" i="11" s="1"/>
  <c r="AM117" i="11"/>
  <c r="AM118" i="11" s="1"/>
  <c r="AD117" i="11"/>
  <c r="AD118" i="11" s="1"/>
  <c r="AU52" i="11"/>
  <c r="AU53" i="11" s="1"/>
  <c r="AG130" i="11"/>
  <c r="AG131" i="11" s="1"/>
  <c r="AS52" i="11"/>
  <c r="AS53" i="11" s="1"/>
  <c r="Q104" i="11"/>
  <c r="Q105" i="11" s="1"/>
  <c r="AQ39" i="11"/>
  <c r="AQ40" i="11" s="1"/>
  <c r="F78" i="11"/>
  <c r="F79" i="11" s="1"/>
  <c r="U52" i="11"/>
  <c r="U53" i="11" s="1"/>
  <c r="AV169" i="11"/>
  <c r="AV170" i="11" s="1"/>
  <c r="M143" i="11"/>
  <c r="M144" i="11" s="1"/>
  <c r="V117" i="11"/>
  <c r="V118" i="11" s="1"/>
  <c r="AM169" i="11"/>
  <c r="AM170" i="11" s="1"/>
  <c r="AH91" i="11"/>
  <c r="AH92" i="11" s="1"/>
  <c r="AK130" i="11"/>
  <c r="AK131" i="11" s="1"/>
  <c r="Z208" i="11"/>
  <c r="Z209" i="11" s="1"/>
  <c r="I13" i="11"/>
  <c r="I14" i="11" s="1"/>
  <c r="D13" i="11"/>
  <c r="D14" i="11" s="1"/>
  <c r="W39" i="11"/>
  <c r="W40" i="11" s="1"/>
  <c r="AH13" i="11"/>
  <c r="AH14" i="11" s="1"/>
  <c r="W104" i="11"/>
  <c r="W105" i="11" s="1"/>
  <c r="AT26" i="11"/>
  <c r="AT27" i="11" s="1"/>
  <c r="H182" i="11"/>
  <c r="H183" i="11" s="1"/>
  <c r="L169" i="11"/>
  <c r="L170" i="11" s="1"/>
  <c r="Z78" i="11"/>
  <c r="Z79" i="11" s="1"/>
  <c r="M65" i="11"/>
  <c r="M66" i="11" s="1"/>
  <c r="AG143" i="11"/>
  <c r="AG144" i="11" s="1"/>
  <c r="J130" i="11"/>
  <c r="J131" i="11" s="1"/>
  <c r="Q91" i="11"/>
  <c r="Q92" i="11" s="1"/>
  <c r="AM195" i="11"/>
  <c r="AM196" i="11" s="1"/>
  <c r="AH117" i="11"/>
  <c r="AH118" i="11" s="1"/>
  <c r="R182" i="11"/>
  <c r="R183" i="11" s="1"/>
  <c r="AT169" i="11"/>
  <c r="AT170" i="11" s="1"/>
  <c r="H130" i="11"/>
  <c r="H131" i="11" s="1"/>
  <c r="I182" i="11"/>
  <c r="I183" i="11" s="1"/>
  <c r="AI169" i="11"/>
  <c r="AI170" i="11" s="1"/>
  <c r="C117" i="11"/>
  <c r="C118" i="11" s="1"/>
  <c r="E78" i="11"/>
  <c r="E79" i="11" s="1"/>
  <c r="X104" i="11"/>
  <c r="X105" i="11" s="1"/>
  <c r="T208" i="11"/>
  <c r="T209" i="11" s="1"/>
  <c r="AD208" i="11"/>
  <c r="AD209" i="11" s="1"/>
  <c r="Z91" i="11"/>
  <c r="Z92" i="11" s="1"/>
  <c r="U195" i="11"/>
  <c r="U196" i="11" s="1"/>
  <c r="G104" i="11"/>
  <c r="G105" i="11" s="1"/>
  <c r="AK169" i="11"/>
  <c r="AK170" i="11" s="1"/>
  <c r="R117" i="11"/>
  <c r="R118" i="11" s="1"/>
  <c r="AD26" i="11"/>
  <c r="AD27" i="11" s="1"/>
  <c r="O65" i="11"/>
  <c r="O66" i="11" s="1"/>
  <c r="C169" i="11"/>
  <c r="C170" i="11" s="1"/>
  <c r="I169" i="11"/>
  <c r="I170" i="11" s="1"/>
  <c r="AU39" i="11"/>
  <c r="AU40" i="11" s="1"/>
  <c r="E39" i="11"/>
  <c r="E40" i="11" s="1"/>
  <c r="F104" i="11"/>
  <c r="F105" i="11" s="1"/>
  <c r="AQ52" i="11"/>
  <c r="AQ53" i="11" s="1"/>
  <c r="AQ143" i="11"/>
  <c r="AQ144" i="11" s="1"/>
  <c r="Z65" i="11"/>
  <c r="Z66" i="11" s="1"/>
  <c r="AS13" i="11"/>
  <c r="AS14" i="11" s="1"/>
  <c r="D39" i="11"/>
  <c r="D40" i="11" s="1"/>
  <c r="C101" i="5"/>
  <c r="D101" i="5" s="1"/>
  <c r="C103" i="5" s="1"/>
  <c r="U104" i="11"/>
  <c r="U105" i="11" s="1"/>
  <c r="L13" i="11"/>
  <c r="L14" i="11" s="1"/>
  <c r="AL26" i="11"/>
  <c r="AL27" i="11" s="1"/>
  <c r="AN39" i="11"/>
  <c r="AN40" i="11" s="1"/>
  <c r="AB104" i="11"/>
  <c r="AB105" i="11" s="1"/>
  <c r="AT208" i="11"/>
  <c r="AT209" i="11" s="1"/>
  <c r="S208" i="11"/>
  <c r="S209" i="11" s="1"/>
  <c r="E169" i="11"/>
  <c r="E170" i="11" s="1"/>
  <c r="S130" i="11"/>
  <c r="S131" i="11" s="1"/>
  <c r="AS65" i="11"/>
  <c r="AS66" i="11" s="1"/>
  <c r="S195" i="11"/>
  <c r="S196" i="11" s="1"/>
  <c r="H65" i="11"/>
  <c r="H66" i="11" s="1"/>
  <c r="H195" i="11"/>
  <c r="H196" i="11" s="1"/>
  <c r="AT130" i="11"/>
  <c r="AT131" i="11" s="1"/>
  <c r="F156" i="11"/>
  <c r="F157" i="11" s="1"/>
  <c r="R91" i="11"/>
  <c r="R92" i="11" s="1"/>
  <c r="M39" i="11"/>
  <c r="M40" i="11" s="1"/>
  <c r="AB117" i="11"/>
  <c r="AB118" i="11" s="1"/>
  <c r="AT91" i="11"/>
  <c r="AT92" i="11" s="1"/>
  <c r="Y182" i="11"/>
  <c r="Y183" i="11" s="1"/>
  <c r="F26" i="11"/>
  <c r="F27" i="11" s="1"/>
  <c r="U117" i="11"/>
  <c r="U118" i="11" s="1"/>
  <c r="O195" i="11"/>
  <c r="O196" i="11" s="1"/>
  <c r="AT78" i="11"/>
  <c r="AT79" i="11" s="1"/>
  <c r="I52" i="11"/>
  <c r="I53" i="11" s="1"/>
  <c r="AA117" i="11"/>
  <c r="AA118" i="11" s="1"/>
  <c r="V52" i="11"/>
  <c r="V53" i="11" s="1"/>
  <c r="O208" i="11"/>
  <c r="O209" i="11" s="1"/>
  <c r="AC52" i="11"/>
  <c r="AC53" i="11" s="1"/>
  <c r="C91" i="11"/>
  <c r="C92" i="11" s="1"/>
  <c r="Y208" i="11"/>
  <c r="Y209" i="11" s="1"/>
  <c r="O169" i="11"/>
  <c r="O170" i="11" s="1"/>
  <c r="AV130" i="11"/>
  <c r="AV131" i="11" s="1"/>
  <c r="AA104" i="11"/>
  <c r="AA105" i="11" s="1"/>
  <c r="AC182" i="11"/>
  <c r="AC183" i="11" s="1"/>
  <c r="O78" i="11"/>
  <c r="O79" i="11" s="1"/>
  <c r="X65" i="11"/>
  <c r="X66" i="11" s="1"/>
  <c r="D156" i="11"/>
  <c r="D157" i="11" s="1"/>
  <c r="W195" i="11"/>
  <c r="W196" i="11" s="1"/>
  <c r="Q169" i="11"/>
  <c r="Q170" i="11" s="1"/>
  <c r="AP130" i="11"/>
  <c r="AP131" i="11" s="1"/>
  <c r="AC117" i="11"/>
  <c r="AC118" i="11" s="1"/>
  <c r="AT117" i="11"/>
  <c r="AT118" i="11" s="1"/>
  <c r="AF182" i="11"/>
  <c r="AF183" i="11" s="1"/>
  <c r="V156" i="11"/>
  <c r="V157" i="11" s="1"/>
  <c r="AQ26" i="11"/>
  <c r="AQ27" i="11" s="1"/>
  <c r="AV143" i="11"/>
  <c r="AV144" i="11" s="1"/>
  <c r="Y143" i="11"/>
  <c r="Y144" i="11" s="1"/>
  <c r="AG91" i="11"/>
  <c r="AG92" i="11" s="1"/>
  <c r="AO26" i="11"/>
  <c r="AO27" i="11" s="1"/>
  <c r="AU65" i="11"/>
  <c r="AU66" i="11" s="1"/>
  <c r="E117" i="11"/>
  <c r="E118" i="11" s="1"/>
  <c r="Q78" i="11"/>
  <c r="Q79" i="11" s="1"/>
  <c r="AU78" i="11"/>
  <c r="AU79" i="11" s="1"/>
  <c r="AL143" i="11"/>
  <c r="AL144" i="11" s="1"/>
  <c r="AR13" i="11"/>
  <c r="AR14" i="11" s="1"/>
  <c r="X195" i="11"/>
  <c r="X196" i="11" s="1"/>
  <c r="AV156" i="11"/>
  <c r="AV157" i="11" s="1"/>
  <c r="H39" i="11"/>
  <c r="H40" i="11" s="1"/>
  <c r="AU117" i="11"/>
  <c r="AU118" i="11" s="1"/>
  <c r="AF130" i="11"/>
  <c r="AF131" i="11" s="1"/>
  <c r="AT65" i="11"/>
  <c r="AT66" i="11" s="1"/>
  <c r="AR91" i="11"/>
  <c r="AR92" i="11" s="1"/>
  <c r="AN52" i="11"/>
  <c r="AN53" i="11" s="1"/>
  <c r="AS91" i="11"/>
  <c r="AS92" i="11" s="1"/>
  <c r="D195" i="11"/>
  <c r="D196" i="11" s="1"/>
  <c r="AC91" i="11"/>
  <c r="AC92" i="11" s="1"/>
  <c r="AR117" i="11"/>
  <c r="AR118" i="11" s="1"/>
  <c r="X26" i="11"/>
  <c r="X27" i="11" s="1"/>
  <c r="AE117" i="11"/>
  <c r="AE118" i="11" s="1"/>
  <c r="R195" i="11"/>
  <c r="R196" i="11" s="1"/>
  <c r="H78" i="11"/>
  <c r="H79" i="11" s="1"/>
  <c r="AO208" i="11"/>
  <c r="AO209" i="11" s="1"/>
  <c r="J169" i="11"/>
  <c r="J170" i="11" s="1"/>
  <c r="P169" i="11"/>
  <c r="P170" i="11" s="1"/>
  <c r="AS156" i="11"/>
  <c r="AS157" i="11" s="1"/>
  <c r="AS208" i="11"/>
  <c r="AS209" i="11" s="1"/>
  <c r="P91" i="11"/>
  <c r="P92" i="11" s="1"/>
  <c r="AR143" i="11"/>
  <c r="AR144" i="11" s="1"/>
  <c r="Y195" i="11"/>
  <c r="Y196" i="11" s="1"/>
  <c r="Y78" i="11"/>
  <c r="Y79" i="11" s="1"/>
  <c r="AU156" i="11"/>
  <c r="AU157" i="11" s="1"/>
  <c r="Y26" i="11"/>
  <c r="Y27" i="11" s="1"/>
  <c r="U169" i="11"/>
  <c r="U170" i="11" s="1"/>
  <c r="AQ182" i="11"/>
  <c r="AQ183" i="11" s="1"/>
  <c r="AL52" i="11"/>
  <c r="AL53" i="11" s="1"/>
  <c r="AO182" i="11"/>
  <c r="AO183" i="11" s="1"/>
  <c r="AJ130" i="11"/>
  <c r="AJ131" i="11" s="1"/>
  <c r="F91" i="11"/>
  <c r="F92" i="11" s="1"/>
  <c r="AF169" i="11"/>
  <c r="AF170" i="11" s="1"/>
  <c r="P65" i="11"/>
  <c r="P66" i="11" s="1"/>
  <c r="AB39" i="11"/>
  <c r="AB40" i="11" s="1"/>
  <c r="E104" i="11"/>
  <c r="E105" i="11" s="1"/>
  <c r="V104" i="11"/>
  <c r="V105" i="11" s="1"/>
  <c r="AS182" i="11"/>
  <c r="AS183" i="11" s="1"/>
  <c r="Z39" i="11"/>
  <c r="Z40" i="11" s="1"/>
  <c r="L117" i="11"/>
  <c r="L118" i="11" s="1"/>
  <c r="Y65" i="11"/>
  <c r="Y66" i="11" s="1"/>
  <c r="AE65" i="11"/>
  <c r="AE66" i="11" s="1"/>
  <c r="S169" i="11"/>
  <c r="S170" i="11" s="1"/>
  <c r="I117" i="11"/>
  <c r="I118" i="11" s="1"/>
  <c r="Y52" i="11"/>
  <c r="Y53" i="11" s="1"/>
  <c r="AB182" i="11"/>
  <c r="AB183" i="11" s="1"/>
  <c r="W169" i="11"/>
  <c r="W170" i="11" s="1"/>
  <c r="AE104" i="11"/>
  <c r="AE105" i="11" s="1"/>
  <c r="W130" i="11"/>
  <c r="W131" i="11" s="1"/>
  <c r="M195" i="11"/>
  <c r="M196" i="11" s="1"/>
  <c r="AB169" i="11"/>
  <c r="AB170" i="11" s="1"/>
  <c r="X39" i="11"/>
  <c r="X40" i="11" s="1"/>
  <c r="AI130" i="11"/>
  <c r="AI131" i="11" s="1"/>
  <c r="Z130" i="11"/>
  <c r="Z131" i="11" s="1"/>
  <c r="O143" i="11"/>
  <c r="O144" i="11" s="1"/>
  <c r="AF78" i="11"/>
  <c r="AF79" i="11" s="1"/>
  <c r="AR52" i="11"/>
  <c r="AR53" i="11" s="1"/>
  <c r="Y117" i="11"/>
  <c r="Y118" i="11" s="1"/>
  <c r="AO52" i="11"/>
  <c r="AO53" i="11" s="1"/>
  <c r="AP117" i="11"/>
  <c r="AP118" i="11" s="1"/>
  <c r="L130" i="11"/>
  <c r="L131" i="11" s="1"/>
  <c r="AA169" i="11"/>
  <c r="AA170" i="11" s="1"/>
  <c r="AJ169" i="11"/>
  <c r="AJ170" i="11" s="1"/>
  <c r="H52" i="11"/>
  <c r="H53" i="11" s="1"/>
  <c r="AS143" i="11"/>
  <c r="AS144" i="11" s="1"/>
  <c r="AR182" i="11"/>
  <c r="AR183" i="11" s="1"/>
  <c r="K39" i="11"/>
  <c r="K40" i="11" s="1"/>
  <c r="AO143" i="11"/>
  <c r="AO144" i="11" s="1"/>
  <c r="S52" i="11"/>
  <c r="S53" i="11" s="1"/>
  <c r="P130" i="11"/>
  <c r="P131" i="11" s="1"/>
  <c r="AC195" i="11"/>
  <c r="AC196" i="11" s="1"/>
  <c r="AT104" i="11"/>
  <c r="AT105" i="11" s="1"/>
  <c r="AI104" i="11"/>
  <c r="AI105" i="11" s="1"/>
  <c r="L156" i="11"/>
  <c r="L157" i="11" s="1"/>
  <c r="AU104" i="11"/>
  <c r="AU105" i="11" s="1"/>
  <c r="AH143" i="11"/>
  <c r="AH144" i="11" s="1"/>
  <c r="O104" i="11"/>
  <c r="O105" i="11" s="1"/>
  <c r="L78" i="11"/>
  <c r="L79" i="11" s="1"/>
  <c r="AS78" i="11"/>
  <c r="AS79" i="11" s="1"/>
  <c r="AV117" i="11"/>
  <c r="AV118" i="11" s="1"/>
  <c r="AJ65" i="11"/>
  <c r="AJ66" i="11" s="1"/>
  <c r="I195" i="11"/>
  <c r="I196" i="11" s="1"/>
  <c r="T52" i="11"/>
  <c r="T53" i="11" s="1"/>
  <c r="J39" i="11"/>
  <c r="J40" i="11" s="1"/>
  <c r="S91" i="11"/>
  <c r="S92" i="11" s="1"/>
  <c r="N78" i="11"/>
  <c r="N79" i="11" s="1"/>
  <c r="AR156" i="11"/>
  <c r="AR157" i="11" s="1"/>
  <c r="AC39" i="11"/>
  <c r="AC40" i="11" s="1"/>
  <c r="AB143" i="11"/>
  <c r="AB144" i="11" s="1"/>
  <c r="I26" i="11"/>
  <c r="I27" i="11" s="1"/>
  <c r="K13" i="11"/>
  <c r="K14" i="11" s="1"/>
  <c r="L104" i="11"/>
  <c r="L105" i="11" s="1"/>
  <c r="AF143" i="11"/>
  <c r="AF144" i="11" s="1"/>
  <c r="V78" i="11"/>
  <c r="V79" i="11" s="1"/>
  <c r="V26" i="11"/>
  <c r="V27" i="11" s="1"/>
  <c r="AH52" i="11"/>
  <c r="AH53" i="11" s="1"/>
  <c r="W52" i="11"/>
  <c r="W53" i="11" s="1"/>
  <c r="T195" i="11"/>
  <c r="T196" i="11" s="1"/>
  <c r="K91" i="11"/>
  <c r="K92" i="11" s="1"/>
  <c r="AB130" i="11"/>
  <c r="AB131" i="11" s="1"/>
  <c r="AV182" i="11"/>
  <c r="AV183" i="11" s="1"/>
  <c r="AP39" i="11"/>
  <c r="AP40" i="11" s="1"/>
  <c r="AL104" i="11"/>
  <c r="AL105" i="11" s="1"/>
  <c r="AH195" i="11"/>
  <c r="AH196" i="11" s="1"/>
  <c r="AQ117" i="11"/>
  <c r="AQ118" i="11" s="1"/>
  <c r="AN78" i="11"/>
  <c r="AN79" i="11" s="1"/>
  <c r="T169" i="11"/>
  <c r="T170" i="11" s="1"/>
  <c r="AC130" i="11"/>
  <c r="AC131" i="11" s="1"/>
  <c r="N156" i="11"/>
  <c r="N157" i="11" s="1"/>
  <c r="AI65" i="11"/>
  <c r="AI66" i="11" s="1"/>
  <c r="AQ130" i="11"/>
  <c r="AQ131" i="11" s="1"/>
  <c r="AU143" i="11"/>
  <c r="AU144" i="11" s="1"/>
  <c r="V195" i="11"/>
  <c r="V196" i="11" s="1"/>
  <c r="AA39" i="11"/>
  <c r="AA40" i="11" s="1"/>
  <c r="C99" i="6" l="1"/>
  <c r="K52" i="1" s="1"/>
  <c r="K53" i="1" s="1"/>
  <c r="D101" i="6"/>
  <c r="C103" i="6" s="1"/>
  <c r="O182" i="11"/>
  <c r="O183" i="11" s="1"/>
  <c r="AN182" i="11"/>
  <c r="AN183" i="11" s="1"/>
  <c r="M169" i="11"/>
  <c r="M170" i="11" s="1"/>
  <c r="AH156" i="11"/>
  <c r="AH157" i="11" s="1"/>
  <c r="AA91" i="11"/>
  <c r="AA92" i="11" s="1"/>
  <c r="AA214" i="11" s="1"/>
  <c r="AE143" i="11"/>
  <c r="AE144" i="11" s="1"/>
  <c r="AE214" i="11" s="1"/>
  <c r="K195" i="11"/>
  <c r="K196" i="11" s="1"/>
  <c r="C99" i="5"/>
  <c r="J52" i="1" s="1"/>
  <c r="G214" i="11"/>
  <c r="AF214" i="11"/>
  <c r="I214" i="11"/>
  <c r="AD214" i="11"/>
  <c r="O214" i="11"/>
  <c r="N214" i="11"/>
  <c r="J214" i="11"/>
  <c r="V11" i="1" s="1"/>
  <c r="E11" i="1" s="1"/>
  <c r="X11" i="1" s="1"/>
  <c r="C214" i="11"/>
  <c r="V4" i="1" s="1"/>
  <c r="E214" i="11"/>
  <c r="R214" i="11"/>
  <c r="M214" i="11"/>
  <c r="AI214" i="11"/>
  <c r="L214" i="11"/>
  <c r="AG214" i="11"/>
  <c r="S214" i="11"/>
  <c r="Y214" i="11"/>
  <c r="P214" i="11"/>
  <c r="V214" i="11"/>
  <c r="AH214" i="11"/>
  <c r="AJ214" i="11"/>
  <c r="F214" i="11"/>
  <c r="V8" i="1" s="1"/>
  <c r="E8" i="1" s="1"/>
  <c r="X8" i="1" s="1"/>
  <c r="AC214" i="11"/>
  <c r="D214" i="11"/>
  <c r="U214" i="11"/>
  <c r="K214" i="11"/>
  <c r="T214" i="11"/>
  <c r="V30" i="1" s="1"/>
  <c r="E30" i="1" s="1"/>
  <c r="X30" i="1" s="1"/>
  <c r="W214" i="11"/>
  <c r="Z214" i="11"/>
  <c r="AB214" i="11"/>
  <c r="H214" i="11"/>
  <c r="V10" i="1" s="1"/>
  <c r="E10" i="1" s="1"/>
  <c r="X10" i="1" s="1"/>
  <c r="X214" i="11"/>
  <c r="Q214" i="11"/>
  <c r="J53" i="1"/>
  <c r="D52" i="1"/>
  <c r="D53" i="1" s="1"/>
  <c r="V16" i="1" l="1"/>
  <c r="E16" i="1" s="1"/>
  <c r="X16" i="1" s="1"/>
  <c r="V28" i="1"/>
  <c r="E28" i="1" s="1"/>
  <c r="X28" i="1" s="1"/>
  <c r="V44" i="1"/>
  <c r="E44" i="1" s="1"/>
  <c r="X44" i="1" s="1"/>
  <c r="V14" i="1"/>
  <c r="E14" i="1" s="1"/>
  <c r="X14" i="1" s="1"/>
  <c r="V31" i="1"/>
  <c r="E31" i="1" s="1"/>
  <c r="X31" i="1" s="1"/>
  <c r="V46" i="1"/>
  <c r="E46" i="1" s="1"/>
  <c r="X46" i="1" s="1"/>
  <c r="V26" i="1"/>
  <c r="E26" i="1" s="1"/>
  <c r="X26" i="1" s="1"/>
  <c r="V47" i="1"/>
  <c r="E47" i="1" s="1"/>
  <c r="X47" i="1" s="1"/>
  <c r="V23" i="1"/>
  <c r="E23" i="1" s="1"/>
  <c r="X23" i="1" s="1"/>
  <c r="V15" i="1"/>
  <c r="E15" i="1" s="1"/>
  <c r="X15" i="1" s="1"/>
  <c r="V6" i="1"/>
  <c r="E6" i="1" s="1"/>
  <c r="X6" i="1" s="1"/>
  <c r="V12" i="1"/>
  <c r="E12" i="1" s="1"/>
  <c r="X12" i="1" s="1"/>
  <c r="V29" i="1"/>
  <c r="E29" i="1" s="1"/>
  <c r="X29" i="1" s="1"/>
  <c r="V17" i="1"/>
  <c r="E17" i="1" s="1"/>
  <c r="X17" i="1" s="1"/>
  <c r="V21" i="1"/>
  <c r="E21" i="1" s="1"/>
  <c r="X21" i="1" s="1"/>
  <c r="V19" i="1"/>
  <c r="E19" i="1" s="1"/>
  <c r="X19" i="1" s="1"/>
  <c r="V7" i="1"/>
  <c r="E7" i="1" s="1"/>
  <c r="X7" i="1" s="1"/>
  <c r="V9" i="1"/>
  <c r="E9" i="1" s="1"/>
  <c r="X9" i="1" s="1"/>
  <c r="V37" i="1"/>
  <c r="E37" i="1" s="1"/>
  <c r="X37" i="1" s="1"/>
  <c r="V25" i="1"/>
  <c r="E25" i="1" s="1"/>
  <c r="X25" i="1" s="1"/>
  <c r="V36" i="1"/>
  <c r="E36" i="1" s="1"/>
  <c r="X36" i="1" s="1"/>
  <c r="V45" i="1"/>
  <c r="E45" i="1" s="1"/>
  <c r="X45" i="1" s="1"/>
  <c r="V38" i="1"/>
  <c r="E38" i="1" s="1"/>
  <c r="X38" i="1" s="1"/>
  <c r="V18" i="1"/>
  <c r="E18" i="1" s="1"/>
  <c r="X18" i="1" s="1"/>
  <c r="B214" i="11"/>
  <c r="V52" i="1" s="1"/>
  <c r="E52" i="1" s="1"/>
  <c r="V43" i="1"/>
  <c r="E43" i="1" s="1"/>
  <c r="X43" i="1" s="1"/>
  <c r="V42" i="1"/>
  <c r="E42" i="1" s="1"/>
  <c r="X42" i="1" s="1"/>
  <c r="V41" i="1"/>
  <c r="E41" i="1" s="1"/>
  <c r="X41" i="1" s="1"/>
  <c r="V34" i="1"/>
  <c r="E34" i="1" s="1"/>
  <c r="X34" i="1" s="1"/>
  <c r="V32" i="1"/>
  <c r="E32" i="1" s="1"/>
  <c r="X32" i="1" s="1"/>
  <c r="V22" i="1"/>
  <c r="E22" i="1" s="1"/>
  <c r="X22" i="1" s="1"/>
  <c r="V13" i="1"/>
  <c r="E13" i="1" s="1"/>
  <c r="X13" i="1" s="1"/>
  <c r="V24" i="1"/>
  <c r="E24" i="1" s="1"/>
  <c r="X24" i="1" s="1"/>
  <c r="V48" i="1"/>
  <c r="E48" i="1" s="1"/>
  <c r="X48" i="1" s="1"/>
  <c r="V35" i="1"/>
  <c r="E35" i="1" s="1"/>
  <c r="X35" i="1" s="1"/>
  <c r="V27" i="1"/>
  <c r="E27" i="1" s="1"/>
  <c r="X27" i="1" s="1"/>
  <c r="V40" i="1"/>
  <c r="E40" i="1" s="1"/>
  <c r="X40" i="1" s="1"/>
  <c r="V5" i="1"/>
  <c r="E5" i="1" s="1"/>
  <c r="X5" i="1" s="1"/>
  <c r="V33" i="1"/>
  <c r="E33" i="1" s="1"/>
  <c r="X33" i="1" s="1"/>
  <c r="V39" i="1"/>
  <c r="E39" i="1" s="1"/>
  <c r="X39" i="1" s="1"/>
  <c r="V49" i="1"/>
  <c r="E49" i="1" s="1"/>
  <c r="X49" i="1" s="1"/>
  <c r="V20" i="1"/>
  <c r="E20" i="1" s="1"/>
  <c r="X20" i="1" s="1"/>
  <c r="E4" i="1"/>
  <c r="V50" i="1" l="1"/>
  <c r="V53" i="1" s="1"/>
  <c r="E50" i="1"/>
  <c r="X4" i="1"/>
  <c r="X50" i="1" s="1"/>
  <c r="B58" i="1" l="1"/>
  <c r="B59" i="1" s="1"/>
  <c r="G56" i="1"/>
  <c r="E53" i="1"/>
  <c r="X53" i="1" s="1"/>
  <c r="E56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<sst xmlns="http://schemas.openxmlformats.org/spreadsheetml/2006/main" count="1375" uniqueCount="227">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</sst>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2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339093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400050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38100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457200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466725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438150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190190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493395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114300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133350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906780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18</xdr:col>
      <xdr:colOff>611505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18</xdr:col>
      <xdr:colOff>611505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18</xdr:col>
      <xdr:colOff>611505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18</xdr:col>
      <xdr:colOff>611505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18</xdr:col>
      <xdr:colOff>611505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18</xdr:col>
      <xdr:colOff>611505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6640625" defaultRowHeight="10.199999999999999" x14ac:dyDescent="0.2"/>
  <cols>
    <col min="1" max="1" width="15.88671875" style="99" bestFit="1" customWidth="1"/>
    <col min="2" max="2" width="8" style="393" bestFit="1" customWidth="1"/>
    <col min="3" max="3" width="7.77734375" style="393" bestFit="1" customWidth="1"/>
    <col min="4" max="4" width="8.109375" style="233" bestFit="1" customWidth="1"/>
    <col min="5" max="5" width="6.6640625" style="95" bestFit="1" customWidth="1"/>
    <col min="6" max="6" width="5.88671875" style="95" bestFit="1" customWidth="1"/>
    <col min="7" max="7" width="7.77734375" style="233" bestFit="1" customWidth="1"/>
    <col min="8" max="8" width="5.109375" style="392" bestFit="1" customWidth="1"/>
    <col min="9" max="9" width="3.6640625" style="392" bestFit="1" customWidth="1"/>
    <col min="10" max="10" width="3.6640625" style="226" bestFit="1" customWidth="1"/>
    <col min="11" max="11" width="3.88671875" style="226" bestFit="1" customWidth="1"/>
    <col min="12" max="12" width="5.109375" style="226" bestFit="1" customWidth="1"/>
    <col min="13" max="16" width="5.109375" style="233" bestFit="1" customWidth="1"/>
    <col min="17" max="17" width="8.88671875" style="95" bestFit="1" customWidth="1"/>
    <col min="18" max="19" width="5.88671875" style="95" bestFit="1" customWidth="1"/>
    <col min="20" max="21" width="6.6640625" style="95" bestFit="1" customWidth="1"/>
    <col min="22" max="22" width="5.88671875" style="95" bestFit="1" customWidth="1"/>
    <col min="23" max="23" width="4.6640625" style="393" bestFit="1" customWidth="1"/>
    <col min="24" max="24" width="7.77734375" style="95" bestFit="1" customWidth="1"/>
    <col min="25" max="25" width="8.33203125" style="62" bestFit="1" customWidth="1"/>
    <col min="26" max="26" width="11.109375" style="62" bestFit="1" customWidth="1"/>
    <col min="27" max="27" width="1.44140625" style="62" bestFit="1" customWidth="1"/>
    <col min="28" max="28" width="16.6640625" style="62"/>
    <col min="29" max="29" width="1.109375" style="62" bestFit="1" customWidth="1"/>
    <col min="30" max="16384" width="16.6640625" style="62"/>
  </cols>
  <sheetData>
    <row r="1" spans="1:29" x14ac:dyDescent="0.2">
      <c r="A1" s="321" t="s">
        <v>9</v>
      </c>
      <c r="B1" s="615" t="s">
        <v>81</v>
      </c>
      <c r="C1" s="616" t="s">
        <v>80</v>
      </c>
      <c r="D1" s="632" t="s">
        <v>33</v>
      </c>
      <c r="E1" s="617" t="s">
        <v>26</v>
      </c>
      <c r="F1" s="618" t="s">
        <v>32</v>
      </c>
      <c r="G1" s="619" t="s">
        <v>77</v>
      </c>
      <c r="H1" s="620" t="s">
        <v>70</v>
      </c>
      <c r="I1" s="621" t="s">
        <v>72</v>
      </c>
      <c r="J1" s="622" t="s">
        <v>29</v>
      </c>
      <c r="K1" s="623" t="s">
        <v>30</v>
      </c>
      <c r="L1" s="624" t="s">
        <v>31</v>
      </c>
      <c r="M1" s="625" t="s">
        <v>49</v>
      </c>
      <c r="N1" s="626" t="s">
        <v>140</v>
      </c>
      <c r="O1" s="633" t="s">
        <v>155</v>
      </c>
      <c r="P1" s="627" t="s">
        <v>74</v>
      </c>
      <c r="Q1" s="628" t="s">
        <v>78</v>
      </c>
      <c r="R1" s="629" t="s">
        <v>71</v>
      </c>
      <c r="S1" s="629" t="s">
        <v>89</v>
      </c>
      <c r="T1" s="624" t="s">
        <v>67</v>
      </c>
      <c r="U1" s="625" t="s">
        <v>96</v>
      </c>
      <c r="V1" s="630" t="s">
        <v>88</v>
      </c>
      <c r="W1" s="631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 t="shared" ref="D4:D49" si="4">SUM(G4:P4)</f>
        <v>0</v>
      </c>
      <c r="E4" s="326">
        <f t="shared" ref="E4:E49" si="5"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 t="shared" ref="X4:X49" si="6">(D4*B4)+E4+F4</f>
        <v>0</v>
      </c>
      <c r="Y4" s="324"/>
      <c r="Z4" s="324" t="str">
        <f t="shared" ref="Z4:Z49" si="7">IFERROR(LEFT(A4,SEARCH(",",A4)-1)&amp;MID(A4,SEARCH(" ",A4),3)," ")</f>
        <v>Anderson Jo</v>
      </c>
    </row>
    <row r="5" spans="1:29" x14ac:dyDescent="0.2">
      <c r="A5" s="550" t="s">
        <v>194</v>
      </c>
      <c r="B5" s="595"/>
      <c r="C5" s="595"/>
      <c r="D5" s="335">
        <f t="shared" si="4"/>
        <v>25.75</v>
      </c>
      <c r="E5" s="336">
        <f t="shared" si="5"/>
        <v>270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22.5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3.25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270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 t="shared" si="6"/>
        <v>270</v>
      </c>
      <c r="Y5" s="346"/>
      <c r="Z5" s="346" t="str">
        <f t="shared" si="7"/>
        <v>Arroyo Ty</v>
      </c>
    </row>
    <row r="6" spans="1:29" x14ac:dyDescent="0.2">
      <c r="A6" s="549" t="s">
        <v>102</v>
      </c>
      <c r="B6" s="594">
        <v>10</v>
      </c>
      <c r="C6" s="594">
        <v>13.5</v>
      </c>
      <c r="D6" s="325">
        <f t="shared" si="4"/>
        <v>10.25</v>
      </c>
      <c r="E6" s="326">
        <f t="shared" si="5"/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10.25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 t="shared" si="6"/>
        <v>102.5</v>
      </c>
      <c r="Y6" s="324"/>
      <c r="Z6" s="324" t="str">
        <f t="shared" si="7"/>
        <v>Barnyak Al</v>
      </c>
    </row>
    <row r="7" spans="1:29" s="347" customFormat="1" x14ac:dyDescent="0.2">
      <c r="A7" s="550" t="s">
        <v>136</v>
      </c>
      <c r="B7" s="595">
        <v>10</v>
      </c>
      <c r="C7" s="595">
        <v>13.5</v>
      </c>
      <c r="D7" s="335">
        <f t="shared" si="4"/>
        <v>0</v>
      </c>
      <c r="E7" s="336">
        <f t="shared" si="5"/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 t="shared" si="6"/>
        <v>0</v>
      </c>
      <c r="Y7" s="346"/>
      <c r="Z7" s="346" t="str">
        <f t="shared" si="7"/>
        <v>Brewer Be</v>
      </c>
    </row>
    <row r="8" spans="1:29" x14ac:dyDescent="0.2">
      <c r="A8" s="549" t="s">
        <v>125</v>
      </c>
      <c r="B8" s="594">
        <v>10</v>
      </c>
      <c r="C8" s="594">
        <v>13.5</v>
      </c>
      <c r="D8" s="325">
        <f t="shared" si="4"/>
        <v>5.25</v>
      </c>
      <c r="E8" s="326">
        <f t="shared" si="5"/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5.25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 t="shared" si="6"/>
        <v>52.5</v>
      </c>
      <c r="Y8" s="324"/>
      <c r="Z8" s="324" t="str">
        <f t="shared" si="7"/>
        <v>Bringgold Ch</v>
      </c>
    </row>
    <row r="9" spans="1:29" s="347" customFormat="1" x14ac:dyDescent="0.2">
      <c r="A9" s="550" t="s">
        <v>103</v>
      </c>
      <c r="B9" s="595">
        <v>10</v>
      </c>
      <c r="C9" s="595">
        <v>13.5</v>
      </c>
      <c r="D9" s="335">
        <f t="shared" si="4"/>
        <v>4.75</v>
      </c>
      <c r="E9" s="336">
        <f t="shared" si="5"/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 t="shared" si="6"/>
        <v>47.5</v>
      </c>
      <c r="Y9" s="346"/>
      <c r="Z9" s="346" t="str">
        <f t="shared" si="7"/>
        <v>Cannon Da</v>
      </c>
    </row>
    <row r="10" spans="1:29" x14ac:dyDescent="0.2">
      <c r="A10" s="549" t="s">
        <v>172</v>
      </c>
      <c r="B10" s="594"/>
      <c r="C10" s="594"/>
      <c r="D10" s="325">
        <f t="shared" si="4"/>
        <v>0</v>
      </c>
      <c r="E10" s="326">
        <f t="shared" si="5"/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 t="shared" si="6"/>
        <v>0</v>
      </c>
      <c r="Y10" s="324"/>
      <c r="Z10" s="324" t="str">
        <f t="shared" si="7"/>
        <v>Cardelli Ma</v>
      </c>
    </row>
    <row r="11" spans="1:29" s="347" customFormat="1" x14ac:dyDescent="0.2">
      <c r="A11" s="550" t="s">
        <v>135</v>
      </c>
      <c r="B11" s="595">
        <v>10</v>
      </c>
      <c r="C11" s="595">
        <v>13.5</v>
      </c>
      <c r="D11" s="335">
        <f t="shared" si="4"/>
        <v>0</v>
      </c>
      <c r="E11" s="336">
        <f t="shared" si="5"/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 t="shared" si="6"/>
        <v>0</v>
      </c>
      <c r="Y11" s="346"/>
      <c r="Z11" s="346" t="str">
        <f t="shared" si="7"/>
        <v>Carmenita Ja</v>
      </c>
      <c r="AC11" s="347" t="s">
        <v>116</v>
      </c>
    </row>
    <row r="12" spans="1:29" s="347" customFormat="1" x14ac:dyDescent="0.2">
      <c r="A12" s="549" t="s">
        <v>146</v>
      </c>
      <c r="B12" s="594">
        <v>10</v>
      </c>
      <c r="C12" s="594">
        <v>13.5</v>
      </c>
      <c r="D12" s="325">
        <f t="shared" si="4"/>
        <v>5.25</v>
      </c>
      <c r="E12" s="326">
        <f t="shared" si="5"/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5.25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0</v>
      </c>
      <c r="W12" s="580"/>
      <c r="X12" s="334">
        <f t="shared" si="6"/>
        <v>52.5</v>
      </c>
      <c r="Y12" s="324"/>
      <c r="Z12" s="324" t="str">
        <f t="shared" si="7"/>
        <v>Dieffenbacher Be</v>
      </c>
    </row>
    <row r="13" spans="1:29" s="347" customFormat="1" x14ac:dyDescent="0.2">
      <c r="A13" s="550" t="s">
        <v>205</v>
      </c>
      <c r="B13" s="595"/>
      <c r="C13" s="595"/>
      <c r="D13" s="335">
        <f t="shared" si="4"/>
        <v>1.25</v>
      </c>
      <c r="E13" s="336">
        <f t="shared" si="5"/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 t="shared" si="6"/>
        <v>0</v>
      </c>
      <c r="Y13" s="346"/>
      <c r="Z13" s="346" t="str">
        <f t="shared" si="7"/>
        <v>Ellescas Ad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 t="shared" si="4"/>
        <v>27.71</v>
      </c>
      <c r="E14" s="326">
        <f t="shared" si="5"/>
        <v>7.3000000000000043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27.71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7.3000000000000043</v>
      </c>
      <c r="W14" s="580"/>
      <c r="X14" s="334">
        <f t="shared" si="6"/>
        <v>284.40000000000003</v>
      </c>
      <c r="Y14" s="324"/>
      <c r="Z14" s="324" t="str">
        <f t="shared" si="7"/>
        <v>Flores Os</v>
      </c>
    </row>
    <row r="15" spans="1:29" s="347" customFormat="1" x14ac:dyDescent="0.2">
      <c r="A15" s="550" t="s">
        <v>141</v>
      </c>
      <c r="B15" s="595">
        <v>10</v>
      </c>
      <c r="C15" s="595">
        <v>13.5</v>
      </c>
      <c r="D15" s="335">
        <f t="shared" si="4"/>
        <v>4.5</v>
      </c>
      <c r="E15" s="336">
        <f t="shared" si="5"/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4.5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 t="shared" si="6"/>
        <v>45</v>
      </c>
      <c r="Y15" s="346"/>
      <c r="Z15" s="346" t="str">
        <f t="shared" si="7"/>
        <v>Grecin An</v>
      </c>
    </row>
    <row r="16" spans="1:29" s="347" customFormat="1" x14ac:dyDescent="0.2">
      <c r="A16" s="549" t="s">
        <v>204</v>
      </c>
      <c r="B16" s="594"/>
      <c r="C16" s="594"/>
      <c r="D16" s="325">
        <f t="shared" si="4"/>
        <v>5.5</v>
      </c>
      <c r="E16" s="326">
        <f t="shared" si="5"/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5.5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 t="shared" si="6"/>
        <v>0</v>
      </c>
      <c r="Y16" s="324"/>
      <c r="Z16" s="324" t="str">
        <f t="shared" si="7"/>
        <v>Heflin Jo</v>
      </c>
    </row>
    <row r="17" spans="1:26" s="347" customFormat="1" x14ac:dyDescent="0.2">
      <c r="A17" s="550" t="s">
        <v>127</v>
      </c>
      <c r="B17" s="595">
        <v>10</v>
      </c>
      <c r="C17" s="595">
        <v>13.5</v>
      </c>
      <c r="D17" s="335">
        <f t="shared" si="4"/>
        <v>20</v>
      </c>
      <c r="E17" s="336">
        <f t="shared" si="5"/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4.5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 t="shared" si="6"/>
        <v>200</v>
      </c>
      <c r="Y17" s="346"/>
      <c r="Z17" s="346" t="str">
        <f t="shared" si="7"/>
        <v>Kane Ro</v>
      </c>
    </row>
    <row r="18" spans="1:26" s="347" customFormat="1" x14ac:dyDescent="0.2">
      <c r="A18" s="549" t="s">
        <v>200</v>
      </c>
      <c r="B18" s="594"/>
      <c r="C18" s="594"/>
      <c r="D18" s="325">
        <f t="shared" si="4"/>
        <v>4.75</v>
      </c>
      <c r="E18" s="326">
        <f t="shared" si="5"/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4.75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 t="shared" si="6"/>
        <v>0</v>
      </c>
      <c r="Y18" s="324"/>
      <c r="Z18" s="324" t="str">
        <f t="shared" si="7"/>
        <v>Klein Mi</v>
      </c>
    </row>
    <row r="19" spans="1:26" s="347" customFormat="1" x14ac:dyDescent="0.2">
      <c r="A19" s="550" t="s">
        <v>143</v>
      </c>
      <c r="B19" s="595">
        <v>10</v>
      </c>
      <c r="C19" s="595">
        <v>13.5</v>
      </c>
      <c r="D19" s="335">
        <f t="shared" si="4"/>
        <v>0</v>
      </c>
      <c r="E19" s="336">
        <f t="shared" si="5"/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 t="shared" si="6"/>
        <v>0</v>
      </c>
      <c r="Y19" s="346"/>
      <c r="Z19" s="346" t="str">
        <f t="shared" si="7"/>
        <v>Knight Al</v>
      </c>
    </row>
    <row r="20" spans="1:26" s="347" customFormat="1" x14ac:dyDescent="0.2">
      <c r="A20" s="549" t="s">
        <v>202</v>
      </c>
      <c r="B20" s="594"/>
      <c r="C20" s="594"/>
      <c r="D20" s="325">
        <f t="shared" si="4"/>
        <v>0</v>
      </c>
      <c r="E20" s="326">
        <f t="shared" si="5"/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 t="shared" si="6"/>
        <v>0</v>
      </c>
      <c r="Y20" s="324"/>
      <c r="Z20" s="324" t="str">
        <f t="shared" si="7"/>
        <v>Martin Ni</v>
      </c>
    </row>
    <row r="21" spans="1:26" s="347" customFormat="1" x14ac:dyDescent="0.2">
      <c r="A21" s="550" t="s">
        <v>139</v>
      </c>
      <c r="B21" s="595">
        <v>10</v>
      </c>
      <c r="C21" s="595">
        <v>13.5</v>
      </c>
      <c r="D21" s="335">
        <f t="shared" si="4"/>
        <v>11</v>
      </c>
      <c r="E21" s="336">
        <f t="shared" si="5"/>
        <v>40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11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25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15</v>
      </c>
      <c r="W21" s="581"/>
      <c r="X21" s="345">
        <f t="shared" si="6"/>
        <v>150</v>
      </c>
      <c r="Y21" s="346"/>
      <c r="Z21" s="346" t="str">
        <f t="shared" si="7"/>
        <v>McLaughlin Da</v>
      </c>
    </row>
    <row r="22" spans="1:26" s="347" customFormat="1" x14ac:dyDescent="0.2">
      <c r="A22" s="549" t="s">
        <v>207</v>
      </c>
      <c r="B22" s="594"/>
      <c r="C22" s="594"/>
      <c r="D22" s="325">
        <f t="shared" si="4"/>
        <v>0</v>
      </c>
      <c r="E22" s="326">
        <f t="shared" si="5"/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 t="shared" si="6"/>
        <v>0</v>
      </c>
      <c r="Y22" s="324"/>
      <c r="Z22" s="324" t="str">
        <f t="shared" si="7"/>
        <v>Ramsier Sa</v>
      </c>
    </row>
    <row r="23" spans="1:26" s="347" customFormat="1" x14ac:dyDescent="0.2">
      <c r="A23" s="550" t="s">
        <v>138</v>
      </c>
      <c r="B23" s="595">
        <v>10</v>
      </c>
      <c r="C23" s="595">
        <v>13.5</v>
      </c>
      <c r="D23" s="335">
        <f t="shared" si="4"/>
        <v>4.5</v>
      </c>
      <c r="E23" s="336">
        <f t="shared" si="5"/>
        <v>0</v>
      </c>
      <c r="F23" s="337">
        <f>SUMIF(PP!$1:$1,$Z23,PP!$86:$86)+SUMIF(PC!$1:$1,$Z23,PC!$87:$87)</f>
        <v>0</v>
      </c>
      <c r="G23" s="338">
        <f>SUMIF(Driver!$1:$1,$Z23,Driver!$18:$18)</f>
        <v>4.5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 t="shared" si="6"/>
        <v>45</v>
      </c>
      <c r="Y23" s="346"/>
      <c r="Z23" s="346" t="str">
        <f t="shared" si="7"/>
        <v>Rochester Da</v>
      </c>
    </row>
    <row r="24" spans="1:26" s="347" customFormat="1" x14ac:dyDescent="0.2">
      <c r="A24" s="549" t="s">
        <v>195</v>
      </c>
      <c r="B24" s="594"/>
      <c r="C24" s="594"/>
      <c r="D24" s="325">
        <f t="shared" si="4"/>
        <v>11</v>
      </c>
      <c r="E24" s="326">
        <f t="shared" si="5"/>
        <v>132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11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132</v>
      </c>
      <c r="V24" s="333">
        <f>SUMIF(OT!$1:$1,$Z24,OT!$214:$214)</f>
        <v>0</v>
      </c>
      <c r="W24" s="580"/>
      <c r="X24" s="334">
        <f t="shared" si="6"/>
        <v>132</v>
      </c>
      <c r="Y24" s="324"/>
      <c r="Z24" s="324" t="str">
        <f t="shared" si="7"/>
        <v>Semeryuk Ti</v>
      </c>
    </row>
    <row r="25" spans="1:26" s="347" customFormat="1" x14ac:dyDescent="0.2">
      <c r="A25" s="550" t="s">
        <v>201</v>
      </c>
      <c r="B25" s="595"/>
      <c r="C25" s="595"/>
      <c r="D25" s="335">
        <f t="shared" si="4"/>
        <v>4.75</v>
      </c>
      <c r="E25" s="336">
        <f t="shared" si="5"/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4.75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 t="shared" si="6"/>
        <v>0</v>
      </c>
      <c r="Y25" s="346"/>
      <c r="Z25" s="346" t="str">
        <f t="shared" si="7"/>
        <v>Simmons Br</v>
      </c>
    </row>
    <row r="26" spans="1:26" s="347" customFormat="1" x14ac:dyDescent="0.2">
      <c r="A26" s="549" t="s">
        <v>100</v>
      </c>
      <c r="B26" s="594">
        <v>10.5</v>
      </c>
      <c r="C26" s="594">
        <v>13.5</v>
      </c>
      <c r="D26" s="325">
        <f t="shared" si="4"/>
        <v>1</v>
      </c>
      <c r="E26" s="326">
        <f t="shared" si="5"/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 t="shared" si="6"/>
        <v>10.5</v>
      </c>
      <c r="Y26" s="324"/>
      <c r="Z26" s="324" t="str">
        <f t="shared" si="7"/>
        <v>Skogberg Ma</v>
      </c>
    </row>
    <row r="27" spans="1:26" s="347" customFormat="1" x14ac:dyDescent="0.2">
      <c r="A27" s="550" t="s">
        <v>198</v>
      </c>
      <c r="B27" s="595"/>
      <c r="C27" s="595"/>
      <c r="D27" s="335">
        <f t="shared" si="4"/>
        <v>4.75</v>
      </c>
      <c r="E27" s="336">
        <f t="shared" si="5"/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4.75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 t="shared" si="6"/>
        <v>0</v>
      </c>
      <c r="Y27" s="346"/>
      <c r="Z27" s="346" t="str">
        <f t="shared" si="7"/>
        <v>Snow Ky</v>
      </c>
    </row>
    <row r="28" spans="1:26" s="347" customFormat="1" x14ac:dyDescent="0.2">
      <c r="A28" s="549" t="s">
        <v>153</v>
      </c>
      <c r="B28" s="594">
        <v>10</v>
      </c>
      <c r="C28" s="594">
        <v>13.5</v>
      </c>
      <c r="D28" s="325">
        <f t="shared" si="4"/>
        <v>0</v>
      </c>
      <c r="E28" s="326">
        <f t="shared" si="5"/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 t="shared" si="6"/>
        <v>0</v>
      </c>
      <c r="Y28" s="324"/>
      <c r="Z28" s="324" t="str">
        <f t="shared" si="7"/>
        <v>Tedeschi Tr</v>
      </c>
    </row>
    <row r="29" spans="1:26" s="347" customFormat="1" x14ac:dyDescent="0.2">
      <c r="A29" s="550" t="s">
        <v>142</v>
      </c>
      <c r="B29" s="595">
        <v>10</v>
      </c>
      <c r="C29" s="595">
        <v>13.5</v>
      </c>
      <c r="D29" s="335">
        <f t="shared" si="4"/>
        <v>6.25</v>
      </c>
      <c r="E29" s="336">
        <f t="shared" si="5"/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3.5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2.75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 t="shared" si="6"/>
        <v>62.5</v>
      </c>
      <c r="Y29" s="346"/>
      <c r="Z29" s="346" t="str">
        <f t="shared" si="7"/>
        <v>Thimmes Se</v>
      </c>
    </row>
    <row r="30" spans="1:26" s="347" customFormat="1" x14ac:dyDescent="0.2">
      <c r="A30" s="549" t="s">
        <v>126</v>
      </c>
      <c r="B30" s="594">
        <v>10</v>
      </c>
      <c r="C30" s="594">
        <v>13.5</v>
      </c>
      <c r="D30" s="325">
        <f t="shared" si="4"/>
        <v>0</v>
      </c>
      <c r="E30" s="326">
        <f t="shared" si="5"/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 t="shared" si="6"/>
        <v>0</v>
      </c>
      <c r="Y30" s="324"/>
      <c r="Z30" s="324" t="str">
        <f t="shared" si="7"/>
        <v>Torres Vi</v>
      </c>
    </row>
    <row r="31" spans="1:26" s="347" customFormat="1" x14ac:dyDescent="0.2">
      <c r="A31" s="550" t="s">
        <v>137</v>
      </c>
      <c r="B31" s="595">
        <v>10</v>
      </c>
      <c r="C31" s="595">
        <v>13.5</v>
      </c>
      <c r="D31" s="335">
        <f t="shared" si="4"/>
        <v>4.75</v>
      </c>
      <c r="E31" s="336">
        <f t="shared" si="5"/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4.75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 t="shared" si="6"/>
        <v>47.5</v>
      </c>
      <c r="Y31" s="346"/>
      <c r="Z31" s="346" t="str">
        <f t="shared" si="7"/>
        <v>Wedman Ke</v>
      </c>
    </row>
    <row r="32" spans="1:26" s="347" customFormat="1" x14ac:dyDescent="0.2">
      <c r="A32" s="549"/>
      <c r="B32" s="594"/>
      <c r="C32" s="594"/>
      <c r="D32" s="325">
        <f t="shared" si="4"/>
        <v>0</v>
      </c>
      <c r="E32" s="326">
        <f t="shared" si="5"/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 t="shared" si="6"/>
        <v>0</v>
      </c>
      <c r="Y32" s="324"/>
      <c r="Z32" s="324" t="str">
        <f t="shared" si="7"/>
        <v xml:space="preserve"> </v>
      </c>
    </row>
    <row r="33" spans="1:26" s="347" customFormat="1" x14ac:dyDescent="0.2">
      <c r="A33" s="550"/>
      <c r="B33" s="595"/>
      <c r="C33" s="595"/>
      <c r="D33" s="335">
        <f t="shared" si="4"/>
        <v>0</v>
      </c>
      <c r="E33" s="336">
        <f t="shared" si="5"/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 t="shared" si="6"/>
        <v>0</v>
      </c>
      <c r="Y33" s="346"/>
      <c r="Z33" s="346" t="str">
        <f t="shared" si="7"/>
        <v xml:space="preserve"> </v>
      </c>
    </row>
    <row r="34" spans="1:26" x14ac:dyDescent="0.2">
      <c r="A34" s="549"/>
      <c r="B34" s="594"/>
      <c r="C34" s="594"/>
      <c r="D34" s="325">
        <f t="shared" si="4"/>
        <v>0</v>
      </c>
      <c r="E34" s="326">
        <f t="shared" si="5"/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 t="shared" si="6"/>
        <v>0</v>
      </c>
      <c r="Y34" s="324"/>
      <c r="Z34" s="324" t="str">
        <f t="shared" si="7"/>
        <v xml:space="preserve"> </v>
      </c>
    </row>
    <row r="35" spans="1:26" s="347" customFormat="1" x14ac:dyDescent="0.2">
      <c r="A35" s="550"/>
      <c r="B35" s="595"/>
      <c r="C35" s="595"/>
      <c r="D35" s="335">
        <f t="shared" si="4"/>
        <v>0</v>
      </c>
      <c r="E35" s="336">
        <f t="shared" si="5"/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 t="shared" si="6"/>
        <v>0</v>
      </c>
      <c r="Y35" s="346"/>
      <c r="Z35" s="346" t="str">
        <f t="shared" si="7"/>
        <v xml:space="preserve"> </v>
      </c>
    </row>
    <row r="36" spans="1:26" s="347" customFormat="1" x14ac:dyDescent="0.2">
      <c r="A36" s="549"/>
      <c r="B36" s="594"/>
      <c r="C36" s="594"/>
      <c r="D36" s="325">
        <f t="shared" si="4"/>
        <v>0</v>
      </c>
      <c r="E36" s="326">
        <f t="shared" si="5"/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 t="shared" si="6"/>
        <v>0</v>
      </c>
      <c r="Y36" s="324"/>
      <c r="Z36" s="324" t="str">
        <f t="shared" si="7"/>
        <v xml:space="preserve"> </v>
      </c>
    </row>
    <row r="37" spans="1:26" s="347" customFormat="1" x14ac:dyDescent="0.2">
      <c r="A37" s="550"/>
      <c r="B37" s="595"/>
      <c r="C37" s="595"/>
      <c r="D37" s="335">
        <f t="shared" si="4"/>
        <v>0</v>
      </c>
      <c r="E37" s="336">
        <f t="shared" si="5"/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 t="shared" si="6"/>
        <v>0</v>
      </c>
      <c r="Y37" s="346"/>
      <c r="Z37" s="346" t="str">
        <f t="shared" si="7"/>
        <v xml:space="preserve"> </v>
      </c>
    </row>
    <row r="38" spans="1:26" s="347" customFormat="1" x14ac:dyDescent="0.2">
      <c r="A38" s="549"/>
      <c r="B38" s="594"/>
      <c r="C38" s="594"/>
      <c r="D38" s="325">
        <f t="shared" si="4"/>
        <v>0</v>
      </c>
      <c r="E38" s="326">
        <f t="shared" si="5"/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 t="shared" si="6"/>
        <v>0</v>
      </c>
      <c r="Y38" s="324"/>
      <c r="Z38" s="324" t="str">
        <f t="shared" si="7"/>
        <v xml:space="preserve"> </v>
      </c>
    </row>
    <row r="39" spans="1:26" s="347" customFormat="1" x14ac:dyDescent="0.2">
      <c r="A39" s="550"/>
      <c r="B39" s="595"/>
      <c r="C39" s="595"/>
      <c r="D39" s="335">
        <f t="shared" si="4"/>
        <v>0</v>
      </c>
      <c r="E39" s="336">
        <f t="shared" si="5"/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 t="shared" si="6"/>
        <v>0</v>
      </c>
      <c r="Y39" s="346"/>
      <c r="Z39" s="346" t="str">
        <f t="shared" si="7"/>
        <v xml:space="preserve"> </v>
      </c>
    </row>
    <row r="40" spans="1:26" s="347" customFormat="1" x14ac:dyDescent="0.2">
      <c r="A40" s="549"/>
      <c r="B40" s="594"/>
      <c r="C40" s="594"/>
      <c r="D40" s="325">
        <f t="shared" si="4"/>
        <v>0</v>
      </c>
      <c r="E40" s="326">
        <f t="shared" si="5"/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 t="shared" si="6"/>
        <v>0</v>
      </c>
      <c r="Y40" s="324"/>
      <c r="Z40" s="324" t="str">
        <f t="shared" si="7"/>
        <v xml:space="preserve"> </v>
      </c>
    </row>
    <row r="41" spans="1:26" s="347" customFormat="1" x14ac:dyDescent="0.2">
      <c r="A41" s="550"/>
      <c r="B41" s="595"/>
      <c r="C41" s="595"/>
      <c r="D41" s="335">
        <f t="shared" si="4"/>
        <v>0</v>
      </c>
      <c r="E41" s="336">
        <f t="shared" si="5"/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 t="shared" si="6"/>
        <v>0</v>
      </c>
      <c r="Y41" s="346"/>
      <c r="Z41" s="346" t="str">
        <f t="shared" si="7"/>
        <v xml:space="preserve"> </v>
      </c>
    </row>
    <row r="42" spans="1:26" s="347" customFormat="1" x14ac:dyDescent="0.2">
      <c r="A42" s="549"/>
      <c r="B42" s="594"/>
      <c r="C42" s="594"/>
      <c r="D42" s="325">
        <f t="shared" si="4"/>
        <v>0</v>
      </c>
      <c r="E42" s="326">
        <f t="shared" si="5"/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 t="shared" si="6"/>
        <v>0</v>
      </c>
      <c r="Y42" s="324"/>
      <c r="Z42" s="324" t="str">
        <f t="shared" si="7"/>
        <v xml:space="preserve"> </v>
      </c>
    </row>
    <row r="43" spans="1:26" s="347" customFormat="1" x14ac:dyDescent="0.2">
      <c r="A43" s="550"/>
      <c r="B43" s="595"/>
      <c r="C43" s="595"/>
      <c r="D43" s="335">
        <f t="shared" si="4"/>
        <v>0</v>
      </c>
      <c r="E43" s="336">
        <f t="shared" si="5"/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 t="shared" si="6"/>
        <v>0</v>
      </c>
      <c r="Y43" s="346"/>
      <c r="Z43" s="346" t="str">
        <f t="shared" si="7"/>
        <v xml:space="preserve"> </v>
      </c>
    </row>
    <row r="44" spans="1:26" s="347" customFormat="1" x14ac:dyDescent="0.2">
      <c r="A44" s="549"/>
      <c r="B44" s="594"/>
      <c r="C44" s="594"/>
      <c r="D44" s="325">
        <f t="shared" si="4"/>
        <v>0</v>
      </c>
      <c r="E44" s="326">
        <f t="shared" si="5"/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 t="shared" si="6"/>
        <v>0</v>
      </c>
      <c r="Y44" s="324"/>
      <c r="Z44" s="324" t="str">
        <f t="shared" si="7"/>
        <v xml:space="preserve"> </v>
      </c>
    </row>
    <row r="45" spans="1:26" s="347" customFormat="1" x14ac:dyDescent="0.2">
      <c r="A45" s="550"/>
      <c r="B45" s="595"/>
      <c r="C45" s="595"/>
      <c r="D45" s="335">
        <f t="shared" si="4"/>
        <v>0</v>
      </c>
      <c r="E45" s="336">
        <f t="shared" si="5"/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 t="shared" si="6"/>
        <v>0</v>
      </c>
      <c r="Y45" s="346"/>
      <c r="Z45" s="346" t="str">
        <f t="shared" si="7"/>
        <v xml:space="preserve"> </v>
      </c>
    </row>
    <row r="46" spans="1:26" s="347" customFormat="1" x14ac:dyDescent="0.2">
      <c r="A46" s="549"/>
      <c r="B46" s="594"/>
      <c r="C46" s="594"/>
      <c r="D46" s="325">
        <f t="shared" si="4"/>
        <v>0</v>
      </c>
      <c r="E46" s="326">
        <f t="shared" si="5"/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 t="shared" si="6"/>
        <v>0</v>
      </c>
      <c r="Y46" s="324"/>
      <c r="Z46" s="324" t="str">
        <f t="shared" si="7"/>
        <v xml:space="preserve"> </v>
      </c>
    </row>
    <row r="47" spans="1:26" s="347" customFormat="1" x14ac:dyDescent="0.2">
      <c r="A47" s="550"/>
      <c r="B47" s="595"/>
      <c r="C47" s="595"/>
      <c r="D47" s="335">
        <f t="shared" si="4"/>
        <v>0</v>
      </c>
      <c r="E47" s="336">
        <f t="shared" si="5"/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 t="shared" si="6"/>
        <v>0</v>
      </c>
      <c r="Y47" s="346"/>
      <c r="Z47" s="346" t="str">
        <f t="shared" si="7"/>
        <v xml:space="preserve"> </v>
      </c>
    </row>
    <row r="48" spans="1:26" s="347" customFormat="1" x14ac:dyDescent="0.2">
      <c r="A48" s="549"/>
      <c r="B48" s="594"/>
      <c r="C48" s="594"/>
      <c r="D48" s="325">
        <f t="shared" si="4"/>
        <v>0</v>
      </c>
      <c r="E48" s="326">
        <f t="shared" si="5"/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 t="shared" si="6"/>
        <v>0</v>
      </c>
      <c r="Y48" s="324"/>
      <c r="Z48" s="324" t="str">
        <f t="shared" si="7"/>
        <v xml:space="preserve"> </v>
      </c>
    </row>
    <row r="49" spans="1:26" s="347" customFormat="1" ht="10.8" thickBot="1" x14ac:dyDescent="0.25">
      <c r="A49" s="550"/>
      <c r="B49" s="595"/>
      <c r="C49" s="595"/>
      <c r="D49" s="335">
        <f t="shared" si="4"/>
        <v>0</v>
      </c>
      <c r="E49" s="336">
        <f t="shared" si="5"/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 t="shared" si="6"/>
        <v>0</v>
      </c>
      <c r="Y49" s="346"/>
      <c r="Z49" s="346" t="str">
        <f t="shared" si="7"/>
        <v xml:space="preserve"> </v>
      </c>
    </row>
    <row r="50" spans="1:26" s="347" customFormat="1" ht="10.8" thickBot="1" x14ac:dyDescent="0.25">
      <c r="A50" s="348" t="s">
        <v>3</v>
      </c>
      <c r="B50" s="349"/>
      <c r="C50" s="485"/>
      <c r="D50" s="350">
        <f t="shared" ref="D50:X50" si="8">SUM(D2:D49)</f>
        <v>162.96</v>
      </c>
      <c r="E50" s="351">
        <f t="shared" si="8"/>
        <v>449.3</v>
      </c>
      <c r="F50" s="349">
        <f t="shared" si="8"/>
        <v>0</v>
      </c>
      <c r="G50" s="352">
        <f t="shared" si="8"/>
        <v>4.5</v>
      </c>
      <c r="H50" s="353">
        <f t="shared" si="8"/>
        <v>43.5</v>
      </c>
      <c r="I50" s="354">
        <f t="shared" si="8"/>
        <v>0</v>
      </c>
      <c r="J50" s="352">
        <f t="shared" si="8"/>
        <v>0</v>
      </c>
      <c r="K50" s="355">
        <f t="shared" si="8"/>
        <v>0</v>
      </c>
      <c r="L50" s="352">
        <f t="shared" si="8"/>
        <v>41.75</v>
      </c>
      <c r="M50" s="352">
        <f t="shared" si="8"/>
        <v>11</v>
      </c>
      <c r="N50" s="352">
        <f t="shared" si="8"/>
        <v>41.21</v>
      </c>
      <c r="O50" s="352">
        <f t="shared" si="8"/>
        <v>11</v>
      </c>
      <c r="P50" s="356">
        <f t="shared" si="8"/>
        <v>10</v>
      </c>
      <c r="Q50" s="349">
        <f t="shared" si="8"/>
        <v>0</v>
      </c>
      <c r="R50" s="349">
        <f t="shared" si="8"/>
        <v>25</v>
      </c>
      <c r="S50" s="349">
        <f t="shared" si="8"/>
        <v>0</v>
      </c>
      <c r="T50" s="349">
        <f t="shared" si="8"/>
        <v>270</v>
      </c>
      <c r="U50" s="349">
        <f t="shared" si="8"/>
        <v>132</v>
      </c>
      <c r="V50" s="349">
        <f t="shared" si="8"/>
        <v>22.300000000000004</v>
      </c>
      <c r="W50" s="481">
        <f t="shared" si="8"/>
        <v>0</v>
      </c>
      <c r="X50" s="357">
        <f t="shared" si="8"/>
        <v>1501.9</v>
      </c>
      <c r="Y50" s="477"/>
      <c r="Z50" s="477"/>
    </row>
    <row r="51" spans="1:26" s="347" customFormat="1" ht="10.8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162.96</v>
      </c>
      <c r="E52" s="371">
        <f>SUM(Q52:W52)</f>
        <v>449.3</v>
      </c>
      <c r="F52" s="372">
        <f>PP!C86+PC!C87</f>
        <v>0</v>
      </c>
      <c r="G52" s="373">
        <f>Driver!B18</f>
        <v>4.5</v>
      </c>
      <c r="H52" s="374">
        <f>PP!C84</f>
        <v>43.5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41.75</v>
      </c>
      <c r="M52" s="373">
        <f>IF(DAY(PayDay1)=1,SC!B17,SC!B35)</f>
        <v>11</v>
      </c>
      <c r="N52" s="373">
        <f>'RC'!C18</f>
        <v>41.21</v>
      </c>
      <c r="O52" s="373">
        <f>IF(DAY(PayDay1)=1,HoO!B17,HoO!B34)</f>
        <v>11</v>
      </c>
      <c r="P52" s="377">
        <f>TM!C18</f>
        <v>10</v>
      </c>
      <c r="Q52" s="369">
        <f>Driver!B19</f>
        <v>0</v>
      </c>
      <c r="R52" s="369">
        <f>PP!C85</f>
        <v>25</v>
      </c>
      <c r="S52" s="369">
        <f>PC!C86</f>
        <v>0</v>
      </c>
      <c r="T52" s="369">
        <f>SUM(RF!H22:AO22)</f>
        <v>270</v>
      </c>
      <c r="U52" s="369">
        <f>IF(DAY(PayDay1)=1,SC!C18,SC!C36)</f>
        <v>132</v>
      </c>
      <c r="V52" s="378">
        <f>OT!B214</f>
        <v>22.300000000000004</v>
      </c>
      <c r="W52" s="483">
        <f>W50</f>
        <v>0</v>
      </c>
      <c r="X52" s="479"/>
      <c r="Y52" s="218"/>
      <c r="Z52" s="99"/>
    </row>
    <row r="53" spans="1:26" s="347" customFormat="1" ht="10.8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9">F50-F52</f>
        <v>0</v>
      </c>
      <c r="G53" s="384">
        <f t="shared" si="9"/>
        <v>0</v>
      </c>
      <c r="H53" s="385">
        <f t="shared" si="9"/>
        <v>0</v>
      </c>
      <c r="I53" s="386">
        <f t="shared" si="9"/>
        <v>0</v>
      </c>
      <c r="J53" s="384">
        <f t="shared" si="9"/>
        <v>0</v>
      </c>
      <c r="K53" s="387">
        <f t="shared" si="9"/>
        <v>0</v>
      </c>
      <c r="L53" s="384">
        <f t="shared" si="9"/>
        <v>0</v>
      </c>
      <c r="M53" s="384">
        <f t="shared" si="9"/>
        <v>0</v>
      </c>
      <c r="N53" s="384">
        <f>N50-N52</f>
        <v>0</v>
      </c>
      <c r="O53" s="384"/>
      <c r="P53" s="388">
        <f t="shared" si="9"/>
        <v>0</v>
      </c>
      <c r="Q53" s="380">
        <f t="shared" si="9"/>
        <v>0</v>
      </c>
      <c r="R53" s="380">
        <f t="shared" si="9"/>
        <v>0</v>
      </c>
      <c r="S53" s="380">
        <f t="shared" si="9"/>
        <v>0</v>
      </c>
      <c r="T53" s="380">
        <f t="shared" si="9"/>
        <v>0</v>
      </c>
      <c r="U53" s="380">
        <f>U50-U52</f>
        <v>0</v>
      </c>
      <c r="V53" s="389">
        <f t="shared" si="9"/>
        <v>0</v>
      </c>
      <c r="W53" s="484">
        <f t="shared" si="9"/>
        <v>0</v>
      </c>
      <c r="X53" s="480">
        <f>SUM(D53:G53)</f>
        <v>0</v>
      </c>
      <c r="Y53" s="62"/>
      <c r="Z53" s="62"/>
    </row>
    <row r="54" spans="1:26" s="347" customFormat="1" ht="10.8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0.8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0.8" thickBot="1" x14ac:dyDescent="0.25">
      <c r="A56" s="348" t="s">
        <v>48</v>
      </c>
      <c r="B56" s="349"/>
      <c r="C56" s="349"/>
      <c r="D56" s="352">
        <f>D50-SUM(D2:D3)</f>
        <v>162.96</v>
      </c>
      <c r="E56" s="349">
        <f>E50-SUM(E2:E3)</f>
        <v>449.3</v>
      </c>
      <c r="F56" s="349">
        <f>F50-SUM(F2:F3)</f>
        <v>0</v>
      </c>
      <c r="G56" s="357">
        <f>X50-SUM(X2:X3)</f>
        <v>1501.9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0.8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1501.9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0.8" thickBot="1" x14ac:dyDescent="0.25">
      <c r="A59" s="403" t="s">
        <v>61</v>
      </c>
      <c r="B59" s="404">
        <f>(B58-F50)*0.26</f>
        <v>390.49400000000003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yr4XxBye0dGvZGCFytEdJWFWILLNnCzFC/mtS6dP7RkzUV3Sa75J0b9NIZX1CDkpRpHGWgvR9Kq5CJa786gLcg==" saltValue="rAQszjX85CCn1jChDZmef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1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0" priority="2">
      <formula>AND(B4="",A4&lt;&gt;"")</formula>
    </cfRule>
  </conditionalFormatting>
  <conditionalFormatting sqref="C4:C49">
    <cfRule type="expression" dxfId="29" priority="1">
      <formula>AND(C4="",A4&lt;&gt;"")</formula>
    </cfRule>
  </conditionalFormatting>
  <conditionalFormatting sqref="Y2:Z51">
    <cfRule type="duplicateValues" dxfId="28" priority="2244"/>
  </conditionalFormatting>
  <conditionalFormatting sqref="A2:A49">
    <cfRule type="duplicateValues" dxfId="27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8671875" defaultRowHeight="10.199999999999999" x14ac:dyDescent="0.2"/>
  <cols>
    <col min="1" max="1" width="17.109375" style="241" bestFit="1" customWidth="1"/>
    <col min="2" max="2" width="8.21875" style="241" bestFit="1" customWidth="1"/>
    <col min="3" max="3" width="9.5546875" style="299" bestFit="1" customWidth="1"/>
    <col min="4" max="5" width="3.6640625" style="241" bestFit="1" customWidth="1"/>
    <col min="6" max="6" width="3.6640625" style="299" bestFit="1" customWidth="1"/>
    <col min="7" max="21" width="3.6640625" style="241" bestFit="1" customWidth="1"/>
    <col min="22" max="22" width="3.6640625" style="299" bestFit="1" customWidth="1"/>
    <col min="23" max="16384" width="7.88671875" style="241"/>
  </cols>
  <sheetData>
    <row r="1" spans="1:22" s="299" customFormat="1" ht="10.8" thickBot="1" x14ac:dyDescent="0.25">
      <c r="A1" s="405" t="s">
        <v>77</v>
      </c>
      <c r="B1" s="406" t="s">
        <v>40</v>
      </c>
      <c r="C1" s="553" t="s">
        <v>190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0.8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0.8" thickBot="1" x14ac:dyDescent="0.25">
      <c r="A18" s="213" t="s">
        <v>3</v>
      </c>
      <c r="B18" s="408">
        <f t="shared" ref="B18" si="1">SUM(B2:B17)</f>
        <v>4.5</v>
      </c>
      <c r="C18" s="102">
        <f t="shared" ref="C18:V18" si="2">SUM(C2:C17)</f>
        <v>4.5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12" customFormat="1" ht="10.8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Q48cp5QRLr9iD1Bog9DGQwGr5jzjX4y/MJnDkclbcfX1ctrbkW4wOoRUFRm+5rGlwsr/IzbhAOpRDdQSmEWwxg==" saltValue="necYBU9aZYsqCV1tkYRFg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6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33203125" defaultRowHeight="10.199999999999999" x14ac:dyDescent="0.2"/>
  <cols>
    <col min="1" max="1" width="22.33203125" style="33" bestFit="1" customWidth="1"/>
    <col min="2" max="2" width="15.88671875" style="41" bestFit="1" customWidth="1"/>
    <col min="3" max="3" width="9.109375" style="53" bestFit="1" customWidth="1"/>
    <col min="4" max="4" width="8.5546875" style="48" bestFit="1" customWidth="1"/>
    <col min="5" max="5" width="7.44140625" style="48" bestFit="1" customWidth="1"/>
    <col min="6" max="6" width="5.88671875" style="48" bestFit="1" customWidth="1"/>
    <col min="7" max="7" width="9.88671875" style="48" bestFit="1" customWidth="1"/>
    <col min="8" max="8" width="8" style="48" bestFit="1" customWidth="1"/>
    <col min="9" max="9" width="5.77734375" style="48" bestFit="1" customWidth="1"/>
    <col min="10" max="10" width="7.88671875" style="48" bestFit="1" customWidth="1"/>
    <col min="11" max="11" width="8" style="48" bestFit="1" customWidth="1"/>
    <col min="12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118</v>
      </c>
      <c r="B1" s="2" t="s">
        <v>27</v>
      </c>
      <c r="C1" s="3" t="s">
        <v>3</v>
      </c>
      <c r="D1" s="585" t="s">
        <v>188</v>
      </c>
      <c r="E1" s="585" t="s">
        <v>178</v>
      </c>
      <c r="F1" s="585" t="s">
        <v>210</v>
      </c>
      <c r="G1" s="585" t="s">
        <v>180</v>
      </c>
      <c r="H1" s="585" t="s">
        <v>211</v>
      </c>
      <c r="I1" s="585" t="s">
        <v>209</v>
      </c>
      <c r="J1" s="585" t="s">
        <v>182</v>
      </c>
      <c r="K1" s="585" t="s">
        <v>183</v>
      </c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51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25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25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 t="str">
        <f>IFERROR("Total Cost: $"&amp;ROUND((C16-0.46*C15)*1.26+(0.46*C15),2)&amp;" - "&amp;"Hourly: $"&amp;ROUND(((C16-0.46*C15)*1.26+(0.46*C15))/C12,2),0)</f>
        <v>Total Cost: $400.05 - Hourly: $9.2</v>
      </c>
      <c r="B16" s="23" t="s">
        <v>93</v>
      </c>
      <c r="C16" s="23">
        <f>SUM(D16:BD16)</f>
        <v>317.5</v>
      </c>
      <c r="D16" s="24">
        <f t="shared" ref="D16:AI16" si="4">((D12*D$82)+D13+(D14*D12)+ROUNDUP(D15*0.46,0))</f>
        <v>52.5</v>
      </c>
      <c r="E16" s="23">
        <f t="shared" si="4"/>
        <v>47.5</v>
      </c>
      <c r="F16" s="23">
        <f t="shared" si="4"/>
        <v>0</v>
      </c>
      <c r="G16" s="23">
        <f t="shared" si="4"/>
        <v>135</v>
      </c>
      <c r="H16" s="23">
        <f t="shared" si="4"/>
        <v>0</v>
      </c>
      <c r="I16" s="23">
        <f t="shared" si="4"/>
        <v>0</v>
      </c>
      <c r="J16" s="23">
        <f t="shared" si="4"/>
        <v>35</v>
      </c>
      <c r="K16" s="23">
        <f t="shared" si="4"/>
        <v>47.5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0</v>
      </c>
      <c r="G82" s="5">
        <f t="shared" si="32"/>
        <v>10</v>
      </c>
      <c r="H82" s="5">
        <f t="shared" si="32"/>
        <v>0</v>
      </c>
      <c r="I82" s="5">
        <f t="shared" si="32"/>
        <v>0</v>
      </c>
      <c r="J82" s="5">
        <f t="shared" si="32"/>
        <v>10</v>
      </c>
      <c r="K82" s="5">
        <f t="shared" si="32"/>
        <v>10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0.8" thickBot="1" x14ac:dyDescent="0.25">
      <c r="B84" s="26" t="s">
        <v>9</v>
      </c>
      <c r="C84" s="27">
        <f>SUM(D84:BD84)</f>
        <v>43.5</v>
      </c>
      <c r="D84" s="8">
        <f t="shared" ref="D84:AI84" si="34">SUM(D2,D7,D12,D17,D22,D27,D32,D37,D42,D47,D52,D57,D62,D67,D72,D77)</f>
        <v>5.25</v>
      </c>
      <c r="E84" s="9">
        <f t="shared" si="34"/>
        <v>4.75</v>
      </c>
      <c r="F84" s="9">
        <f t="shared" si="34"/>
        <v>4.75</v>
      </c>
      <c r="G84" s="9">
        <f t="shared" si="34"/>
        <v>11</v>
      </c>
      <c r="H84" s="9">
        <f t="shared" si="34"/>
        <v>4.75</v>
      </c>
      <c r="I84" s="9">
        <f t="shared" si="34"/>
        <v>4.75</v>
      </c>
      <c r="J84" s="9">
        <f t="shared" si="34"/>
        <v>3.5</v>
      </c>
      <c r="K84" s="9">
        <f t="shared" si="34"/>
        <v>4.75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0.8" thickBot="1" x14ac:dyDescent="0.25">
      <c r="B85" s="28" t="s">
        <v>94</v>
      </c>
      <c r="C85" s="29">
        <f>SUM(D85:BD85)</f>
        <v>25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25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O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0.8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0.8" thickBot="1" x14ac:dyDescent="0.25">
      <c r="A87" s="22" t="str">
        <f>IFERROR("Total Cost: $"&amp;ROUND((C87-0.46*C86)*1.26+(0.46*C86),2)&amp;" - "&amp;"Hourly: $"&amp;ROUND(((C87-0.46*C86)*1.26+(0.46*C86))/C84,2),0)</f>
        <v>Total Cost: $400.05 - Hourly: $9.2</v>
      </c>
      <c r="B87" s="31" t="s">
        <v>28</v>
      </c>
      <c r="C87" s="32">
        <f>SUM(C6,C11,C16,C21,C26,C31,C36,C41,C46,C51,C56,C61,C66,C71,C76,C8)</f>
        <v>317.5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d5hL3SW7fgFncuk5uVew9CsXd8la1volmuat5sx6SnRPAX7U7f8urLt9EN3rQJBHvMiBMFaqKtn6yjQ9PbrNlg==" saltValue="/b3EfM9t48qb+Kvg7l84Ow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5" priority="13">
      <formula>LEN(TRIM(A30))&gt;0</formula>
    </cfRule>
  </conditionalFormatting>
  <conditionalFormatting sqref="D1:H1">
    <cfRule type="duplicateValues" dxfId="24" priority="10"/>
  </conditionalFormatting>
  <conditionalFormatting sqref="I1:BD1">
    <cfRule type="duplicateValues" dxfId="23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33203125" defaultRowHeight="10.199999999999999" x14ac:dyDescent="0.2"/>
  <cols>
    <col min="1" max="1" width="17.109375" style="33" bestFit="1" customWidth="1"/>
    <col min="2" max="2" width="15.88671875" style="41" bestFit="1" customWidth="1"/>
    <col min="3" max="3" width="9.109375" style="53" bestFit="1" customWidth="1"/>
    <col min="4" max="21" width="4.44140625" style="48" bestFit="1" customWidth="1"/>
    <col min="22" max="56" width="4.44140625" style="41" bestFit="1" customWidth="1"/>
    <col min="57" max="16384" width="30.33203125" style="41"/>
  </cols>
  <sheetData>
    <row r="1" spans="1:56" s="33" customFormat="1" ht="10.8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65"/>
      <c r="B83" s="41"/>
      <c r="C83" s="17" t="s">
        <v>80</v>
      </c>
      <c r="D83" s="466">
        <f t="shared" ref="D83:AI83" si="34">SUMIF(EmployeeList,D$1,TotalSecWage)</f>
        <v>0</v>
      </c>
      <c r="E83" s="467">
        <f t="shared" si="34"/>
        <v>0</v>
      </c>
      <c r="F83" s="467">
        <f t="shared" si="34"/>
        <v>0</v>
      </c>
      <c r="G83" s="467">
        <f t="shared" si="34"/>
        <v>0</v>
      </c>
      <c r="H83" s="467">
        <f t="shared" si="34"/>
        <v>0</v>
      </c>
      <c r="I83" s="467">
        <f t="shared" si="34"/>
        <v>0</v>
      </c>
      <c r="J83" s="467">
        <f t="shared" si="34"/>
        <v>0</v>
      </c>
      <c r="K83" s="467">
        <f t="shared" si="34"/>
        <v>0</v>
      </c>
      <c r="L83" s="467">
        <f t="shared" si="34"/>
        <v>0</v>
      </c>
      <c r="M83" s="467">
        <f t="shared" si="34"/>
        <v>0</v>
      </c>
      <c r="N83" s="467">
        <f t="shared" si="34"/>
        <v>0</v>
      </c>
      <c r="O83" s="467">
        <f t="shared" si="34"/>
        <v>0</v>
      </c>
      <c r="P83" s="467">
        <f t="shared" si="34"/>
        <v>0</v>
      </c>
      <c r="Q83" s="467">
        <f t="shared" si="34"/>
        <v>0</v>
      </c>
      <c r="R83" s="467">
        <f t="shared" si="34"/>
        <v>0</v>
      </c>
      <c r="S83" s="467">
        <f t="shared" si="34"/>
        <v>0</v>
      </c>
      <c r="T83" s="467">
        <f t="shared" si="34"/>
        <v>0</v>
      </c>
      <c r="U83" s="467">
        <f t="shared" si="34"/>
        <v>0</v>
      </c>
      <c r="V83" s="467">
        <f t="shared" si="34"/>
        <v>0</v>
      </c>
      <c r="W83" s="467">
        <f t="shared" si="34"/>
        <v>0</v>
      </c>
      <c r="X83" s="467">
        <f t="shared" si="34"/>
        <v>0</v>
      </c>
      <c r="Y83" s="467">
        <f t="shared" si="34"/>
        <v>0</v>
      </c>
      <c r="Z83" s="467">
        <f t="shared" si="34"/>
        <v>0</v>
      </c>
      <c r="AA83" s="467">
        <f t="shared" si="34"/>
        <v>0</v>
      </c>
      <c r="AB83" s="467">
        <f t="shared" si="34"/>
        <v>0</v>
      </c>
      <c r="AC83" s="467">
        <f t="shared" si="34"/>
        <v>0</v>
      </c>
      <c r="AD83" s="467">
        <f t="shared" si="34"/>
        <v>0</v>
      </c>
      <c r="AE83" s="467">
        <f t="shared" si="34"/>
        <v>0</v>
      </c>
      <c r="AF83" s="467">
        <f t="shared" si="34"/>
        <v>0</v>
      </c>
      <c r="AG83" s="467">
        <f t="shared" si="34"/>
        <v>0</v>
      </c>
      <c r="AH83" s="467">
        <f t="shared" si="34"/>
        <v>0</v>
      </c>
      <c r="AI83" s="468">
        <f t="shared" si="34"/>
        <v>0</v>
      </c>
      <c r="AJ83" s="467">
        <f t="shared" ref="AJ83:BD83" si="35">SUMIF(EmployeeList,AJ$1,TotalSecWage)</f>
        <v>0</v>
      </c>
      <c r="AK83" s="467">
        <f t="shared" si="35"/>
        <v>0</v>
      </c>
      <c r="AL83" s="467">
        <f t="shared" si="35"/>
        <v>0</v>
      </c>
      <c r="AM83" s="467">
        <f t="shared" si="35"/>
        <v>0</v>
      </c>
      <c r="AN83" s="467">
        <f t="shared" si="35"/>
        <v>0</v>
      </c>
      <c r="AO83" s="467">
        <f t="shared" si="35"/>
        <v>0</v>
      </c>
      <c r="AP83" s="467">
        <f t="shared" si="35"/>
        <v>0</v>
      </c>
      <c r="AQ83" s="467">
        <f t="shared" si="35"/>
        <v>0</v>
      </c>
      <c r="AR83" s="467">
        <f t="shared" si="35"/>
        <v>0</v>
      </c>
      <c r="AS83" s="467">
        <f t="shared" si="35"/>
        <v>0</v>
      </c>
      <c r="AT83" s="467">
        <f t="shared" si="35"/>
        <v>0</v>
      </c>
      <c r="AU83" s="467">
        <f t="shared" si="35"/>
        <v>0</v>
      </c>
      <c r="AV83" s="467">
        <f t="shared" si="35"/>
        <v>0</v>
      </c>
      <c r="AW83" s="467">
        <f t="shared" si="35"/>
        <v>0</v>
      </c>
      <c r="AX83" s="467">
        <f t="shared" si="35"/>
        <v>0</v>
      </c>
      <c r="AY83" s="467">
        <f t="shared" si="35"/>
        <v>0</v>
      </c>
      <c r="AZ83" s="467">
        <f t="shared" si="35"/>
        <v>0</v>
      </c>
      <c r="BA83" s="467">
        <f t="shared" si="35"/>
        <v>0</v>
      </c>
      <c r="BB83" s="467">
        <f t="shared" si="35"/>
        <v>0</v>
      </c>
      <c r="BC83" s="467">
        <f t="shared" si="35"/>
        <v>0</v>
      </c>
      <c r="BD83" s="469">
        <f t="shared" si="35"/>
        <v>0</v>
      </c>
    </row>
    <row r="84" spans="1:56" s="46" customFormat="1" ht="10.8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0.8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0.8" thickBot="1" x14ac:dyDescent="0.25">
      <c r="B86" s="28" t="s">
        <v>94</v>
      </c>
      <c r="C86" s="29">
        <f>SUM(D86:BD86)</f>
        <v>0</v>
      </c>
      <c r="D86" s="470">
        <f t="shared" ref="D86:AI86" si="38">SUM(D6,D11,D16,D21,D26,D31,D36,D41,D46,D51,D56,D61,D66,D71,D76,D81,)-(D82*D85)+((D83-D82)*D85)-D87</f>
        <v>0</v>
      </c>
      <c r="E86" s="471">
        <f t="shared" si="38"/>
        <v>0</v>
      </c>
      <c r="F86" s="471">
        <f t="shared" si="38"/>
        <v>0</v>
      </c>
      <c r="G86" s="471">
        <f t="shared" si="38"/>
        <v>0</v>
      </c>
      <c r="H86" s="471">
        <f t="shared" si="38"/>
        <v>0</v>
      </c>
      <c r="I86" s="471">
        <f t="shared" si="38"/>
        <v>0</v>
      </c>
      <c r="J86" s="471">
        <f t="shared" si="38"/>
        <v>0</v>
      </c>
      <c r="K86" s="471">
        <f t="shared" si="38"/>
        <v>0</v>
      </c>
      <c r="L86" s="471">
        <f t="shared" si="38"/>
        <v>0</v>
      </c>
      <c r="M86" s="471">
        <f t="shared" si="38"/>
        <v>0</v>
      </c>
      <c r="N86" s="471">
        <f t="shared" si="38"/>
        <v>0</v>
      </c>
      <c r="O86" s="471">
        <f t="shared" si="38"/>
        <v>0</v>
      </c>
      <c r="P86" s="471">
        <f t="shared" si="38"/>
        <v>0</v>
      </c>
      <c r="Q86" s="471">
        <f t="shared" si="38"/>
        <v>0</v>
      </c>
      <c r="R86" s="471">
        <f t="shared" si="38"/>
        <v>0</v>
      </c>
      <c r="S86" s="471">
        <f t="shared" si="38"/>
        <v>0</v>
      </c>
      <c r="T86" s="471">
        <f t="shared" si="38"/>
        <v>0</v>
      </c>
      <c r="U86" s="471">
        <f t="shared" si="38"/>
        <v>0</v>
      </c>
      <c r="V86" s="471">
        <f t="shared" si="38"/>
        <v>0</v>
      </c>
      <c r="W86" s="471">
        <f t="shared" si="38"/>
        <v>0</v>
      </c>
      <c r="X86" s="471">
        <f t="shared" si="38"/>
        <v>0</v>
      </c>
      <c r="Y86" s="471">
        <f t="shared" si="38"/>
        <v>0</v>
      </c>
      <c r="Z86" s="471">
        <f t="shared" si="38"/>
        <v>0</v>
      </c>
      <c r="AA86" s="471">
        <f t="shared" si="38"/>
        <v>0</v>
      </c>
      <c r="AB86" s="471">
        <f t="shared" si="38"/>
        <v>0</v>
      </c>
      <c r="AC86" s="471">
        <f t="shared" si="38"/>
        <v>0</v>
      </c>
      <c r="AD86" s="471">
        <f t="shared" si="38"/>
        <v>0</v>
      </c>
      <c r="AE86" s="471">
        <f t="shared" si="38"/>
        <v>0</v>
      </c>
      <c r="AF86" s="471">
        <f t="shared" si="38"/>
        <v>0</v>
      </c>
      <c r="AG86" s="471">
        <f t="shared" si="38"/>
        <v>0</v>
      </c>
      <c r="AH86" s="471">
        <f t="shared" si="38"/>
        <v>0</v>
      </c>
      <c r="AI86" s="471">
        <f t="shared" si="38"/>
        <v>0</v>
      </c>
      <c r="AJ86" s="471">
        <f t="shared" ref="AJ86:BO86" si="39">SUM(AJ6,AJ11,AJ16,AJ21,AJ26,AJ31,AJ36,AJ41,AJ46,AJ51,AJ56,AJ61,AJ66,AJ71,AJ76,AJ81,)-(AJ82*AJ85)+((AJ83-AJ82)*AJ85)-AJ87</f>
        <v>0</v>
      </c>
      <c r="AK86" s="471">
        <f t="shared" si="39"/>
        <v>0</v>
      </c>
      <c r="AL86" s="471">
        <f t="shared" si="39"/>
        <v>0</v>
      </c>
      <c r="AM86" s="471">
        <f t="shared" si="39"/>
        <v>0</v>
      </c>
      <c r="AN86" s="471">
        <f t="shared" si="39"/>
        <v>0</v>
      </c>
      <c r="AO86" s="471">
        <f t="shared" si="39"/>
        <v>0</v>
      </c>
      <c r="AP86" s="471">
        <f t="shared" si="39"/>
        <v>0</v>
      </c>
      <c r="AQ86" s="471">
        <f t="shared" si="39"/>
        <v>0</v>
      </c>
      <c r="AR86" s="471">
        <f t="shared" si="39"/>
        <v>0</v>
      </c>
      <c r="AS86" s="471">
        <f t="shared" si="39"/>
        <v>0</v>
      </c>
      <c r="AT86" s="471">
        <f t="shared" si="39"/>
        <v>0</v>
      </c>
      <c r="AU86" s="471">
        <f t="shared" si="39"/>
        <v>0</v>
      </c>
      <c r="AV86" s="471">
        <f t="shared" si="39"/>
        <v>0</v>
      </c>
      <c r="AW86" s="471">
        <f t="shared" si="39"/>
        <v>0</v>
      </c>
      <c r="AX86" s="471">
        <f t="shared" si="39"/>
        <v>0</v>
      </c>
      <c r="AY86" s="471">
        <f t="shared" si="39"/>
        <v>0</v>
      </c>
      <c r="AZ86" s="471">
        <f t="shared" si="39"/>
        <v>0</v>
      </c>
      <c r="BA86" s="471">
        <f t="shared" si="39"/>
        <v>0</v>
      </c>
      <c r="BB86" s="471">
        <f t="shared" si="39"/>
        <v>0</v>
      </c>
      <c r="BC86" s="471">
        <f t="shared" si="39"/>
        <v>0</v>
      </c>
      <c r="BD86" s="472">
        <f t="shared" si="39"/>
        <v>0</v>
      </c>
    </row>
    <row r="87" spans="1:56" ht="10.8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0.8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iQTK/FMikkEZMKYZpdWqTPRIi3x6S5s6JQD2kORiKfY/eW6JsI1rAIRu3nVA3J+taxgrfheWSfwl8Kzf5Y5o3g==" saltValue="pSuWnNGhKP5rsAHjRa5rY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2" priority="7"/>
  </conditionalFormatting>
  <conditionalFormatting sqref="D1:H1">
    <cfRule type="duplicateValues" dxfId="21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546875" defaultRowHeight="10.199999999999999" x14ac:dyDescent="0.2"/>
  <cols>
    <col min="1" max="1" width="9.33203125" style="127" bestFit="1" customWidth="1"/>
    <col min="2" max="2" width="10.33203125" style="62" bestFit="1" customWidth="1"/>
    <col min="3" max="3" width="8.7773437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26" width="3.88671875" style="110" bestFit="1" customWidth="1"/>
    <col min="27" max="52" width="3.88671875" style="62" bestFit="1" customWidth="1"/>
    <col min="53" max="16384" width="12.5546875" style="62"/>
  </cols>
  <sheetData>
    <row r="1" spans="1:54" ht="10.8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0.8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0.8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0.8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0.8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0.8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0.8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0.8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0.8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0.8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0.8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6cmBLzKCDejjxYulUUh7jeqlIhIRjhvT5yvterdNofEEkLhOeSmvYgy6+gFBP2Dl4vJKCu+SwM70NNGyZdHsKA==" saltValue="Rm5+Dk0O6f/RJkLDC5KR+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0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19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18" priority="63">
      <formula>Y4&gt;10</formula>
    </cfRule>
  </conditionalFormatting>
  <conditionalFormatting sqref="T97:X97">
    <cfRule type="expression" dxfId="17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546875" defaultRowHeight="10.199999999999999" x14ac:dyDescent="0.2"/>
  <cols>
    <col min="1" max="1" width="9.21875" style="127" bestFit="1" customWidth="1"/>
    <col min="2" max="2" width="10.33203125" style="62" bestFit="1" customWidth="1"/>
    <col min="3" max="3" width="8.6640625" style="88" bestFit="1" customWidth="1"/>
    <col min="4" max="4" width="5.88671875" style="121" bestFit="1" customWidth="1"/>
    <col min="5" max="5" width="3.88671875" style="128" bestFit="1" customWidth="1"/>
    <col min="6" max="6" width="3.88671875" style="89" bestFit="1" customWidth="1"/>
    <col min="7" max="10" width="3.88671875" style="110" bestFit="1" customWidth="1"/>
    <col min="11" max="12" width="3.88671875" style="89" bestFit="1" customWidth="1"/>
    <col min="13" max="52" width="3.88671875" style="110" bestFit="1" customWidth="1"/>
    <col min="53" max="16384" width="7.5546875" style="62"/>
  </cols>
  <sheetData>
    <row r="1" spans="1:52" s="131" customFormat="1" ht="10.8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0.8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0.8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0.8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0.8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0.8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0.8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0.8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0.8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0.8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0.8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0.8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0.8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0.8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0.8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0.8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0.8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0.8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26SriFhAKRyfGMrUuYInFTu+fKaBq9or3ofDphQRAn6Zcml8YwkwWzFF4OWF+GqbFjTvLYmxZ7LYYV5wCXm3pA==" saltValue="yEoa7Q4HSFi4vY0bf3nHg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09375" defaultRowHeight="10.199999999999999" x14ac:dyDescent="0.2"/>
  <cols>
    <col min="1" max="1" width="17.109375" style="127" bestFit="1" customWidth="1"/>
    <col min="2" max="2" width="12.88671875" style="62" bestFit="1" customWidth="1"/>
    <col min="3" max="3" width="7.88671875" style="110" bestFit="1" customWidth="1"/>
    <col min="4" max="4" width="7.109375" style="177" bestFit="1" customWidth="1"/>
    <col min="5" max="5" width="5.77734375" style="177" bestFit="1" customWidth="1"/>
    <col min="6" max="6" width="8.33203125" style="178" bestFit="1" customWidth="1"/>
    <col min="7" max="7" width="7.6640625" style="188" bestFit="1" customWidth="1"/>
    <col min="8" max="8" width="6.6640625" style="62" bestFit="1" customWidth="1"/>
    <col min="9" max="9" width="7.33203125" style="110" bestFit="1" customWidth="1"/>
    <col min="10" max="10" width="6.6640625" style="110" bestFit="1" customWidth="1"/>
    <col min="11" max="11" width="5.88671875" style="110" bestFit="1" customWidth="1"/>
    <col min="12" max="41" width="4.44140625" style="62" bestFit="1" customWidth="1"/>
    <col min="42" max="16384" width="9.109375" style="62"/>
  </cols>
  <sheetData>
    <row r="1" spans="1:41" ht="10.8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208</v>
      </c>
      <c r="I1" s="559" t="s">
        <v>156</v>
      </c>
      <c r="J1" s="559" t="s">
        <v>193</v>
      </c>
      <c r="K1" s="559" t="s">
        <v>177</v>
      </c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8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9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70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9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0.8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0.8" thickBot="1" x14ac:dyDescent="0.25">
      <c r="A18" s="152"/>
      <c r="B18" s="153" t="s">
        <v>3</v>
      </c>
      <c r="C18" s="9">
        <f t="shared" ref="C18:G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 t="shared" ref="H18:AO18" si="5">SUM(H2:H17)</f>
        <v>22.5</v>
      </c>
      <c r="I18" s="102">
        <f t="shared" si="5"/>
        <v>10.25</v>
      </c>
      <c r="J18" s="102">
        <f t="shared" si="5"/>
        <v>4.5</v>
      </c>
      <c r="K18" s="102">
        <f t="shared" si="5"/>
        <v>4.5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0.8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0.8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270</v>
      </c>
      <c r="I20" s="174">
        <f t="shared" si="6"/>
        <v>102.5</v>
      </c>
      <c r="J20" s="174">
        <f t="shared" si="6"/>
        <v>45</v>
      </c>
      <c r="K20" s="174">
        <f t="shared" si="6"/>
        <v>45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0.8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0.8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270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0.8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0.8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0.8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R9owFNqA9haNI4YHvXAYnlqjrlDR203TESNyDlieYj0cOr72HFwiqd0hbDH0671Po5HSVE1fFhXeuU6PBYSAPA==" saltValue="3DJB/j4wgjg/Aq6zjn8dXw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6" priority="6" operator="lessThan">
      <formula>0</formula>
    </cfRule>
  </conditionalFormatting>
  <conditionalFormatting sqref="H1:AO1">
    <cfRule type="duplicateValues" dxfId="1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09375" defaultRowHeight="10.199999999999999" x14ac:dyDescent="0.2"/>
  <cols>
    <col min="1" max="1" width="17.109375" style="127" bestFit="1" customWidth="1"/>
    <col min="2" max="2" width="9.109375" style="238" bestFit="1" customWidth="1"/>
    <col min="3" max="3" width="9.77734375" style="121" bestFit="1" customWidth="1"/>
    <col min="4" max="4" width="9.88671875" style="95" bestFit="1" customWidth="1"/>
    <col min="5" max="5" width="7.109375" style="95" bestFit="1" customWidth="1"/>
    <col min="6" max="6" width="7.33203125" style="95" bestFit="1" customWidth="1"/>
    <col min="7" max="7" width="8" style="233" bestFit="1" customWidth="1"/>
    <col min="8" max="8" width="7.6640625" style="226" bestFit="1" customWidth="1"/>
    <col min="9" max="26" width="4.44140625" style="226" bestFit="1" customWidth="1"/>
    <col min="27" max="28" width="5.33203125" style="226" bestFit="1" customWidth="1"/>
    <col min="29" max="29" width="5" style="62" bestFit="1" customWidth="1"/>
    <col min="30" max="16384" width="9.109375" style="62"/>
  </cols>
  <sheetData>
    <row r="1" spans="1:26" s="131" customFormat="1" ht="10.8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156</v>
      </c>
      <c r="G1" s="559" t="s">
        <v>157</v>
      </c>
      <c r="H1" s="559" t="s">
        <v>158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2">
        <f t="shared" ref="B2:B16" si="0">SUM(F2:Z2)</f>
        <v>2</v>
      </c>
      <c r="C2" s="643">
        <f t="shared" ref="C2:C16" si="1">B2*12</f>
        <v>24</v>
      </c>
      <c r="D2" s="643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2">
        <f t="shared" si="0"/>
        <v>3</v>
      </c>
      <c r="C3" s="643">
        <f t="shared" si="1"/>
        <v>36</v>
      </c>
      <c r="D3" s="643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2">
        <f t="shared" si="0"/>
        <v>3.75</v>
      </c>
      <c r="C4" s="643">
        <f t="shared" si="1"/>
        <v>45</v>
      </c>
      <c r="D4" s="643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2">
        <f t="shared" si="0"/>
        <v>0</v>
      </c>
      <c r="C5" s="643">
        <f t="shared" si="1"/>
        <v>0</v>
      </c>
      <c r="D5" s="643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2">
        <f t="shared" si="0"/>
        <v>0</v>
      </c>
      <c r="C6" s="643">
        <f t="shared" si="1"/>
        <v>0</v>
      </c>
      <c r="D6" s="643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2">
        <f t="shared" si="0"/>
        <v>3.25</v>
      </c>
      <c r="C7" s="643">
        <f t="shared" si="1"/>
        <v>39</v>
      </c>
      <c r="D7" s="643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2">
        <f t="shared" si="0"/>
        <v>9</v>
      </c>
      <c r="C8" s="643">
        <f t="shared" si="1"/>
        <v>108</v>
      </c>
      <c r="D8" s="643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2">
        <f t="shared" si="0"/>
        <v>3.25</v>
      </c>
      <c r="C9" s="643">
        <f t="shared" si="1"/>
        <v>39</v>
      </c>
      <c r="D9" s="643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2">
        <f t="shared" si="0"/>
        <v>3</v>
      </c>
      <c r="C10" s="643">
        <f t="shared" si="1"/>
        <v>36</v>
      </c>
      <c r="D10" s="643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2">
        <f t="shared" si="0"/>
        <v>3</v>
      </c>
      <c r="C11" s="643">
        <f t="shared" si="1"/>
        <v>36</v>
      </c>
      <c r="D11" s="643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2">
        <f t="shared" si="0"/>
        <v>0</v>
      </c>
      <c r="C12" s="643">
        <f t="shared" si="1"/>
        <v>0</v>
      </c>
      <c r="D12" s="643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2">
        <f t="shared" si="0"/>
        <v>0</v>
      </c>
      <c r="C13" s="643">
        <f t="shared" si="1"/>
        <v>0</v>
      </c>
      <c r="D13" s="643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2">
        <f t="shared" si="0"/>
        <v>2</v>
      </c>
      <c r="C14" s="643">
        <f t="shared" si="1"/>
        <v>24</v>
      </c>
      <c r="D14" s="643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2">
        <f t="shared" si="0"/>
        <v>3</v>
      </c>
      <c r="C15" s="643">
        <f t="shared" si="1"/>
        <v>36</v>
      </c>
      <c r="D15" s="643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0.8" thickBot="1" x14ac:dyDescent="0.25">
      <c r="A16" s="289">
        <v>42536</v>
      </c>
      <c r="B16" s="642">
        <f t="shared" si="0"/>
        <v>5</v>
      </c>
      <c r="C16" s="643">
        <f t="shared" si="1"/>
        <v>60</v>
      </c>
      <c r="D16" s="643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0.8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0.8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 t="shared" ref="F18:Z18" si="5">SUM(F2:F16)*(12-F37)</f>
        <v>12.5</v>
      </c>
      <c r="G18" s="12">
        <f t="shared" si="5"/>
        <v>372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0</v>
      </c>
      <c r="C25" s="144">
        <f t="shared" si="7"/>
        <v>0</v>
      </c>
      <c r="D25" s="144">
        <f t="shared" si="8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0</v>
      </c>
      <c r="C26" s="144">
        <f t="shared" si="7"/>
        <v>0</v>
      </c>
      <c r="D26" s="144">
        <f t="shared" si="8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0</v>
      </c>
      <c r="C27" s="144">
        <f t="shared" si="7"/>
        <v>0</v>
      </c>
      <c r="D27" s="144">
        <f t="shared" si="8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0</v>
      </c>
      <c r="C30" s="144">
        <f t="shared" si="10"/>
        <v>0</v>
      </c>
      <c r="D30" s="144">
        <f t="shared" si="11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0</v>
      </c>
      <c r="C31" s="144">
        <f t="shared" si="10"/>
        <v>0</v>
      </c>
      <c r="D31" s="144">
        <f t="shared" si="11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0</v>
      </c>
      <c r="C32" s="144">
        <f t="shared" si="10"/>
        <v>0</v>
      </c>
      <c r="D32" s="144">
        <f t="shared" si="11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0</v>
      </c>
      <c r="C33" s="144">
        <f t="shared" si="10"/>
        <v>0</v>
      </c>
      <c r="D33" s="144">
        <f t="shared" si="11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0.8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0.8" thickBot="1" x14ac:dyDescent="0.25">
      <c r="A35" s="213" t="s">
        <v>52</v>
      </c>
      <c r="B35" s="9">
        <f>SUM(B19:B34)</f>
        <v>11</v>
      </c>
      <c r="C35" s="134">
        <f>SUM(C19:C34)-C36</f>
        <v>0</v>
      </c>
      <c r="D35" s="134">
        <f>SUM(D19:D34)-D36</f>
        <v>0</v>
      </c>
      <c r="E35" s="214">
        <f t="shared" ref="E35" si="12">SUM(E19:E34)</f>
        <v>0</v>
      </c>
      <c r="F35" s="102">
        <f t="shared" ref="F35:Z35" si="13">SUM(F19:F34)</f>
        <v>0</v>
      </c>
      <c r="G35" s="102">
        <f t="shared" si="13"/>
        <v>11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0.8" thickBot="1" x14ac:dyDescent="0.25">
      <c r="A36" s="215" t="s">
        <v>54</v>
      </c>
      <c r="B36" s="216"/>
      <c r="C36" s="12">
        <f>SUM(F36:Z36)</f>
        <v>132</v>
      </c>
      <c r="D36" s="12">
        <f>C36*0.26</f>
        <v>34.32</v>
      </c>
      <c r="E36" s="211" t="s">
        <v>56</v>
      </c>
      <c r="F36" s="12">
        <f t="shared" ref="F36:Z36" si="14">SUM(F19:F34)*(12-F37)</f>
        <v>0</v>
      </c>
      <c r="G36" s="12">
        <f t="shared" si="14"/>
        <v>132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0.8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0.8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504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0.8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0.8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0.8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0.8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jQurLGnmRy7JO4E9L7QSRsjrB3uA8c7ZIdrygw8TC/rVXznfAGGnJ8oPL4ij2YdDwruQTv0GFhmGBko+D5zP/Q==" saltValue="0V8bQfeufw6GJvrm1A9Fv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09375" defaultRowHeight="10.199999999999999" x14ac:dyDescent="0.2"/>
  <cols>
    <col min="1" max="1" width="17.109375" style="542" bestFit="1" customWidth="1"/>
    <col min="2" max="2" width="8" style="542" bestFit="1" customWidth="1"/>
    <col min="3" max="3" width="8.44140625" style="62" bestFit="1" customWidth="1"/>
    <col min="4" max="4" width="7.109375" style="539" bestFit="1" customWidth="1"/>
    <col min="5" max="5" width="8.6640625" style="540" bestFit="1" customWidth="1"/>
    <col min="6" max="6" width="9.6640625" style="539" bestFit="1" customWidth="1"/>
    <col min="7" max="7" width="9.109375" style="540" bestFit="1" customWidth="1"/>
    <col min="8" max="8" width="5.33203125" style="241" bestFit="1" customWidth="1"/>
    <col min="9" max="16384" width="9.10937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157</v>
      </c>
      <c r="C2" s="564" t="s">
        <v>159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157</v>
      </c>
      <c r="C3" s="564" t="s">
        <v>160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157</v>
      </c>
      <c r="C4" s="564" t="s">
        <v>161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157</v>
      </c>
      <c r="C7" s="564" t="s">
        <v>162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157</v>
      </c>
      <c r="C8" s="564" t="s">
        <v>163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157</v>
      </c>
      <c r="C9" s="564" t="s">
        <v>164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157</v>
      </c>
      <c r="C10" s="564" t="s">
        <v>165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157</v>
      </c>
      <c r="C11" s="564" t="s">
        <v>166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159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157</v>
      </c>
      <c r="C15" s="564" t="s">
        <v>167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0.8" thickBot="1" x14ac:dyDescent="0.25">
      <c r="A16" s="566">
        <v>42536</v>
      </c>
      <c r="B16" s="563" t="s">
        <v>157</v>
      </c>
      <c r="C16" s="564" t="s">
        <v>168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0.8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0.8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0.8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0.8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0OGrAFFqVIqwFh7hmrPkvHoUWsX6dT7gfZgZJAXXn8AilnUyyCJ83aqllTA40qxhkdFpYzPWIxi6BPeittR3kQ==" saltValue="gx/5EgAZbQN/tUB0nSSK3w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11.109375" style="241" bestFit="1" customWidth="1"/>
    <col min="5" max="5" width="6.6640625" style="241" bestFit="1" customWidth="1"/>
    <col min="6" max="6" width="6" style="241" bestFit="1" customWidth="1"/>
    <col min="7" max="7" width="7.88671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598" t="s">
        <v>145</v>
      </c>
      <c r="B1" s="292" t="s">
        <v>75</v>
      </c>
      <c r="C1" s="292" t="s">
        <v>40</v>
      </c>
      <c r="D1" s="557" t="s">
        <v>191</v>
      </c>
      <c r="E1" s="555" t="s">
        <v>181</v>
      </c>
      <c r="F1" s="555" t="s">
        <v>213</v>
      </c>
      <c r="G1" s="555" t="s">
        <v>182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4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62.5</v>
      </c>
      <c r="C5" s="54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357.1</v>
      </c>
      <c r="C18" s="294">
        <f t="shared" si="2"/>
        <v>41.21</v>
      </c>
      <c r="D18" s="102">
        <f t="shared" ref="D18:AK18" si="3">SUM(D2:D17)</f>
        <v>5.25</v>
      </c>
      <c r="E18" s="102">
        <f t="shared" si="3"/>
        <v>27.71</v>
      </c>
      <c r="F18" s="102">
        <f t="shared" si="3"/>
        <v>5.5</v>
      </c>
      <c r="G18" s="102">
        <f t="shared" si="3"/>
        <v>2.75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52.5</v>
      </c>
      <c r="E20" s="174">
        <f t="shared" si="4"/>
        <v>277.10000000000002</v>
      </c>
      <c r="F20" s="174">
        <f t="shared" si="4"/>
        <v>0</v>
      </c>
      <c r="G20" s="174">
        <f t="shared" si="4"/>
        <v>27.5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92.846000000000004</v>
      </c>
    </row>
    <row r="22" spans="1:37" ht="10.8" thickBot="1" x14ac:dyDescent="0.25">
      <c r="A22" s="297" t="s">
        <v>18</v>
      </c>
      <c r="B22" s="298">
        <f>B18+B21</f>
        <v>449.94600000000003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MSDfiLShQuyBPJy5CqNQShKyRTwkeHinDJewDly7M/a4+WA2e4U+Xzm+n1GWvYXSqO2g4J/OhexgWMD5AeWhQQ==" saltValue="mSQm4uDkFKlfgjED3fXK4Q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3.2" x14ac:dyDescent="0.25"/>
  <cols>
    <col min="1" max="1" width="17.109375" bestFit="1" customWidth="1"/>
    <col min="2" max="2" width="9.109375" bestFit="1" customWidth="1"/>
    <col min="3" max="3" width="5.88671875" bestFit="1" customWidth="1"/>
    <col min="4" max="4" width="9.88671875" bestFit="1" customWidth="1"/>
    <col min="5" max="5" width="6.6640625" bestFit="1" customWidth="1"/>
    <col min="6" max="25" width="4.44140625" bestFit="1" customWidth="1"/>
    <col min="26" max="37" width="4.88671875" bestFit="1" customWidth="1"/>
  </cols>
  <sheetData>
    <row r="1" spans="1:36" ht="13.8" thickBot="1" x14ac:dyDescent="0.3">
      <c r="A1" s="634" t="s">
        <v>154</v>
      </c>
      <c r="B1" s="198" t="s">
        <v>9</v>
      </c>
      <c r="C1" s="199" t="s">
        <v>17</v>
      </c>
      <c r="D1" s="635" t="s">
        <v>34</v>
      </c>
      <c r="E1" s="559" t="s">
        <v>177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0"/>
      <c r="Z1" s="608"/>
      <c r="AA1" s="608"/>
      <c r="AB1" s="608"/>
      <c r="AC1" s="608"/>
      <c r="AD1" s="608"/>
      <c r="AE1" s="609"/>
      <c r="AF1" s="609"/>
      <c r="AG1" s="609"/>
      <c r="AH1" s="609"/>
      <c r="AI1" s="609"/>
      <c r="AJ1" s="609"/>
    </row>
    <row r="2" spans="1:36" x14ac:dyDescent="0.25">
      <c r="A2" s="289">
        <v>42522</v>
      </c>
      <c r="B2" s="200">
        <v>0</v>
      </c>
      <c r="C2" s="144">
        <v>0</v>
      </c>
      <c r="D2" s="636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1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5">
      <c r="A3" s="289">
        <v>42523</v>
      </c>
      <c r="B3" s="200">
        <v>0</v>
      </c>
      <c r="C3" s="144">
        <v>0</v>
      </c>
      <c r="D3" s="636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2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5">
      <c r="A4" s="289">
        <v>42524</v>
      </c>
      <c r="B4" s="200">
        <v>0</v>
      </c>
      <c r="C4" s="144">
        <v>0</v>
      </c>
      <c r="D4" s="636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2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5">
      <c r="A5" s="289">
        <v>42525</v>
      </c>
      <c r="B5" s="200">
        <v>0</v>
      </c>
      <c r="C5" s="144">
        <v>0</v>
      </c>
      <c r="D5" s="636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2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5">
      <c r="A6" s="289">
        <v>42526</v>
      </c>
      <c r="B6" s="200">
        <v>0</v>
      </c>
      <c r="C6" s="144">
        <v>0</v>
      </c>
      <c r="D6" s="636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2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5">
      <c r="A7" s="289">
        <v>42527</v>
      </c>
      <c r="B7" s="200">
        <v>0</v>
      </c>
      <c r="C7" s="144">
        <v>0</v>
      </c>
      <c r="D7" s="636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2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5">
      <c r="A8" s="289">
        <v>42528</v>
      </c>
      <c r="B8" s="200">
        <v>0</v>
      </c>
      <c r="C8" s="144">
        <v>0</v>
      </c>
      <c r="D8" s="636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2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5">
      <c r="A9" s="289">
        <v>42529</v>
      </c>
      <c r="B9" s="200">
        <v>0</v>
      </c>
      <c r="C9" s="144">
        <v>0</v>
      </c>
      <c r="D9" s="636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2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5">
      <c r="A10" s="289">
        <v>42530</v>
      </c>
      <c r="B10" s="200">
        <v>0</v>
      </c>
      <c r="C10" s="144">
        <v>0</v>
      </c>
      <c r="D10" s="636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2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5">
      <c r="A11" s="289">
        <v>42531</v>
      </c>
      <c r="B11" s="200">
        <v>0</v>
      </c>
      <c r="C11" s="144">
        <v>0</v>
      </c>
      <c r="D11" s="636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2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5">
      <c r="A12" s="289">
        <v>42532</v>
      </c>
      <c r="B12" s="200">
        <v>0</v>
      </c>
      <c r="C12" s="144">
        <v>0</v>
      </c>
      <c r="D12" s="636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2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5">
      <c r="A13" s="289">
        <v>42533</v>
      </c>
      <c r="B13" s="200">
        <v>0</v>
      </c>
      <c r="C13" s="144">
        <v>0</v>
      </c>
      <c r="D13" s="636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2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5">
      <c r="A14" s="289">
        <v>42534</v>
      </c>
      <c r="B14" s="200">
        <v>0</v>
      </c>
      <c r="C14" s="144">
        <v>0</v>
      </c>
      <c r="D14" s="636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2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5">
      <c r="A15" s="289">
        <v>42535</v>
      </c>
      <c r="B15" s="200">
        <v>0</v>
      </c>
      <c r="C15" s="144">
        <v>0</v>
      </c>
      <c r="D15" s="636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2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8" thickBot="1" x14ac:dyDescent="0.3">
      <c r="A16" s="289">
        <v>42536</v>
      </c>
      <c r="B16" s="200">
        <v>0</v>
      </c>
      <c r="C16" s="144">
        <v>0</v>
      </c>
      <c r="D16" s="636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3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5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7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614">
        <f t="shared" si="1"/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5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6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2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5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36">
        <f t="shared" ref="D19:D33" si="4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2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5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36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5">
      <c r="A21" s="290">
        <f>PayDay1 + 3</f>
        <v>42540</v>
      </c>
      <c r="B21" s="212">
        <f>SUM(E21:Y21)</f>
        <v>0</v>
      </c>
      <c r="C21" s="144">
        <f t="shared" si="3"/>
        <v>0</v>
      </c>
      <c r="D21" s="636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5">
      <c r="A22" s="290">
        <f>PayDay1 + 4</f>
        <v>42541</v>
      </c>
      <c r="B22" s="212">
        <f>SUM(E22:Y22)</f>
        <v>0</v>
      </c>
      <c r="C22" s="144">
        <f t="shared" si="3"/>
        <v>0</v>
      </c>
      <c r="D22" s="636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5">
      <c r="A23" s="290">
        <f>PayDay1 + 5</f>
        <v>42542</v>
      </c>
      <c r="B23" s="212">
        <f>SUM(E23:Y23)</f>
        <v>0</v>
      </c>
      <c r="C23" s="144">
        <f t="shared" si="3"/>
        <v>0</v>
      </c>
      <c r="D23" s="636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5">
      <c r="A24" s="290">
        <f>PayDay1 + 6</f>
        <v>42543</v>
      </c>
      <c r="B24" s="212">
        <f t="shared" si="2"/>
        <v>0</v>
      </c>
      <c r="C24" s="144">
        <f t="shared" si="3"/>
        <v>0</v>
      </c>
      <c r="D24" s="636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5">
      <c r="A25" s="290">
        <f>PayDay1 + 7</f>
        <v>42544</v>
      </c>
      <c r="B25" s="212">
        <f t="shared" si="2"/>
        <v>0</v>
      </c>
      <c r="C25" s="144">
        <f t="shared" si="3"/>
        <v>0</v>
      </c>
      <c r="D25" s="636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5">
      <c r="A26" s="290">
        <f>PayDay1 + 8</f>
        <v>42545</v>
      </c>
      <c r="B26" s="212">
        <f t="shared" si="2"/>
        <v>0</v>
      </c>
      <c r="C26" s="144">
        <f t="shared" si="3"/>
        <v>0</v>
      </c>
      <c r="D26" s="636">
        <f t="shared" si="4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5">
      <c r="A27" s="290">
        <f>PayDay1 + 9</f>
        <v>42546</v>
      </c>
      <c r="B27" s="212">
        <f t="shared" si="2"/>
        <v>0</v>
      </c>
      <c r="C27" s="144">
        <f t="shared" si="3"/>
        <v>0</v>
      </c>
      <c r="D27" s="636">
        <f t="shared" si="4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5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36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5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36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5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36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5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36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5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36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8" thickBot="1" x14ac:dyDescent="0.3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36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8" thickBot="1" x14ac:dyDescent="0.3">
      <c r="A34" s="213" t="s">
        <v>52</v>
      </c>
      <c r="B34" s="9">
        <f t="shared" ref="B34:D34" si="5">SUM(B18:B33)</f>
        <v>11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11</v>
      </c>
      <c r="F34" s="102">
        <f t="shared" si="6"/>
        <v>0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8" thickBot="1" x14ac:dyDescent="0.3">
      <c r="A35" s="217"/>
      <c r="B35" s="105"/>
      <c r="C35" s="49"/>
      <c r="D35" s="638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8" thickBot="1" x14ac:dyDescent="0.3">
      <c r="A36" s="217"/>
      <c r="B36" s="208"/>
      <c r="C36" s="49"/>
      <c r="D36" s="639" t="s">
        <v>42</v>
      </c>
      <c r="E36" s="174">
        <f t="shared" ref="E36:Y36" si="7">(E34+E17)*E35</f>
        <v>110</v>
      </c>
      <c r="F36" s="174">
        <f t="shared" si="7"/>
        <v>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8" thickBot="1" x14ac:dyDescent="0.3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5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5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8" thickBot="1" x14ac:dyDescent="0.3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8" thickBot="1" x14ac:dyDescent="0.3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5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8" thickBot="1" x14ac:dyDescent="0.3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1HXlZQhk7KIdv9BYd7lo+GZp3q7grK62l/6YLftd2urCKKvU5qczaMtjZ5Bw/19vqUJIV2cwy/goD7i2YOrpkA==" saltValue="Sy4Jsk9Lxr+qhevCM8fmdw==" spinCount="100000" sheet="1" objects="1" scenarios="1"/>
  <sortState columnSort="1" ref="E1:Y36">
    <sortCondition ref="E1:Y1"/>
  </sortState>
  <conditionalFormatting sqref="Z1:AJ1">
    <cfRule type="duplicateValues" dxfId="12" priority="2"/>
  </conditionalFormatting>
  <conditionalFormatting sqref="E1:Y1">
    <cfRule type="duplicateValues" dxfId="11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7.109375" style="241" bestFit="1" customWidth="1"/>
    <col min="2" max="2" width="7.88671875" style="241" bestFit="1" customWidth="1"/>
    <col min="3" max="3" width="8.21875" style="241" bestFit="1" customWidth="1"/>
    <col min="4" max="4" width="6.5546875" style="241" bestFit="1" customWidth="1"/>
    <col min="5" max="5" width="7.6640625" style="241" bestFit="1" customWidth="1"/>
    <col min="6" max="6" width="5.88671875" style="241" bestFit="1" customWidth="1"/>
    <col min="7" max="7" width="8.5546875" style="241" bestFit="1" customWidth="1"/>
    <col min="8" max="37" width="4.44140625" style="241" bestFit="1" customWidth="1"/>
    <col min="38" max="16384" width="9.109375" style="241"/>
  </cols>
  <sheetData>
    <row r="1" spans="1:37" ht="10.8" thickBot="1" x14ac:dyDescent="0.25">
      <c r="A1" s="291" t="s">
        <v>119</v>
      </c>
      <c r="B1" s="292" t="s">
        <v>75</v>
      </c>
      <c r="C1" s="292" t="s">
        <v>40</v>
      </c>
      <c r="D1" s="557" t="s">
        <v>208</v>
      </c>
      <c r="E1" s="555" t="s">
        <v>214</v>
      </c>
      <c r="F1" s="555" t="s">
        <v>177</v>
      </c>
      <c r="G1" s="555" t="s">
        <v>187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38</v>
      </c>
      <c r="C6" s="54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55.5</v>
      </c>
      <c r="C18" s="294">
        <f t="shared" si="2"/>
        <v>10</v>
      </c>
      <c r="D18" s="102">
        <f t="shared" ref="D18:AK18" si="3">SUM(D2:D17)</f>
        <v>3.25</v>
      </c>
      <c r="E18" s="102">
        <f t="shared" si="3"/>
        <v>1.25</v>
      </c>
      <c r="F18" s="102">
        <f t="shared" si="3"/>
        <v>4.5</v>
      </c>
      <c r="G18" s="102">
        <f t="shared" si="3"/>
        <v>1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45</v>
      </c>
      <c r="G20" s="174">
        <f t="shared" si="4"/>
        <v>10.5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14.43</v>
      </c>
    </row>
    <row r="22" spans="1:37" ht="10.8" thickBot="1" x14ac:dyDescent="0.25">
      <c r="A22" s="297" t="s">
        <v>18</v>
      </c>
      <c r="B22" s="298">
        <f>B18+B21</f>
        <v>69.930000000000007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CfvDjHDqP6Gs7bQUoOfIECL9/CFGpHC9CHcCpHTAnE56StrAx+JWDi48lqDF3K24X/D+VMFJVMMSBhWGFPL6oA==" saltValue="fhpq9U3Y9+koxSJYdH9dd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0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0.199999999999999" x14ac:dyDescent="0.2"/>
  <cols>
    <col min="1" max="1" width="19.21875" style="286" bestFit="1" customWidth="1"/>
    <col min="2" max="2" width="10.44140625" style="246" bestFit="1" customWidth="1"/>
    <col min="3" max="3" width="9.5546875" style="246" bestFit="1" customWidth="1"/>
    <col min="4" max="4" width="7.5546875" style="246" bestFit="1" customWidth="1"/>
    <col min="5" max="5" width="8.33203125" style="246" bestFit="1" customWidth="1"/>
    <col min="6" max="6" width="7.77734375" style="246" bestFit="1" customWidth="1"/>
    <col min="7" max="7" width="10" style="246" bestFit="1" customWidth="1"/>
    <col min="8" max="8" width="8.44140625" style="246" bestFit="1" customWidth="1"/>
    <col min="9" max="9" width="8.5546875" style="246" bestFit="1" customWidth="1"/>
    <col min="10" max="10" width="9.77734375" style="246" bestFit="1" customWidth="1"/>
    <col min="11" max="11" width="12.77734375" style="246" bestFit="1" customWidth="1"/>
    <col min="12" max="12" width="9" style="246" bestFit="1" customWidth="1"/>
    <col min="13" max="13" width="7.44140625" style="246" bestFit="1" customWidth="1"/>
    <col min="14" max="14" width="7.77734375" style="246" bestFit="1" customWidth="1"/>
    <col min="15" max="15" width="6.88671875" style="246" bestFit="1" customWidth="1"/>
    <col min="16" max="16" width="6.6640625" style="246" bestFit="1" customWidth="1"/>
    <col min="17" max="17" width="6.5546875" style="246" bestFit="1" customWidth="1"/>
    <col min="18" max="18" width="7.33203125" style="246" bestFit="1" customWidth="1"/>
    <col min="19" max="19" width="7" style="246" bestFit="1" customWidth="1"/>
    <col min="20" max="20" width="11.33203125" style="246" bestFit="1" customWidth="1"/>
    <col min="21" max="21" width="8.77734375" style="246" bestFit="1" customWidth="1"/>
    <col min="22" max="22" width="9.88671875" style="246" bestFit="1" customWidth="1"/>
    <col min="23" max="23" width="9.6640625" style="246" bestFit="1" customWidth="1"/>
    <col min="24" max="24" width="9.44140625" style="246" bestFit="1" customWidth="1"/>
    <col min="25" max="25" width="10" style="246" bestFit="1" customWidth="1"/>
    <col min="26" max="26" width="6.88671875" style="246" bestFit="1" customWidth="1"/>
    <col min="27" max="27" width="9.21875" style="246" bestFit="1" customWidth="1"/>
    <col min="28" max="28" width="9.6640625" style="246" bestFit="1" customWidth="1"/>
    <col min="29" max="29" width="7.21875" style="246" bestFit="1" customWidth="1"/>
    <col min="30" max="30" width="9.44140625" style="246" bestFit="1" customWidth="1"/>
    <col min="31" max="36" width="5.88671875" style="246" bestFit="1" customWidth="1"/>
    <col min="37" max="48" width="5" style="246" bestFit="1" customWidth="1"/>
    <col min="49" max="16384" width="14" style="246"/>
  </cols>
  <sheetData>
    <row r="1" spans="1:48" ht="10.8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0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0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0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0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0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0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0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0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0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0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0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0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0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0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0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0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0.8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0</v>
      </c>
      <c r="P211" s="278">
        <f>SUMIF(Total!$Z:$Z,P$1,Total!$B:$B)</f>
        <v>10</v>
      </c>
      <c r="Q211" s="278">
        <f>SUMIF(Total!$Z:$Z,Q$1,Total!$B:$B)</f>
        <v>0</v>
      </c>
      <c r="R211" s="278">
        <f>SUMIF(Total!$Z:$Z,R$1,Total!$B:$B)</f>
        <v>10</v>
      </c>
      <c r="S211" s="278">
        <f>SUMIF(Total!$Z:$Z,S$1,Total!$B:$B)</f>
        <v>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10.5</v>
      </c>
      <c r="Z211" s="278">
        <f>SUMIF(Total!$Z:$Z,Z$1,Total!$B:$B)</f>
        <v>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0.8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0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0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0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0</v>
      </c>
      <c r="P212" s="282">
        <f>SUMIF(Total!$Z:$Z,P$1,Total!$C:$C)</f>
        <v>13.5</v>
      </c>
      <c r="Q212" s="282">
        <f>SUMIF(Total!$Z:$Z,Q$1,Total!$C:$C)</f>
        <v>0</v>
      </c>
      <c r="R212" s="282">
        <f>SUMIF(Total!$Z:$Z,R$1,Total!$C:$C)</f>
        <v>13.5</v>
      </c>
      <c r="S212" s="282">
        <f>SUMIF(Total!$Z:$Z,S$1,Total!$C:$C)</f>
        <v>0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13.5</v>
      </c>
      <c r="Z212" s="282">
        <f>SUMIF(Total!$Z:$Z,Z$1,Total!$C:$C)</f>
        <v>0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0.8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0.8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PmMBRKgspEUsm4F1lASYLAS50jJw0KR6aRoEN7gUiQdZwpCUkv86n/zZJqwyXQwN689sgQcUPqNPrkKlZAtUyA==" saltValue="YLBB6+T/wTt2f0bFNxTLz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1" workbookViewId="0">
      <selection activeCell="W7" sqref="W7"/>
    </sheetView>
  </sheetViews>
  <sheetFormatPr defaultColWidth="9.109375" defaultRowHeight="10.199999999999999" x14ac:dyDescent="0.2"/>
  <cols>
    <col min="1" max="1" width="11.109375" style="459" bestFit="1" customWidth="1"/>
    <col min="2" max="2" width="6.77734375" style="459" bestFit="1" customWidth="1"/>
    <col min="3" max="3" width="10.21875" style="459" bestFit="1" customWidth="1"/>
    <col min="4" max="4" width="14.33203125" style="459" bestFit="1" customWidth="1"/>
    <col min="5" max="5" width="6.88671875" style="459" bestFit="1" customWidth="1"/>
    <col min="6" max="6" width="6.5546875" style="459" bestFit="1" customWidth="1"/>
    <col min="7" max="7" width="6.88671875" style="459" bestFit="1" customWidth="1"/>
    <col min="8" max="8" width="5.44140625" style="462" bestFit="1" customWidth="1"/>
    <col min="9" max="9" width="7.5546875" style="241" customWidth="1"/>
    <col min="10" max="10" width="9.109375" style="241" bestFit="1" customWidth="1"/>
    <col min="11" max="11" width="7.6640625" style="241" bestFit="1" customWidth="1"/>
    <col min="12" max="12" width="5.44140625" style="241" bestFit="1" customWidth="1"/>
    <col min="13" max="13" width="5.109375" style="427" bestFit="1" customWidth="1"/>
    <col min="14" max="14" width="3.6640625" style="425" bestFit="1" customWidth="1"/>
    <col min="15" max="15" width="5.109375" style="425" bestFit="1" customWidth="1"/>
    <col min="16" max="16" width="5.109375" style="426" bestFit="1" customWidth="1"/>
    <col min="17" max="21" width="5.109375" style="241" bestFit="1" customWidth="1"/>
    <col min="22" max="22" width="13.33203125" style="241" bestFit="1" customWidth="1"/>
    <col min="23" max="23" width="9.109375" style="241"/>
    <col min="24" max="25" width="8.44140625" style="425" bestFit="1" customWidth="1"/>
    <col min="26" max="26" width="7" style="426" bestFit="1" customWidth="1"/>
    <col min="27" max="27" width="17.109375" style="430" bestFit="1" customWidth="1"/>
    <col min="28" max="16384" width="9.109375" style="241"/>
  </cols>
  <sheetData>
    <row r="1" spans="1:27" ht="10.8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1" t="s">
        <v>155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7" t="s">
        <v>190</v>
      </c>
      <c r="B2" s="458">
        <v>42538</v>
      </c>
      <c r="C2" s="459" t="s">
        <v>77</v>
      </c>
      <c r="D2" s="459" t="s">
        <v>176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324.95999999999998</v>
      </c>
      <c r="L2" s="416">
        <f>SUMIF($C:$C,"Driver",$G:$G)</f>
        <v>4.5</v>
      </c>
      <c r="M2" s="416">
        <f>SUMIF($C:$C,"Private Party",$G:$G)</f>
        <v>43.5</v>
      </c>
      <c r="N2" s="416">
        <f>SUMIF($C:$C,"Parking Control",$G:$G)</f>
        <v>0</v>
      </c>
      <c r="O2" s="416">
        <f>SUMIF($C:$C,"The Firehouse",$G:$G)</f>
        <v>95.25</v>
      </c>
      <c r="P2" s="416">
        <f>SUMIF($C:$C,"Ten22",$G:$G)</f>
        <v>66.75</v>
      </c>
      <c r="Q2" s="416">
        <f>SUMIF($C:$C,"Raley Field",$G:$G)</f>
        <v>41.75</v>
      </c>
      <c r="R2" s="416">
        <f>SUMIF($C:$C,"Sutter Club",$G:$G)</f>
        <v>11</v>
      </c>
      <c r="S2" s="416">
        <f>SUMIF($C:$C,"Rio City Cafe",$G:$G)</f>
        <v>41.21</v>
      </c>
      <c r="T2" s="416">
        <f>SUMIF($C:$C,"House of Oliver",$G:$G)</f>
        <v>11</v>
      </c>
      <c r="U2" s="416">
        <f>SUMIF($C:$C,"Meeting",$G:$G)+SUMIF($C:$C,"Training",$G:$G)</f>
        <v>10</v>
      </c>
      <c r="V2" s="417">
        <f>SUM(L2:N2,Q2:U2)</f>
        <v>162.96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177</v>
      </c>
      <c r="B3" s="458">
        <v>42538</v>
      </c>
      <c r="C3" s="459" t="s">
        <v>154</v>
      </c>
      <c r="D3" s="459" t="s">
        <v>175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162.96</v>
      </c>
      <c r="L3" s="305">
        <f>Total!G50</f>
        <v>4.5</v>
      </c>
      <c r="M3" s="305">
        <f>Total!H50</f>
        <v>43.5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41.75</v>
      </c>
      <c r="R3" s="305">
        <f>Total!M50</f>
        <v>11</v>
      </c>
      <c r="S3" s="305">
        <f>Total!N50</f>
        <v>41.21</v>
      </c>
      <c r="T3" s="305">
        <f>Total!O50</f>
        <v>11</v>
      </c>
      <c r="U3" s="305">
        <f>Total!P50</f>
        <v>10</v>
      </c>
      <c r="V3" s="306">
        <f>SUM(L3:N3,Q3:U3)</f>
        <v>162.96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0.8" thickBot="1" x14ac:dyDescent="0.25">
      <c r="A4" s="457" t="s">
        <v>177</v>
      </c>
      <c r="B4" s="458">
        <v>42539</v>
      </c>
      <c r="C4" s="459" t="s">
        <v>154</v>
      </c>
      <c r="D4" s="459" t="s">
        <v>175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161.99999999999997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95.25</v>
      </c>
      <c r="P4" s="309">
        <f t="shared" si="1"/>
        <v>66.75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0.8" thickBot="1" x14ac:dyDescent="0.25">
      <c r="A5" s="459" t="s">
        <v>208</v>
      </c>
      <c r="B5" s="458">
        <v>42537</v>
      </c>
      <c r="C5" s="459" t="s">
        <v>119</v>
      </c>
      <c r="D5" s="459" t="s">
        <v>170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0.8" thickBot="1" x14ac:dyDescent="0.25">
      <c r="A6" s="457" t="s">
        <v>208</v>
      </c>
      <c r="B6" s="458">
        <v>42541</v>
      </c>
      <c r="C6" s="459" t="s">
        <v>119</v>
      </c>
      <c r="D6" s="459" t="s">
        <v>170</v>
      </c>
      <c r="E6" s="460">
        <v>0.63541666666666663</v>
      </c>
      <c r="F6" s="460">
        <v>0.69791666666666663</v>
      </c>
      <c r="G6" s="459">
        <v>1.5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0.8" thickBot="1" x14ac:dyDescent="0.25">
      <c r="A7" s="457" t="s">
        <v>214</v>
      </c>
      <c r="B7" s="458">
        <v>42541</v>
      </c>
      <c r="C7" s="459" t="s">
        <v>119</v>
      </c>
      <c r="D7" s="459" t="s">
        <v>206</v>
      </c>
      <c r="E7" s="460">
        <v>0.33333333333333331</v>
      </c>
      <c r="F7" s="460">
        <v>0.38541666666666669</v>
      </c>
      <c r="G7" s="459">
        <v>1.25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0.8" thickBot="1" x14ac:dyDescent="0.25">
      <c r="A8" s="457" t="s">
        <v>177</v>
      </c>
      <c r="B8" s="458">
        <v>42537</v>
      </c>
      <c r="C8" s="459" t="s">
        <v>119</v>
      </c>
      <c r="D8" s="459" t="s">
        <v>170</v>
      </c>
      <c r="E8" s="460">
        <v>0.29166666666666669</v>
      </c>
      <c r="F8" s="460">
        <v>0.36458333333333331</v>
      </c>
      <c r="G8" s="459">
        <v>1.75</v>
      </c>
      <c r="J8" s="311" t="s">
        <v>113</v>
      </c>
      <c r="K8" s="312">
        <f>SUM(Z:Z)</f>
        <v>13.639444444444436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9" t="s">
        <v>177</v>
      </c>
      <c r="B9" s="458">
        <v>42541</v>
      </c>
      <c r="C9" s="459" t="s">
        <v>119</v>
      </c>
      <c r="D9" s="459" t="s">
        <v>206</v>
      </c>
      <c r="E9" s="460">
        <v>0.33333333333333331</v>
      </c>
      <c r="F9" s="460">
        <v>0.38541666666666669</v>
      </c>
      <c r="G9" s="459">
        <v>1.25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7" t="s">
        <v>177</v>
      </c>
      <c r="B10" s="458">
        <v>42541</v>
      </c>
      <c r="C10" s="459" t="s">
        <v>119</v>
      </c>
      <c r="D10" s="459" t="s">
        <v>170</v>
      </c>
      <c r="E10" s="460">
        <v>0.63541666666666663</v>
      </c>
      <c r="F10" s="460">
        <v>0.69791666666666663</v>
      </c>
      <c r="G10" s="459">
        <v>1.5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7" t="s">
        <v>187</v>
      </c>
      <c r="B11" s="458">
        <v>42541</v>
      </c>
      <c r="C11" s="459" t="s">
        <v>119</v>
      </c>
      <c r="D11" s="459" t="s">
        <v>170</v>
      </c>
      <c r="E11" s="460">
        <v>0.64583333333333337</v>
      </c>
      <c r="F11" s="460">
        <v>0.6875</v>
      </c>
      <c r="G11" s="459">
        <v>1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7" t="s">
        <v>188</v>
      </c>
      <c r="B12" s="458">
        <v>42539</v>
      </c>
      <c r="C12" s="459" t="s">
        <v>118</v>
      </c>
      <c r="D12" s="459" t="s">
        <v>199</v>
      </c>
      <c r="E12" s="460">
        <v>0.73958333333333337</v>
      </c>
      <c r="F12" s="460">
        <v>0.95833333333333337</v>
      </c>
      <c r="G12" s="459">
        <v>5.25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178</v>
      </c>
      <c r="B13" s="458">
        <v>42539</v>
      </c>
      <c r="C13" s="459" t="s">
        <v>118</v>
      </c>
      <c r="D13" s="459" t="s">
        <v>199</v>
      </c>
      <c r="E13" s="460">
        <v>0.73958333333333337</v>
      </c>
      <c r="F13" s="460">
        <v>0.9375</v>
      </c>
      <c r="G13" s="459">
        <v>4.75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210</v>
      </c>
      <c r="B14" s="458">
        <v>42539</v>
      </c>
      <c r="C14" s="459" t="s">
        <v>118</v>
      </c>
      <c r="D14" s="459" t="s">
        <v>199</v>
      </c>
      <c r="E14" s="460">
        <v>0.73958333333333337</v>
      </c>
      <c r="F14" s="460">
        <v>0.9375</v>
      </c>
      <c r="G14" s="459">
        <v>4.75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180</v>
      </c>
      <c r="B15" s="458">
        <v>42539</v>
      </c>
      <c r="C15" s="459" t="s">
        <v>118</v>
      </c>
      <c r="D15" s="459" t="s">
        <v>197</v>
      </c>
      <c r="E15" s="460">
        <v>0.375</v>
      </c>
      <c r="F15" s="460">
        <v>0.59375</v>
      </c>
      <c r="G15" s="459">
        <v>5.25</v>
      </c>
      <c r="H15" s="462">
        <v>25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180</v>
      </c>
      <c r="B16" s="458">
        <v>42539</v>
      </c>
      <c r="C16" s="459" t="s">
        <v>118</v>
      </c>
      <c r="D16" s="459" t="s">
        <v>199</v>
      </c>
      <c r="E16" s="460">
        <v>0.72916666666666663</v>
      </c>
      <c r="F16" s="460">
        <v>0.96875</v>
      </c>
      <c r="G16" s="459">
        <v>5.75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7" t="s">
        <v>211</v>
      </c>
      <c r="B17" s="458">
        <v>42539</v>
      </c>
      <c r="C17" s="459" t="s">
        <v>118</v>
      </c>
      <c r="D17" s="459" t="s">
        <v>199</v>
      </c>
      <c r="E17" s="460">
        <v>0.73958333333333337</v>
      </c>
      <c r="F17" s="460">
        <v>0.9375</v>
      </c>
      <c r="G17" s="459">
        <v>4.75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7" t="s">
        <v>209</v>
      </c>
      <c r="B18" s="458">
        <v>42539</v>
      </c>
      <c r="C18" s="459" t="s">
        <v>118</v>
      </c>
      <c r="D18" s="459" t="s">
        <v>199</v>
      </c>
      <c r="E18" s="460">
        <v>0.375</v>
      </c>
      <c r="F18" s="460">
        <v>0.57291666666666663</v>
      </c>
      <c r="G18" s="459">
        <v>4.75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182</v>
      </c>
      <c r="B19" s="458">
        <v>42539</v>
      </c>
      <c r="C19" s="459" t="s">
        <v>118</v>
      </c>
      <c r="D19" s="459" t="s">
        <v>199</v>
      </c>
      <c r="E19" s="460">
        <v>0.39583333333333331</v>
      </c>
      <c r="F19" s="460">
        <v>0.54166666666666663</v>
      </c>
      <c r="G19" s="459">
        <v>3.5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9" t="s">
        <v>183</v>
      </c>
      <c r="B20" s="458">
        <v>42539</v>
      </c>
      <c r="C20" s="459" t="s">
        <v>118</v>
      </c>
      <c r="D20" s="459" t="s">
        <v>199</v>
      </c>
      <c r="E20" s="460">
        <v>0.73958333333333337</v>
      </c>
      <c r="F20" s="460">
        <v>0.9375</v>
      </c>
      <c r="G20" s="459">
        <v>4.75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208</v>
      </c>
      <c r="B21" s="458">
        <v>42537</v>
      </c>
      <c r="C21" s="459" t="s">
        <v>16</v>
      </c>
      <c r="D21" s="459" t="s">
        <v>67</v>
      </c>
      <c r="E21" s="460">
        <v>0.70833333333333337</v>
      </c>
      <c r="F21" s="460">
        <v>0.91666666666666663</v>
      </c>
      <c r="G21" s="459">
        <v>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0.8" thickBot="1" x14ac:dyDescent="0.25">
      <c r="A22" s="457" t="s">
        <v>208</v>
      </c>
      <c r="B22" s="458">
        <v>42538</v>
      </c>
      <c r="C22" s="459" t="s">
        <v>16</v>
      </c>
      <c r="D22" s="459" t="s">
        <v>67</v>
      </c>
      <c r="E22" s="460">
        <v>0.6875</v>
      </c>
      <c r="F22" s="460">
        <v>0.9375</v>
      </c>
      <c r="G22" s="459">
        <v>6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3.2" x14ac:dyDescent="0.25">
      <c r="A23" s="457" t="s">
        <v>208</v>
      </c>
      <c r="B23" s="458">
        <v>42539</v>
      </c>
      <c r="C23" s="459" t="s">
        <v>16</v>
      </c>
      <c r="D23" s="459" t="s">
        <v>67</v>
      </c>
      <c r="E23" s="460">
        <v>0.6875</v>
      </c>
      <c r="F23" s="460">
        <v>0.94791666666666663</v>
      </c>
      <c r="G23" s="459">
        <v>6.25</v>
      </c>
      <c r="V23" s="476" t="s">
        <v>169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9" t="s">
        <v>208</v>
      </c>
      <c r="B24" s="458">
        <v>42540</v>
      </c>
      <c r="C24" s="459" t="s">
        <v>16</v>
      </c>
      <c r="D24" s="459" t="s">
        <v>67</v>
      </c>
      <c r="E24" s="460">
        <v>0.45833333333333331</v>
      </c>
      <c r="F24" s="460">
        <v>0.67708333333333337</v>
      </c>
      <c r="G24" s="459">
        <v>5.25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156</v>
      </c>
      <c r="B25" s="458">
        <v>42538</v>
      </c>
      <c r="C25" s="459" t="s">
        <v>16</v>
      </c>
      <c r="D25" s="459" t="s">
        <v>97</v>
      </c>
      <c r="E25" s="460">
        <v>0.72916666666666663</v>
      </c>
      <c r="F25" s="460">
        <v>0.9375</v>
      </c>
      <c r="G25" s="459">
        <v>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156</v>
      </c>
      <c r="B26" s="458">
        <v>42539</v>
      </c>
      <c r="C26" s="459" t="s">
        <v>16</v>
      </c>
      <c r="D26" s="459" t="s">
        <v>97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193</v>
      </c>
      <c r="B27" s="458">
        <v>42539</v>
      </c>
      <c r="C27" s="459" t="s">
        <v>16</v>
      </c>
      <c r="D27" s="459" t="s">
        <v>97</v>
      </c>
      <c r="E27" s="460">
        <v>0.75</v>
      </c>
      <c r="F27" s="460">
        <v>0.9375</v>
      </c>
      <c r="G27" s="459">
        <v>4.5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9" t="s">
        <v>177</v>
      </c>
      <c r="B28" s="458">
        <v>42540</v>
      </c>
      <c r="C28" s="459" t="s">
        <v>16</v>
      </c>
      <c r="D28" s="459" t="s">
        <v>97</v>
      </c>
      <c r="E28" s="460">
        <v>0.5</v>
      </c>
      <c r="F28" s="460">
        <v>0.6875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191</v>
      </c>
      <c r="B29" s="458">
        <v>42539</v>
      </c>
      <c r="C29" s="459" t="s">
        <v>145</v>
      </c>
      <c r="D29" s="459" t="s">
        <v>173</v>
      </c>
      <c r="E29" s="460">
        <v>0.6875</v>
      </c>
      <c r="F29" s="460">
        <v>0.90625</v>
      </c>
      <c r="G29" s="459">
        <v>5.25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181</v>
      </c>
      <c r="B30" s="458">
        <v>42537</v>
      </c>
      <c r="C30" s="459" t="s">
        <v>145</v>
      </c>
      <c r="D30" s="459" t="s">
        <v>173</v>
      </c>
      <c r="E30" s="460">
        <v>0.46875</v>
      </c>
      <c r="F30" s="460">
        <v>0.66666666666666663</v>
      </c>
      <c r="G30" s="459">
        <v>4.71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9" t="s">
        <v>181</v>
      </c>
      <c r="B31" s="458">
        <v>42537</v>
      </c>
      <c r="C31" s="459" t="s">
        <v>145</v>
      </c>
      <c r="D31" s="459" t="s">
        <v>173</v>
      </c>
      <c r="E31" s="460">
        <v>0.6875</v>
      </c>
      <c r="F31" s="460">
        <v>0.86458333333333337</v>
      </c>
      <c r="G31" s="459">
        <v>4.25</v>
      </c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A32" s="457" t="s">
        <v>181</v>
      </c>
      <c r="B32" s="458">
        <v>42538</v>
      </c>
      <c r="C32" s="459" t="s">
        <v>145</v>
      </c>
      <c r="D32" s="459" t="s">
        <v>173</v>
      </c>
      <c r="E32" s="460">
        <v>0.45833333333333331</v>
      </c>
      <c r="F32" s="460">
        <v>0.60416666666666663</v>
      </c>
      <c r="G32" s="459">
        <v>3.5</v>
      </c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 t="s">
        <v>181</v>
      </c>
      <c r="B33" s="458">
        <v>42538</v>
      </c>
      <c r="C33" s="459" t="s">
        <v>145</v>
      </c>
      <c r="D33" s="459" t="s">
        <v>173</v>
      </c>
      <c r="E33" s="460">
        <v>0.6875</v>
      </c>
      <c r="F33" s="460">
        <v>0.89583333333333337</v>
      </c>
      <c r="G33" s="459">
        <v>5</v>
      </c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 t="s">
        <v>181</v>
      </c>
      <c r="B34" s="458">
        <v>42539</v>
      </c>
      <c r="C34" s="459" t="s">
        <v>145</v>
      </c>
      <c r="D34" s="459" t="s">
        <v>173</v>
      </c>
      <c r="E34" s="460">
        <v>0.41666666666666669</v>
      </c>
      <c r="F34" s="460">
        <v>0.58333333333333337</v>
      </c>
      <c r="G34" s="459">
        <v>4</v>
      </c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 t="s">
        <v>181</v>
      </c>
      <c r="B35" s="458">
        <v>42540</v>
      </c>
      <c r="C35" s="459" t="s">
        <v>145</v>
      </c>
      <c r="D35" s="459" t="s">
        <v>173</v>
      </c>
      <c r="E35" s="460">
        <v>0.42708333333333331</v>
      </c>
      <c r="F35" s="460">
        <v>0.6875</v>
      </c>
      <c r="G35" s="459">
        <v>6.25</v>
      </c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 t="s">
        <v>213</v>
      </c>
      <c r="B36" s="458">
        <v>42540</v>
      </c>
      <c r="C36" s="459" t="s">
        <v>145</v>
      </c>
      <c r="D36" s="459" t="s">
        <v>173</v>
      </c>
      <c r="E36" s="460">
        <v>0.6875</v>
      </c>
      <c r="F36" s="460">
        <v>0.91666666666666663</v>
      </c>
      <c r="G36" s="459">
        <v>5.5</v>
      </c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9" t="s">
        <v>182</v>
      </c>
      <c r="B37" s="458">
        <v>42539</v>
      </c>
      <c r="C37" s="459" t="s">
        <v>145</v>
      </c>
      <c r="D37" s="459" t="s">
        <v>173</v>
      </c>
      <c r="E37" s="460">
        <v>0.58333333333333337</v>
      </c>
      <c r="F37" s="460">
        <v>0.69791666666666663</v>
      </c>
      <c r="G37" s="459">
        <v>2.75</v>
      </c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A38" s="457" t="s">
        <v>157</v>
      </c>
      <c r="B38" s="458">
        <v>42537</v>
      </c>
      <c r="C38" s="459" t="s">
        <v>50</v>
      </c>
      <c r="D38" s="459" t="s">
        <v>196</v>
      </c>
      <c r="E38" s="460">
        <v>0.45833333333333331</v>
      </c>
      <c r="F38" s="460">
        <v>0.58333333333333337</v>
      </c>
      <c r="G38" s="459">
        <v>3</v>
      </c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9" t="s">
        <v>157</v>
      </c>
      <c r="B39" s="458">
        <v>42538</v>
      </c>
      <c r="C39" s="459" t="s">
        <v>50</v>
      </c>
      <c r="D39" s="459" t="s">
        <v>196</v>
      </c>
      <c r="E39" s="460">
        <v>0.46875</v>
      </c>
      <c r="F39" s="460">
        <v>0.55208333333333337</v>
      </c>
      <c r="G39" s="459">
        <v>2</v>
      </c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9" t="s">
        <v>157</v>
      </c>
      <c r="B40" s="458">
        <v>42541</v>
      </c>
      <c r="C40" s="459" t="s">
        <v>50</v>
      </c>
      <c r="D40" s="459" t="s">
        <v>196</v>
      </c>
      <c r="E40" s="460">
        <v>0.45833333333333331</v>
      </c>
      <c r="F40" s="460">
        <v>0.58333333333333337</v>
      </c>
      <c r="G40" s="459">
        <v>3</v>
      </c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9" t="s">
        <v>157</v>
      </c>
      <c r="B41" s="458">
        <v>42542</v>
      </c>
      <c r="C41" s="459" t="s">
        <v>50</v>
      </c>
      <c r="D41" s="459" t="s">
        <v>196</v>
      </c>
      <c r="E41" s="460">
        <v>0.45833333333333331</v>
      </c>
      <c r="F41" s="460">
        <v>0.58333333333333337</v>
      </c>
      <c r="G41" s="459">
        <v>3</v>
      </c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9" t="s">
        <v>186</v>
      </c>
      <c r="B42" s="458">
        <v>42538</v>
      </c>
      <c r="C42" s="459" t="s">
        <v>5</v>
      </c>
      <c r="D42" s="459" t="s">
        <v>174</v>
      </c>
      <c r="E42" s="460">
        <v>0.6875</v>
      </c>
      <c r="F42" s="460">
        <v>0.875</v>
      </c>
      <c r="G42" s="459">
        <v>4.5</v>
      </c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 t="s">
        <v>186</v>
      </c>
      <c r="B43" s="458">
        <v>42539</v>
      </c>
      <c r="C43" s="459" t="s">
        <v>5</v>
      </c>
      <c r="D43" s="459" t="s">
        <v>174</v>
      </c>
      <c r="E43" s="460">
        <v>0.6875</v>
      </c>
      <c r="F43" s="460">
        <v>0.8125</v>
      </c>
      <c r="G43" s="459">
        <v>3</v>
      </c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 t="s">
        <v>189</v>
      </c>
      <c r="B44" s="458">
        <v>42541</v>
      </c>
      <c r="C44" s="459" t="s">
        <v>5</v>
      </c>
      <c r="D44" s="459" t="s">
        <v>174</v>
      </c>
      <c r="E44" s="460">
        <v>0.6875</v>
      </c>
      <c r="F44" s="460">
        <v>0.8125</v>
      </c>
      <c r="G44" s="459">
        <v>3</v>
      </c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 t="s">
        <v>188</v>
      </c>
      <c r="B45" s="458">
        <v>42541</v>
      </c>
      <c r="C45" s="459" t="s">
        <v>5</v>
      </c>
      <c r="D45" s="459" t="s">
        <v>174</v>
      </c>
      <c r="E45" s="460">
        <v>0.45833333333333331</v>
      </c>
      <c r="F45" s="460">
        <v>0.63541666666666663</v>
      </c>
      <c r="G45" s="459">
        <v>4.25</v>
      </c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 t="s">
        <v>184</v>
      </c>
      <c r="B46" s="458">
        <v>42538</v>
      </c>
      <c r="C46" s="459" t="s">
        <v>5</v>
      </c>
      <c r="D46" s="459" t="s">
        <v>174</v>
      </c>
      <c r="E46" s="460">
        <v>0.46875</v>
      </c>
      <c r="F46" s="460">
        <v>0.61458333333333337</v>
      </c>
      <c r="G46" s="459">
        <v>3.5</v>
      </c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A47" s="457" t="s">
        <v>177</v>
      </c>
      <c r="B47" s="458">
        <v>42537</v>
      </c>
      <c r="C47" s="459" t="s">
        <v>5</v>
      </c>
      <c r="D47" s="459" t="s">
        <v>174</v>
      </c>
      <c r="E47" s="460">
        <v>0.46875</v>
      </c>
      <c r="F47" s="460">
        <v>0.60416666666666663</v>
      </c>
      <c r="G47" s="459">
        <v>3.25</v>
      </c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 t="s">
        <v>177</v>
      </c>
      <c r="B48" s="458">
        <v>42542</v>
      </c>
      <c r="C48" s="459" t="s">
        <v>5</v>
      </c>
      <c r="D48" s="459" t="s">
        <v>174</v>
      </c>
      <c r="E48" s="460">
        <v>0.46875</v>
      </c>
      <c r="F48" s="460">
        <v>0.59375</v>
      </c>
      <c r="G48" s="459">
        <v>3</v>
      </c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 t="s">
        <v>185</v>
      </c>
      <c r="B49" s="458">
        <v>42540</v>
      </c>
      <c r="C49" s="459" t="s">
        <v>5</v>
      </c>
      <c r="D49" s="459" t="s">
        <v>174</v>
      </c>
      <c r="E49" s="460">
        <v>0.6875</v>
      </c>
      <c r="F49" s="460">
        <v>0.84375</v>
      </c>
      <c r="G49" s="459">
        <v>3.75</v>
      </c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A50" s="459" t="s">
        <v>215</v>
      </c>
      <c r="B50" s="458">
        <v>42542</v>
      </c>
      <c r="C50" s="459" t="s">
        <v>5</v>
      </c>
      <c r="D50" s="459" t="s">
        <v>174</v>
      </c>
      <c r="E50" s="460">
        <v>0.6875</v>
      </c>
      <c r="F50" s="460">
        <v>0.84375</v>
      </c>
      <c r="G50" s="459">
        <v>3.75</v>
      </c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9" t="s">
        <v>187</v>
      </c>
      <c r="B51" s="458">
        <v>42540</v>
      </c>
      <c r="C51" s="459" t="s">
        <v>5</v>
      </c>
      <c r="D51" s="459" t="s">
        <v>174</v>
      </c>
      <c r="E51" s="460">
        <v>0.47916666666666669</v>
      </c>
      <c r="F51" s="460">
        <v>0.6875</v>
      </c>
      <c r="G51" s="459">
        <v>5</v>
      </c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A52" s="457" t="s">
        <v>158</v>
      </c>
      <c r="B52" s="458">
        <v>42539</v>
      </c>
      <c r="C52" s="459" t="s">
        <v>5</v>
      </c>
      <c r="D52" s="459" t="s">
        <v>174</v>
      </c>
      <c r="E52" s="460">
        <v>0.45833333333333331</v>
      </c>
      <c r="F52" s="460">
        <v>0.66666666666666663</v>
      </c>
      <c r="G52" s="459">
        <v>5</v>
      </c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A53" s="457" t="s">
        <v>158</v>
      </c>
      <c r="B53" s="458">
        <v>42540</v>
      </c>
      <c r="C53" s="459" t="s">
        <v>5</v>
      </c>
      <c r="D53" s="459" t="s">
        <v>174</v>
      </c>
      <c r="E53" s="460">
        <v>0.46875</v>
      </c>
      <c r="F53" s="460">
        <v>0.65625</v>
      </c>
      <c r="G53" s="459">
        <v>4.5</v>
      </c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9" t="s">
        <v>182</v>
      </c>
      <c r="B54" s="458">
        <v>42537</v>
      </c>
      <c r="C54" s="459" t="s">
        <v>5</v>
      </c>
      <c r="D54" s="459" t="s">
        <v>174</v>
      </c>
      <c r="E54" s="460">
        <v>0.6875</v>
      </c>
      <c r="F54" s="460">
        <v>0.92708333333333337</v>
      </c>
      <c r="G54" s="459">
        <v>5.75</v>
      </c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A55" s="459" t="s">
        <v>182</v>
      </c>
      <c r="B55" s="458">
        <v>42539</v>
      </c>
      <c r="C55" s="459" t="s">
        <v>5</v>
      </c>
      <c r="D55" s="459" t="s">
        <v>174</v>
      </c>
      <c r="E55" s="460">
        <v>0.70833333333333337</v>
      </c>
      <c r="F55" s="460">
        <v>0.9375</v>
      </c>
      <c r="G55" s="459">
        <v>5.5</v>
      </c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 t="s">
        <v>192</v>
      </c>
      <c r="B56" s="458">
        <v>42539</v>
      </c>
      <c r="C56" s="459" t="s">
        <v>5</v>
      </c>
      <c r="D56" s="459" t="s">
        <v>174</v>
      </c>
      <c r="E56" s="460">
        <v>0.71875</v>
      </c>
      <c r="F56" s="460">
        <v>0.94791666666666663</v>
      </c>
      <c r="G56" s="459">
        <v>5.5</v>
      </c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 t="s">
        <v>192</v>
      </c>
      <c r="B57" s="458">
        <v>42540</v>
      </c>
      <c r="C57" s="459" t="s">
        <v>5</v>
      </c>
      <c r="D57" s="459" t="s">
        <v>174</v>
      </c>
      <c r="E57" s="460">
        <v>0.6875</v>
      </c>
      <c r="F57" s="460">
        <v>0.83333333333333337</v>
      </c>
      <c r="G57" s="459">
        <v>3.5</v>
      </c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 t="s">
        <v>186</v>
      </c>
      <c r="B58" s="458">
        <v>42540</v>
      </c>
      <c r="C58" s="459" t="s">
        <v>24</v>
      </c>
      <c r="D58" s="459" t="s">
        <v>171</v>
      </c>
      <c r="E58" s="460">
        <v>0.6875</v>
      </c>
      <c r="F58" s="460">
        <v>0.90625</v>
      </c>
      <c r="G58" s="459">
        <v>5.25</v>
      </c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 t="s">
        <v>189</v>
      </c>
      <c r="B59" s="458">
        <v>42538</v>
      </c>
      <c r="C59" s="459" t="s">
        <v>24</v>
      </c>
      <c r="D59" s="459" t="s">
        <v>171</v>
      </c>
      <c r="E59" s="460">
        <v>0.73958333333333337</v>
      </c>
      <c r="F59" s="460">
        <v>0.9375</v>
      </c>
      <c r="G59" s="459">
        <v>4.75</v>
      </c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 t="s">
        <v>189</v>
      </c>
      <c r="B60" s="458">
        <v>42539</v>
      </c>
      <c r="C60" s="459" t="s">
        <v>24</v>
      </c>
      <c r="D60" s="459" t="s">
        <v>171</v>
      </c>
      <c r="E60" s="460">
        <v>0.69791666666666663</v>
      </c>
      <c r="F60" s="460">
        <v>2.0833333333333332E-2</v>
      </c>
      <c r="G60" s="459">
        <v>7.75</v>
      </c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 t="s">
        <v>188</v>
      </c>
      <c r="B61" s="458">
        <v>42538</v>
      </c>
      <c r="C61" s="459" t="s">
        <v>24</v>
      </c>
      <c r="D61" s="459" t="s">
        <v>171</v>
      </c>
      <c r="E61" s="460">
        <v>0.72916666666666663</v>
      </c>
      <c r="F61" s="460">
        <v>0</v>
      </c>
      <c r="G61" s="459">
        <v>6.5</v>
      </c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 t="s">
        <v>178</v>
      </c>
      <c r="B62" s="458">
        <v>42537</v>
      </c>
      <c r="C62" s="459" t="s">
        <v>24</v>
      </c>
      <c r="D62" s="459" t="s">
        <v>171</v>
      </c>
      <c r="E62" s="460">
        <v>0.4375</v>
      </c>
      <c r="F62" s="460">
        <v>0.61458333333333337</v>
      </c>
      <c r="G62" s="459">
        <v>4.25</v>
      </c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A63" s="457" t="s">
        <v>179</v>
      </c>
      <c r="B63" s="458">
        <v>42537</v>
      </c>
      <c r="C63" s="459" t="s">
        <v>24</v>
      </c>
      <c r="D63" s="459" t="s">
        <v>171</v>
      </c>
      <c r="E63" s="460">
        <v>0.4375</v>
      </c>
      <c r="F63" s="460">
        <v>0.61458333333333337</v>
      </c>
      <c r="G63" s="459">
        <v>4.25</v>
      </c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 t="s">
        <v>179</v>
      </c>
      <c r="B64" s="458">
        <v>42539</v>
      </c>
      <c r="C64" s="459" t="s">
        <v>24</v>
      </c>
      <c r="D64" s="459" t="s">
        <v>171</v>
      </c>
      <c r="E64" s="460">
        <v>0.72916666666666663</v>
      </c>
      <c r="F64" s="460">
        <v>0.94791666666666663</v>
      </c>
      <c r="G64" s="459">
        <v>5.25</v>
      </c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A65" s="459" t="s">
        <v>184</v>
      </c>
      <c r="B65" s="458">
        <v>42540</v>
      </c>
      <c r="C65" s="459" t="s">
        <v>24</v>
      </c>
      <c r="D65" s="459" t="s">
        <v>171</v>
      </c>
      <c r="E65" s="460">
        <v>0.65625</v>
      </c>
      <c r="F65" s="460">
        <v>0.78125</v>
      </c>
      <c r="G65" s="459">
        <v>3</v>
      </c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 t="s">
        <v>181</v>
      </c>
      <c r="B66" s="458">
        <v>42542</v>
      </c>
      <c r="C66" s="459" t="s">
        <v>24</v>
      </c>
      <c r="D66" s="459" t="s">
        <v>171</v>
      </c>
      <c r="E66" s="460">
        <v>0.69791666666666663</v>
      </c>
      <c r="F66" s="460">
        <v>0.90625</v>
      </c>
      <c r="G66" s="459">
        <v>5</v>
      </c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 t="s">
        <v>177</v>
      </c>
      <c r="B67" s="458">
        <v>42541</v>
      </c>
      <c r="C67" s="459" t="s">
        <v>24</v>
      </c>
      <c r="D67" s="459" t="s">
        <v>171</v>
      </c>
      <c r="E67" s="460">
        <v>0.69791666666666663</v>
      </c>
      <c r="F67" s="460">
        <v>0.90625</v>
      </c>
      <c r="G67" s="459">
        <v>5</v>
      </c>
      <c r="X67" s="425">
        <v>8.3206018518518512E-2</v>
      </c>
      <c r="Y67" s="425">
        <v>8.8749999999999996E-2</v>
      </c>
      <c r="Z67" s="426">
        <f t="shared" ref="Z67:Z91" si="6">HRS(X67,Y67)</f>
        <v>0.13305555555555559</v>
      </c>
      <c r="AA67" s="429">
        <v>42544</v>
      </c>
    </row>
    <row r="68" spans="1:27" x14ac:dyDescent="0.2">
      <c r="A68" s="457" t="s">
        <v>210</v>
      </c>
      <c r="B68" s="458">
        <v>42540</v>
      </c>
      <c r="C68" s="459" t="s">
        <v>24</v>
      </c>
      <c r="D68" s="459" t="s">
        <v>171</v>
      </c>
      <c r="E68" s="460">
        <v>0.69791666666666663</v>
      </c>
      <c r="F68" s="460">
        <v>0.84375</v>
      </c>
      <c r="G68" s="459">
        <v>3.5</v>
      </c>
      <c r="X68" s="425">
        <v>8.8749999999999996E-2</v>
      </c>
      <c r="Y68" s="425">
        <v>9.2256944444444447E-2</v>
      </c>
      <c r="Z68" s="426">
        <f t="shared" si="6"/>
        <v>8.4166666666666834E-2</v>
      </c>
      <c r="AA68" s="429">
        <v>42544</v>
      </c>
    </row>
    <row r="69" spans="1:27" x14ac:dyDescent="0.2">
      <c r="A69" s="457" t="s">
        <v>185</v>
      </c>
      <c r="B69" s="458">
        <v>42538</v>
      </c>
      <c r="C69" s="459" t="s">
        <v>24</v>
      </c>
      <c r="D69" s="459" t="s">
        <v>171</v>
      </c>
      <c r="E69" s="460">
        <v>0.46875</v>
      </c>
      <c r="F69" s="460">
        <v>0.63541666666666663</v>
      </c>
      <c r="G69" s="459">
        <v>4</v>
      </c>
      <c r="X69" s="425">
        <v>9.2256944444444447E-2</v>
      </c>
      <c r="Y69" s="425">
        <v>9.5069444444444443E-2</v>
      </c>
      <c r="Z69" s="426">
        <f t="shared" si="6"/>
        <v>6.7499999999999893E-2</v>
      </c>
      <c r="AA69" s="429">
        <v>42544</v>
      </c>
    </row>
    <row r="70" spans="1:27" x14ac:dyDescent="0.2">
      <c r="A70" s="457" t="s">
        <v>212</v>
      </c>
      <c r="B70" s="458">
        <v>42540</v>
      </c>
      <c r="C70" s="459" t="s">
        <v>24</v>
      </c>
      <c r="D70" s="459" t="s">
        <v>203</v>
      </c>
      <c r="E70" s="460">
        <v>0.625</v>
      </c>
      <c r="F70" s="460">
        <v>0.83333333333333337</v>
      </c>
      <c r="G70" s="459">
        <v>5</v>
      </c>
      <c r="X70" s="425">
        <v>9.5069444444444443E-2</v>
      </c>
      <c r="Y70" s="425">
        <v>9.5208333333333339E-2</v>
      </c>
      <c r="Z70" s="426">
        <f t="shared" si="6"/>
        <v>3.3333333333335213E-3</v>
      </c>
      <c r="AA70" s="429">
        <v>42544</v>
      </c>
    </row>
    <row r="71" spans="1:27" x14ac:dyDescent="0.2">
      <c r="A71" s="457" t="s">
        <v>180</v>
      </c>
      <c r="B71" s="458">
        <v>42537</v>
      </c>
      <c r="C71" s="459" t="s">
        <v>24</v>
      </c>
      <c r="D71" s="459" t="s">
        <v>171</v>
      </c>
      <c r="E71" s="460">
        <v>0.4375</v>
      </c>
      <c r="F71" s="460">
        <v>0.625</v>
      </c>
      <c r="G71" s="459">
        <v>4.5</v>
      </c>
      <c r="X71" s="425">
        <v>0.51208333333333333</v>
      </c>
      <c r="Y71" s="425">
        <v>0.51569444444444446</v>
      </c>
      <c r="Z71" s="426">
        <f t="shared" si="6"/>
        <v>8.6666666666666892E-2</v>
      </c>
      <c r="AA71" s="429">
        <v>42544</v>
      </c>
    </row>
    <row r="72" spans="1:27" x14ac:dyDescent="0.2">
      <c r="A72" s="457" t="s">
        <v>187</v>
      </c>
      <c r="B72" s="458">
        <v>42538</v>
      </c>
      <c r="C72" s="459" t="s">
        <v>24</v>
      </c>
      <c r="D72" s="459" t="s">
        <v>171</v>
      </c>
      <c r="E72" s="460">
        <v>0.6875</v>
      </c>
      <c r="F72" s="460">
        <v>3.125E-2</v>
      </c>
      <c r="G72" s="459">
        <v>7.75</v>
      </c>
      <c r="X72" s="425">
        <v>0.51569444444444446</v>
      </c>
      <c r="Y72" s="425">
        <v>0.51623842592592595</v>
      </c>
      <c r="Z72" s="426">
        <f t="shared" si="6"/>
        <v>1.305555555555582E-2</v>
      </c>
      <c r="AA72" s="429">
        <v>42544</v>
      </c>
    </row>
    <row r="73" spans="1:27" x14ac:dyDescent="0.2">
      <c r="A73" s="457" t="s">
        <v>187</v>
      </c>
      <c r="B73" s="458">
        <v>42541</v>
      </c>
      <c r="C73" s="459" t="s">
        <v>24</v>
      </c>
      <c r="D73" s="459" t="s">
        <v>171</v>
      </c>
      <c r="E73" s="460">
        <v>0.45833333333333331</v>
      </c>
      <c r="F73" s="460">
        <v>0.60416666666666663</v>
      </c>
      <c r="G73" s="459">
        <v>3.5</v>
      </c>
      <c r="X73" s="425">
        <v>0.51623842592592595</v>
      </c>
      <c r="Y73" s="425">
        <v>0.51649305555555558</v>
      </c>
      <c r="Z73" s="426">
        <f t="shared" si="6"/>
        <v>6.1111111111111782E-3</v>
      </c>
      <c r="AA73" s="429">
        <v>42544</v>
      </c>
    </row>
    <row r="74" spans="1:27" x14ac:dyDescent="0.2">
      <c r="A74" s="457" t="s">
        <v>187</v>
      </c>
      <c r="B74" s="458">
        <v>42542</v>
      </c>
      <c r="C74" s="459" t="s">
        <v>24</v>
      </c>
      <c r="D74" s="459" t="s">
        <v>171</v>
      </c>
      <c r="E74" s="460">
        <v>0.46875</v>
      </c>
      <c r="F74" s="460">
        <v>0.64583333333333337</v>
      </c>
      <c r="G74" s="459">
        <v>4.25</v>
      </c>
      <c r="X74" s="425">
        <v>0.51649305555555558</v>
      </c>
      <c r="Y74" s="425">
        <v>0.52090277777777783</v>
      </c>
      <c r="Z74" s="426">
        <f t="shared" si="6"/>
        <v>0.10583333333333389</v>
      </c>
      <c r="AA74" s="429">
        <v>42544</v>
      </c>
    </row>
    <row r="75" spans="1:27" x14ac:dyDescent="0.2">
      <c r="A75" s="457" t="s">
        <v>182</v>
      </c>
      <c r="B75" s="458">
        <v>42540</v>
      </c>
      <c r="C75" s="459" t="s">
        <v>24</v>
      </c>
      <c r="D75" s="459" t="s">
        <v>171</v>
      </c>
      <c r="E75" s="460">
        <v>0.65625</v>
      </c>
      <c r="F75" s="460">
        <v>0.94791666666666663</v>
      </c>
      <c r="G75" s="459">
        <v>6.5</v>
      </c>
      <c r="X75" s="425">
        <v>0.52090277777777783</v>
      </c>
      <c r="Y75" s="425">
        <v>0.5213888888888889</v>
      </c>
      <c r="Z75" s="426">
        <f t="shared" si="6"/>
        <v>1.1666666666665826E-2</v>
      </c>
      <c r="AA75" s="429">
        <v>42544</v>
      </c>
    </row>
    <row r="76" spans="1:27" x14ac:dyDescent="0.2">
      <c r="A76" s="459" t="s">
        <v>183</v>
      </c>
      <c r="B76" s="458">
        <v>42537</v>
      </c>
      <c r="C76" s="459" t="s">
        <v>24</v>
      </c>
      <c r="D76" s="459" t="s">
        <v>171</v>
      </c>
      <c r="E76" s="460">
        <v>0.69791666666666663</v>
      </c>
      <c r="F76" s="460">
        <v>0.91666666666666663</v>
      </c>
      <c r="G76" s="459">
        <v>5.25</v>
      </c>
      <c r="X76" s="425">
        <v>0.5213888888888889</v>
      </c>
      <c r="Y76" s="425">
        <v>0.52142361111111113</v>
      </c>
      <c r="Z76" s="426">
        <f t="shared" si="6"/>
        <v>8.333333333334636E-4</v>
      </c>
      <c r="AA76" s="429">
        <v>42544</v>
      </c>
    </row>
    <row r="77" spans="1:27" x14ac:dyDescent="0.2">
      <c r="A77" s="457"/>
      <c r="B77" s="458"/>
      <c r="E77" s="460"/>
      <c r="F77" s="460"/>
      <c r="X77" s="425">
        <v>0.52143518518518517</v>
      </c>
      <c r="Y77" s="425">
        <v>0.52370370370370367</v>
      </c>
      <c r="Z77" s="426">
        <f t="shared" si="6"/>
        <v>5.4444444444444073E-2</v>
      </c>
      <c r="AA77" s="429">
        <v>42544</v>
      </c>
    </row>
    <row r="78" spans="1:27" x14ac:dyDescent="0.2">
      <c r="A78" s="457"/>
      <c r="B78" s="458"/>
      <c r="E78" s="460"/>
      <c r="F78" s="460"/>
      <c r="X78" s="425">
        <v>0.52370370370370367</v>
      </c>
      <c r="Y78" s="425">
        <v>0.52959490740740744</v>
      </c>
      <c r="Z78" s="426">
        <f t="shared" si="6"/>
        <v>0.14138888888889056</v>
      </c>
      <c r="AA78" s="429">
        <v>42544</v>
      </c>
    </row>
    <row r="79" spans="1:27" x14ac:dyDescent="0.2">
      <c r="A79" s="457"/>
      <c r="B79" s="458"/>
      <c r="E79" s="460"/>
      <c r="F79" s="460"/>
      <c r="X79" s="425">
        <v>0.52959490740740744</v>
      </c>
      <c r="Y79" s="425">
        <v>0.53298611111111105</v>
      </c>
      <c r="Z79" s="426">
        <f t="shared" si="6"/>
        <v>8.1388888888886513E-2</v>
      </c>
      <c r="AA79" s="429">
        <v>42544</v>
      </c>
    </row>
    <row r="80" spans="1:27" x14ac:dyDescent="0.2">
      <c r="A80" s="457"/>
      <c r="B80" s="458"/>
      <c r="E80" s="460"/>
      <c r="F80" s="460"/>
      <c r="X80" s="425">
        <v>0.53298611111111105</v>
      </c>
      <c r="Y80" s="425">
        <v>0.5332175925925926</v>
      </c>
      <c r="Z80" s="426">
        <f t="shared" si="6"/>
        <v>5.5555555555573122E-3</v>
      </c>
      <c r="AA80" s="429">
        <v>42544</v>
      </c>
    </row>
    <row r="81" spans="1:27" x14ac:dyDescent="0.2">
      <c r="A81" s="457"/>
      <c r="B81" s="458"/>
      <c r="E81" s="460"/>
      <c r="F81" s="460"/>
      <c r="X81" s="425">
        <v>0.5332175925925926</v>
      </c>
      <c r="Y81" s="425">
        <v>0.53513888888888894</v>
      </c>
      <c r="Z81" s="426">
        <f t="shared" si="6"/>
        <v>4.6111111111112102E-2</v>
      </c>
      <c r="AA81" s="429">
        <v>42544</v>
      </c>
    </row>
    <row r="82" spans="1:27" x14ac:dyDescent="0.2">
      <c r="A82" s="457"/>
      <c r="B82" s="458"/>
      <c r="E82" s="460"/>
      <c r="F82" s="460"/>
      <c r="X82" s="425">
        <v>0.53513888888888894</v>
      </c>
      <c r="Y82" s="425">
        <v>0.53636574074074073</v>
      </c>
      <c r="Z82" s="426">
        <f t="shared" si="6"/>
        <v>2.944444444444283E-2</v>
      </c>
      <c r="AA82" s="429">
        <v>42544</v>
      </c>
    </row>
    <row r="83" spans="1:27" x14ac:dyDescent="0.2">
      <c r="A83" s="457"/>
      <c r="B83" s="458"/>
      <c r="E83" s="460"/>
      <c r="F83" s="460"/>
      <c r="X83" s="425">
        <v>0.53636574074074073</v>
      </c>
      <c r="Y83" s="425">
        <v>0.5393634259259259</v>
      </c>
      <c r="Z83" s="426">
        <f t="shared" si="6"/>
        <v>7.1944444444444144E-2</v>
      </c>
      <c r="AA83" s="429">
        <v>42544</v>
      </c>
    </row>
    <row r="84" spans="1:27" x14ac:dyDescent="0.2">
      <c r="A84" s="457"/>
      <c r="B84" s="458"/>
      <c r="E84" s="460"/>
      <c r="F84" s="460"/>
      <c r="X84" s="425">
        <v>0.5393634259259259</v>
      </c>
      <c r="Y84" s="425">
        <v>0.54049768518518515</v>
      </c>
      <c r="Z84" s="426">
        <f t="shared" si="6"/>
        <v>2.7222222222222037E-2</v>
      </c>
      <c r="AA84" s="429">
        <v>42544</v>
      </c>
    </row>
    <row r="85" spans="1:27" x14ac:dyDescent="0.2">
      <c r="A85" s="457"/>
      <c r="B85" s="458"/>
      <c r="E85" s="460"/>
      <c r="F85" s="460"/>
      <c r="X85" s="425">
        <v>0.54049768518518515</v>
      </c>
      <c r="Y85" s="425">
        <v>0.54164351851851855</v>
      </c>
      <c r="Z85" s="426">
        <f t="shared" si="6"/>
        <v>2.7500000000001634E-2</v>
      </c>
      <c r="AA85" s="429">
        <v>42544</v>
      </c>
    </row>
    <row r="86" spans="1:27" x14ac:dyDescent="0.2">
      <c r="A86" s="457"/>
      <c r="B86" s="458"/>
      <c r="E86" s="460"/>
      <c r="F86" s="460"/>
      <c r="X86" s="425">
        <v>0.54164351851851855</v>
      </c>
      <c r="Y86" s="425">
        <v>0.54265046296296293</v>
      </c>
      <c r="Z86" s="426">
        <f t="shared" si="6"/>
        <v>2.4166666666665115E-2</v>
      </c>
      <c r="AA86" s="429">
        <v>42544</v>
      </c>
    </row>
    <row r="87" spans="1:27" x14ac:dyDescent="0.2">
      <c r="A87" s="457"/>
      <c r="B87" s="458"/>
      <c r="E87" s="460"/>
      <c r="F87" s="460"/>
      <c r="X87" s="425">
        <v>0.54265046296296293</v>
      </c>
      <c r="Y87" s="425">
        <v>0.54519675925925926</v>
      </c>
      <c r="Z87" s="426">
        <f t="shared" si="6"/>
        <v>6.1111111111111782E-2</v>
      </c>
      <c r="AA87" s="429">
        <v>42544</v>
      </c>
    </row>
    <row r="88" spans="1:27" x14ac:dyDescent="0.2">
      <c r="A88" s="457"/>
      <c r="B88" s="458"/>
      <c r="E88" s="460"/>
      <c r="F88" s="460"/>
      <c r="X88" s="425">
        <v>0.54519675925925926</v>
      </c>
      <c r="Y88" s="425">
        <v>0.54796296296296299</v>
      </c>
      <c r="Z88" s="426">
        <f t="shared" si="6"/>
        <v>6.6388888888889497E-2</v>
      </c>
      <c r="AA88" s="429">
        <v>42544</v>
      </c>
    </row>
    <row r="89" spans="1:27" x14ac:dyDescent="0.2">
      <c r="B89" s="458"/>
      <c r="E89" s="460"/>
      <c r="F89" s="460"/>
      <c r="X89" s="425">
        <v>0.54796296296296299</v>
      </c>
      <c r="Y89" s="425">
        <v>0.54844907407407406</v>
      </c>
      <c r="Z89" s="426">
        <f t="shared" si="6"/>
        <v>1.1666666666665826E-2</v>
      </c>
      <c r="AA89" s="429">
        <v>42544</v>
      </c>
    </row>
    <row r="90" spans="1:27" x14ac:dyDescent="0.2">
      <c r="B90" s="458"/>
      <c r="E90" s="460"/>
      <c r="F90" s="460"/>
      <c r="X90" s="425">
        <v>0.54844907407407406</v>
      </c>
      <c r="Y90" s="425">
        <v>0.54905092592592586</v>
      </c>
      <c r="Z90" s="426">
        <f t="shared" si="6"/>
        <v>1.444444444444315E-2</v>
      </c>
      <c r="AA90" s="429">
        <v>42544</v>
      </c>
    </row>
    <row r="91" spans="1:27" x14ac:dyDescent="0.2">
      <c r="A91" s="457"/>
      <c r="B91" s="458"/>
      <c r="E91" s="460"/>
      <c r="F91" s="460"/>
      <c r="X91" s="425">
        <v>0.54905092592592586</v>
      </c>
      <c r="Y91" s="425">
        <v>0.55032407407407413</v>
      </c>
      <c r="Z91" s="426">
        <f t="shared" si="6"/>
        <v>3.0555555555558556E-2</v>
      </c>
      <c r="AA91" s="429">
        <v>42544</v>
      </c>
    </row>
    <row r="92" spans="1:27" x14ac:dyDescent="0.2">
      <c r="A92" s="457"/>
      <c r="B92" s="458"/>
      <c r="E92" s="460"/>
      <c r="F92" s="460"/>
      <c r="X92" s="425">
        <v>0.55378472222222219</v>
      </c>
      <c r="Y92" s="425">
        <v>0.55521990740740745</v>
      </c>
      <c r="Z92" s="426">
        <f t="shared" ref="Z92:Z97" si="7">HRS(X92,Y92)</f>
        <v>3.4444444444446276E-2</v>
      </c>
      <c r="AA92" s="429">
        <v>42544</v>
      </c>
    </row>
    <row r="93" spans="1:27" x14ac:dyDescent="0.2">
      <c r="A93" s="457"/>
      <c r="B93" s="458"/>
      <c r="E93" s="460"/>
      <c r="F93" s="460"/>
      <c r="X93" s="425">
        <v>0.55521990740740745</v>
      </c>
      <c r="Y93" s="425">
        <v>0.55614583333333334</v>
      </c>
      <c r="Z93" s="426">
        <f t="shared" si="7"/>
        <v>2.2222222222221255E-2</v>
      </c>
      <c r="AA93" s="429">
        <v>42544</v>
      </c>
    </row>
    <row r="94" spans="1:27" x14ac:dyDescent="0.2">
      <c r="B94" s="458"/>
      <c r="E94" s="460"/>
      <c r="F94" s="460"/>
      <c r="X94" s="425">
        <v>0.55614583333333334</v>
      </c>
      <c r="Y94" s="425">
        <v>0.56186342592592597</v>
      </c>
      <c r="Z94" s="426">
        <f t="shared" si="7"/>
        <v>0.13722222222222324</v>
      </c>
      <c r="AA94" s="429">
        <v>42544</v>
      </c>
    </row>
    <row r="95" spans="1:27" x14ac:dyDescent="0.2">
      <c r="A95" s="457"/>
      <c r="B95" s="458"/>
      <c r="E95" s="460"/>
      <c r="F95" s="460"/>
      <c r="G95" s="464"/>
      <c r="X95" s="425">
        <v>0.56186342592592597</v>
      </c>
      <c r="Y95" s="425">
        <v>0.56207175925925923</v>
      </c>
      <c r="Z95" s="426">
        <f t="shared" si="7"/>
        <v>4.9999999999981171E-3</v>
      </c>
      <c r="AA95" s="429">
        <v>42544</v>
      </c>
    </row>
    <row r="96" spans="1:27" x14ac:dyDescent="0.2">
      <c r="B96" s="458"/>
      <c r="E96" s="460"/>
      <c r="F96" s="460"/>
      <c r="X96" s="425">
        <v>0.56207175925925923</v>
      </c>
      <c r="Y96" s="425">
        <v>0.57817129629629627</v>
      </c>
      <c r="Z96" s="426">
        <f t="shared" si="7"/>
        <v>0.38638888888888889</v>
      </c>
      <c r="AA96" s="429">
        <v>42544</v>
      </c>
    </row>
    <row r="97" spans="1:27" x14ac:dyDescent="0.2">
      <c r="A97" s="457"/>
      <c r="B97" s="458"/>
      <c r="E97" s="460"/>
      <c r="F97" s="460"/>
      <c r="X97" s="425">
        <v>0.57817129629629627</v>
      </c>
      <c r="Y97" s="425">
        <v>0.57851851851851854</v>
      </c>
      <c r="Z97" s="426">
        <f t="shared" si="7"/>
        <v>8.333333333334636E-3</v>
      </c>
      <c r="AA97" s="429">
        <v>42544</v>
      </c>
    </row>
    <row r="98" spans="1:27" x14ac:dyDescent="0.2">
      <c r="A98" s="457"/>
      <c r="B98" s="458"/>
      <c r="E98" s="460"/>
      <c r="F98" s="460"/>
      <c r="X98" s="425">
        <v>0.57953703703703707</v>
      </c>
      <c r="Y98" s="425">
        <v>0.57973379629629629</v>
      </c>
      <c r="Z98" s="426">
        <f>HRS(X98,Y98)</f>
        <v>4.722222222221184E-3</v>
      </c>
      <c r="AA98" s="429">
        <v>42544</v>
      </c>
    </row>
    <row r="99" spans="1:27" x14ac:dyDescent="0.2">
      <c r="B99" s="458"/>
      <c r="E99" s="460"/>
      <c r="F99" s="460"/>
      <c r="X99" s="425">
        <v>0.57973379629629629</v>
      </c>
      <c r="Y99" s="425">
        <v>0.58015046296296291</v>
      </c>
      <c r="Z99" s="426">
        <f>HRS(X99,Y99)</f>
        <v>9.9999999999988987E-3</v>
      </c>
      <c r="AA99" s="430">
        <v>42544</v>
      </c>
    </row>
    <row r="100" spans="1:27" x14ac:dyDescent="0.2">
      <c r="A100" s="457"/>
      <c r="B100" s="458"/>
      <c r="E100" s="460"/>
      <c r="F100" s="460"/>
      <c r="X100" s="425">
        <v>0.58015046296296291</v>
      </c>
      <c r="AA100" s="430">
        <v>42544</v>
      </c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0WShcyvp7CLEgemWX2xfWxlJdXGQro6ADD2i/gWX3EP1R9r5j6hvjU2Hjn/ZqmOKSxXuj25Jk9/Omo41uTS6fQ==" saltValue="E0Mm9aUZZirSYAHOkYtwdQ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9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tabSelected="1" workbookViewId="0">
      <selection activeCell="E11" sqref="E11"/>
    </sheetView>
  </sheetViews>
  <sheetFormatPr defaultColWidth="9.109375" defaultRowHeight="10.199999999999999" x14ac:dyDescent="0.2"/>
  <cols>
    <col min="1" max="1" width="11.109375" style="599" bestFit="1" customWidth="1"/>
    <col min="2" max="2" width="15.5546875" style="601" bestFit="1" customWidth="1"/>
    <col min="3" max="3" width="10.21875" style="599" bestFit="1" customWidth="1"/>
    <col min="4" max="4" width="14.33203125" style="599" bestFit="1" customWidth="1"/>
    <col min="5" max="8" width="6.5546875" style="600" bestFit="1" customWidth="1"/>
    <col min="9" max="9" width="7.44140625" style="605" bestFit="1" customWidth="1"/>
    <col min="10" max="10" width="7.44140625" style="607" bestFit="1" customWidth="1"/>
    <col min="11" max="12" width="9.109375" style="599"/>
    <col min="13" max="13" width="9.88671875" style="599" bestFit="1" customWidth="1"/>
    <col min="14" max="14" width="7.33203125" style="599" bestFit="1" customWidth="1"/>
    <col min="15" max="15" width="6.77734375" style="599" bestFit="1" customWidth="1"/>
    <col min="16" max="16" width="14.6640625" style="600" bestFit="1" customWidth="1"/>
    <col min="17" max="17" width="7.44140625" style="599" bestFit="1" customWidth="1"/>
    <col min="18" max="16384" width="9.109375" style="599"/>
  </cols>
  <sheetData>
    <row r="1" spans="1:17" ht="10.8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M1" s="645" t="s">
        <v>69</v>
      </c>
      <c r="N1" s="646" t="s">
        <v>65</v>
      </c>
      <c r="O1" s="646" t="s">
        <v>120</v>
      </c>
      <c r="P1" s="648" t="s">
        <v>216</v>
      </c>
      <c r="Q1" s="647" t="s">
        <v>222</v>
      </c>
    </row>
    <row r="2" spans="1:17" x14ac:dyDescent="0.2">
      <c r="A2" s="599" t="s">
        <v>192</v>
      </c>
      <c r="B2" s="601">
        <v>42540</v>
      </c>
      <c r="C2" s="599" t="s">
        <v>5</v>
      </c>
      <c r="D2" s="599" t="s">
        <v>174</v>
      </c>
      <c r="E2" s="600">
        <v>0.6875</v>
      </c>
      <c r="F2" s="600">
        <v>0.83333333333333337</v>
      </c>
      <c r="G2" s="600">
        <v>0.6875</v>
      </c>
      <c r="H2" s="600">
        <v>0.16666666666666666</v>
      </c>
      <c r="I2" s="605">
        <f t="shared" ref="I2:I33" si="0">IF(G2="",-9999,ABS(ROUND((IF(E2&lt;0.25,E2+1,E2)-IF(G2&lt;0.25,G2+1,G2))*24,2)))</f>
        <v>0</v>
      </c>
      <c r="J2" s="607">
        <f t="shared" ref="J2:J33" si="1">IF(H2="",-9999,ABS(ROUND((IF(F2&lt;0.25,F2+1,F2)-IF(H2&lt;0.25,H2+1,H2))*24,2)))</f>
        <v>8</v>
      </c>
      <c r="M2" s="599" t="s">
        <v>184</v>
      </c>
      <c r="N2" s="644">
        <v>42538</v>
      </c>
      <c r="O2" s="599" t="s">
        <v>5</v>
      </c>
      <c r="P2" s="600">
        <v>0.61458333333333326</v>
      </c>
      <c r="Q2" s="599" t="s">
        <v>225</v>
      </c>
    </row>
    <row r="3" spans="1:17" x14ac:dyDescent="0.2">
      <c r="A3" s="599" t="s">
        <v>185</v>
      </c>
      <c r="B3" s="601">
        <v>42540</v>
      </c>
      <c r="C3" s="599" t="s">
        <v>5</v>
      </c>
      <c r="D3" s="599" t="s">
        <v>174</v>
      </c>
      <c r="E3" s="600">
        <v>0.6875</v>
      </c>
      <c r="F3" s="600">
        <v>0.84375</v>
      </c>
      <c r="G3" s="600">
        <v>0.6875</v>
      </c>
      <c r="H3" s="600">
        <v>0.16666666666666666</v>
      </c>
      <c r="I3" s="605">
        <f t="shared" si="0"/>
        <v>0</v>
      </c>
      <c r="J3" s="607">
        <f t="shared" si="1"/>
        <v>7.75</v>
      </c>
      <c r="M3" s="599" t="s">
        <v>181</v>
      </c>
      <c r="N3" s="644">
        <v>42543</v>
      </c>
      <c r="O3" s="599" t="s">
        <v>217</v>
      </c>
      <c r="P3" s="600">
        <v>0.625</v>
      </c>
      <c r="Q3" s="599" t="s">
        <v>225</v>
      </c>
    </row>
    <row r="4" spans="1:17" x14ac:dyDescent="0.2">
      <c r="A4" s="599" t="s">
        <v>181</v>
      </c>
      <c r="B4" s="601">
        <v>42540</v>
      </c>
      <c r="C4" s="599" t="s">
        <v>145</v>
      </c>
      <c r="D4" s="599" t="s">
        <v>173</v>
      </c>
      <c r="E4" s="600">
        <v>0.42708333333333331</v>
      </c>
      <c r="F4" s="600">
        <v>0.6875</v>
      </c>
      <c r="G4" s="600">
        <v>0.42708333333333331</v>
      </c>
      <c r="H4" s="600">
        <v>0.90625</v>
      </c>
      <c r="I4" s="605">
        <f t="shared" si="0"/>
        <v>0</v>
      </c>
      <c r="J4" s="607">
        <f t="shared" si="1"/>
        <v>5.25</v>
      </c>
      <c r="M4" s="599" t="s">
        <v>188</v>
      </c>
      <c r="N4" s="644">
        <v>42541</v>
      </c>
      <c r="O4" s="599" t="s">
        <v>5</v>
      </c>
      <c r="P4" s="600">
        <v>0.625</v>
      </c>
      <c r="Q4" s="599" t="s">
        <v>225</v>
      </c>
    </row>
    <row r="5" spans="1:17" x14ac:dyDescent="0.2">
      <c r="A5" s="599" t="s">
        <v>181</v>
      </c>
      <c r="B5" s="601">
        <v>42537</v>
      </c>
      <c r="C5" s="599" t="s">
        <v>145</v>
      </c>
      <c r="D5" s="599" t="s">
        <v>173</v>
      </c>
      <c r="E5" s="600">
        <v>0.46875</v>
      </c>
      <c r="F5" s="600">
        <v>0.66666666666666663</v>
      </c>
      <c r="G5" s="600">
        <v>0.46875</v>
      </c>
      <c r="H5" s="600">
        <v>0.86458333333333326</v>
      </c>
      <c r="I5" s="605">
        <f t="shared" si="0"/>
        <v>0</v>
      </c>
      <c r="J5" s="607">
        <f t="shared" si="1"/>
        <v>4.75</v>
      </c>
      <c r="M5" s="599" t="s">
        <v>192</v>
      </c>
      <c r="N5" s="644">
        <v>42543</v>
      </c>
      <c r="O5" s="599" t="s">
        <v>5</v>
      </c>
      <c r="P5" s="600">
        <v>0.69791666666666663</v>
      </c>
      <c r="Q5" s="599" t="s">
        <v>225</v>
      </c>
    </row>
    <row r="6" spans="1:17" x14ac:dyDescent="0.2">
      <c r="A6" s="599" t="s">
        <v>158</v>
      </c>
      <c r="B6" s="601">
        <v>42540</v>
      </c>
      <c r="C6" s="599" t="s">
        <v>5</v>
      </c>
      <c r="D6" s="599" t="s">
        <v>174</v>
      </c>
      <c r="E6" s="600">
        <v>0.46875</v>
      </c>
      <c r="F6" s="600">
        <v>0.65625</v>
      </c>
      <c r="G6" s="600">
        <v>0.46875</v>
      </c>
      <c r="H6" s="600">
        <v>0.82291666666666663</v>
      </c>
      <c r="I6" s="605">
        <f t="shared" si="0"/>
        <v>0</v>
      </c>
      <c r="J6" s="607">
        <f t="shared" si="1"/>
        <v>4</v>
      </c>
      <c r="M6" s="599" t="s">
        <v>188</v>
      </c>
      <c r="N6" s="644">
        <v>42543</v>
      </c>
      <c r="O6" s="599" t="s">
        <v>217</v>
      </c>
      <c r="P6" s="600">
        <v>0.71875</v>
      </c>
      <c r="Q6" s="599" t="s">
        <v>225</v>
      </c>
    </row>
    <row r="7" spans="1:17" x14ac:dyDescent="0.2">
      <c r="A7" s="599" t="s">
        <v>187</v>
      </c>
      <c r="B7" s="601">
        <v>42540</v>
      </c>
      <c r="C7" s="599" t="s">
        <v>5</v>
      </c>
      <c r="D7" s="599" t="s">
        <v>174</v>
      </c>
      <c r="E7" s="600">
        <v>0.47916666666666669</v>
      </c>
      <c r="F7" s="600">
        <v>0.6875</v>
      </c>
      <c r="G7" s="600">
        <v>0.52083333333333326</v>
      </c>
      <c r="H7" s="600">
        <v>0.82291666666666663</v>
      </c>
      <c r="I7" s="605">
        <f t="shared" si="0"/>
        <v>1</v>
      </c>
      <c r="J7" s="607">
        <f t="shared" si="1"/>
        <v>3.25</v>
      </c>
      <c r="M7" s="599" t="s">
        <v>180</v>
      </c>
      <c r="N7" s="644">
        <v>42538</v>
      </c>
      <c r="O7" s="599" t="s">
        <v>5</v>
      </c>
      <c r="P7" s="600">
        <v>0.71875</v>
      </c>
      <c r="Q7" s="599" t="s">
        <v>225</v>
      </c>
    </row>
    <row r="8" spans="1:17" x14ac:dyDescent="0.2">
      <c r="A8" s="599" t="s">
        <v>185</v>
      </c>
      <c r="B8" s="601">
        <v>42538</v>
      </c>
      <c r="C8" s="599" t="s">
        <v>24</v>
      </c>
      <c r="D8" s="599" t="s">
        <v>171</v>
      </c>
      <c r="E8" s="600">
        <v>0.46875</v>
      </c>
      <c r="F8" s="600">
        <v>0.63541666666666663</v>
      </c>
      <c r="G8" s="600">
        <v>0.46875</v>
      </c>
      <c r="H8" s="600">
        <v>0.66666666666666663</v>
      </c>
      <c r="I8" s="605">
        <f t="shared" si="0"/>
        <v>0</v>
      </c>
      <c r="J8" s="607">
        <f t="shared" si="1"/>
        <v>0.75</v>
      </c>
      <c r="M8" s="599" t="s">
        <v>181</v>
      </c>
      <c r="N8" s="644">
        <v>42542</v>
      </c>
      <c r="O8" s="599" t="s">
        <v>218</v>
      </c>
      <c r="P8" s="600">
        <v>0.78125</v>
      </c>
      <c r="Q8" s="599" t="s">
        <v>225</v>
      </c>
    </row>
    <row r="9" spans="1:17" x14ac:dyDescent="0.2">
      <c r="A9" s="599" t="s">
        <v>189</v>
      </c>
      <c r="B9" s="601">
        <v>42539</v>
      </c>
      <c r="C9" s="599" t="s">
        <v>24</v>
      </c>
      <c r="D9" s="599" t="s">
        <v>171</v>
      </c>
      <c r="E9" s="600">
        <v>0.69791666666666663</v>
      </c>
      <c r="F9" s="600">
        <v>2.0833333333333332E-2</v>
      </c>
      <c r="G9" s="600">
        <v>0.69791666666666663</v>
      </c>
      <c r="H9" s="600">
        <v>1</v>
      </c>
      <c r="I9" s="605">
        <f t="shared" si="0"/>
        <v>0</v>
      </c>
      <c r="J9" s="607">
        <f t="shared" si="1"/>
        <v>0.5</v>
      </c>
      <c r="M9" s="599" t="s">
        <v>221</v>
      </c>
      <c r="N9" s="644">
        <v>42540</v>
      </c>
      <c r="O9" s="599" t="s">
        <v>5</v>
      </c>
      <c r="P9" s="600">
        <v>0.83333333333333326</v>
      </c>
      <c r="Q9" s="599" t="s">
        <v>225</v>
      </c>
    </row>
    <row r="10" spans="1:17" x14ac:dyDescent="0.2">
      <c r="A10" s="599" t="s">
        <v>186</v>
      </c>
      <c r="B10" s="601">
        <v>42538</v>
      </c>
      <c r="C10" s="599" t="s">
        <v>5</v>
      </c>
      <c r="D10" s="599" t="s">
        <v>174</v>
      </c>
      <c r="E10" s="600">
        <v>0.6875</v>
      </c>
      <c r="F10" s="600">
        <v>0.875</v>
      </c>
      <c r="G10" s="600">
        <v>0.69791666666666663</v>
      </c>
      <c r="H10" s="600">
        <v>0.86458333333333326</v>
      </c>
      <c r="I10" s="605">
        <f t="shared" si="0"/>
        <v>0.25</v>
      </c>
      <c r="J10" s="607">
        <f t="shared" si="1"/>
        <v>0.25</v>
      </c>
      <c r="M10" s="599" t="s">
        <v>220</v>
      </c>
      <c r="N10" s="644">
        <v>42543</v>
      </c>
      <c r="O10" s="599" t="s">
        <v>217</v>
      </c>
      <c r="P10" s="600">
        <v>0.89583333333333326</v>
      </c>
      <c r="Q10" s="599" t="s">
        <v>225</v>
      </c>
    </row>
    <row r="11" spans="1:17" x14ac:dyDescent="0.2">
      <c r="A11" s="599" t="s">
        <v>189</v>
      </c>
      <c r="B11" s="601">
        <v>42541</v>
      </c>
      <c r="C11" s="599" t="s">
        <v>5</v>
      </c>
      <c r="D11" s="599" t="s">
        <v>174</v>
      </c>
      <c r="E11" s="600">
        <v>0.6875</v>
      </c>
      <c r="F11" s="600">
        <v>0.8125</v>
      </c>
      <c r="G11" s="600">
        <v>0.6875</v>
      </c>
      <c r="H11" s="600">
        <v>0.80208333333333326</v>
      </c>
      <c r="I11" s="605">
        <f t="shared" si="0"/>
        <v>0</v>
      </c>
      <c r="J11" s="607">
        <f t="shared" si="1"/>
        <v>0.25</v>
      </c>
      <c r="M11" s="599" t="s">
        <v>221</v>
      </c>
      <c r="N11" s="644">
        <v>42540</v>
      </c>
      <c r="O11" s="599" t="s">
        <v>5</v>
      </c>
      <c r="P11" s="600">
        <v>0.16666666666666666</v>
      </c>
      <c r="Q11" s="599" t="s">
        <v>226</v>
      </c>
    </row>
    <row r="12" spans="1:17" x14ac:dyDescent="0.2">
      <c r="A12" s="599" t="s">
        <v>188</v>
      </c>
      <c r="B12" s="601">
        <v>42541</v>
      </c>
      <c r="C12" s="599" t="s">
        <v>5</v>
      </c>
      <c r="D12" s="599" t="s">
        <v>174</v>
      </c>
      <c r="E12" s="600">
        <v>0.45833333333333331</v>
      </c>
      <c r="F12" s="600">
        <v>0.63541666666666663</v>
      </c>
      <c r="G12" s="600">
        <v>0.45833333333333331</v>
      </c>
      <c r="H12" s="600">
        <v>0.625</v>
      </c>
      <c r="I12" s="605">
        <f t="shared" si="0"/>
        <v>0</v>
      </c>
      <c r="J12" s="607">
        <f t="shared" si="1"/>
        <v>0.25</v>
      </c>
      <c r="M12" s="599" t="s">
        <v>184</v>
      </c>
      <c r="N12" s="644">
        <v>42538</v>
      </c>
      <c r="O12" s="599" t="s">
        <v>5</v>
      </c>
      <c r="P12" s="600">
        <v>0.61458333333333326</v>
      </c>
      <c r="Q12" s="599" t="s">
        <v>226</v>
      </c>
    </row>
    <row r="13" spans="1:17" x14ac:dyDescent="0.2">
      <c r="A13" s="599" t="s">
        <v>184</v>
      </c>
      <c r="B13" s="601">
        <v>42538</v>
      </c>
      <c r="C13" s="599" t="s">
        <v>5</v>
      </c>
      <c r="D13" s="599" t="s">
        <v>174</v>
      </c>
      <c r="E13" s="600">
        <v>0.46875</v>
      </c>
      <c r="F13" s="600">
        <v>0.61458333333333337</v>
      </c>
      <c r="G13" s="600">
        <v>0.46875</v>
      </c>
      <c r="H13" s="600">
        <v>0.60416666666666663</v>
      </c>
      <c r="I13" s="605">
        <f t="shared" si="0"/>
        <v>0</v>
      </c>
      <c r="J13" s="607">
        <f t="shared" si="1"/>
        <v>0.25</v>
      </c>
      <c r="M13" s="599" t="s">
        <v>188</v>
      </c>
      <c r="N13" s="644">
        <v>42541</v>
      </c>
      <c r="O13" s="599" t="s">
        <v>5</v>
      </c>
      <c r="P13" s="600">
        <v>0.625</v>
      </c>
      <c r="Q13" s="599" t="s">
        <v>226</v>
      </c>
    </row>
    <row r="14" spans="1:17" x14ac:dyDescent="0.2">
      <c r="A14" s="599" t="s">
        <v>181</v>
      </c>
      <c r="B14" s="601">
        <v>42542</v>
      </c>
      <c r="C14" s="599" t="s">
        <v>24</v>
      </c>
      <c r="D14" s="599" t="s">
        <v>171</v>
      </c>
      <c r="E14" s="600">
        <v>0.69791666666666663</v>
      </c>
      <c r="F14" s="600">
        <v>0.90625</v>
      </c>
      <c r="G14" s="600">
        <v>0.69791666666666663</v>
      </c>
      <c r="H14" s="600">
        <v>0.89583333333333326</v>
      </c>
      <c r="I14" s="605">
        <f t="shared" si="0"/>
        <v>0</v>
      </c>
      <c r="J14" s="607">
        <f t="shared" si="1"/>
        <v>0.25</v>
      </c>
      <c r="M14" s="599" t="s">
        <v>181</v>
      </c>
      <c r="N14" s="644">
        <v>42543</v>
      </c>
      <c r="O14" s="599" t="s">
        <v>217</v>
      </c>
      <c r="P14" s="600">
        <v>0.6875</v>
      </c>
      <c r="Q14" s="599" t="s">
        <v>226</v>
      </c>
    </row>
    <row r="15" spans="1:17" x14ac:dyDescent="0.2">
      <c r="A15" s="599" t="s">
        <v>213</v>
      </c>
      <c r="B15" s="601">
        <v>42540</v>
      </c>
      <c r="C15" s="599" t="s">
        <v>145</v>
      </c>
      <c r="D15" s="599" t="s">
        <v>173</v>
      </c>
      <c r="E15" s="600">
        <v>0.6875</v>
      </c>
      <c r="F15" s="600">
        <v>0.91666666666666663</v>
      </c>
      <c r="G15" s="600">
        <v>0.69791666666666663</v>
      </c>
      <c r="H15" s="600">
        <v>0.90625</v>
      </c>
      <c r="I15" s="605">
        <f t="shared" si="0"/>
        <v>0.25</v>
      </c>
      <c r="J15" s="607">
        <f t="shared" si="1"/>
        <v>0.25</v>
      </c>
      <c r="M15" s="599" t="s">
        <v>181</v>
      </c>
      <c r="N15" s="644">
        <v>42542</v>
      </c>
      <c r="O15" s="599" t="s">
        <v>218</v>
      </c>
      <c r="P15" s="600">
        <v>0.78125</v>
      </c>
      <c r="Q15" s="599" t="s">
        <v>226</v>
      </c>
    </row>
    <row r="16" spans="1:17" x14ac:dyDescent="0.2">
      <c r="A16" s="599" t="s">
        <v>177</v>
      </c>
      <c r="B16" s="601">
        <v>42541</v>
      </c>
      <c r="C16" s="599" t="s">
        <v>24</v>
      </c>
      <c r="D16" s="599" t="s">
        <v>171</v>
      </c>
      <c r="E16" s="600">
        <v>0.69791666666666663</v>
      </c>
      <c r="F16" s="600">
        <v>0.90625</v>
      </c>
      <c r="G16" s="600">
        <v>0.70833333333333326</v>
      </c>
      <c r="H16" s="600">
        <v>0.89583333333333326</v>
      </c>
      <c r="I16" s="605">
        <f t="shared" si="0"/>
        <v>0.25</v>
      </c>
      <c r="J16" s="607">
        <f t="shared" si="1"/>
        <v>0.25</v>
      </c>
      <c r="M16" s="599" t="s">
        <v>181</v>
      </c>
      <c r="N16" s="644">
        <v>42539</v>
      </c>
      <c r="O16" s="599" t="s">
        <v>218</v>
      </c>
      <c r="P16" s="600">
        <v>0.83333333333333326</v>
      </c>
      <c r="Q16" s="599" t="s">
        <v>226</v>
      </c>
    </row>
    <row r="17" spans="1:17" x14ac:dyDescent="0.2">
      <c r="A17" s="599" t="s">
        <v>180</v>
      </c>
      <c r="B17" s="601">
        <v>42537</v>
      </c>
      <c r="C17" s="599" t="s">
        <v>24</v>
      </c>
      <c r="D17" s="599" t="s">
        <v>171</v>
      </c>
      <c r="E17" s="600">
        <v>0.4375</v>
      </c>
      <c r="F17" s="600">
        <v>0.625</v>
      </c>
      <c r="G17" s="600">
        <v>0.4375</v>
      </c>
      <c r="H17" s="600">
        <v>0.61458333333333326</v>
      </c>
      <c r="I17" s="605">
        <f t="shared" si="0"/>
        <v>0</v>
      </c>
      <c r="J17" s="607">
        <f t="shared" si="1"/>
        <v>0.25</v>
      </c>
      <c r="M17" s="599" t="s">
        <v>192</v>
      </c>
      <c r="N17" s="644">
        <v>42543</v>
      </c>
      <c r="O17" s="599" t="s">
        <v>5</v>
      </c>
      <c r="P17" s="600">
        <v>0.83333333333333326</v>
      </c>
      <c r="Q17" s="599" t="s">
        <v>226</v>
      </c>
    </row>
    <row r="18" spans="1:17" x14ac:dyDescent="0.2">
      <c r="A18" s="599" t="s">
        <v>187</v>
      </c>
      <c r="B18" s="601">
        <v>42541</v>
      </c>
      <c r="C18" s="599" t="s">
        <v>24</v>
      </c>
      <c r="D18" s="599" t="s">
        <v>171</v>
      </c>
      <c r="E18" s="600">
        <v>0.45833333333333331</v>
      </c>
      <c r="F18" s="600">
        <v>0.60416666666666663</v>
      </c>
      <c r="G18" s="600">
        <v>0.46875</v>
      </c>
      <c r="H18" s="600">
        <v>0.59375</v>
      </c>
      <c r="I18" s="605">
        <f t="shared" si="0"/>
        <v>0.25</v>
      </c>
      <c r="J18" s="607">
        <f t="shared" si="1"/>
        <v>0.25</v>
      </c>
      <c r="M18" s="599" t="s">
        <v>180</v>
      </c>
      <c r="N18" s="644">
        <v>42538</v>
      </c>
      <c r="O18" s="599" t="s">
        <v>5</v>
      </c>
      <c r="P18" s="600">
        <v>0.84375</v>
      </c>
      <c r="Q18" s="599" t="s">
        <v>226</v>
      </c>
    </row>
    <row r="19" spans="1:17" x14ac:dyDescent="0.2">
      <c r="A19" s="599" t="s">
        <v>187</v>
      </c>
      <c r="B19" s="601">
        <v>42538</v>
      </c>
      <c r="C19" s="599" t="s">
        <v>24</v>
      </c>
      <c r="D19" s="599" t="s">
        <v>171</v>
      </c>
      <c r="E19" s="600">
        <v>0.6875</v>
      </c>
      <c r="F19" s="600">
        <v>3.125E-2</v>
      </c>
      <c r="G19" s="600">
        <v>0.6875</v>
      </c>
      <c r="H19" s="600">
        <v>2.0833333333333332E-2</v>
      </c>
      <c r="I19" s="605">
        <f t="shared" si="0"/>
        <v>0</v>
      </c>
      <c r="J19" s="607">
        <f t="shared" si="1"/>
        <v>0.25</v>
      </c>
      <c r="M19" s="599" t="s">
        <v>188</v>
      </c>
      <c r="N19" s="644">
        <v>42543</v>
      </c>
      <c r="O19" s="599" t="s">
        <v>217</v>
      </c>
      <c r="P19" s="600">
        <v>0.92708333333333326</v>
      </c>
      <c r="Q19" s="599" t="s">
        <v>226</v>
      </c>
    </row>
    <row r="20" spans="1:17" x14ac:dyDescent="0.2">
      <c r="A20" s="599" t="s">
        <v>187</v>
      </c>
      <c r="B20" s="601">
        <v>42542</v>
      </c>
      <c r="C20" s="599" t="s">
        <v>24</v>
      </c>
      <c r="D20" s="599" t="s">
        <v>171</v>
      </c>
      <c r="E20" s="600">
        <v>0.46875</v>
      </c>
      <c r="F20" s="600">
        <v>0.64583333333333337</v>
      </c>
      <c r="G20" s="600">
        <v>0.46875</v>
      </c>
      <c r="H20" s="600">
        <v>0.63541666666666663</v>
      </c>
      <c r="I20" s="605">
        <f t="shared" si="0"/>
        <v>0</v>
      </c>
      <c r="J20" s="607">
        <f t="shared" si="1"/>
        <v>0.25</v>
      </c>
      <c r="M20" s="599" t="s">
        <v>220</v>
      </c>
      <c r="N20" s="644">
        <v>42543</v>
      </c>
      <c r="O20" s="599" t="s">
        <v>217</v>
      </c>
      <c r="P20" s="600">
        <v>0.92708333333333326</v>
      </c>
      <c r="Q20" s="599" t="s">
        <v>226</v>
      </c>
    </row>
    <row r="21" spans="1:17" x14ac:dyDescent="0.2">
      <c r="A21" s="599" t="s">
        <v>158</v>
      </c>
      <c r="B21" s="601">
        <v>42539</v>
      </c>
      <c r="C21" s="599" t="s">
        <v>5</v>
      </c>
      <c r="D21" s="599" t="s">
        <v>174</v>
      </c>
      <c r="E21" s="600">
        <v>0.45833333333333331</v>
      </c>
      <c r="F21" s="600">
        <v>0.66666666666666663</v>
      </c>
      <c r="G21" s="600">
        <v>0.46875</v>
      </c>
      <c r="H21" s="600">
        <v>0.65625</v>
      </c>
      <c r="I21" s="605">
        <f t="shared" si="0"/>
        <v>0.25</v>
      </c>
      <c r="J21" s="607">
        <f t="shared" si="1"/>
        <v>0.25</v>
      </c>
      <c r="M21" s="599" t="s">
        <v>177</v>
      </c>
      <c r="N21" s="644">
        <v>42541</v>
      </c>
      <c r="O21" s="599" t="s">
        <v>5</v>
      </c>
      <c r="P21" s="600">
        <v>0.34375</v>
      </c>
      <c r="Q21" s="599" t="s">
        <v>223</v>
      </c>
    </row>
    <row r="22" spans="1:17" x14ac:dyDescent="0.2">
      <c r="A22" s="599" t="s">
        <v>182</v>
      </c>
      <c r="B22" s="601">
        <v>42540</v>
      </c>
      <c r="C22" s="599" t="s">
        <v>24</v>
      </c>
      <c r="D22" s="599" t="s">
        <v>171</v>
      </c>
      <c r="E22" s="600">
        <v>0.65625</v>
      </c>
      <c r="F22" s="600">
        <v>0.94791666666666663</v>
      </c>
      <c r="G22" s="600">
        <v>0.65625</v>
      </c>
      <c r="H22" s="600">
        <v>0.9375</v>
      </c>
      <c r="I22" s="605">
        <f t="shared" si="0"/>
        <v>0</v>
      </c>
      <c r="J22" s="607">
        <f t="shared" si="1"/>
        <v>0.25</v>
      </c>
      <c r="M22" s="599" t="s">
        <v>188</v>
      </c>
      <c r="N22" s="644">
        <v>42543</v>
      </c>
      <c r="O22" s="599" t="s">
        <v>217</v>
      </c>
      <c r="P22" s="600">
        <v>0.42708333333333331</v>
      </c>
      <c r="Q22" s="599" t="s">
        <v>223</v>
      </c>
    </row>
    <row r="23" spans="1:17" x14ac:dyDescent="0.2">
      <c r="A23" s="599" t="s">
        <v>192</v>
      </c>
      <c r="B23" s="601">
        <v>42539</v>
      </c>
      <c r="C23" s="599" t="s">
        <v>5</v>
      </c>
      <c r="D23" s="599" t="s">
        <v>174</v>
      </c>
      <c r="E23" s="600">
        <v>0.71875</v>
      </c>
      <c r="F23" s="600">
        <v>0.94791666666666663</v>
      </c>
      <c r="G23" s="600">
        <v>0.70833333333333326</v>
      </c>
      <c r="H23" s="600">
        <v>0.9375</v>
      </c>
      <c r="I23" s="605">
        <f t="shared" si="0"/>
        <v>0.25</v>
      </c>
      <c r="J23" s="607">
        <f t="shared" si="1"/>
        <v>0.25</v>
      </c>
      <c r="M23" s="599" t="s">
        <v>219</v>
      </c>
      <c r="N23" s="644">
        <v>42543</v>
      </c>
      <c r="O23" s="599" t="s">
        <v>217</v>
      </c>
      <c r="P23" s="600">
        <v>0.42708333333333331</v>
      </c>
      <c r="Q23" s="599" t="s">
        <v>223</v>
      </c>
    </row>
    <row r="24" spans="1:17" x14ac:dyDescent="0.2">
      <c r="A24" s="599" t="s">
        <v>186</v>
      </c>
      <c r="B24" s="601">
        <v>42540</v>
      </c>
      <c r="C24" s="599" t="s">
        <v>24</v>
      </c>
      <c r="D24" s="599" t="s">
        <v>171</v>
      </c>
      <c r="E24" s="600">
        <v>0.6875</v>
      </c>
      <c r="F24" s="600">
        <v>0.90625</v>
      </c>
      <c r="G24" s="600">
        <v>0.69791666666666663</v>
      </c>
      <c r="H24" s="600">
        <v>0.90625</v>
      </c>
      <c r="I24" s="605">
        <f t="shared" si="0"/>
        <v>0.25</v>
      </c>
      <c r="J24" s="607">
        <f t="shared" si="1"/>
        <v>0</v>
      </c>
      <c r="M24" s="599" t="s">
        <v>183</v>
      </c>
      <c r="N24" s="644">
        <v>42543</v>
      </c>
      <c r="O24" s="599" t="s">
        <v>217</v>
      </c>
      <c r="P24" s="600">
        <v>0.42708333333333331</v>
      </c>
      <c r="Q24" s="599" t="s">
        <v>223</v>
      </c>
    </row>
    <row r="25" spans="1:17" x14ac:dyDescent="0.2">
      <c r="A25" s="599" t="s">
        <v>186</v>
      </c>
      <c r="B25" s="601">
        <v>42539</v>
      </c>
      <c r="C25" s="599" t="s">
        <v>5</v>
      </c>
      <c r="D25" s="599" t="s">
        <v>174</v>
      </c>
      <c r="E25" s="600">
        <v>0.6875</v>
      </c>
      <c r="F25" s="600">
        <v>0.8125</v>
      </c>
      <c r="G25" s="600">
        <v>0.6875</v>
      </c>
      <c r="H25" s="600">
        <v>0.8125</v>
      </c>
      <c r="I25" s="605">
        <f t="shared" si="0"/>
        <v>0</v>
      </c>
      <c r="J25" s="607">
        <f t="shared" si="1"/>
        <v>0</v>
      </c>
      <c r="M25" s="599" t="s">
        <v>221</v>
      </c>
      <c r="N25" s="644">
        <v>42540</v>
      </c>
      <c r="O25" s="599" t="s">
        <v>218</v>
      </c>
      <c r="P25" s="600">
        <v>0.44791666666666663</v>
      </c>
      <c r="Q25" s="599" t="s">
        <v>223</v>
      </c>
    </row>
    <row r="26" spans="1:17" x14ac:dyDescent="0.2">
      <c r="A26" s="599" t="s">
        <v>189</v>
      </c>
      <c r="B26" s="601">
        <v>42538</v>
      </c>
      <c r="C26" s="599" t="s">
        <v>24</v>
      </c>
      <c r="D26" s="599" t="s">
        <v>171</v>
      </c>
      <c r="E26" s="600">
        <v>0.73958333333333337</v>
      </c>
      <c r="F26" s="600">
        <v>0.9375</v>
      </c>
      <c r="G26" s="600">
        <v>0.73958333333333326</v>
      </c>
      <c r="H26" s="600">
        <v>0.9375</v>
      </c>
      <c r="I26" s="605">
        <f t="shared" si="0"/>
        <v>0</v>
      </c>
      <c r="J26" s="607">
        <f t="shared" si="1"/>
        <v>0</v>
      </c>
      <c r="M26" s="599" t="s">
        <v>213</v>
      </c>
      <c r="N26" s="644">
        <v>42544</v>
      </c>
      <c r="O26" s="599" t="s">
        <v>218</v>
      </c>
      <c r="P26" s="600">
        <v>0.45833333333333331</v>
      </c>
      <c r="Q26" s="599" t="s">
        <v>223</v>
      </c>
    </row>
    <row r="27" spans="1:17" x14ac:dyDescent="0.2">
      <c r="A27" s="599" t="s">
        <v>188</v>
      </c>
      <c r="B27" s="601">
        <v>42538</v>
      </c>
      <c r="C27" s="599" t="s">
        <v>24</v>
      </c>
      <c r="D27" s="599" t="s">
        <v>171</v>
      </c>
      <c r="E27" s="600">
        <v>0.72916666666666663</v>
      </c>
      <c r="F27" s="600">
        <v>0</v>
      </c>
      <c r="G27" s="600">
        <v>0.72916666666666663</v>
      </c>
      <c r="H27" s="600">
        <v>1</v>
      </c>
      <c r="I27" s="605">
        <f t="shared" si="0"/>
        <v>0</v>
      </c>
      <c r="J27" s="607">
        <f t="shared" si="1"/>
        <v>0</v>
      </c>
      <c r="M27" s="599" t="s">
        <v>188</v>
      </c>
      <c r="N27" s="644">
        <v>42544</v>
      </c>
      <c r="O27" s="599" t="s">
        <v>217</v>
      </c>
      <c r="P27" s="600">
        <v>0.46875</v>
      </c>
      <c r="Q27" s="599" t="s">
        <v>223</v>
      </c>
    </row>
    <row r="28" spans="1:17" x14ac:dyDescent="0.2">
      <c r="A28" s="599" t="s">
        <v>184</v>
      </c>
      <c r="B28" s="601">
        <v>42540</v>
      </c>
      <c r="C28" s="599" t="s">
        <v>24</v>
      </c>
      <c r="D28" s="599" t="s">
        <v>171</v>
      </c>
      <c r="E28" s="600">
        <v>0.65625</v>
      </c>
      <c r="F28" s="600">
        <v>0.78125</v>
      </c>
      <c r="G28" s="600">
        <v>0.65625</v>
      </c>
      <c r="H28" s="600">
        <v>0.78125</v>
      </c>
      <c r="I28" s="605">
        <f t="shared" si="0"/>
        <v>0</v>
      </c>
      <c r="J28" s="607">
        <f t="shared" si="1"/>
        <v>0</v>
      </c>
      <c r="M28" s="599" t="s">
        <v>187</v>
      </c>
      <c r="N28" s="644">
        <v>42543</v>
      </c>
      <c r="O28" s="599" t="s">
        <v>5</v>
      </c>
      <c r="P28" s="600">
        <v>0.46875</v>
      </c>
      <c r="Q28" s="599" t="s">
        <v>223</v>
      </c>
    </row>
    <row r="29" spans="1:17" x14ac:dyDescent="0.2">
      <c r="A29" s="599" t="s">
        <v>191</v>
      </c>
      <c r="B29" s="601">
        <v>42539</v>
      </c>
      <c r="C29" s="599" t="s">
        <v>145</v>
      </c>
      <c r="D29" s="599" t="s">
        <v>173</v>
      </c>
      <c r="E29" s="600">
        <v>0.6875</v>
      </c>
      <c r="F29" s="600">
        <v>0.90625</v>
      </c>
      <c r="G29" s="600">
        <v>0.69791666666666663</v>
      </c>
      <c r="H29" s="600">
        <v>0.90625</v>
      </c>
      <c r="I29" s="605">
        <f t="shared" si="0"/>
        <v>0.25</v>
      </c>
      <c r="J29" s="607">
        <f t="shared" si="1"/>
        <v>0</v>
      </c>
      <c r="M29" s="599" t="s">
        <v>178</v>
      </c>
      <c r="N29" s="644">
        <v>42544</v>
      </c>
      <c r="O29" s="599" t="s">
        <v>5</v>
      </c>
      <c r="P29" s="600">
        <v>0.51041666666666663</v>
      </c>
      <c r="Q29" s="599" t="s">
        <v>223</v>
      </c>
    </row>
    <row r="30" spans="1:17" x14ac:dyDescent="0.2">
      <c r="A30" s="599" t="s">
        <v>181</v>
      </c>
      <c r="B30" s="601">
        <v>42538</v>
      </c>
      <c r="C30" s="599" t="s">
        <v>145</v>
      </c>
      <c r="D30" s="599" t="s">
        <v>173</v>
      </c>
      <c r="E30" s="600">
        <v>0.45833333333333331</v>
      </c>
      <c r="F30" s="600">
        <v>0.60416666666666663</v>
      </c>
      <c r="G30" s="600">
        <v>0.45833333333333331</v>
      </c>
      <c r="H30" s="600">
        <v>0.60416666666666663</v>
      </c>
      <c r="I30" s="605">
        <f t="shared" si="0"/>
        <v>0</v>
      </c>
      <c r="J30" s="607">
        <f t="shared" si="1"/>
        <v>0</v>
      </c>
      <c r="M30" s="599" t="s">
        <v>187</v>
      </c>
      <c r="N30" s="644">
        <v>42540</v>
      </c>
      <c r="O30" s="599" t="s">
        <v>217</v>
      </c>
      <c r="P30" s="600">
        <v>0.52083333333333326</v>
      </c>
      <c r="Q30" s="599" t="s">
        <v>223</v>
      </c>
    </row>
    <row r="31" spans="1:17" x14ac:dyDescent="0.2">
      <c r="A31" s="599" t="s">
        <v>181</v>
      </c>
      <c r="B31" s="601">
        <v>42538</v>
      </c>
      <c r="C31" s="599" t="s">
        <v>145</v>
      </c>
      <c r="D31" s="599" t="s">
        <v>173</v>
      </c>
      <c r="E31" s="600">
        <v>0.6875</v>
      </c>
      <c r="F31" s="600">
        <v>0.89583333333333337</v>
      </c>
      <c r="G31" s="600">
        <v>0.6875</v>
      </c>
      <c r="H31" s="600">
        <v>0.89583333333333326</v>
      </c>
      <c r="I31" s="605">
        <f t="shared" si="0"/>
        <v>0</v>
      </c>
      <c r="J31" s="607">
        <f t="shared" si="1"/>
        <v>0</v>
      </c>
      <c r="M31" s="599" t="s">
        <v>181</v>
      </c>
      <c r="N31" s="644">
        <v>42543</v>
      </c>
      <c r="O31" s="599" t="s">
        <v>217</v>
      </c>
      <c r="P31" s="600">
        <v>0.57291666666666663</v>
      </c>
      <c r="Q31" s="599" t="s">
        <v>223</v>
      </c>
    </row>
    <row r="32" spans="1:17" x14ac:dyDescent="0.2">
      <c r="A32" s="599" t="s">
        <v>181</v>
      </c>
      <c r="B32" s="601">
        <v>42539</v>
      </c>
      <c r="C32" s="599" t="s">
        <v>145</v>
      </c>
      <c r="D32" s="599" t="s">
        <v>173</v>
      </c>
      <c r="E32" s="600">
        <v>0.41666666666666669</v>
      </c>
      <c r="F32" s="600">
        <v>0.58333333333333337</v>
      </c>
      <c r="G32" s="600">
        <v>0.41666666666666663</v>
      </c>
      <c r="H32" s="600">
        <v>0.58333333333333326</v>
      </c>
      <c r="I32" s="605">
        <f t="shared" si="0"/>
        <v>0</v>
      </c>
      <c r="J32" s="607">
        <f t="shared" si="1"/>
        <v>0</v>
      </c>
      <c r="M32" s="599" t="s">
        <v>182</v>
      </c>
      <c r="N32" s="644">
        <v>42539</v>
      </c>
      <c r="O32" s="599" t="s">
        <v>218</v>
      </c>
      <c r="P32" s="600">
        <v>0.58333333333333326</v>
      </c>
      <c r="Q32" s="599" t="s">
        <v>223</v>
      </c>
    </row>
    <row r="33" spans="1:17" x14ac:dyDescent="0.2">
      <c r="A33" s="599" t="s">
        <v>177</v>
      </c>
      <c r="B33" s="601">
        <v>42542</v>
      </c>
      <c r="C33" s="599" t="s">
        <v>5</v>
      </c>
      <c r="D33" s="599" t="s">
        <v>174</v>
      </c>
      <c r="E33" s="600">
        <v>0.46875</v>
      </c>
      <c r="F33" s="600">
        <v>0.59375</v>
      </c>
      <c r="G33" s="600">
        <v>0.47916666666666663</v>
      </c>
      <c r="H33" s="600">
        <v>0.59375</v>
      </c>
      <c r="I33" s="605">
        <f t="shared" si="0"/>
        <v>0.25</v>
      </c>
      <c r="J33" s="607">
        <f t="shared" si="1"/>
        <v>0</v>
      </c>
      <c r="M33" s="599" t="s">
        <v>188</v>
      </c>
      <c r="N33" s="644">
        <v>42544</v>
      </c>
      <c r="O33" s="599" t="s">
        <v>217</v>
      </c>
      <c r="P33" s="600">
        <v>0</v>
      </c>
      <c r="Q33" s="599" t="s">
        <v>224</v>
      </c>
    </row>
    <row r="34" spans="1:17" x14ac:dyDescent="0.2">
      <c r="A34" s="599" t="s">
        <v>177</v>
      </c>
      <c r="B34" s="601">
        <v>42537</v>
      </c>
      <c r="C34" s="599" t="s">
        <v>5</v>
      </c>
      <c r="D34" s="599" t="s">
        <v>174</v>
      </c>
      <c r="E34" s="600">
        <v>0.46875</v>
      </c>
      <c r="F34" s="600">
        <v>0.60416666666666663</v>
      </c>
      <c r="G34" s="600">
        <v>0.46875</v>
      </c>
      <c r="H34" s="600">
        <v>0.60416666666666663</v>
      </c>
      <c r="I34" s="605">
        <f t="shared" ref="I34:I65" si="2">IF(G34="",-9999,ABS(ROUND((IF(E34&lt;0.25,E34+1,E34)-IF(G34&lt;0.25,G34+1,G34))*24,2)))</f>
        <v>0</v>
      </c>
      <c r="J34" s="607">
        <f t="shared" ref="J34:J65" si="3">IF(H34="",-9999,ABS(ROUND((IF(F34&lt;0.25,F34+1,F34)-IF(H34&lt;0.25,H34+1,H34))*24,2)))</f>
        <v>0</v>
      </c>
      <c r="M34" s="599" t="s">
        <v>213</v>
      </c>
      <c r="N34" s="644">
        <v>42544</v>
      </c>
      <c r="O34" s="599" t="s">
        <v>218</v>
      </c>
      <c r="P34" s="600">
        <v>0</v>
      </c>
      <c r="Q34" s="599" t="s">
        <v>224</v>
      </c>
    </row>
    <row r="35" spans="1:17" x14ac:dyDescent="0.2">
      <c r="A35" s="599" t="s">
        <v>210</v>
      </c>
      <c r="B35" s="601">
        <v>42540</v>
      </c>
      <c r="C35" s="599" t="s">
        <v>24</v>
      </c>
      <c r="D35" s="599" t="s">
        <v>171</v>
      </c>
      <c r="E35" s="600">
        <v>0.69791666666666663</v>
      </c>
      <c r="F35" s="600">
        <v>0.84375</v>
      </c>
      <c r="G35" s="600">
        <v>0.69791666666666663</v>
      </c>
      <c r="H35" s="600">
        <v>0.84375</v>
      </c>
      <c r="I35" s="605">
        <f t="shared" si="2"/>
        <v>0</v>
      </c>
      <c r="J35" s="607">
        <f t="shared" si="3"/>
        <v>0</v>
      </c>
      <c r="M35" s="599" t="s">
        <v>178</v>
      </c>
      <c r="N35" s="644">
        <v>42544</v>
      </c>
      <c r="O35" s="599" t="s">
        <v>5</v>
      </c>
      <c r="P35" s="600">
        <v>0</v>
      </c>
      <c r="Q35" s="599" t="s">
        <v>224</v>
      </c>
    </row>
    <row r="36" spans="1:17" x14ac:dyDescent="0.2">
      <c r="A36" s="599" t="s">
        <v>215</v>
      </c>
      <c r="B36" s="601">
        <v>42542</v>
      </c>
      <c r="C36" s="599" t="s">
        <v>5</v>
      </c>
      <c r="D36" s="599" t="s">
        <v>174</v>
      </c>
      <c r="E36" s="600">
        <v>0.6875</v>
      </c>
      <c r="F36" s="600">
        <v>0.84375</v>
      </c>
      <c r="G36" s="600">
        <v>0.6875</v>
      </c>
      <c r="H36" s="600">
        <v>0.84375</v>
      </c>
      <c r="I36" s="605">
        <f t="shared" si="2"/>
        <v>0</v>
      </c>
      <c r="J36" s="607">
        <f t="shared" si="3"/>
        <v>0</v>
      </c>
      <c r="M36" s="599" t="s">
        <v>177</v>
      </c>
      <c r="N36" s="644">
        <v>42541</v>
      </c>
      <c r="O36" s="599" t="s">
        <v>5</v>
      </c>
      <c r="P36" s="600">
        <v>0.34375</v>
      </c>
      <c r="Q36" s="599" t="s">
        <v>224</v>
      </c>
    </row>
    <row r="37" spans="1:17" x14ac:dyDescent="0.2">
      <c r="A37" s="599" t="s">
        <v>182</v>
      </c>
      <c r="B37" s="601">
        <v>42537</v>
      </c>
      <c r="C37" s="599" t="s">
        <v>5</v>
      </c>
      <c r="D37" s="599" t="s">
        <v>174</v>
      </c>
      <c r="E37" s="600">
        <v>0.6875</v>
      </c>
      <c r="F37" s="600">
        <v>0.92708333333333337</v>
      </c>
      <c r="G37" s="600">
        <v>0.6875</v>
      </c>
      <c r="H37" s="600">
        <v>0.92708333333333326</v>
      </c>
      <c r="I37" s="605">
        <f t="shared" si="2"/>
        <v>0</v>
      </c>
      <c r="J37" s="607">
        <f t="shared" si="3"/>
        <v>0</v>
      </c>
      <c r="M37" s="599" t="s">
        <v>187</v>
      </c>
      <c r="N37" s="644">
        <v>42540</v>
      </c>
      <c r="O37" s="599" t="s">
        <v>217</v>
      </c>
      <c r="P37" s="600">
        <v>0.52083333333333326</v>
      </c>
      <c r="Q37" s="599" t="s">
        <v>224</v>
      </c>
    </row>
    <row r="38" spans="1:17" x14ac:dyDescent="0.2">
      <c r="A38" s="599" t="s">
        <v>182</v>
      </c>
      <c r="B38" s="601">
        <v>42539</v>
      </c>
      <c r="C38" s="599" t="s">
        <v>5</v>
      </c>
      <c r="D38" s="599" t="s">
        <v>174</v>
      </c>
      <c r="E38" s="600">
        <v>0.70833333333333337</v>
      </c>
      <c r="F38" s="600">
        <v>0.9375</v>
      </c>
      <c r="G38" s="600">
        <v>0.70833333333333326</v>
      </c>
      <c r="H38" s="600">
        <v>0.9375</v>
      </c>
      <c r="I38" s="605">
        <f t="shared" si="2"/>
        <v>0</v>
      </c>
      <c r="J38" s="607">
        <f t="shared" si="3"/>
        <v>0</v>
      </c>
      <c r="M38" s="599" t="s">
        <v>181</v>
      </c>
      <c r="N38" s="644">
        <v>42543</v>
      </c>
      <c r="O38" s="599" t="s">
        <v>217</v>
      </c>
      <c r="P38" s="600">
        <v>0.5625</v>
      </c>
      <c r="Q38" s="599" t="s">
        <v>224</v>
      </c>
    </row>
    <row r="39" spans="1:17" x14ac:dyDescent="0.2">
      <c r="A39" s="599" t="s">
        <v>183</v>
      </c>
      <c r="B39" s="601">
        <v>42537</v>
      </c>
      <c r="C39" s="599" t="s">
        <v>24</v>
      </c>
      <c r="D39" s="599" t="s">
        <v>171</v>
      </c>
      <c r="E39" s="600">
        <v>0.69791666666666663</v>
      </c>
      <c r="F39" s="600">
        <v>0.91666666666666663</v>
      </c>
      <c r="G39" s="600">
        <v>0.69791666666666663</v>
      </c>
      <c r="H39" s="600">
        <v>0.91666666666666663</v>
      </c>
      <c r="I39" s="605">
        <f t="shared" si="2"/>
        <v>0</v>
      </c>
      <c r="J39" s="607">
        <f t="shared" si="3"/>
        <v>0</v>
      </c>
      <c r="M39" s="599" t="s">
        <v>181</v>
      </c>
      <c r="N39" s="644">
        <v>42543</v>
      </c>
      <c r="O39" s="599" t="s">
        <v>218</v>
      </c>
      <c r="P39" s="600">
        <v>0.5625</v>
      </c>
      <c r="Q39" s="599" t="s">
        <v>224</v>
      </c>
    </row>
    <row r="40" spans="1:17" x14ac:dyDescent="0.2">
      <c r="A40" s="599" t="s">
        <v>208</v>
      </c>
      <c r="B40" s="601">
        <v>42537</v>
      </c>
      <c r="C40" s="599" t="s">
        <v>119</v>
      </c>
      <c r="D40" s="599" t="s">
        <v>170</v>
      </c>
      <c r="E40" s="600">
        <v>0.29166666666666669</v>
      </c>
      <c r="F40" s="600">
        <v>0.36458333333333331</v>
      </c>
      <c r="I40" s="605">
        <f t="shared" si="2"/>
        <v>-9999</v>
      </c>
      <c r="J40" s="607">
        <f t="shared" si="3"/>
        <v>-9999</v>
      </c>
      <c r="M40" s="599" t="s">
        <v>181</v>
      </c>
      <c r="N40" s="644">
        <v>42543</v>
      </c>
      <c r="O40" s="599" t="s">
        <v>217</v>
      </c>
      <c r="P40" s="600">
        <v>0.57291666666666663</v>
      </c>
      <c r="Q40" s="599" t="s">
        <v>224</v>
      </c>
    </row>
    <row r="41" spans="1:17" x14ac:dyDescent="0.2">
      <c r="A41" s="599" t="s">
        <v>208</v>
      </c>
      <c r="B41" s="601">
        <v>42541</v>
      </c>
      <c r="C41" s="599" t="s">
        <v>119</v>
      </c>
      <c r="D41" s="599" t="s">
        <v>170</v>
      </c>
      <c r="E41" s="600">
        <v>0.63541666666666663</v>
      </c>
      <c r="F41" s="600">
        <v>0.69791666666666663</v>
      </c>
      <c r="I41" s="605">
        <f t="shared" si="2"/>
        <v>-9999</v>
      </c>
      <c r="J41" s="607">
        <f t="shared" si="3"/>
        <v>-9999</v>
      </c>
      <c r="M41" s="599" t="s">
        <v>187</v>
      </c>
      <c r="N41" s="644">
        <v>42543</v>
      </c>
      <c r="O41" s="599" t="s">
        <v>5</v>
      </c>
      <c r="P41" s="600">
        <v>0.59375</v>
      </c>
      <c r="Q41" s="599" t="s">
        <v>224</v>
      </c>
    </row>
    <row r="42" spans="1:17" x14ac:dyDescent="0.2">
      <c r="A42" s="599" t="s">
        <v>208</v>
      </c>
      <c r="B42" s="601">
        <v>42537</v>
      </c>
      <c r="C42" s="599" t="s">
        <v>16</v>
      </c>
      <c r="D42" s="599" t="s">
        <v>67</v>
      </c>
      <c r="E42" s="600">
        <v>0.70833333333333337</v>
      </c>
      <c r="F42" s="600">
        <v>0.91666666666666663</v>
      </c>
      <c r="I42" s="605">
        <f t="shared" si="2"/>
        <v>-9999</v>
      </c>
      <c r="J42" s="607">
        <f t="shared" si="3"/>
        <v>-9999</v>
      </c>
      <c r="M42" s="599" t="s">
        <v>181</v>
      </c>
      <c r="N42" s="644">
        <v>42543</v>
      </c>
      <c r="O42" s="599" t="s">
        <v>218</v>
      </c>
      <c r="P42" s="600">
        <v>0.60416666666666663</v>
      </c>
      <c r="Q42" s="599" t="s">
        <v>224</v>
      </c>
    </row>
    <row r="43" spans="1:17" x14ac:dyDescent="0.2">
      <c r="A43" s="599" t="s">
        <v>208</v>
      </c>
      <c r="B43" s="601">
        <v>42538</v>
      </c>
      <c r="C43" s="599" t="s">
        <v>16</v>
      </c>
      <c r="D43" s="599" t="s">
        <v>67</v>
      </c>
      <c r="E43" s="600">
        <v>0.6875</v>
      </c>
      <c r="F43" s="600">
        <v>0.9375</v>
      </c>
      <c r="I43" s="605">
        <f t="shared" si="2"/>
        <v>-9999</v>
      </c>
      <c r="J43" s="607">
        <f t="shared" si="3"/>
        <v>-9999</v>
      </c>
      <c r="M43" s="599" t="s">
        <v>188</v>
      </c>
      <c r="N43" s="644">
        <v>42543</v>
      </c>
      <c r="O43" s="599" t="s">
        <v>217</v>
      </c>
      <c r="P43" s="600">
        <v>0.625</v>
      </c>
      <c r="Q43" s="599" t="s">
        <v>224</v>
      </c>
    </row>
    <row r="44" spans="1:17" x14ac:dyDescent="0.2">
      <c r="A44" s="599" t="s">
        <v>208</v>
      </c>
      <c r="B44" s="601">
        <v>42539</v>
      </c>
      <c r="C44" s="599" t="s">
        <v>16</v>
      </c>
      <c r="D44" s="599" t="s">
        <v>67</v>
      </c>
      <c r="E44" s="600">
        <v>0.6875</v>
      </c>
      <c r="F44" s="600">
        <v>0.94791666666666663</v>
      </c>
      <c r="I44" s="605">
        <f t="shared" si="2"/>
        <v>-9999</v>
      </c>
      <c r="J44" s="607">
        <f t="shared" si="3"/>
        <v>-9999</v>
      </c>
      <c r="M44" s="599" t="s">
        <v>219</v>
      </c>
      <c r="N44" s="644">
        <v>42543</v>
      </c>
      <c r="O44" s="599" t="s">
        <v>217</v>
      </c>
      <c r="P44" s="600">
        <v>0.625</v>
      </c>
      <c r="Q44" s="599" t="s">
        <v>224</v>
      </c>
    </row>
    <row r="45" spans="1:17" x14ac:dyDescent="0.2">
      <c r="A45" s="599" t="s">
        <v>208</v>
      </c>
      <c r="B45" s="601">
        <v>42540</v>
      </c>
      <c r="C45" s="599" t="s">
        <v>16</v>
      </c>
      <c r="D45" s="599" t="s">
        <v>67</v>
      </c>
      <c r="E45" s="600">
        <v>0.45833333333333331</v>
      </c>
      <c r="F45" s="600">
        <v>0.67708333333333337</v>
      </c>
      <c r="I45" s="605">
        <f t="shared" si="2"/>
        <v>-9999</v>
      </c>
      <c r="J45" s="607">
        <f t="shared" si="3"/>
        <v>-9999</v>
      </c>
      <c r="M45" s="599" t="s">
        <v>183</v>
      </c>
      <c r="N45" s="644">
        <v>42543</v>
      </c>
      <c r="O45" s="599" t="s">
        <v>217</v>
      </c>
      <c r="P45" s="600">
        <v>0.625</v>
      </c>
      <c r="Q45" s="599" t="s">
        <v>224</v>
      </c>
    </row>
    <row r="46" spans="1:17" x14ac:dyDescent="0.2">
      <c r="A46" s="599" t="s">
        <v>156</v>
      </c>
      <c r="B46" s="601">
        <v>42538</v>
      </c>
      <c r="C46" s="599" t="s">
        <v>16</v>
      </c>
      <c r="D46" s="599" t="s">
        <v>97</v>
      </c>
      <c r="E46" s="600">
        <v>0.72916666666666663</v>
      </c>
      <c r="F46" s="600">
        <v>0.9375</v>
      </c>
      <c r="I46" s="605">
        <f t="shared" si="2"/>
        <v>-9999</v>
      </c>
      <c r="J46" s="607">
        <f t="shared" si="3"/>
        <v>-9999</v>
      </c>
      <c r="M46" s="599" t="s">
        <v>182</v>
      </c>
      <c r="N46" s="644">
        <v>42539</v>
      </c>
      <c r="O46" s="599" t="s">
        <v>218</v>
      </c>
      <c r="P46" s="600">
        <v>0.69791666666666663</v>
      </c>
      <c r="Q46" s="599" t="s">
        <v>224</v>
      </c>
    </row>
    <row r="47" spans="1:17" x14ac:dyDescent="0.2">
      <c r="A47" s="599" t="s">
        <v>156</v>
      </c>
      <c r="B47" s="601">
        <v>42539</v>
      </c>
      <c r="C47" s="599" t="s">
        <v>16</v>
      </c>
      <c r="D47" s="599" t="s">
        <v>97</v>
      </c>
      <c r="E47" s="600">
        <v>0.72916666666666663</v>
      </c>
      <c r="F47" s="600">
        <v>0.94791666666666663</v>
      </c>
      <c r="I47" s="605">
        <f t="shared" si="2"/>
        <v>-9999</v>
      </c>
      <c r="J47" s="607">
        <f t="shared" si="3"/>
        <v>-9999</v>
      </c>
      <c r="M47" s="599" t="s">
        <v>221</v>
      </c>
      <c r="N47" s="644">
        <v>42540</v>
      </c>
      <c r="O47" s="599" t="s">
        <v>218</v>
      </c>
      <c r="P47" s="600">
        <v>0.83333333333333326</v>
      </c>
      <c r="Q47" s="599" t="s">
        <v>224</v>
      </c>
    </row>
    <row r="48" spans="1:17" x14ac:dyDescent="0.2">
      <c r="A48" s="599" t="s">
        <v>188</v>
      </c>
      <c r="B48" s="601">
        <v>42539</v>
      </c>
      <c r="C48" s="599" t="s">
        <v>118</v>
      </c>
      <c r="D48" s="599" t="s">
        <v>199</v>
      </c>
      <c r="E48" s="600">
        <v>0.73958333333333337</v>
      </c>
      <c r="F48" s="600">
        <v>0.95833333333333337</v>
      </c>
      <c r="I48" s="605">
        <f t="shared" si="2"/>
        <v>-9999</v>
      </c>
      <c r="J48" s="607">
        <f t="shared" si="3"/>
        <v>-9999</v>
      </c>
      <c r="N48" s="644"/>
    </row>
    <row r="49" spans="1:14" x14ac:dyDescent="0.2">
      <c r="A49" s="599" t="s">
        <v>178</v>
      </c>
      <c r="B49" s="601">
        <v>42539</v>
      </c>
      <c r="C49" s="599" t="s">
        <v>118</v>
      </c>
      <c r="D49" s="599" t="s">
        <v>199</v>
      </c>
      <c r="E49" s="600">
        <v>0.73958333333333337</v>
      </c>
      <c r="F49" s="600">
        <v>0.9375</v>
      </c>
      <c r="I49" s="605">
        <f t="shared" si="2"/>
        <v>-9999</v>
      </c>
      <c r="J49" s="607">
        <f t="shared" si="3"/>
        <v>-9999</v>
      </c>
      <c r="N49" s="644"/>
    </row>
    <row r="50" spans="1:14" x14ac:dyDescent="0.2">
      <c r="A50" s="599" t="s">
        <v>178</v>
      </c>
      <c r="B50" s="601">
        <v>42537</v>
      </c>
      <c r="C50" s="599" t="s">
        <v>24</v>
      </c>
      <c r="D50" s="599" t="s">
        <v>171</v>
      </c>
      <c r="E50" s="600">
        <v>0.4375</v>
      </c>
      <c r="F50" s="600">
        <v>0.61458333333333337</v>
      </c>
      <c r="I50" s="605">
        <f t="shared" si="2"/>
        <v>-9999</v>
      </c>
      <c r="J50" s="607">
        <f t="shared" si="3"/>
        <v>-9999</v>
      </c>
      <c r="N50" s="644"/>
    </row>
    <row r="51" spans="1:14" x14ac:dyDescent="0.2">
      <c r="A51" s="599" t="s">
        <v>179</v>
      </c>
      <c r="B51" s="601">
        <v>42537</v>
      </c>
      <c r="C51" s="599" t="s">
        <v>24</v>
      </c>
      <c r="D51" s="599" t="s">
        <v>171</v>
      </c>
      <c r="E51" s="600">
        <v>0.4375</v>
      </c>
      <c r="F51" s="600">
        <v>0.61458333333333337</v>
      </c>
      <c r="I51" s="605">
        <f t="shared" si="2"/>
        <v>-9999</v>
      </c>
      <c r="J51" s="607">
        <f t="shared" si="3"/>
        <v>-9999</v>
      </c>
      <c r="N51" s="644"/>
    </row>
    <row r="52" spans="1:14" x14ac:dyDescent="0.2">
      <c r="A52" s="599" t="s">
        <v>179</v>
      </c>
      <c r="B52" s="601">
        <v>42539</v>
      </c>
      <c r="C52" s="599" t="s">
        <v>24</v>
      </c>
      <c r="D52" s="599" t="s">
        <v>171</v>
      </c>
      <c r="E52" s="600">
        <v>0.72916666666666663</v>
      </c>
      <c r="F52" s="600">
        <v>0.94791666666666663</v>
      </c>
      <c r="I52" s="605">
        <f t="shared" si="2"/>
        <v>-9999</v>
      </c>
      <c r="J52" s="607">
        <f t="shared" si="3"/>
        <v>-9999</v>
      </c>
      <c r="N52" s="644"/>
    </row>
    <row r="53" spans="1:14" x14ac:dyDescent="0.2">
      <c r="A53" s="599" t="s">
        <v>214</v>
      </c>
      <c r="B53" s="601">
        <v>42541</v>
      </c>
      <c r="C53" s="599" t="s">
        <v>119</v>
      </c>
      <c r="D53" s="599" t="s">
        <v>206</v>
      </c>
      <c r="E53" s="600">
        <v>0.33333333333333331</v>
      </c>
      <c r="F53" s="600">
        <v>0.38541666666666669</v>
      </c>
      <c r="I53" s="605">
        <f t="shared" si="2"/>
        <v>-9999</v>
      </c>
      <c r="J53" s="607">
        <f t="shared" si="3"/>
        <v>-9999</v>
      </c>
      <c r="N53" s="644"/>
    </row>
    <row r="54" spans="1:14" x14ac:dyDescent="0.2">
      <c r="A54" s="599" t="s">
        <v>181</v>
      </c>
      <c r="B54" s="601">
        <v>42537</v>
      </c>
      <c r="C54" s="599" t="s">
        <v>145</v>
      </c>
      <c r="D54" s="599" t="s">
        <v>173</v>
      </c>
      <c r="E54" s="600">
        <v>0.6875</v>
      </c>
      <c r="F54" s="600">
        <v>0.86458333333333337</v>
      </c>
      <c r="I54" s="605">
        <f t="shared" si="2"/>
        <v>-9999</v>
      </c>
      <c r="J54" s="607">
        <f t="shared" si="3"/>
        <v>-9999</v>
      </c>
      <c r="N54" s="644"/>
    </row>
    <row r="55" spans="1:14" x14ac:dyDescent="0.2">
      <c r="A55" s="599" t="s">
        <v>193</v>
      </c>
      <c r="B55" s="601">
        <v>42539</v>
      </c>
      <c r="C55" s="599" t="s">
        <v>16</v>
      </c>
      <c r="D55" s="599" t="s">
        <v>97</v>
      </c>
      <c r="E55" s="600">
        <v>0.75</v>
      </c>
      <c r="F55" s="600">
        <v>0.9375</v>
      </c>
      <c r="I55" s="605">
        <f t="shared" si="2"/>
        <v>-9999</v>
      </c>
      <c r="J55" s="607">
        <f t="shared" si="3"/>
        <v>-9999</v>
      </c>
      <c r="N55" s="644"/>
    </row>
    <row r="56" spans="1:14" x14ac:dyDescent="0.2">
      <c r="A56" s="599" t="s">
        <v>177</v>
      </c>
      <c r="B56" s="601">
        <v>42538</v>
      </c>
      <c r="C56" s="599" t="s">
        <v>154</v>
      </c>
      <c r="D56" s="599" t="s">
        <v>175</v>
      </c>
      <c r="E56" s="600">
        <v>0.70833333333333337</v>
      </c>
      <c r="F56" s="600">
        <v>0.9375</v>
      </c>
      <c r="I56" s="605">
        <f t="shared" si="2"/>
        <v>-9999</v>
      </c>
      <c r="J56" s="607">
        <f t="shared" si="3"/>
        <v>-9999</v>
      </c>
      <c r="N56" s="644"/>
    </row>
    <row r="57" spans="1:14" x14ac:dyDescent="0.2">
      <c r="A57" s="599" t="s">
        <v>177</v>
      </c>
      <c r="B57" s="601">
        <v>42539</v>
      </c>
      <c r="C57" s="599" t="s">
        <v>154</v>
      </c>
      <c r="D57" s="599" t="s">
        <v>175</v>
      </c>
      <c r="E57" s="600">
        <v>0.70833333333333337</v>
      </c>
      <c r="F57" s="600">
        <v>0.9375</v>
      </c>
      <c r="I57" s="605">
        <f t="shared" si="2"/>
        <v>-9999</v>
      </c>
      <c r="J57" s="607">
        <f t="shared" si="3"/>
        <v>-9999</v>
      </c>
      <c r="N57" s="644"/>
    </row>
    <row r="58" spans="1:14" x14ac:dyDescent="0.2">
      <c r="A58" s="599" t="s">
        <v>177</v>
      </c>
      <c r="B58" s="601">
        <v>42537</v>
      </c>
      <c r="C58" s="599" t="s">
        <v>119</v>
      </c>
      <c r="D58" s="599" t="s">
        <v>170</v>
      </c>
      <c r="E58" s="600">
        <v>0.29166666666666669</v>
      </c>
      <c r="F58" s="600">
        <v>0.36458333333333331</v>
      </c>
      <c r="I58" s="605">
        <f t="shared" si="2"/>
        <v>-9999</v>
      </c>
      <c r="J58" s="607">
        <f t="shared" si="3"/>
        <v>-9999</v>
      </c>
      <c r="N58" s="644"/>
    </row>
    <row r="59" spans="1:14" x14ac:dyDescent="0.2">
      <c r="A59" s="599" t="s">
        <v>177</v>
      </c>
      <c r="B59" s="601">
        <v>42541</v>
      </c>
      <c r="C59" s="599" t="s">
        <v>119</v>
      </c>
      <c r="D59" s="599" t="s">
        <v>206</v>
      </c>
      <c r="E59" s="600">
        <v>0.33333333333333331</v>
      </c>
      <c r="F59" s="600">
        <v>0.38541666666666669</v>
      </c>
      <c r="I59" s="605">
        <f t="shared" si="2"/>
        <v>-9999</v>
      </c>
      <c r="J59" s="607">
        <f t="shared" si="3"/>
        <v>-9999</v>
      </c>
      <c r="N59" s="644"/>
    </row>
    <row r="60" spans="1:14" x14ac:dyDescent="0.2">
      <c r="A60" s="599" t="s">
        <v>177</v>
      </c>
      <c r="B60" s="601">
        <v>42541</v>
      </c>
      <c r="C60" s="599" t="s">
        <v>119</v>
      </c>
      <c r="D60" s="599" t="s">
        <v>170</v>
      </c>
      <c r="E60" s="600">
        <v>0.63541666666666663</v>
      </c>
      <c r="F60" s="600">
        <v>0.69791666666666663</v>
      </c>
      <c r="I60" s="605">
        <f t="shared" si="2"/>
        <v>-9999</v>
      </c>
      <c r="J60" s="607">
        <f t="shared" si="3"/>
        <v>-9999</v>
      </c>
      <c r="N60" s="644"/>
    </row>
    <row r="61" spans="1:14" x14ac:dyDescent="0.2">
      <c r="A61" s="599" t="s">
        <v>177</v>
      </c>
      <c r="B61" s="601">
        <v>42540</v>
      </c>
      <c r="C61" s="599" t="s">
        <v>16</v>
      </c>
      <c r="D61" s="599" t="s">
        <v>97</v>
      </c>
      <c r="E61" s="600">
        <v>0.5</v>
      </c>
      <c r="F61" s="600">
        <v>0.6875</v>
      </c>
      <c r="I61" s="605">
        <f t="shared" si="2"/>
        <v>-9999</v>
      </c>
      <c r="J61" s="607">
        <f t="shared" si="3"/>
        <v>-9999</v>
      </c>
      <c r="N61" s="644"/>
    </row>
    <row r="62" spans="1:14" x14ac:dyDescent="0.2">
      <c r="A62" s="599" t="s">
        <v>210</v>
      </c>
      <c r="B62" s="601">
        <v>42539</v>
      </c>
      <c r="C62" s="599" t="s">
        <v>118</v>
      </c>
      <c r="D62" s="599" t="s">
        <v>199</v>
      </c>
      <c r="E62" s="600">
        <v>0.73958333333333337</v>
      </c>
      <c r="F62" s="600">
        <v>0.9375</v>
      </c>
      <c r="I62" s="605">
        <f t="shared" si="2"/>
        <v>-9999</v>
      </c>
      <c r="J62" s="607">
        <f t="shared" si="3"/>
        <v>-9999</v>
      </c>
      <c r="N62" s="644"/>
    </row>
    <row r="63" spans="1:14" x14ac:dyDescent="0.2">
      <c r="A63" s="599" t="s">
        <v>212</v>
      </c>
      <c r="B63" s="601">
        <v>42540</v>
      </c>
      <c r="C63" s="599" t="s">
        <v>24</v>
      </c>
      <c r="D63" s="599" t="s">
        <v>203</v>
      </c>
      <c r="E63" s="600">
        <v>0.625</v>
      </c>
      <c r="F63" s="600">
        <v>0.83333333333333337</v>
      </c>
      <c r="I63" s="605">
        <f t="shared" si="2"/>
        <v>-9999</v>
      </c>
      <c r="J63" s="607">
        <f t="shared" si="3"/>
        <v>-9999</v>
      </c>
      <c r="N63" s="644"/>
    </row>
    <row r="64" spans="1:14" x14ac:dyDescent="0.2">
      <c r="A64" s="599" t="s">
        <v>180</v>
      </c>
      <c r="B64" s="601">
        <v>42539</v>
      </c>
      <c r="C64" s="599" t="s">
        <v>118</v>
      </c>
      <c r="D64" s="599" t="s">
        <v>197</v>
      </c>
      <c r="E64" s="600">
        <v>0.375</v>
      </c>
      <c r="F64" s="600">
        <v>0.59375</v>
      </c>
      <c r="I64" s="605">
        <f t="shared" si="2"/>
        <v>-9999</v>
      </c>
      <c r="J64" s="607">
        <f t="shared" si="3"/>
        <v>-9999</v>
      </c>
      <c r="N64" s="644"/>
    </row>
    <row r="65" spans="1:14" x14ac:dyDescent="0.2">
      <c r="A65" s="599" t="s">
        <v>180</v>
      </c>
      <c r="B65" s="601">
        <v>42539</v>
      </c>
      <c r="C65" s="599" t="s">
        <v>118</v>
      </c>
      <c r="D65" s="599" t="s">
        <v>199</v>
      </c>
      <c r="E65" s="600">
        <v>0.72916666666666663</v>
      </c>
      <c r="F65" s="600">
        <v>0.96875</v>
      </c>
      <c r="I65" s="605">
        <f t="shared" si="2"/>
        <v>-9999</v>
      </c>
      <c r="J65" s="607">
        <f t="shared" si="3"/>
        <v>-9999</v>
      </c>
      <c r="N65" s="644"/>
    </row>
    <row r="66" spans="1:14" x14ac:dyDescent="0.2">
      <c r="A66" s="599" t="s">
        <v>190</v>
      </c>
      <c r="B66" s="601">
        <v>42538</v>
      </c>
      <c r="C66" s="599" t="s">
        <v>77</v>
      </c>
      <c r="D66" s="599" t="s">
        <v>176</v>
      </c>
      <c r="E66" s="600">
        <v>0.9375</v>
      </c>
      <c r="F66" s="600">
        <v>0.125</v>
      </c>
      <c r="I66" s="605">
        <f t="shared" ref="I66:I76" si="4">IF(G66="",-9999,ABS(ROUND((IF(E66&lt;0.25,E66+1,E66)-IF(G66&lt;0.25,G66+1,G66))*24,2)))</f>
        <v>-9999</v>
      </c>
      <c r="J66" s="607">
        <f t="shared" ref="J66:J76" si="5">IF(H66="",-9999,ABS(ROUND((IF(F66&lt;0.25,F66+1,F66)-IF(H66&lt;0.25,H66+1,H66))*24,2)))</f>
        <v>-9999</v>
      </c>
      <c r="N66" s="644"/>
    </row>
    <row r="67" spans="1:14" x14ac:dyDescent="0.2">
      <c r="A67" s="599" t="s">
        <v>157</v>
      </c>
      <c r="B67" s="601">
        <v>42537</v>
      </c>
      <c r="C67" s="599" t="s">
        <v>50</v>
      </c>
      <c r="D67" s="599" t="s">
        <v>196</v>
      </c>
      <c r="E67" s="600">
        <v>0.45833333333333331</v>
      </c>
      <c r="F67" s="600">
        <v>0.58333333333333337</v>
      </c>
      <c r="I67" s="605">
        <f t="shared" si="4"/>
        <v>-9999</v>
      </c>
      <c r="J67" s="607">
        <f t="shared" si="5"/>
        <v>-9999</v>
      </c>
      <c r="N67" s="644"/>
    </row>
    <row r="68" spans="1:14" x14ac:dyDescent="0.2">
      <c r="A68" s="599" t="s">
        <v>157</v>
      </c>
      <c r="B68" s="601">
        <v>42538</v>
      </c>
      <c r="C68" s="599" t="s">
        <v>50</v>
      </c>
      <c r="D68" s="599" t="s">
        <v>196</v>
      </c>
      <c r="E68" s="600">
        <v>0.46875</v>
      </c>
      <c r="F68" s="600">
        <v>0.55208333333333337</v>
      </c>
      <c r="I68" s="605">
        <f t="shared" si="4"/>
        <v>-9999</v>
      </c>
      <c r="J68" s="607">
        <f t="shared" si="5"/>
        <v>-9999</v>
      </c>
      <c r="N68" s="644"/>
    </row>
    <row r="69" spans="1:14" x14ac:dyDescent="0.2">
      <c r="A69" s="599" t="s">
        <v>157</v>
      </c>
      <c r="B69" s="601">
        <v>42541</v>
      </c>
      <c r="C69" s="599" t="s">
        <v>50</v>
      </c>
      <c r="D69" s="599" t="s">
        <v>196</v>
      </c>
      <c r="E69" s="600">
        <v>0.45833333333333331</v>
      </c>
      <c r="F69" s="600">
        <v>0.58333333333333337</v>
      </c>
      <c r="I69" s="605">
        <f t="shared" si="4"/>
        <v>-9999</v>
      </c>
      <c r="J69" s="607">
        <f t="shared" si="5"/>
        <v>-9999</v>
      </c>
      <c r="N69" s="644"/>
    </row>
    <row r="70" spans="1:14" x14ac:dyDescent="0.2">
      <c r="A70" s="599" t="s">
        <v>157</v>
      </c>
      <c r="B70" s="601">
        <v>42542</v>
      </c>
      <c r="C70" s="599" t="s">
        <v>50</v>
      </c>
      <c r="D70" s="599" t="s">
        <v>196</v>
      </c>
      <c r="E70" s="600">
        <v>0.45833333333333331</v>
      </c>
      <c r="F70" s="600">
        <v>0.58333333333333337</v>
      </c>
      <c r="I70" s="605">
        <f t="shared" si="4"/>
        <v>-9999</v>
      </c>
      <c r="J70" s="607">
        <f t="shared" si="5"/>
        <v>-9999</v>
      </c>
      <c r="N70" s="644"/>
    </row>
    <row r="71" spans="1:14" x14ac:dyDescent="0.2">
      <c r="A71" s="599" t="s">
        <v>211</v>
      </c>
      <c r="B71" s="601">
        <v>42539</v>
      </c>
      <c r="C71" s="599" t="s">
        <v>118</v>
      </c>
      <c r="D71" s="599" t="s">
        <v>199</v>
      </c>
      <c r="E71" s="600">
        <v>0.73958333333333337</v>
      </c>
      <c r="F71" s="600">
        <v>0.9375</v>
      </c>
      <c r="I71" s="605">
        <f t="shared" si="4"/>
        <v>-9999</v>
      </c>
      <c r="J71" s="607">
        <f t="shared" si="5"/>
        <v>-9999</v>
      </c>
      <c r="N71" s="644"/>
    </row>
    <row r="72" spans="1:14" x14ac:dyDescent="0.2">
      <c r="A72" s="599" t="s">
        <v>187</v>
      </c>
      <c r="B72" s="601">
        <v>42541</v>
      </c>
      <c r="C72" s="599" t="s">
        <v>119</v>
      </c>
      <c r="D72" s="599" t="s">
        <v>170</v>
      </c>
      <c r="E72" s="600">
        <v>0.64583333333333337</v>
      </c>
      <c r="F72" s="600">
        <v>0.6875</v>
      </c>
      <c r="I72" s="605">
        <f t="shared" si="4"/>
        <v>-9999</v>
      </c>
      <c r="J72" s="607">
        <f t="shared" si="5"/>
        <v>-9999</v>
      </c>
      <c r="N72" s="644"/>
    </row>
    <row r="73" spans="1:14" x14ac:dyDescent="0.2">
      <c r="A73" s="599" t="s">
        <v>209</v>
      </c>
      <c r="B73" s="601">
        <v>42539</v>
      </c>
      <c r="C73" s="599" t="s">
        <v>118</v>
      </c>
      <c r="D73" s="599" t="s">
        <v>199</v>
      </c>
      <c r="E73" s="600">
        <v>0.375</v>
      </c>
      <c r="F73" s="600">
        <v>0.57291666666666663</v>
      </c>
      <c r="I73" s="605">
        <f t="shared" si="4"/>
        <v>-9999</v>
      </c>
      <c r="J73" s="607">
        <f t="shared" si="5"/>
        <v>-9999</v>
      </c>
      <c r="N73" s="644"/>
    </row>
    <row r="74" spans="1:14" x14ac:dyDescent="0.2">
      <c r="A74" s="599" t="s">
        <v>182</v>
      </c>
      <c r="B74" s="601">
        <v>42539</v>
      </c>
      <c r="C74" s="599" t="s">
        <v>118</v>
      </c>
      <c r="D74" s="599" t="s">
        <v>199</v>
      </c>
      <c r="E74" s="600">
        <v>0.39583333333333331</v>
      </c>
      <c r="F74" s="600">
        <v>0.54166666666666663</v>
      </c>
      <c r="I74" s="605">
        <f t="shared" si="4"/>
        <v>-9999</v>
      </c>
      <c r="J74" s="607">
        <f t="shared" si="5"/>
        <v>-9999</v>
      </c>
      <c r="N74" s="644"/>
    </row>
    <row r="75" spans="1:14" x14ac:dyDescent="0.2">
      <c r="A75" s="599" t="s">
        <v>182</v>
      </c>
      <c r="B75" s="601">
        <v>42539</v>
      </c>
      <c r="C75" s="599" t="s">
        <v>145</v>
      </c>
      <c r="D75" s="599" t="s">
        <v>173</v>
      </c>
      <c r="E75" s="600">
        <v>0.58333333333333337</v>
      </c>
      <c r="F75" s="600">
        <v>0.69791666666666663</v>
      </c>
      <c r="I75" s="605">
        <f t="shared" si="4"/>
        <v>-9999</v>
      </c>
      <c r="J75" s="607">
        <f t="shared" si="5"/>
        <v>-9999</v>
      </c>
      <c r="N75" s="644"/>
    </row>
    <row r="76" spans="1:14" x14ac:dyDescent="0.2">
      <c r="A76" s="599" t="s">
        <v>183</v>
      </c>
      <c r="B76" s="601">
        <v>42539</v>
      </c>
      <c r="C76" s="599" t="s">
        <v>118</v>
      </c>
      <c r="D76" s="599" t="s">
        <v>199</v>
      </c>
      <c r="E76" s="600">
        <v>0.73958333333333337</v>
      </c>
      <c r="F76" s="600">
        <v>0.9375</v>
      </c>
      <c r="I76" s="605">
        <f t="shared" si="4"/>
        <v>-9999</v>
      </c>
      <c r="J76" s="607">
        <f t="shared" si="5"/>
        <v>-9999</v>
      </c>
      <c r="N76" s="644"/>
    </row>
    <row r="77" spans="1:14" x14ac:dyDescent="0.2">
      <c r="N77" s="644"/>
    </row>
    <row r="78" spans="1:14" x14ac:dyDescent="0.2">
      <c r="N78" s="644"/>
    </row>
    <row r="79" spans="1:14" x14ac:dyDescent="0.2">
      <c r="N79" s="644"/>
    </row>
    <row r="80" spans="1:14" x14ac:dyDescent="0.2">
      <c r="N80" s="644"/>
    </row>
    <row r="81" spans="14:14" x14ac:dyDescent="0.2">
      <c r="N81" s="644"/>
    </row>
    <row r="82" spans="14:14" x14ac:dyDescent="0.2">
      <c r="N82" s="644"/>
    </row>
    <row r="83" spans="14:14" x14ac:dyDescent="0.2">
      <c r="N83" s="644"/>
    </row>
    <row r="84" spans="14:14" x14ac:dyDescent="0.2">
      <c r="N84" s="644"/>
    </row>
    <row r="85" spans="14:14" x14ac:dyDescent="0.2">
      <c r="N85" s="644"/>
    </row>
    <row r="86" spans="14:14" x14ac:dyDescent="0.2">
      <c r="N86" s="644"/>
    </row>
    <row r="87" spans="14:14" x14ac:dyDescent="0.2">
      <c r="N87" s="644"/>
    </row>
    <row r="88" spans="14:14" x14ac:dyDescent="0.2">
      <c r="N88" s="644"/>
    </row>
    <row r="89" spans="14:14" x14ac:dyDescent="0.2">
      <c r="N89" s="644"/>
    </row>
    <row r="90" spans="14:14" x14ac:dyDescent="0.2">
      <c r="N90" s="644"/>
    </row>
    <row r="91" spans="14:14" x14ac:dyDescent="0.2">
      <c r="N91" s="644"/>
    </row>
    <row r="92" spans="14:14" x14ac:dyDescent="0.2">
      <c r="N92" s="644"/>
    </row>
    <row r="93" spans="14:14" x14ac:dyDescent="0.2">
      <c r="N93" s="644"/>
    </row>
    <row r="94" spans="14:14" x14ac:dyDescent="0.2">
      <c r="N94" s="644"/>
    </row>
    <row r="95" spans="14:14" x14ac:dyDescent="0.2">
      <c r="N95" s="644"/>
    </row>
    <row r="96" spans="14:14" x14ac:dyDescent="0.2">
      <c r="N96" s="644"/>
    </row>
    <row r="97" spans="14:14" x14ac:dyDescent="0.2">
      <c r="N97" s="644"/>
    </row>
    <row r="98" spans="14:14" x14ac:dyDescent="0.2">
      <c r="N98" s="644"/>
    </row>
    <row r="99" spans="14:14" x14ac:dyDescent="0.2">
      <c r="N99" s="644"/>
    </row>
    <row r="100" spans="14:14" x14ac:dyDescent="0.2">
      <c r="N100" s="644"/>
    </row>
    <row r="101" spans="14:14" x14ac:dyDescent="0.2">
      <c r="N101" s="644"/>
    </row>
    <row r="102" spans="14:14" x14ac:dyDescent="0.2">
      <c r="N102" s="644"/>
    </row>
    <row r="103" spans="14:14" x14ac:dyDescent="0.2">
      <c r="N103" s="644"/>
    </row>
    <row r="104" spans="14:14" x14ac:dyDescent="0.2">
      <c r="N104" s="644"/>
    </row>
    <row r="105" spans="14:14" x14ac:dyDescent="0.2">
      <c r="N105" s="644"/>
    </row>
    <row r="106" spans="14:14" x14ac:dyDescent="0.2">
      <c r="N106" s="644"/>
    </row>
    <row r="107" spans="14:14" x14ac:dyDescent="0.2">
      <c r="N107" s="644"/>
    </row>
    <row r="108" spans="14:14" x14ac:dyDescent="0.2">
      <c r="N108" s="644"/>
    </row>
    <row r="109" spans="14:14" x14ac:dyDescent="0.2">
      <c r="N109" s="644"/>
    </row>
    <row r="110" spans="14:14" x14ac:dyDescent="0.2">
      <c r="N110" s="644"/>
    </row>
    <row r="111" spans="14:14" x14ac:dyDescent="0.2">
      <c r="N111" s="644"/>
    </row>
    <row r="112" spans="14:14" x14ac:dyDescent="0.2">
      <c r="N112" s="644"/>
    </row>
    <row r="113" spans="14:14" x14ac:dyDescent="0.2">
      <c r="N113" s="644"/>
    </row>
    <row r="114" spans="14:14" x14ac:dyDescent="0.2">
      <c r="N114" s="644"/>
    </row>
    <row r="115" spans="14:14" x14ac:dyDescent="0.2">
      <c r="N115" s="644"/>
    </row>
    <row r="116" spans="14:14" x14ac:dyDescent="0.2">
      <c r="N116" s="644"/>
    </row>
    <row r="117" spans="14:14" x14ac:dyDescent="0.2">
      <c r="N117" s="644"/>
    </row>
    <row r="118" spans="14:14" x14ac:dyDescent="0.2">
      <c r="N118" s="644"/>
    </row>
    <row r="119" spans="14:14" x14ac:dyDescent="0.2">
      <c r="N119" s="644"/>
    </row>
    <row r="120" spans="14:14" x14ac:dyDescent="0.2">
      <c r="N120" s="644"/>
    </row>
    <row r="121" spans="14:14" x14ac:dyDescent="0.2">
      <c r="N121" s="644"/>
    </row>
    <row r="122" spans="14:14" x14ac:dyDescent="0.2">
      <c r="N122" s="644"/>
    </row>
    <row r="123" spans="14:14" x14ac:dyDescent="0.2">
      <c r="N123" s="644"/>
    </row>
    <row r="124" spans="14:14" x14ac:dyDescent="0.2">
      <c r="N124" s="644"/>
    </row>
    <row r="125" spans="14:14" x14ac:dyDescent="0.2">
      <c r="N125" s="644"/>
    </row>
    <row r="126" spans="14:14" x14ac:dyDescent="0.2">
      <c r="N126" s="644"/>
    </row>
    <row r="127" spans="14:14" x14ac:dyDescent="0.2">
      <c r="N127" s="644"/>
    </row>
    <row r="128" spans="14:14" x14ac:dyDescent="0.2">
      <c r="N128" s="644"/>
    </row>
    <row r="129" spans="14:14" x14ac:dyDescent="0.2">
      <c r="N129" s="644"/>
    </row>
    <row r="130" spans="14:14" x14ac:dyDescent="0.2">
      <c r="N130" s="644"/>
    </row>
    <row r="131" spans="14:14" x14ac:dyDescent="0.2">
      <c r="N131" s="644"/>
    </row>
    <row r="132" spans="14:14" x14ac:dyDescent="0.2">
      <c r="N132" s="644"/>
    </row>
    <row r="133" spans="14:14" x14ac:dyDescent="0.2">
      <c r="N133" s="644"/>
    </row>
    <row r="134" spans="14:14" x14ac:dyDescent="0.2">
      <c r="N134" s="644"/>
    </row>
    <row r="135" spans="14:14" x14ac:dyDescent="0.2">
      <c r="N135" s="644"/>
    </row>
    <row r="136" spans="14:14" x14ac:dyDescent="0.2">
      <c r="N136" s="644"/>
    </row>
    <row r="137" spans="14:14" x14ac:dyDescent="0.2">
      <c r="N137" s="644"/>
    </row>
    <row r="138" spans="14:14" x14ac:dyDescent="0.2">
      <c r="N138" s="644"/>
    </row>
    <row r="139" spans="14:14" x14ac:dyDescent="0.2">
      <c r="N139" s="644"/>
    </row>
    <row r="140" spans="14:14" x14ac:dyDescent="0.2">
      <c r="N140" s="644"/>
    </row>
    <row r="141" spans="14:14" x14ac:dyDescent="0.2">
      <c r="N141" s="644"/>
    </row>
    <row r="142" spans="14:14" x14ac:dyDescent="0.2">
      <c r="N142" s="644"/>
    </row>
    <row r="143" spans="14:14" x14ac:dyDescent="0.2">
      <c r="N143" s="644"/>
    </row>
    <row r="144" spans="14:14" x14ac:dyDescent="0.2">
      <c r="N144" s="644"/>
    </row>
    <row r="145" spans="14:14" x14ac:dyDescent="0.2">
      <c r="N145" s="644"/>
    </row>
    <row r="146" spans="14:14" x14ac:dyDescent="0.2">
      <c r="N146" s="644"/>
    </row>
    <row r="147" spans="14:14" x14ac:dyDescent="0.2">
      <c r="N147" s="644"/>
    </row>
    <row r="148" spans="14:14" x14ac:dyDescent="0.2">
      <c r="N148" s="644"/>
    </row>
    <row r="149" spans="14:14" x14ac:dyDescent="0.2">
      <c r="N149" s="644"/>
    </row>
    <row r="150" spans="14:14" x14ac:dyDescent="0.2">
      <c r="N150" s="644"/>
    </row>
    <row r="151" spans="14:14" x14ac:dyDescent="0.2">
      <c r="N151" s="644"/>
    </row>
    <row r="152" spans="14:14" x14ac:dyDescent="0.2">
      <c r="N152" s="644"/>
    </row>
    <row r="153" spans="14:14" x14ac:dyDescent="0.2">
      <c r="N153" s="644"/>
    </row>
    <row r="154" spans="14:14" x14ac:dyDescent="0.2">
      <c r="N154" s="644"/>
    </row>
    <row r="155" spans="14:14" x14ac:dyDescent="0.2">
      <c r="N155" s="644"/>
    </row>
    <row r="156" spans="14:14" x14ac:dyDescent="0.2">
      <c r="N156" s="644"/>
    </row>
    <row r="157" spans="14:14" x14ac:dyDescent="0.2">
      <c r="N157" s="644"/>
    </row>
    <row r="158" spans="14:14" x14ac:dyDescent="0.2">
      <c r="N158" s="644"/>
    </row>
    <row r="159" spans="14:14" x14ac:dyDescent="0.2">
      <c r="N159" s="644"/>
    </row>
    <row r="160" spans="14:14" x14ac:dyDescent="0.2">
      <c r="N160" s="644"/>
    </row>
    <row r="161" spans="14:14" x14ac:dyDescent="0.2">
      <c r="N161" s="644"/>
    </row>
    <row r="162" spans="14:14" x14ac:dyDescent="0.2">
      <c r="N162" s="644"/>
    </row>
    <row r="163" spans="14:14" x14ac:dyDescent="0.2">
      <c r="N163" s="644"/>
    </row>
    <row r="164" spans="14:14" x14ac:dyDescent="0.2">
      <c r="N164" s="644"/>
    </row>
    <row r="165" spans="14:14" x14ac:dyDescent="0.2">
      <c r="N165" s="644"/>
    </row>
    <row r="166" spans="14:14" x14ac:dyDescent="0.2">
      <c r="N166" s="644"/>
    </row>
    <row r="167" spans="14:14" x14ac:dyDescent="0.2">
      <c r="N167" s="644"/>
    </row>
    <row r="168" spans="14:14" x14ac:dyDescent="0.2">
      <c r="N168" s="644"/>
    </row>
    <row r="169" spans="14:14" x14ac:dyDescent="0.2">
      <c r="N169" s="644"/>
    </row>
  </sheetData>
  <sheetProtection algorithmName="SHA-512" hashValue="m5rjp/fiR30yMgY/1eLoC/FztyATiCguqkJ48zavGYDYHzAKXp49XzVSiv/ZCpm6YvJxDfod3gam4RAZlHM67w==" saltValue="to/v8T/Fl6QLvzVn1xqE8Q==" spinCount="100000" sheet="1" objects="1" scenarios="1"/>
  <sortState ref="A2:J76">
    <sortCondition descending="1" ref="J2:J7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2016-06-23T20:55:26Z</dcterms:modified>
  <cp:version>5.2.1</cp:version>
</cp:coreProperties>
</file>
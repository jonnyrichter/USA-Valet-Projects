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chterj\Desktop\USA-Valet-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6" windowHeight="8112" tabRatio="586" activeTab="13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Total!$A$4:$X$51</definedName>
    <definedName name="DriverData">Driver!$A$1:$V$19</definedName>
    <definedName name="DriverEmp">Driver!$C$1:$V$1</definedName>
    <definedName name="DriverSortField">Driver!$C$1:$V$19</definedName>
    <definedName name="EmployeeList">Total!$Z$2:$Z$51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Total!$A$2:$A$3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Total!$B$2:$B$51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Total!$A$4:$A$51</definedName>
    <definedName name="TotalMisc">Total!$W$2:$W$51</definedName>
    <definedName name="TotalNonHrly">Total!$Z$2:$Z$3</definedName>
    <definedName name="TotalRegWage">Total!$B$2:$B$51</definedName>
    <definedName name="TotalSecWage">Total!$C$2:$C$51</definedName>
    <definedName name="TotalSortField">Total!$A$4:$Z$51</definedName>
    <definedName name="TotalTotals">Total!$D$58:$G$58</definedName>
    <definedName name="TotalVariance">Total!$X$55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Total!$A$4:$X$51</definedName>
  </definedNames>
  <calcPr calcId="152511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J217" i="16" l="1"/>
  <c r="I217" i="16"/>
  <c r="J216" i="16"/>
  <c r="I216" i="16"/>
  <c r="J215" i="16"/>
  <c r="I215" i="16"/>
  <c r="J214" i="16"/>
  <c r="I214" i="16"/>
  <c r="J213" i="16"/>
  <c r="I213" i="16"/>
  <c r="J212" i="16"/>
  <c r="I212" i="16"/>
  <c r="J211" i="16"/>
  <c r="I211" i="16"/>
  <c r="J210" i="16"/>
  <c r="I210" i="16"/>
  <c r="J209" i="16"/>
  <c r="I209" i="16"/>
  <c r="J208" i="16"/>
  <c r="I208" i="16"/>
  <c r="J207" i="16"/>
  <c r="I207" i="16"/>
  <c r="J206" i="16"/>
  <c r="I206" i="16"/>
  <c r="J205" i="16"/>
  <c r="I205" i="16"/>
  <c r="J204" i="16"/>
  <c r="I204" i="16"/>
  <c r="J203" i="16"/>
  <c r="I203" i="16"/>
  <c r="J202" i="16"/>
  <c r="I202" i="16"/>
  <c r="J201" i="16"/>
  <c r="I201" i="16"/>
  <c r="J200" i="16"/>
  <c r="I200" i="16"/>
  <c r="J199" i="16"/>
  <c r="I199" i="16"/>
  <c r="J198" i="16"/>
  <c r="I198" i="16"/>
  <c r="J197" i="16"/>
  <c r="I197" i="16"/>
  <c r="J196" i="16"/>
  <c r="I196" i="16"/>
  <c r="J195" i="16"/>
  <c r="I195" i="16"/>
  <c r="J194" i="16"/>
  <c r="I194" i="16"/>
  <c r="J193" i="16"/>
  <c r="I193" i="16"/>
  <c r="J192" i="16"/>
  <c r="I192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178" i="16"/>
  <c r="I178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161" i="16"/>
  <c r="I161" i="16"/>
  <c r="J160" i="16"/>
  <c r="I160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138" i="16"/>
  <c r="I138" i="16"/>
  <c r="J137" i="16"/>
  <c r="I137" i="16"/>
  <c r="J136" i="16"/>
  <c r="I136" i="16"/>
  <c r="J135" i="16"/>
  <c r="I135" i="16"/>
  <c r="J134" i="16"/>
  <c r="I134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126" i="16"/>
  <c r="I126" i="16"/>
  <c r="J125" i="16"/>
  <c r="I125" i="16"/>
  <c r="J124" i="16"/>
  <c r="I124" i="16"/>
  <c r="J123" i="16"/>
  <c r="I123" i="16"/>
  <c r="J122" i="16"/>
  <c r="I122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104" i="16"/>
  <c r="I104" i="16"/>
  <c r="J103" i="16"/>
  <c r="I103" i="16"/>
  <c r="J102" i="16"/>
  <c r="I102" i="16"/>
  <c r="J101" i="16"/>
  <c r="I101" i="16"/>
  <c r="J100" i="16"/>
  <c r="I100" i="16"/>
  <c r="J99" i="16"/>
  <c r="I99" i="16"/>
  <c r="J98" i="16"/>
  <c r="I98" i="16"/>
  <c r="J97" i="16"/>
  <c r="I97" i="16"/>
  <c r="J96" i="16"/>
  <c r="I96" i="16"/>
  <c r="J95" i="16"/>
  <c r="I95" i="16"/>
  <c r="J94" i="16"/>
  <c r="I94" i="16"/>
  <c r="J93" i="16"/>
  <c r="I93" i="16"/>
  <c r="J92" i="16"/>
  <c r="I92" i="16"/>
  <c r="J91" i="16"/>
  <c r="I91" i="16"/>
  <c r="J90" i="16"/>
  <c r="I90" i="16"/>
  <c r="J89" i="16"/>
  <c r="I89" i="16"/>
  <c r="J88" i="16"/>
  <c r="I88" i="16"/>
  <c r="J87" i="16"/>
  <c r="I87" i="16"/>
  <c r="J86" i="16"/>
  <c r="I86" i="16"/>
  <c r="J85" i="16"/>
  <c r="I85" i="16"/>
  <c r="J84" i="16"/>
  <c r="I84" i="16"/>
  <c r="J83" i="16"/>
  <c r="I83" i="16"/>
  <c r="J82" i="16"/>
  <c r="I82" i="16"/>
  <c r="J81" i="16"/>
  <c r="I81" i="16"/>
  <c r="J80" i="16"/>
  <c r="I80" i="16"/>
  <c r="J79" i="16"/>
  <c r="I79" i="16"/>
  <c r="J78" i="16"/>
  <c r="I78" i="16"/>
  <c r="J77" i="16"/>
  <c r="I77" i="16"/>
  <c r="J76" i="16"/>
  <c r="I76" i="16"/>
  <c r="J75" i="16"/>
  <c r="I75" i="16"/>
  <c r="J74" i="16"/>
  <c r="I74" i="16"/>
  <c r="J73" i="16"/>
  <c r="I73" i="16"/>
  <c r="J72" i="16"/>
  <c r="I72" i="16"/>
  <c r="J71" i="16"/>
  <c r="I71" i="16"/>
  <c r="J70" i="16"/>
  <c r="I70" i="16"/>
  <c r="J69" i="16"/>
  <c r="I69" i="16"/>
  <c r="J68" i="16"/>
  <c r="I68" i="16"/>
  <c r="J67" i="16"/>
  <c r="I67" i="16"/>
  <c r="J66" i="16"/>
  <c r="I66" i="16"/>
  <c r="J65" i="16"/>
  <c r="I65" i="16"/>
  <c r="J64" i="16"/>
  <c r="I64" i="16"/>
  <c r="J63" i="16"/>
  <c r="I63" i="16"/>
  <c r="J62" i="16"/>
  <c r="I62" i="16"/>
  <c r="J61" i="16"/>
  <c r="I61" i="16"/>
  <c r="J60" i="16"/>
  <c r="I60" i="16"/>
  <c r="J59" i="16"/>
  <c r="I59" i="16"/>
  <c r="J58" i="16"/>
  <c r="I58" i="16"/>
  <c r="J57" i="16"/>
  <c r="I57" i="16"/>
  <c r="J56" i="16"/>
  <c r="I56" i="16"/>
  <c r="J55" i="16"/>
  <c r="I55" i="16"/>
  <c r="J54" i="16"/>
  <c r="I54" i="16"/>
  <c r="J53" i="16"/>
  <c r="I53" i="16"/>
  <c r="J52" i="16"/>
  <c r="I52" i="16"/>
  <c r="J51" i="16"/>
  <c r="I51" i="16"/>
  <c r="J50" i="16"/>
  <c r="I50" i="16"/>
  <c r="J49" i="16"/>
  <c r="I49" i="16"/>
  <c r="J48" i="16"/>
  <c r="I48" i="16"/>
  <c r="J47" i="16"/>
  <c r="I47" i="16"/>
  <c r="J46" i="16"/>
  <c r="I46" i="16"/>
  <c r="J45" i="16"/>
  <c r="I45" i="16"/>
  <c r="J44" i="16"/>
  <c r="I44" i="16"/>
  <c r="J43" i="16"/>
  <c r="I43" i="16"/>
  <c r="J42" i="16"/>
  <c r="I42" i="16"/>
  <c r="J41" i="16"/>
  <c r="I41" i="16"/>
  <c r="J40" i="16"/>
  <c r="I40" i="16"/>
  <c r="J39" i="16"/>
  <c r="I39" i="16"/>
  <c r="J38" i="16"/>
  <c r="I38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31" i="16"/>
  <c r="I31" i="16"/>
  <c r="J30" i="16"/>
  <c r="I30" i="16"/>
  <c r="J29" i="16"/>
  <c r="I29" i="16"/>
  <c r="J28" i="16"/>
  <c r="I28" i="16"/>
  <c r="J27" i="16"/>
  <c r="I27" i="16"/>
  <c r="J26" i="16"/>
  <c r="I26" i="16"/>
  <c r="J25" i="16"/>
  <c r="I25" i="16"/>
  <c r="J24" i="16"/>
  <c r="I24" i="16"/>
  <c r="J23" i="16"/>
  <c r="I23" i="16"/>
  <c r="J22" i="16"/>
  <c r="I22" i="16"/>
  <c r="J21" i="16"/>
  <c r="I21" i="16"/>
  <c r="J20" i="16"/>
  <c r="I20" i="16"/>
  <c r="J19" i="16"/>
  <c r="I19" i="16"/>
  <c r="J18" i="16"/>
  <c r="I18" i="16"/>
  <c r="J17" i="16"/>
  <c r="I17" i="16"/>
  <c r="J16" i="16"/>
  <c r="I16" i="16"/>
  <c r="J15" i="16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J3" i="16"/>
  <c r="I3" i="16"/>
  <c r="J2" i="16"/>
  <c r="I2" i="16"/>
  <c r="Z208" i="13"/>
  <c r="Z207" i="13"/>
  <c r="Z206" i="13"/>
  <c r="Z205" i="13"/>
  <c r="Z204" i="13"/>
  <c r="Z203" i="13"/>
  <c r="Z190" i="13"/>
  <c r="Z175" i="13"/>
  <c r="Z189" i="13"/>
  <c r="Z182" i="13"/>
  <c r="Z186" i="13"/>
  <c r="Z194" i="13"/>
  <c r="Z198" i="13"/>
  <c r="Z202" i="13"/>
  <c r="Z185" i="13"/>
  <c r="Z193" i="13"/>
  <c r="Z180" i="13"/>
  <c r="Z181" i="13"/>
  <c r="Z195" i="13"/>
  <c r="Z184" i="13"/>
  <c r="Z201" i="13"/>
  <c r="Z176" i="13"/>
  <c r="Z188" i="13"/>
  <c r="Z200" i="13"/>
  <c r="Z192" i="13"/>
  <c r="Z177" i="13"/>
  <c r="Z179" i="13"/>
  <c r="Z197" i="13"/>
  <c r="Z191" i="13"/>
  <c r="Z178" i="13"/>
  <c r="Z196" i="13"/>
  <c r="Z187" i="13"/>
  <c r="Z183" i="13"/>
  <c r="Z199" i="13"/>
  <c r="Z209" i="13"/>
  <c r="Z50" i="1" l="1"/>
  <c r="AW1" i="11" s="1"/>
  <c r="Z49" i="1"/>
  <c r="H49" i="1" s="1"/>
  <c r="Z173" i="13"/>
  <c r="Z171" i="13"/>
  <c r="Z167" i="13"/>
  <c r="Z166" i="13"/>
  <c r="Z165" i="13"/>
  <c r="Z169" i="13"/>
  <c r="Z160" i="13"/>
  <c r="Z172" i="13"/>
  <c r="Z162" i="13"/>
  <c r="Z174" i="13"/>
  <c r="Z161" i="13"/>
  <c r="Z168" i="13"/>
  <c r="Z163" i="13"/>
  <c r="Z159" i="13"/>
  <c r="Z164" i="13"/>
  <c r="Z158" i="13"/>
  <c r="Z170" i="13"/>
  <c r="M50" i="1" l="1"/>
  <c r="U50" i="1"/>
  <c r="Q50" i="1"/>
  <c r="I50" i="1"/>
  <c r="T50" i="1"/>
  <c r="S50" i="1"/>
  <c r="O50" i="1"/>
  <c r="K50" i="1"/>
  <c r="G50" i="1"/>
  <c r="P50" i="1"/>
  <c r="L50" i="1"/>
  <c r="H50" i="1"/>
  <c r="R50" i="1"/>
  <c r="N50" i="1"/>
  <c r="J50" i="1"/>
  <c r="F50" i="1"/>
  <c r="AV1" i="11"/>
  <c r="U49" i="1"/>
  <c r="M49" i="1"/>
  <c r="I49" i="1"/>
  <c r="S49" i="1"/>
  <c r="O49" i="1"/>
  <c r="K49" i="1"/>
  <c r="G49" i="1"/>
  <c r="R49" i="1"/>
  <c r="N49" i="1"/>
  <c r="J49" i="1"/>
  <c r="F49" i="1"/>
  <c r="Q49" i="1"/>
  <c r="T49" i="1"/>
  <c r="P49" i="1"/>
  <c r="L49" i="1"/>
  <c r="Z147" i="13"/>
  <c r="Z155" i="13"/>
  <c r="Z138" i="13"/>
  <c r="Z150" i="13"/>
  <c r="Z151" i="13"/>
  <c r="Z146" i="13"/>
  <c r="Z139" i="13"/>
  <c r="Z134" i="13"/>
  <c r="Z149" i="13"/>
  <c r="Z156" i="13"/>
  <c r="Z143" i="13"/>
  <c r="Z144" i="13"/>
  <c r="Z137" i="13"/>
  <c r="Z157" i="13"/>
  <c r="Z135" i="13"/>
  <c r="Z136" i="13"/>
  <c r="Z142" i="13"/>
  <c r="Z140" i="13"/>
  <c r="Z154" i="13"/>
  <c r="Z133" i="13"/>
  <c r="Z148" i="13"/>
  <c r="Z141" i="13"/>
  <c r="Z153" i="13"/>
  <c r="Z145" i="13"/>
  <c r="Z152" i="13"/>
  <c r="D50" i="1" l="1"/>
  <c r="D49" i="1"/>
  <c r="U2" i="13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U17" i="10"/>
  <c r="M17" i="10"/>
  <c r="D17" i="10"/>
  <c r="A17" i="10"/>
  <c r="AG17" i="10" s="1"/>
  <c r="AJ16" i="10"/>
  <c r="AH16" i="10"/>
  <c r="AF16" i="10"/>
  <c r="AD16" i="10"/>
  <c r="AB16" i="10"/>
  <c r="Z16" i="10"/>
  <c r="X16" i="10"/>
  <c r="V16" i="10"/>
  <c r="T16" i="10"/>
  <c r="R16" i="10"/>
  <c r="P16" i="10"/>
  <c r="N16" i="10"/>
  <c r="L16" i="10"/>
  <c r="J16" i="10"/>
  <c r="F16" i="10"/>
  <c r="E16" i="10"/>
  <c r="G16" i="10"/>
  <c r="A16" i="10"/>
  <c r="AI16" i="10" s="1"/>
  <c r="AK15" i="10"/>
  <c r="AG15" i="10"/>
  <c r="AE15" i="10"/>
  <c r="AC15" i="10"/>
  <c r="Y15" i="10"/>
  <c r="W15" i="10"/>
  <c r="U15" i="10"/>
  <c r="Q15" i="10"/>
  <c r="O15" i="10"/>
  <c r="M15" i="10"/>
  <c r="I15" i="10"/>
  <c r="H15" i="10"/>
  <c r="D15" i="10"/>
  <c r="A15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F14" i="10"/>
  <c r="E14" i="10"/>
  <c r="G14" i="10"/>
  <c r="A14" i="10"/>
  <c r="AK14" i="10" s="1"/>
  <c r="AK13" i="10"/>
  <c r="AG13" i="10"/>
  <c r="AE13" i="10"/>
  <c r="AC13" i="10"/>
  <c r="Y13" i="10"/>
  <c r="W13" i="10"/>
  <c r="U13" i="10"/>
  <c r="Q13" i="10"/>
  <c r="O13" i="10"/>
  <c r="M13" i="10"/>
  <c r="I13" i="10"/>
  <c r="H13" i="10"/>
  <c r="D13" i="10"/>
  <c r="A13" i="10"/>
  <c r="AJ12" i="10"/>
  <c r="AH12" i="10"/>
  <c r="AF12" i="10"/>
  <c r="AB12" i="10"/>
  <c r="AA12" i="10"/>
  <c r="Y12" i="10"/>
  <c r="W12" i="10"/>
  <c r="U12" i="10"/>
  <c r="T12" i="10"/>
  <c r="Q12" i="10"/>
  <c r="P12" i="10"/>
  <c r="O12" i="10"/>
  <c r="L12" i="10"/>
  <c r="K12" i="10"/>
  <c r="I12" i="10"/>
  <c r="H12" i="10"/>
  <c r="D12" i="10"/>
  <c r="G12" i="10"/>
  <c r="A12" i="10"/>
  <c r="A11" i="10"/>
  <c r="AH11" i="10" s="1"/>
  <c r="AK10" i="10"/>
  <c r="AH10" i="10"/>
  <c r="AG10" i="10"/>
  <c r="AE10" i="10"/>
  <c r="AC10" i="10"/>
  <c r="AA10" i="10"/>
  <c r="Z10" i="10"/>
  <c r="W10" i="10"/>
  <c r="V10" i="10"/>
  <c r="U10" i="10"/>
  <c r="R10" i="10"/>
  <c r="Q10" i="10"/>
  <c r="O10" i="10"/>
  <c r="M10" i="10"/>
  <c r="K10" i="10"/>
  <c r="J10" i="10"/>
  <c r="H10" i="10"/>
  <c r="E10" i="10"/>
  <c r="D10" i="10"/>
  <c r="A10" i="10"/>
  <c r="AK9" i="10"/>
  <c r="AJ9" i="10"/>
  <c r="AH9" i="10"/>
  <c r="AG9" i="10"/>
  <c r="AF9" i="10"/>
  <c r="AD9" i="10"/>
  <c r="AC9" i="10"/>
  <c r="AB9" i="10"/>
  <c r="Z9" i="10"/>
  <c r="Y9" i="10"/>
  <c r="X9" i="10"/>
  <c r="V9" i="10"/>
  <c r="U9" i="10"/>
  <c r="T9" i="10"/>
  <c r="R9" i="10"/>
  <c r="Q9" i="10"/>
  <c r="P9" i="10"/>
  <c r="N9" i="10"/>
  <c r="M9" i="10"/>
  <c r="L9" i="10"/>
  <c r="J9" i="10"/>
  <c r="I9" i="10"/>
  <c r="F9" i="10"/>
  <c r="E9" i="10"/>
  <c r="D9" i="10"/>
  <c r="G9" i="10"/>
  <c r="A9" i="10"/>
  <c r="AI9" i="10" s="1"/>
  <c r="A8" i="10"/>
  <c r="AJ8" i="10" s="1"/>
  <c r="A7" i="10"/>
  <c r="AJ7" i="10" s="1"/>
  <c r="AK6" i="10"/>
  <c r="AJ6" i="10"/>
  <c r="AH6" i="10"/>
  <c r="AG6" i="10"/>
  <c r="AF6" i="10"/>
  <c r="AD6" i="10"/>
  <c r="AC6" i="10"/>
  <c r="AB6" i="10"/>
  <c r="Z6" i="10"/>
  <c r="Y6" i="10"/>
  <c r="X6" i="10"/>
  <c r="V6" i="10"/>
  <c r="U6" i="10"/>
  <c r="T6" i="10"/>
  <c r="R6" i="10"/>
  <c r="Q6" i="10"/>
  <c r="P6" i="10"/>
  <c r="N6" i="10"/>
  <c r="M6" i="10"/>
  <c r="L6" i="10"/>
  <c r="J6" i="10"/>
  <c r="I6" i="10"/>
  <c r="F6" i="10"/>
  <c r="E6" i="10"/>
  <c r="D6" i="10"/>
  <c r="G6" i="10"/>
  <c r="A6" i="10"/>
  <c r="AI6" i="10" s="1"/>
  <c r="A5" i="10"/>
  <c r="AF4" i="10"/>
  <c r="AA4" i="10"/>
  <c r="V4" i="10"/>
  <c r="P4" i="10"/>
  <c r="K4" i="10"/>
  <c r="E4" i="10"/>
  <c r="A4" i="10"/>
  <c r="AH4" i="10" s="1"/>
  <c r="A3" i="10"/>
  <c r="AK2" i="10"/>
  <c r="AJ2" i="10"/>
  <c r="AH2" i="10"/>
  <c r="AG2" i="10"/>
  <c r="AF2" i="10"/>
  <c r="AD2" i="10"/>
  <c r="AC2" i="10"/>
  <c r="AB2" i="10"/>
  <c r="Z2" i="10"/>
  <c r="Y2" i="10"/>
  <c r="X2" i="10"/>
  <c r="V2" i="10"/>
  <c r="U2" i="10"/>
  <c r="T2" i="10"/>
  <c r="R2" i="10"/>
  <c r="Q2" i="10"/>
  <c r="P2" i="10"/>
  <c r="N2" i="10"/>
  <c r="M2" i="10"/>
  <c r="L2" i="10"/>
  <c r="J2" i="10"/>
  <c r="I2" i="10"/>
  <c r="F2" i="10"/>
  <c r="E2" i="10"/>
  <c r="D2" i="10"/>
  <c r="G2" i="10"/>
  <c r="A2" i="10"/>
  <c r="AI2" i="10" s="1"/>
  <c r="X33" i="17"/>
  <c r="U33" i="17"/>
  <c r="R33" i="17"/>
  <c r="P33" i="17"/>
  <c r="M33" i="17"/>
  <c r="J33" i="17"/>
  <c r="H33" i="17"/>
  <c r="F33" i="17"/>
  <c r="A33" i="17"/>
  <c r="V33" i="17" s="1"/>
  <c r="X32" i="17"/>
  <c r="V32" i="17"/>
  <c r="S32" i="17"/>
  <c r="P32" i="17"/>
  <c r="N32" i="17"/>
  <c r="K32" i="17"/>
  <c r="H32" i="17"/>
  <c r="E32" i="17"/>
  <c r="A32" i="17"/>
  <c r="W32" i="17" s="1"/>
  <c r="V31" i="17"/>
  <c r="T31" i="17"/>
  <c r="Q31" i="17"/>
  <c r="L31" i="17"/>
  <c r="I31" i="17"/>
  <c r="E31" i="17"/>
  <c r="A31" i="17"/>
  <c r="W30" i="17"/>
  <c r="T30" i="17"/>
  <c r="R30" i="17"/>
  <c r="L30" i="17"/>
  <c r="J30" i="17"/>
  <c r="G30" i="17"/>
  <c r="A30" i="17"/>
  <c r="X29" i="17"/>
  <c r="V29" i="17"/>
  <c r="U29" i="17"/>
  <c r="R29" i="17"/>
  <c r="Q29" i="17"/>
  <c r="P29" i="17"/>
  <c r="M29" i="17"/>
  <c r="L29" i="17"/>
  <c r="J29" i="17"/>
  <c r="H29" i="17"/>
  <c r="E29" i="17"/>
  <c r="F29" i="17"/>
  <c r="A29" i="17"/>
  <c r="X28" i="17"/>
  <c r="W28" i="17"/>
  <c r="V28" i="17"/>
  <c r="S28" i="17"/>
  <c r="R28" i="17"/>
  <c r="P28" i="17"/>
  <c r="N28" i="17"/>
  <c r="L28" i="17"/>
  <c r="K28" i="17"/>
  <c r="H28" i="17"/>
  <c r="G28" i="17"/>
  <c r="E28" i="17"/>
  <c r="A28" i="17"/>
  <c r="V27" i="17"/>
  <c r="T27" i="17"/>
  <c r="N27" i="17"/>
  <c r="M27" i="17"/>
  <c r="H27" i="17"/>
  <c r="E27" i="17"/>
  <c r="A27" i="17"/>
  <c r="X27" i="17" s="1"/>
  <c r="W26" i="17"/>
  <c r="T26" i="17"/>
  <c r="O26" i="17"/>
  <c r="N26" i="17"/>
  <c r="H26" i="17"/>
  <c r="G26" i="17"/>
  <c r="A26" i="17"/>
  <c r="X26" i="17" s="1"/>
  <c r="X25" i="17"/>
  <c r="U25" i="17"/>
  <c r="T25" i="17"/>
  <c r="P25" i="17"/>
  <c r="N25" i="17"/>
  <c r="M25" i="17"/>
  <c r="I25" i="17"/>
  <c r="H25" i="17"/>
  <c r="F25" i="17"/>
  <c r="A25" i="17"/>
  <c r="X24" i="17"/>
  <c r="V24" i="17"/>
  <c r="T24" i="17"/>
  <c r="P24" i="17"/>
  <c r="O24" i="17"/>
  <c r="N24" i="17"/>
  <c r="J24" i="17"/>
  <c r="H24" i="17"/>
  <c r="E24" i="17"/>
  <c r="A24" i="17"/>
  <c r="Y23" i="17"/>
  <c r="A23" i="17"/>
  <c r="R22" i="17"/>
  <c r="K22" i="17"/>
  <c r="A22" i="17"/>
  <c r="X21" i="17"/>
  <c r="V21" i="17"/>
  <c r="U21" i="17"/>
  <c r="R21" i="17"/>
  <c r="Q21" i="17"/>
  <c r="P21" i="17"/>
  <c r="M21" i="17"/>
  <c r="L21" i="17"/>
  <c r="J21" i="17"/>
  <c r="H21" i="17"/>
  <c r="E21" i="17"/>
  <c r="F21" i="17"/>
  <c r="A21" i="17"/>
  <c r="X20" i="17"/>
  <c r="W20" i="17"/>
  <c r="V20" i="17"/>
  <c r="S20" i="17"/>
  <c r="R20" i="17"/>
  <c r="P20" i="17"/>
  <c r="N20" i="17"/>
  <c r="L20" i="17"/>
  <c r="K20" i="17"/>
  <c r="H20" i="17"/>
  <c r="G20" i="17"/>
  <c r="E20" i="17"/>
  <c r="A20" i="17"/>
  <c r="X19" i="17"/>
  <c r="V19" i="17"/>
  <c r="T19" i="17"/>
  <c r="Q19" i="17"/>
  <c r="N19" i="17"/>
  <c r="M19" i="17"/>
  <c r="I19" i="17"/>
  <c r="H19" i="17"/>
  <c r="E19" i="17"/>
  <c r="A19" i="17"/>
  <c r="X18" i="17"/>
  <c r="W18" i="17"/>
  <c r="T18" i="17"/>
  <c r="R18" i="17"/>
  <c r="O18" i="17"/>
  <c r="N18" i="17"/>
  <c r="J18" i="17"/>
  <c r="H18" i="17"/>
  <c r="G18" i="17"/>
  <c r="A18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G17" i="15"/>
  <c r="AF17" i="15"/>
  <c r="AD17" i="15"/>
  <c r="AC17" i="15"/>
  <c r="AB17" i="15"/>
  <c r="Z17" i="15"/>
  <c r="Y17" i="15"/>
  <c r="X17" i="15"/>
  <c r="V17" i="15"/>
  <c r="U17" i="15"/>
  <c r="T17" i="15"/>
  <c r="R17" i="15"/>
  <c r="Q17" i="15"/>
  <c r="P17" i="15"/>
  <c r="N17" i="15"/>
  <c r="M17" i="15"/>
  <c r="L17" i="15"/>
  <c r="J17" i="15"/>
  <c r="I17" i="15"/>
  <c r="G17" i="15"/>
  <c r="F17" i="15"/>
  <c r="E17" i="15"/>
  <c r="D17" i="15"/>
  <c r="A17" i="15"/>
  <c r="AI17" i="15" s="1"/>
  <c r="A16" i="15"/>
  <c r="AK15" i="15"/>
  <c r="AG15" i="15"/>
  <c r="AE15" i="15"/>
  <c r="AA15" i="15"/>
  <c r="Z15" i="15"/>
  <c r="V15" i="15"/>
  <c r="U15" i="15"/>
  <c r="Q15" i="15"/>
  <c r="O15" i="15"/>
  <c r="K15" i="15"/>
  <c r="J15" i="15"/>
  <c r="F15" i="15"/>
  <c r="E15" i="15"/>
  <c r="A15" i="15"/>
  <c r="AH15" i="15" s="1"/>
  <c r="AK14" i="15"/>
  <c r="AJ14" i="15"/>
  <c r="AH14" i="15"/>
  <c r="AG14" i="15"/>
  <c r="AF14" i="15"/>
  <c r="AD14" i="15"/>
  <c r="AC14" i="15"/>
  <c r="AB14" i="15"/>
  <c r="Z14" i="15"/>
  <c r="Y14" i="15"/>
  <c r="X14" i="15"/>
  <c r="V14" i="15"/>
  <c r="U14" i="15"/>
  <c r="T14" i="15"/>
  <c r="R14" i="15"/>
  <c r="Q14" i="15"/>
  <c r="P14" i="15"/>
  <c r="N14" i="15"/>
  <c r="M14" i="15"/>
  <c r="L14" i="15"/>
  <c r="J14" i="15"/>
  <c r="I14" i="15"/>
  <c r="G14" i="15"/>
  <c r="F14" i="15"/>
  <c r="E14" i="15"/>
  <c r="D14" i="15"/>
  <c r="A14" i="15"/>
  <c r="AI14" i="15" s="1"/>
  <c r="AG13" i="15"/>
  <c r="AC13" i="15"/>
  <c r="AB13" i="15"/>
  <c r="W13" i="15"/>
  <c r="S13" i="15"/>
  <c r="Q13" i="15"/>
  <c r="L13" i="15"/>
  <c r="G13" i="15"/>
  <c r="H13" i="15"/>
  <c r="A13" i="15"/>
  <c r="AJ12" i="15"/>
  <c r="AF12" i="15"/>
  <c r="AE12" i="15"/>
  <c r="AA12" i="15"/>
  <c r="Z12" i="15"/>
  <c r="V12" i="15"/>
  <c r="T12" i="15"/>
  <c r="P12" i="15"/>
  <c r="O12" i="15"/>
  <c r="K12" i="15"/>
  <c r="J12" i="15"/>
  <c r="F12" i="15"/>
  <c r="D12" i="15"/>
  <c r="A12" i="15"/>
  <c r="AH12" i="15" s="1"/>
  <c r="AC11" i="15"/>
  <c r="R11" i="15"/>
  <c r="H11" i="15"/>
  <c r="A11" i="15"/>
  <c r="AH11" i="15" s="1"/>
  <c r="AK10" i="15"/>
  <c r="AJ10" i="15"/>
  <c r="AH10" i="15"/>
  <c r="AG10" i="15"/>
  <c r="AF10" i="15"/>
  <c r="AD10" i="15"/>
  <c r="AC10" i="15"/>
  <c r="AB10" i="15"/>
  <c r="Z10" i="15"/>
  <c r="Y10" i="15"/>
  <c r="X10" i="15"/>
  <c r="V10" i="15"/>
  <c r="U10" i="15"/>
  <c r="T10" i="15"/>
  <c r="R10" i="15"/>
  <c r="Q10" i="15"/>
  <c r="P10" i="15"/>
  <c r="N10" i="15"/>
  <c r="M10" i="15"/>
  <c r="L10" i="15"/>
  <c r="J10" i="15"/>
  <c r="I10" i="15"/>
  <c r="G10" i="15"/>
  <c r="F10" i="15"/>
  <c r="E10" i="15"/>
  <c r="D10" i="15"/>
  <c r="A10" i="15"/>
  <c r="AI10" i="15" s="1"/>
  <c r="AF9" i="15"/>
  <c r="Y9" i="15"/>
  <c r="S9" i="15"/>
  <c r="K9" i="15"/>
  <c r="D9" i="15"/>
  <c r="A9" i="15"/>
  <c r="AJ9" i="15" s="1"/>
  <c r="A8" i="15"/>
  <c r="A7" i="15"/>
  <c r="AK6" i="15"/>
  <c r="AJ6" i="15"/>
  <c r="AH6" i="15"/>
  <c r="AG6" i="15"/>
  <c r="AF6" i="15"/>
  <c r="AD6" i="15"/>
  <c r="AC6" i="15"/>
  <c r="AB6" i="15"/>
  <c r="Z6" i="15"/>
  <c r="Y6" i="15"/>
  <c r="X6" i="15"/>
  <c r="V6" i="15"/>
  <c r="U6" i="15"/>
  <c r="T6" i="15"/>
  <c r="R6" i="15"/>
  <c r="Q6" i="15"/>
  <c r="P6" i="15"/>
  <c r="N6" i="15"/>
  <c r="M6" i="15"/>
  <c r="L6" i="15"/>
  <c r="J6" i="15"/>
  <c r="I6" i="15"/>
  <c r="G6" i="15"/>
  <c r="F6" i="15"/>
  <c r="E6" i="15"/>
  <c r="D6" i="15"/>
  <c r="A6" i="15"/>
  <c r="AI6" i="15" s="1"/>
  <c r="A5" i="15"/>
  <c r="AJ4" i="15"/>
  <c r="AH4" i="15"/>
  <c r="AF4" i="15"/>
  <c r="AE4" i="15"/>
  <c r="AB4" i="15"/>
  <c r="AA4" i="15"/>
  <c r="Z4" i="15"/>
  <c r="W4" i="15"/>
  <c r="V4" i="15"/>
  <c r="T4" i="15"/>
  <c r="R4" i="15"/>
  <c r="P4" i="15"/>
  <c r="O4" i="15"/>
  <c r="L4" i="15"/>
  <c r="K4" i="15"/>
  <c r="J4" i="15"/>
  <c r="H4" i="15"/>
  <c r="F4" i="15"/>
  <c r="D4" i="15"/>
  <c r="A4" i="15"/>
  <c r="A3" i="15"/>
  <c r="AK2" i="15"/>
  <c r="AJ2" i="15"/>
  <c r="AH2" i="15"/>
  <c r="AG2" i="15"/>
  <c r="AF2" i="15"/>
  <c r="AD2" i="15"/>
  <c r="AC2" i="15"/>
  <c r="AB2" i="15"/>
  <c r="Z2" i="15"/>
  <c r="Y2" i="15"/>
  <c r="X2" i="15"/>
  <c r="V2" i="15"/>
  <c r="U2" i="15"/>
  <c r="T2" i="15"/>
  <c r="R2" i="15"/>
  <c r="Q2" i="15"/>
  <c r="P2" i="15"/>
  <c r="N2" i="15"/>
  <c r="M2" i="15"/>
  <c r="L2" i="15"/>
  <c r="J2" i="15"/>
  <c r="I2" i="15"/>
  <c r="G2" i="15"/>
  <c r="F2" i="15"/>
  <c r="E2" i="15"/>
  <c r="D2" i="15"/>
  <c r="A2" i="15"/>
  <c r="AI2" i="15" s="1"/>
  <c r="E35" i="14"/>
  <c r="D35" i="14"/>
  <c r="E34" i="14"/>
  <c r="D34" i="14"/>
  <c r="F33" i="14"/>
  <c r="G33" i="14" s="1"/>
  <c r="A33" i="14"/>
  <c r="A32" i="14"/>
  <c r="F32" i="14" s="1"/>
  <c r="G32" i="14" s="1"/>
  <c r="F31" i="14"/>
  <c r="G31" i="14" s="1"/>
  <c r="A31" i="14"/>
  <c r="A30" i="14"/>
  <c r="F30" i="14" s="1"/>
  <c r="G30" i="14" s="1"/>
  <c r="F29" i="14"/>
  <c r="G29" i="14" s="1"/>
  <c r="A29" i="14"/>
  <c r="F28" i="14"/>
  <c r="G28" i="14" s="1"/>
  <c r="A28" i="14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F19" i="14"/>
  <c r="G19" i="14" s="1"/>
  <c r="A19" i="14"/>
  <c r="F18" i="14"/>
  <c r="A18" i="14"/>
  <c r="G17" i="14"/>
  <c r="B40" i="8" s="1"/>
  <c r="D40" i="8" s="1"/>
  <c r="F17" i="14"/>
  <c r="E17" i="14"/>
  <c r="D17" i="14"/>
  <c r="E35" i="8"/>
  <c r="C41" i="8" s="1"/>
  <c r="Z34" i="8"/>
  <c r="X34" i="8"/>
  <c r="W34" i="8"/>
  <c r="V34" i="8"/>
  <c r="T34" i="8"/>
  <c r="S34" i="8"/>
  <c r="R34" i="8"/>
  <c r="P34" i="8"/>
  <c r="O34" i="8"/>
  <c r="N34" i="8"/>
  <c r="L34" i="8"/>
  <c r="K34" i="8"/>
  <c r="J34" i="8"/>
  <c r="H34" i="8"/>
  <c r="G34" i="8"/>
  <c r="F34" i="8"/>
  <c r="A34" i="8"/>
  <c r="Y34" i="8" s="1"/>
  <c r="Y33" i="8"/>
  <c r="X33" i="8"/>
  <c r="V33" i="8"/>
  <c r="T33" i="8"/>
  <c r="R33" i="8"/>
  <c r="Q33" i="8"/>
  <c r="N33" i="8"/>
  <c r="M33" i="8"/>
  <c r="L33" i="8"/>
  <c r="I33" i="8"/>
  <c r="H33" i="8"/>
  <c r="F33" i="8"/>
  <c r="A33" i="8"/>
  <c r="Z32" i="8"/>
  <c r="X32" i="8"/>
  <c r="W32" i="8"/>
  <c r="V32" i="8"/>
  <c r="T32" i="8"/>
  <c r="S32" i="8"/>
  <c r="R32" i="8"/>
  <c r="P32" i="8"/>
  <c r="O32" i="8"/>
  <c r="N32" i="8"/>
  <c r="L32" i="8"/>
  <c r="K32" i="8"/>
  <c r="J32" i="8"/>
  <c r="H32" i="8"/>
  <c r="G32" i="8"/>
  <c r="F32" i="8"/>
  <c r="A32" i="8"/>
  <c r="Y32" i="8" s="1"/>
  <c r="U31" i="8"/>
  <c r="A31" i="8"/>
  <c r="Z30" i="8"/>
  <c r="X30" i="8"/>
  <c r="W30" i="8"/>
  <c r="V30" i="8"/>
  <c r="T30" i="8"/>
  <c r="S30" i="8"/>
  <c r="R30" i="8"/>
  <c r="P30" i="8"/>
  <c r="O30" i="8"/>
  <c r="N30" i="8"/>
  <c r="L30" i="8"/>
  <c r="K30" i="8"/>
  <c r="J30" i="8"/>
  <c r="H30" i="8"/>
  <c r="G30" i="8"/>
  <c r="F30" i="8"/>
  <c r="A30" i="8"/>
  <c r="Y30" i="8" s="1"/>
  <c r="Y29" i="8"/>
  <c r="X29" i="8"/>
  <c r="V29" i="8"/>
  <c r="T29" i="8"/>
  <c r="R29" i="8"/>
  <c r="Q29" i="8"/>
  <c r="N29" i="8"/>
  <c r="M29" i="8"/>
  <c r="L29" i="8"/>
  <c r="I29" i="8"/>
  <c r="H29" i="8"/>
  <c r="F29" i="8"/>
  <c r="A29" i="8"/>
  <c r="Z28" i="8"/>
  <c r="X28" i="8"/>
  <c r="W28" i="8"/>
  <c r="V28" i="8"/>
  <c r="T28" i="8"/>
  <c r="S28" i="8"/>
  <c r="R28" i="8"/>
  <c r="P28" i="8"/>
  <c r="O28" i="8"/>
  <c r="N28" i="8"/>
  <c r="L28" i="8"/>
  <c r="K28" i="8"/>
  <c r="J28" i="8"/>
  <c r="H28" i="8"/>
  <c r="G28" i="8"/>
  <c r="F28" i="8"/>
  <c r="A28" i="8"/>
  <c r="Y28" i="8" s="1"/>
  <c r="Y27" i="8"/>
  <c r="Q27" i="8"/>
  <c r="J27" i="8"/>
  <c r="A27" i="8"/>
  <c r="Z26" i="8"/>
  <c r="X26" i="8"/>
  <c r="W26" i="8"/>
  <c r="V26" i="8"/>
  <c r="T26" i="8"/>
  <c r="S26" i="8"/>
  <c r="R26" i="8"/>
  <c r="P26" i="8"/>
  <c r="O26" i="8"/>
  <c r="N26" i="8"/>
  <c r="L26" i="8"/>
  <c r="K26" i="8"/>
  <c r="J26" i="8"/>
  <c r="H26" i="8"/>
  <c r="G26" i="8"/>
  <c r="F26" i="8"/>
  <c r="A26" i="8"/>
  <c r="Y26" i="8" s="1"/>
  <c r="Y25" i="8"/>
  <c r="X25" i="8"/>
  <c r="V25" i="8"/>
  <c r="T25" i="8"/>
  <c r="R25" i="8"/>
  <c r="Q25" i="8"/>
  <c r="N25" i="8"/>
  <c r="M25" i="8"/>
  <c r="L25" i="8"/>
  <c r="I25" i="8"/>
  <c r="H25" i="8"/>
  <c r="F25" i="8"/>
  <c r="A25" i="8"/>
  <c r="Z24" i="8"/>
  <c r="X24" i="8"/>
  <c r="W24" i="8"/>
  <c r="V24" i="8"/>
  <c r="T24" i="8"/>
  <c r="S24" i="8"/>
  <c r="R24" i="8"/>
  <c r="P24" i="8"/>
  <c r="O24" i="8"/>
  <c r="N24" i="8"/>
  <c r="L24" i="8"/>
  <c r="K24" i="8"/>
  <c r="J24" i="8"/>
  <c r="H24" i="8"/>
  <c r="G24" i="8"/>
  <c r="F24" i="8"/>
  <c r="A24" i="8"/>
  <c r="Y24" i="8" s="1"/>
  <c r="Y23" i="8"/>
  <c r="N23" i="8"/>
  <c r="A23" i="8"/>
  <c r="Z22" i="8"/>
  <c r="X22" i="8"/>
  <c r="W22" i="8"/>
  <c r="V22" i="8"/>
  <c r="T22" i="8"/>
  <c r="S22" i="8"/>
  <c r="R22" i="8"/>
  <c r="P22" i="8"/>
  <c r="O22" i="8"/>
  <c r="N22" i="8"/>
  <c r="L22" i="8"/>
  <c r="K22" i="8"/>
  <c r="J22" i="8"/>
  <c r="H22" i="8"/>
  <c r="G22" i="8"/>
  <c r="F22" i="8"/>
  <c r="A22" i="8"/>
  <c r="Y22" i="8" s="1"/>
  <c r="Y21" i="8"/>
  <c r="X21" i="8"/>
  <c r="V21" i="8"/>
  <c r="T21" i="8"/>
  <c r="R21" i="8"/>
  <c r="Q21" i="8"/>
  <c r="N21" i="8"/>
  <c r="M21" i="8"/>
  <c r="L21" i="8"/>
  <c r="I21" i="8"/>
  <c r="H21" i="8"/>
  <c r="F21" i="8"/>
  <c r="A21" i="8"/>
  <c r="Z20" i="8"/>
  <c r="X20" i="8"/>
  <c r="W20" i="8"/>
  <c r="V20" i="8"/>
  <c r="T20" i="8"/>
  <c r="S20" i="8"/>
  <c r="R20" i="8"/>
  <c r="P20" i="8"/>
  <c r="O20" i="8"/>
  <c r="N20" i="8"/>
  <c r="L20" i="8"/>
  <c r="K20" i="8"/>
  <c r="J20" i="8"/>
  <c r="H20" i="8"/>
  <c r="G20" i="8"/>
  <c r="F20" i="8"/>
  <c r="A20" i="8"/>
  <c r="Y20" i="8" s="1"/>
  <c r="Z19" i="8"/>
  <c r="T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AI17" i="7"/>
  <c r="AA17" i="7"/>
  <c r="Z17" i="7"/>
  <c r="S17" i="7"/>
  <c r="O17" i="7"/>
  <c r="K17" i="7"/>
  <c r="E17" i="7"/>
  <c r="A17" i="7"/>
  <c r="AO17" i="7" s="1"/>
  <c r="AO16" i="7"/>
  <c r="AM16" i="7"/>
  <c r="AK16" i="7"/>
  <c r="AI16" i="7"/>
  <c r="AH16" i="7"/>
  <c r="AE16" i="7"/>
  <c r="AD16" i="7"/>
  <c r="AC16" i="7"/>
  <c r="Z16" i="7"/>
  <c r="Y16" i="7"/>
  <c r="W16" i="7"/>
  <c r="U16" i="7"/>
  <c r="S16" i="7"/>
  <c r="R16" i="7"/>
  <c r="O16" i="7"/>
  <c r="N16" i="7"/>
  <c r="M16" i="7"/>
  <c r="H16" i="7"/>
  <c r="K16" i="7"/>
  <c r="E16" i="7"/>
  <c r="A16" i="7"/>
  <c r="AO15" i="7"/>
  <c r="AD15" i="7"/>
  <c r="R15" i="7"/>
  <c r="E15" i="7"/>
  <c r="A15" i="7"/>
  <c r="AL15" i="7" s="1"/>
  <c r="AG14" i="7"/>
  <c r="AE14" i="7"/>
  <c r="U14" i="7"/>
  <c r="R14" i="7"/>
  <c r="H14" i="7"/>
  <c r="E14" i="7"/>
  <c r="A14" i="7"/>
  <c r="AL14" i="7" s="1"/>
  <c r="AO13" i="7"/>
  <c r="AM13" i="7"/>
  <c r="AK13" i="7"/>
  <c r="AI13" i="7"/>
  <c r="AH13" i="7"/>
  <c r="AE13" i="7"/>
  <c r="AD13" i="7"/>
  <c r="AC13" i="7"/>
  <c r="Z13" i="7"/>
  <c r="Y13" i="7"/>
  <c r="W13" i="7"/>
  <c r="U13" i="7"/>
  <c r="S13" i="7"/>
  <c r="R13" i="7"/>
  <c r="O13" i="7"/>
  <c r="N13" i="7"/>
  <c r="M13" i="7"/>
  <c r="H13" i="7"/>
  <c r="K13" i="7"/>
  <c r="E13" i="7"/>
  <c r="A13" i="7"/>
  <c r="AO12" i="7"/>
  <c r="AL12" i="7"/>
  <c r="AI12" i="7"/>
  <c r="AD12" i="7"/>
  <c r="AC12" i="7"/>
  <c r="AA12" i="7"/>
  <c r="V12" i="7"/>
  <c r="S12" i="7"/>
  <c r="Q12" i="7"/>
  <c r="M12" i="7"/>
  <c r="K12" i="7"/>
  <c r="E12" i="7"/>
  <c r="A12" i="7"/>
  <c r="AL11" i="7"/>
  <c r="AK11" i="7"/>
  <c r="AC11" i="7"/>
  <c r="AA11" i="7"/>
  <c r="U11" i="7"/>
  <c r="Q11" i="7"/>
  <c r="H11" i="7"/>
  <c r="E11" i="7"/>
  <c r="A11" i="7"/>
  <c r="AE11" i="7" s="1"/>
  <c r="AL10" i="7"/>
  <c r="AK10" i="7"/>
  <c r="AI10" i="7"/>
  <c r="AE10" i="7"/>
  <c r="AD10" i="7"/>
  <c r="AA10" i="7"/>
  <c r="Y10" i="7"/>
  <c r="V10" i="7"/>
  <c r="U10" i="7"/>
  <c r="Q10" i="7"/>
  <c r="O10" i="7"/>
  <c r="N10" i="7"/>
  <c r="H10" i="7"/>
  <c r="K10" i="7"/>
  <c r="E10" i="7"/>
  <c r="A10" i="7"/>
  <c r="AO9" i="7"/>
  <c r="AM9" i="7"/>
  <c r="AK9" i="7"/>
  <c r="AI9" i="7"/>
  <c r="AH9" i="7"/>
  <c r="AE9" i="7"/>
  <c r="AD9" i="7"/>
  <c r="AC9" i="7"/>
  <c r="Z9" i="7"/>
  <c r="Y9" i="7"/>
  <c r="W9" i="7"/>
  <c r="U9" i="7"/>
  <c r="S9" i="7"/>
  <c r="R9" i="7"/>
  <c r="O9" i="7"/>
  <c r="N9" i="7"/>
  <c r="M9" i="7"/>
  <c r="H9" i="7"/>
  <c r="K9" i="7"/>
  <c r="E9" i="7"/>
  <c r="A9" i="7"/>
  <c r="AO8" i="7"/>
  <c r="AM8" i="7"/>
  <c r="AG8" i="7"/>
  <c r="AC8" i="7"/>
  <c r="V8" i="7"/>
  <c r="S8" i="7"/>
  <c r="M8" i="7"/>
  <c r="L8" i="7"/>
  <c r="E8" i="7"/>
  <c r="A8" i="7"/>
  <c r="AM7" i="7"/>
  <c r="AK7" i="7"/>
  <c r="AC7" i="7"/>
  <c r="AA7" i="7"/>
  <c r="U7" i="7"/>
  <c r="R7" i="7"/>
  <c r="L7" i="7"/>
  <c r="I7" i="7"/>
  <c r="E7" i="7"/>
  <c r="A7" i="7"/>
  <c r="AM6" i="7"/>
  <c r="AL6" i="7"/>
  <c r="AF6" i="7"/>
  <c r="AE6" i="7"/>
  <c r="Z6" i="7"/>
  <c r="W6" i="7"/>
  <c r="R6" i="7"/>
  <c r="P6" i="7"/>
  <c r="L6" i="7"/>
  <c r="H6" i="7"/>
  <c r="E6" i="7"/>
  <c r="A6" i="7"/>
  <c r="AN5" i="7"/>
  <c r="AL5" i="7"/>
  <c r="AF5" i="7"/>
  <c r="Z5" i="7"/>
  <c r="X5" i="7"/>
  <c r="S5" i="7"/>
  <c r="L5" i="7"/>
  <c r="H5" i="7"/>
  <c r="E5" i="7"/>
  <c r="A5" i="7"/>
  <c r="AN4" i="7"/>
  <c r="AM4" i="7"/>
  <c r="AJ4" i="7"/>
  <c r="AI4" i="7"/>
  <c r="AH4" i="7"/>
  <c r="AE4" i="7"/>
  <c r="AD4" i="7"/>
  <c r="AB4" i="7"/>
  <c r="Z4" i="7"/>
  <c r="X4" i="7"/>
  <c r="W4" i="7"/>
  <c r="T4" i="7"/>
  <c r="S4" i="7"/>
  <c r="R4" i="7"/>
  <c r="O4" i="7"/>
  <c r="N4" i="7"/>
  <c r="J4" i="7"/>
  <c r="H4" i="7"/>
  <c r="I4" i="7"/>
  <c r="E4" i="7"/>
  <c r="A4" i="7"/>
  <c r="AM3" i="7"/>
  <c r="AL3" i="7"/>
  <c r="AI3" i="7"/>
  <c r="AF3" i="7"/>
  <c r="AD3" i="7"/>
  <c r="AB3" i="7"/>
  <c r="X3" i="7"/>
  <c r="W3" i="7"/>
  <c r="V3" i="7"/>
  <c r="R3" i="7"/>
  <c r="P3" i="7"/>
  <c r="N3" i="7"/>
  <c r="L3" i="7"/>
  <c r="I3" i="7"/>
  <c r="E3" i="7"/>
  <c r="A3" i="7"/>
  <c r="AM2" i="7"/>
  <c r="AL2" i="7"/>
  <c r="AJ2" i="7"/>
  <c r="AF2" i="7"/>
  <c r="AE2" i="7"/>
  <c r="AB2" i="7"/>
  <c r="Z2" i="7"/>
  <c r="W2" i="7"/>
  <c r="V2" i="7"/>
  <c r="R2" i="7"/>
  <c r="P2" i="7"/>
  <c r="O2" i="7"/>
  <c r="L2" i="7"/>
  <c r="H2" i="7"/>
  <c r="E2" i="7"/>
  <c r="E18" i="7" s="1"/>
  <c r="A2" i="7"/>
  <c r="A95" i="6"/>
  <c r="A94" i="6"/>
  <c r="A92" i="6"/>
  <c r="A91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B88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A79" i="5"/>
  <c r="C78" i="5"/>
  <c r="A77" i="5"/>
  <c r="A76" i="5"/>
  <c r="C75" i="5"/>
  <c r="A75" i="5"/>
  <c r="A78" i="5" s="1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C51" i="5"/>
  <c r="A51" i="5"/>
  <c r="A54" i="5" s="1"/>
  <c r="A50" i="5"/>
  <c r="C48" i="5"/>
  <c r="A47" i="5"/>
  <c r="A46" i="5"/>
  <c r="C45" i="5"/>
  <c r="A44" i="5"/>
  <c r="C42" i="5"/>
  <c r="A41" i="5"/>
  <c r="B40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A31" i="5"/>
  <c r="C30" i="5"/>
  <c r="A29" i="5"/>
  <c r="B28" i="5"/>
  <c r="A28" i="5"/>
  <c r="C27" i="5"/>
  <c r="A27" i="5"/>
  <c r="A30" i="5" s="1"/>
  <c r="A26" i="5"/>
  <c r="C24" i="5"/>
  <c r="A23" i="5"/>
  <c r="A22" i="5"/>
  <c r="C21" i="5"/>
  <c r="A20" i="5"/>
  <c r="C18" i="5"/>
  <c r="A17" i="5"/>
  <c r="B16" i="5"/>
  <c r="A16" i="5"/>
  <c r="A15" i="5" s="1"/>
  <c r="A18" i="5" s="1"/>
  <c r="C15" i="5"/>
  <c r="A14" i="5"/>
  <c r="C12" i="5"/>
  <c r="A11" i="5"/>
  <c r="B10" i="5"/>
  <c r="A10" i="5"/>
  <c r="A9" i="5" s="1"/>
  <c r="A12" i="5" s="1"/>
  <c r="C9" i="5"/>
  <c r="A8" i="5"/>
  <c r="A7" i="5"/>
  <c r="C6" i="5"/>
  <c r="A5" i="5"/>
  <c r="A4" i="5"/>
  <c r="C3" i="5"/>
  <c r="A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BD78" i="4"/>
  <c r="AW78" i="4"/>
  <c r="AS78" i="4"/>
  <c r="AM78" i="4"/>
  <c r="AK78" i="4"/>
  <c r="AC78" i="4"/>
  <c r="AB78" i="4"/>
  <c r="U78" i="4"/>
  <c r="Q78" i="4"/>
  <c r="K78" i="4"/>
  <c r="H78" i="4"/>
  <c r="BB77" i="4"/>
  <c r="BA77" i="4"/>
  <c r="AS77" i="4"/>
  <c r="AP77" i="4"/>
  <c r="AH77" i="4"/>
  <c r="AG77" i="4"/>
  <c r="Z77" i="4"/>
  <c r="X77" i="4"/>
  <c r="Q77" i="4"/>
  <c r="M77" i="4"/>
  <c r="F77" i="4"/>
  <c r="E77" i="4"/>
  <c r="A77" i="4"/>
  <c r="AY78" i="4" s="1"/>
  <c r="C75" i="4"/>
  <c r="BD73" i="4"/>
  <c r="BB73" i="4"/>
  <c r="BA73" i="4"/>
  <c r="AX73" i="4"/>
  <c r="AW73" i="4"/>
  <c r="AV73" i="4"/>
  <c r="AS73" i="4"/>
  <c r="AR73" i="4"/>
  <c r="AP73" i="4"/>
  <c r="AN73" i="4"/>
  <c r="AL73" i="4"/>
  <c r="AK73" i="4"/>
  <c r="AH73" i="4"/>
  <c r="AG73" i="4"/>
  <c r="AF73" i="4"/>
  <c r="AC73" i="4"/>
  <c r="AB73" i="4"/>
  <c r="Z73" i="4"/>
  <c r="X73" i="4"/>
  <c r="V73" i="4"/>
  <c r="U73" i="4"/>
  <c r="R73" i="4"/>
  <c r="Q73" i="4"/>
  <c r="P73" i="4"/>
  <c r="M73" i="4"/>
  <c r="L73" i="4"/>
  <c r="J73" i="4"/>
  <c r="H73" i="4"/>
  <c r="F73" i="4"/>
  <c r="E73" i="4"/>
  <c r="BC72" i="4"/>
  <c r="BB72" i="4"/>
  <c r="BA72" i="4"/>
  <c r="AX72" i="4"/>
  <c r="AW72" i="4"/>
  <c r="AU72" i="4"/>
  <c r="AS72" i="4"/>
  <c r="AQ72" i="4"/>
  <c r="AP72" i="4"/>
  <c r="AM72" i="4"/>
  <c r="AL72" i="4"/>
  <c r="AK72" i="4"/>
  <c r="AH72" i="4"/>
  <c r="AG72" i="4"/>
  <c r="AE72" i="4"/>
  <c r="AC72" i="4"/>
  <c r="AA72" i="4"/>
  <c r="Z72" i="4"/>
  <c r="W72" i="4"/>
  <c r="V72" i="4"/>
  <c r="U72" i="4"/>
  <c r="R72" i="4"/>
  <c r="Q72" i="4"/>
  <c r="O72" i="4"/>
  <c r="M72" i="4"/>
  <c r="K72" i="4"/>
  <c r="J72" i="4"/>
  <c r="G72" i="4"/>
  <c r="F72" i="4"/>
  <c r="E72" i="4"/>
  <c r="A72" i="4"/>
  <c r="C70" i="4"/>
  <c r="AZ68" i="4"/>
  <c r="AS68" i="4"/>
  <c r="AL68" i="4"/>
  <c r="AD68" i="4"/>
  <c r="X68" i="4"/>
  <c r="Q68" i="4"/>
  <c r="I68" i="4"/>
  <c r="BC67" i="4"/>
  <c r="AW67" i="4"/>
  <c r="AO67" i="4"/>
  <c r="AH67" i="4"/>
  <c r="AA67" i="4"/>
  <c r="S67" i="4"/>
  <c r="M67" i="4"/>
  <c r="F67" i="4"/>
  <c r="A67" i="4"/>
  <c r="BD68" i="4" s="1"/>
  <c r="C65" i="4"/>
  <c r="BA63" i="4"/>
  <c r="AZ63" i="4"/>
  <c r="AT63" i="4"/>
  <c r="AS63" i="4"/>
  <c r="AN63" i="4"/>
  <c r="AK63" i="4"/>
  <c r="AF63" i="4"/>
  <c r="AD63" i="4"/>
  <c r="Y63" i="4"/>
  <c r="X63" i="4"/>
  <c r="R63" i="4"/>
  <c r="P63" i="4"/>
  <c r="J63" i="4"/>
  <c r="I63" i="4"/>
  <c r="D63" i="4"/>
  <c r="BC62" i="4"/>
  <c r="AX62" i="4"/>
  <c r="AU62" i="4"/>
  <c r="AP62" i="4"/>
  <c r="AO62" i="4"/>
  <c r="AI62" i="4"/>
  <c r="AH62" i="4"/>
  <c r="AC62" i="4"/>
  <c r="Z62" i="4"/>
  <c r="U62" i="4"/>
  <c r="S62" i="4"/>
  <c r="N62" i="4"/>
  <c r="M62" i="4"/>
  <c r="G62" i="4"/>
  <c r="E62" i="4"/>
  <c r="A62" i="4"/>
  <c r="BD63" i="4" s="1"/>
  <c r="C60" i="4"/>
  <c r="BB58" i="4"/>
  <c r="BA58" i="4"/>
  <c r="AV58" i="4"/>
  <c r="AT58" i="4"/>
  <c r="AO58" i="4"/>
  <c r="AL58" i="4"/>
  <c r="AG58" i="4"/>
  <c r="AF58" i="4"/>
  <c r="AD58" i="4"/>
  <c r="Z58" i="4"/>
  <c r="Y58" i="4"/>
  <c r="V58" i="4"/>
  <c r="T58" i="4"/>
  <c r="Q58" i="4"/>
  <c r="P58" i="4"/>
  <c r="L58" i="4"/>
  <c r="J58" i="4"/>
  <c r="I58" i="4"/>
  <c r="E58" i="4"/>
  <c r="D58" i="4"/>
  <c r="BB57" i="4"/>
  <c r="AY57" i="4"/>
  <c r="AW57" i="4"/>
  <c r="AU57" i="4"/>
  <c r="AQ57" i="4"/>
  <c r="AP57" i="4"/>
  <c r="AO57" i="4"/>
  <c r="AK57" i="4"/>
  <c r="AI57" i="4"/>
  <c r="AG57" i="4"/>
  <c r="AD57" i="4"/>
  <c r="AA57" i="4"/>
  <c r="Z57" i="4"/>
  <c r="V57" i="4"/>
  <c r="U57" i="4"/>
  <c r="S57" i="4"/>
  <c r="O57" i="4"/>
  <c r="N57" i="4"/>
  <c r="K57" i="4"/>
  <c r="I57" i="4"/>
  <c r="F57" i="4"/>
  <c r="E57" i="4"/>
  <c r="A57" i="4"/>
  <c r="C55" i="4"/>
  <c r="BD53" i="4"/>
  <c r="BB53" i="4"/>
  <c r="BA53" i="4"/>
  <c r="AX53" i="4"/>
  <c r="AW53" i="4"/>
  <c r="AV53" i="4"/>
  <c r="AS53" i="4"/>
  <c r="AR53" i="4"/>
  <c r="AP53" i="4"/>
  <c r="AN53" i="4"/>
  <c r="AL53" i="4"/>
  <c r="AK53" i="4"/>
  <c r="AH53" i="4"/>
  <c r="AG53" i="4"/>
  <c r="AF53" i="4"/>
  <c r="AC53" i="4"/>
  <c r="AB53" i="4"/>
  <c r="Z53" i="4"/>
  <c r="X53" i="4"/>
  <c r="V53" i="4"/>
  <c r="U53" i="4"/>
  <c r="R53" i="4"/>
  <c r="Q53" i="4"/>
  <c r="P53" i="4"/>
  <c r="M53" i="4"/>
  <c r="L53" i="4"/>
  <c r="J53" i="4"/>
  <c r="H53" i="4"/>
  <c r="F53" i="4"/>
  <c r="E53" i="4"/>
  <c r="BC52" i="4"/>
  <c r="BB52" i="4"/>
  <c r="BA52" i="4"/>
  <c r="AX52" i="4"/>
  <c r="AW52" i="4"/>
  <c r="AU52" i="4"/>
  <c r="AS52" i="4"/>
  <c r="AQ52" i="4"/>
  <c r="AP52" i="4"/>
  <c r="AM52" i="4"/>
  <c r="AL52" i="4"/>
  <c r="AK52" i="4"/>
  <c r="AH52" i="4"/>
  <c r="AG52" i="4"/>
  <c r="AE52" i="4"/>
  <c r="AC52" i="4"/>
  <c r="AA52" i="4"/>
  <c r="Z52" i="4"/>
  <c r="W52" i="4"/>
  <c r="V52" i="4"/>
  <c r="U52" i="4"/>
  <c r="R52" i="4"/>
  <c r="Q52" i="4"/>
  <c r="O52" i="4"/>
  <c r="M52" i="4"/>
  <c r="K52" i="4"/>
  <c r="J52" i="4"/>
  <c r="G52" i="4"/>
  <c r="F52" i="4"/>
  <c r="E52" i="4"/>
  <c r="A52" i="4"/>
  <c r="C50" i="4"/>
  <c r="AZ48" i="4"/>
  <c r="AX48" i="4"/>
  <c r="AT48" i="4"/>
  <c r="AR48" i="4"/>
  <c r="AN48" i="4"/>
  <c r="AL48" i="4"/>
  <c r="AG48" i="4"/>
  <c r="AD48" i="4"/>
  <c r="AC48" i="4"/>
  <c r="X48" i="4"/>
  <c r="V48" i="4"/>
  <c r="R48" i="4"/>
  <c r="N48" i="4"/>
  <c r="L48" i="4"/>
  <c r="I48" i="4"/>
  <c r="D48" i="4"/>
  <c r="BC47" i="4"/>
  <c r="BB47" i="4"/>
  <c r="AW47" i="4"/>
  <c r="AT47" i="4"/>
  <c r="AQ47" i="4"/>
  <c r="AM47" i="4"/>
  <c r="AI47" i="4"/>
  <c r="AH47" i="4"/>
  <c r="AC47" i="4"/>
  <c r="AA47" i="4"/>
  <c r="Y47" i="4"/>
  <c r="S47" i="4"/>
  <c r="R47" i="4"/>
  <c r="N47" i="4"/>
  <c r="K47" i="4"/>
  <c r="G47" i="4"/>
  <c r="F47" i="4"/>
  <c r="A47" i="4"/>
  <c r="C45" i="4"/>
  <c r="BD43" i="4"/>
  <c r="BA43" i="4"/>
  <c r="AZ43" i="4"/>
  <c r="AV43" i="4"/>
  <c r="AT43" i="4"/>
  <c r="AS43" i="4"/>
  <c r="AO43" i="4"/>
  <c r="AN43" i="4"/>
  <c r="AK43" i="4"/>
  <c r="AH43" i="4"/>
  <c r="AF43" i="4"/>
  <c r="AD43" i="4"/>
  <c r="Z43" i="4"/>
  <c r="Y43" i="4"/>
  <c r="X43" i="4"/>
  <c r="T43" i="4"/>
  <c r="R43" i="4"/>
  <c r="P43" i="4"/>
  <c r="M43" i="4"/>
  <c r="J43" i="4"/>
  <c r="I43" i="4"/>
  <c r="E43" i="4"/>
  <c r="D43" i="4"/>
  <c r="BC42" i="4"/>
  <c r="AY42" i="4"/>
  <c r="AX42" i="4"/>
  <c r="AU42" i="4"/>
  <c r="AS42" i="4"/>
  <c r="AP42" i="4"/>
  <c r="AO42" i="4"/>
  <c r="AK42" i="4"/>
  <c r="AI42" i="4"/>
  <c r="AH42" i="4"/>
  <c r="AD42" i="4"/>
  <c r="AC42" i="4"/>
  <c r="Z42" i="4"/>
  <c r="W42" i="4"/>
  <c r="U42" i="4"/>
  <c r="S42" i="4"/>
  <c r="O42" i="4"/>
  <c r="N42" i="4"/>
  <c r="M42" i="4"/>
  <c r="I42" i="4"/>
  <c r="G42" i="4"/>
  <c r="E42" i="4"/>
  <c r="A42" i="4"/>
  <c r="C40" i="4"/>
  <c r="AW38" i="4"/>
  <c r="AO38" i="4"/>
  <c r="AF38" i="4"/>
  <c r="U38" i="4"/>
  <c r="L38" i="4"/>
  <c r="D38" i="4"/>
  <c r="AT37" i="4"/>
  <c r="AK37" i="4"/>
  <c r="AA37" i="4"/>
  <c r="Q37" i="4"/>
  <c r="I37" i="4"/>
  <c r="A37" i="4"/>
  <c r="BA38" i="4" s="1"/>
  <c r="C35" i="4"/>
  <c r="BD33" i="4"/>
  <c r="BA33" i="4"/>
  <c r="AX33" i="4"/>
  <c r="AW33" i="4"/>
  <c r="AS33" i="4"/>
  <c r="AR33" i="4"/>
  <c r="AP33" i="4"/>
  <c r="AL33" i="4"/>
  <c r="AK33" i="4"/>
  <c r="AH33" i="4"/>
  <c r="AF33" i="4"/>
  <c r="AC33" i="4"/>
  <c r="AB33" i="4"/>
  <c r="X33" i="4"/>
  <c r="V33" i="4"/>
  <c r="U33" i="4"/>
  <c r="R33" i="4"/>
  <c r="Q33" i="4"/>
  <c r="O33" i="4"/>
  <c r="M33" i="4"/>
  <c r="K33" i="4"/>
  <c r="J33" i="4"/>
  <c r="G33" i="4"/>
  <c r="F33" i="4"/>
  <c r="E33" i="4"/>
  <c r="BC32" i="4"/>
  <c r="BB32" i="4"/>
  <c r="AZ32" i="4"/>
  <c r="AX32" i="4"/>
  <c r="AV32" i="4"/>
  <c r="AU32" i="4"/>
  <c r="AR32" i="4"/>
  <c r="AQ32" i="4"/>
  <c r="AP32" i="4"/>
  <c r="AM32" i="4"/>
  <c r="AL32" i="4"/>
  <c r="AJ32" i="4"/>
  <c r="AH32" i="4"/>
  <c r="AF32" i="4"/>
  <c r="AE32" i="4"/>
  <c r="AB32" i="4"/>
  <c r="AA32" i="4"/>
  <c r="Z32" i="4"/>
  <c r="W32" i="4"/>
  <c r="V32" i="4"/>
  <c r="T32" i="4"/>
  <c r="R32" i="4"/>
  <c r="P32" i="4"/>
  <c r="O32" i="4"/>
  <c r="L32" i="4"/>
  <c r="K32" i="4"/>
  <c r="J32" i="4"/>
  <c r="G32" i="4"/>
  <c r="F32" i="4"/>
  <c r="D32" i="4"/>
  <c r="A32" i="4"/>
  <c r="C30" i="4"/>
  <c r="AT28" i="4"/>
  <c r="AL28" i="4"/>
  <c r="AC28" i="4"/>
  <c r="R28" i="4"/>
  <c r="I28" i="4"/>
  <c r="BB27" i="4"/>
  <c r="AQ27" i="4"/>
  <c r="AH27" i="4"/>
  <c r="X27" i="4"/>
  <c r="N27" i="4"/>
  <c r="F27" i="4"/>
  <c r="A27" i="4"/>
  <c r="AY28" i="4" s="1"/>
  <c r="C25" i="4"/>
  <c r="BC23" i="4"/>
  <c r="BA23" i="4"/>
  <c r="AY23" i="4"/>
  <c r="AU23" i="4"/>
  <c r="AT23" i="4"/>
  <c r="AS23" i="4"/>
  <c r="AO23" i="4"/>
  <c r="AM23" i="4"/>
  <c r="AK23" i="4"/>
  <c r="AH23" i="4"/>
  <c r="AE23" i="4"/>
  <c r="AD23" i="4"/>
  <c r="Z23" i="4"/>
  <c r="Y23" i="4"/>
  <c r="W23" i="4"/>
  <c r="S23" i="4"/>
  <c r="R23" i="4"/>
  <c r="O23" i="4"/>
  <c r="M23" i="4"/>
  <c r="J23" i="4"/>
  <c r="I23" i="4"/>
  <c r="E23" i="4"/>
  <c r="BD22" i="4"/>
  <c r="BC22" i="4"/>
  <c r="AY22" i="4"/>
  <c r="AX22" i="4"/>
  <c r="AU22" i="4"/>
  <c r="AR22" i="4"/>
  <c r="AP22" i="4"/>
  <c r="AN22" i="4"/>
  <c r="AJ22" i="4"/>
  <c r="AI22" i="4"/>
  <c r="AH22" i="4"/>
  <c r="AD22" i="4"/>
  <c r="AB22" i="4"/>
  <c r="Z22" i="4"/>
  <c r="W22" i="4"/>
  <c r="T22" i="4"/>
  <c r="S22" i="4"/>
  <c r="O22" i="4"/>
  <c r="N22" i="4"/>
  <c r="L22" i="4"/>
  <c r="H22" i="4"/>
  <c r="G22" i="4"/>
  <c r="D22" i="4"/>
  <c r="A22" i="4"/>
  <c r="C20" i="4"/>
  <c r="AW18" i="4"/>
  <c r="AU18" i="4"/>
  <c r="AO18" i="4"/>
  <c r="AL18" i="4"/>
  <c r="AE18" i="4"/>
  <c r="AA18" i="4"/>
  <c r="U18" i="4"/>
  <c r="S18" i="4"/>
  <c r="K18" i="4"/>
  <c r="J18" i="4"/>
  <c r="BD17" i="4"/>
  <c r="AZ17" i="4"/>
  <c r="AT17" i="4"/>
  <c r="AQ17" i="4"/>
  <c r="AJ17" i="4"/>
  <c r="AI17" i="4"/>
  <c r="AA17" i="4"/>
  <c r="X17" i="4"/>
  <c r="P17" i="4"/>
  <c r="O17" i="4"/>
  <c r="H17" i="4"/>
  <c r="F17" i="4"/>
  <c r="A17" i="4"/>
  <c r="BA18" i="4" s="1"/>
  <c r="C15" i="4"/>
  <c r="BC13" i="4"/>
  <c r="BB13" i="4"/>
  <c r="BA13" i="4"/>
  <c r="AX13" i="4"/>
  <c r="AW13" i="4"/>
  <c r="AU13" i="4"/>
  <c r="AS13" i="4"/>
  <c r="AQ13" i="4"/>
  <c r="AP13" i="4"/>
  <c r="AM13" i="4"/>
  <c r="AL13" i="4"/>
  <c r="AK13" i="4"/>
  <c r="AH13" i="4"/>
  <c r="AG13" i="4"/>
  <c r="AE13" i="4"/>
  <c r="AC13" i="4"/>
  <c r="AA13" i="4"/>
  <c r="Z13" i="4"/>
  <c r="W13" i="4"/>
  <c r="V13" i="4"/>
  <c r="U13" i="4"/>
  <c r="R13" i="4"/>
  <c r="Q13" i="4"/>
  <c r="O13" i="4"/>
  <c r="M13" i="4"/>
  <c r="K13" i="4"/>
  <c r="J13" i="4"/>
  <c r="G13" i="4"/>
  <c r="F13" i="4"/>
  <c r="E13" i="4"/>
  <c r="BC12" i="4"/>
  <c r="BB12" i="4"/>
  <c r="AZ12" i="4"/>
  <c r="AX12" i="4"/>
  <c r="AV12" i="4"/>
  <c r="AU12" i="4"/>
  <c r="AR12" i="4"/>
  <c r="AQ12" i="4"/>
  <c r="AP12" i="4"/>
  <c r="AM12" i="4"/>
  <c r="AL12" i="4"/>
  <c r="AJ12" i="4"/>
  <c r="AH12" i="4"/>
  <c r="AF12" i="4"/>
  <c r="AE12" i="4"/>
  <c r="AB12" i="4"/>
  <c r="AA12" i="4"/>
  <c r="Z12" i="4"/>
  <c r="W12" i="4"/>
  <c r="V12" i="4"/>
  <c r="T12" i="4"/>
  <c r="R12" i="4"/>
  <c r="P12" i="4"/>
  <c r="O12" i="4"/>
  <c r="L12" i="4"/>
  <c r="K12" i="4"/>
  <c r="J12" i="4"/>
  <c r="G12" i="4"/>
  <c r="F12" i="4"/>
  <c r="D12" i="4"/>
  <c r="A12" i="4"/>
  <c r="C10" i="4"/>
  <c r="BC8" i="4"/>
  <c r="BB8" i="4"/>
  <c r="AY8" i="4"/>
  <c r="AW8" i="4"/>
  <c r="AT8" i="4"/>
  <c r="AS8" i="4"/>
  <c r="AO8" i="4"/>
  <c r="AM8" i="4"/>
  <c r="AL8" i="4"/>
  <c r="AH8" i="4"/>
  <c r="AG8" i="4"/>
  <c r="AD8" i="4"/>
  <c r="AA8" i="4"/>
  <c r="Y8" i="4"/>
  <c r="W8" i="4"/>
  <c r="S8" i="4"/>
  <c r="R8" i="4"/>
  <c r="Q8" i="4"/>
  <c r="M8" i="4"/>
  <c r="K8" i="4"/>
  <c r="I8" i="4"/>
  <c r="F8" i="4"/>
  <c r="BD7" i="4"/>
  <c r="BC7" i="4"/>
  <c r="AY7" i="4"/>
  <c r="AX7" i="4"/>
  <c r="AV7" i="4"/>
  <c r="AR7" i="4"/>
  <c r="AQ7" i="4"/>
  <c r="AN7" i="4"/>
  <c r="AL7" i="4"/>
  <c r="AI7" i="4"/>
  <c r="AH7" i="4"/>
  <c r="AD7" i="4"/>
  <c r="AB7" i="4"/>
  <c r="AA7" i="4"/>
  <c r="W7" i="4"/>
  <c r="V7" i="4"/>
  <c r="S7" i="4"/>
  <c r="P7" i="4"/>
  <c r="N7" i="4"/>
  <c r="L7" i="4"/>
  <c r="H7" i="4"/>
  <c r="G7" i="4"/>
  <c r="F7" i="4"/>
  <c r="A7" i="4"/>
  <c r="C5" i="4"/>
  <c r="BA3" i="4"/>
  <c r="AU3" i="4"/>
  <c r="AP3" i="4"/>
  <c r="AM3" i="4"/>
  <c r="AH3" i="4"/>
  <c r="AC3" i="4"/>
  <c r="Y3" i="4"/>
  <c r="S3" i="4"/>
  <c r="N3" i="4"/>
  <c r="J3" i="4"/>
  <c r="E3" i="4"/>
  <c r="AZ2" i="4"/>
  <c r="AX2" i="4"/>
  <c r="AR2" i="4"/>
  <c r="AM2" i="4"/>
  <c r="AI2" i="4"/>
  <c r="AD2" i="4"/>
  <c r="X2" i="4"/>
  <c r="T2" i="4"/>
  <c r="O2" i="4"/>
  <c r="J2" i="4"/>
  <c r="G2" i="4"/>
  <c r="A2" i="4"/>
  <c r="AX3" i="4" s="1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BB78" i="3"/>
  <c r="AY78" i="3"/>
  <c r="AV78" i="3"/>
  <c r="AT78" i="3"/>
  <c r="AR78" i="3"/>
  <c r="AN78" i="3"/>
  <c r="AM78" i="3"/>
  <c r="AL78" i="3"/>
  <c r="AH78" i="3"/>
  <c r="G78" i="3"/>
  <c r="AD78" i="3"/>
  <c r="R78" i="3"/>
  <c r="AF78" i="3"/>
  <c r="X78" i="3"/>
  <c r="Z78" i="3"/>
  <c r="W78" i="3"/>
  <c r="S78" i="3"/>
  <c r="D78" i="3"/>
  <c r="AG78" i="3"/>
  <c r="AA78" i="3"/>
  <c r="Q78" i="3"/>
  <c r="BD77" i="3"/>
  <c r="BC77" i="3"/>
  <c r="AY77" i="3"/>
  <c r="AW77" i="3"/>
  <c r="AV77" i="3"/>
  <c r="AR77" i="3"/>
  <c r="AQ77" i="3"/>
  <c r="AN77" i="3"/>
  <c r="AK77" i="3"/>
  <c r="AI77" i="3"/>
  <c r="I77" i="3"/>
  <c r="Y77" i="3"/>
  <c r="T77" i="3"/>
  <c r="R77" i="3"/>
  <c r="X77" i="3"/>
  <c r="F77" i="3"/>
  <c r="Z77" i="3"/>
  <c r="S77" i="3"/>
  <c r="H77" i="3"/>
  <c r="D77" i="3"/>
  <c r="AA77" i="3"/>
  <c r="U77" i="3"/>
  <c r="L77" i="3"/>
  <c r="A77" i="3"/>
  <c r="C75" i="3"/>
  <c r="A72" i="3"/>
  <c r="C70" i="3"/>
  <c r="BC68" i="3"/>
  <c r="BB68" i="3"/>
  <c r="AY68" i="3"/>
  <c r="AV68" i="3"/>
  <c r="AT68" i="3"/>
  <c r="AR68" i="3"/>
  <c r="AN68" i="3"/>
  <c r="AM68" i="3"/>
  <c r="AL68" i="3"/>
  <c r="AH68" i="3"/>
  <c r="G68" i="3"/>
  <c r="AD68" i="3"/>
  <c r="R68" i="3"/>
  <c r="AF68" i="3"/>
  <c r="X68" i="3"/>
  <c r="Z68" i="3"/>
  <c r="W68" i="3"/>
  <c r="S68" i="3"/>
  <c r="D68" i="3"/>
  <c r="AG68" i="3"/>
  <c r="AA68" i="3"/>
  <c r="Q68" i="3"/>
  <c r="BD67" i="3"/>
  <c r="BC67" i="3"/>
  <c r="AY67" i="3"/>
  <c r="AW67" i="3"/>
  <c r="AV67" i="3"/>
  <c r="AR67" i="3"/>
  <c r="AQ67" i="3"/>
  <c r="AN67" i="3"/>
  <c r="AK67" i="3"/>
  <c r="AI67" i="3"/>
  <c r="I67" i="3"/>
  <c r="Y67" i="3"/>
  <c r="T67" i="3"/>
  <c r="R67" i="3"/>
  <c r="X67" i="3"/>
  <c r="F67" i="3"/>
  <c r="Z67" i="3"/>
  <c r="S67" i="3"/>
  <c r="H67" i="3"/>
  <c r="D67" i="3"/>
  <c r="AA67" i="3"/>
  <c r="U67" i="3"/>
  <c r="L67" i="3"/>
  <c r="A67" i="3"/>
  <c r="C65" i="3"/>
  <c r="AV63" i="3"/>
  <c r="AN63" i="3"/>
  <c r="AD63" i="3"/>
  <c r="AB63" i="3"/>
  <c r="AG63" i="3"/>
  <c r="BA62" i="3"/>
  <c r="AS62" i="3"/>
  <c r="AJ62" i="3"/>
  <c r="M62" i="3"/>
  <c r="S62" i="3"/>
  <c r="AA62" i="3"/>
  <c r="A62" i="3"/>
  <c r="AY63" i="3" s="1"/>
  <c r="C60" i="3"/>
  <c r="BC58" i="3"/>
  <c r="BB58" i="3"/>
  <c r="AY58" i="3"/>
  <c r="AV58" i="3"/>
  <c r="AT58" i="3"/>
  <c r="AR58" i="3"/>
  <c r="AN58" i="3"/>
  <c r="AM58" i="3"/>
  <c r="AL58" i="3"/>
  <c r="AH58" i="3"/>
  <c r="G58" i="3"/>
  <c r="AD58" i="3"/>
  <c r="R58" i="3"/>
  <c r="AF58" i="3"/>
  <c r="X58" i="3"/>
  <c r="Z58" i="3"/>
  <c r="W58" i="3"/>
  <c r="S58" i="3"/>
  <c r="D58" i="3"/>
  <c r="AG58" i="3"/>
  <c r="AA58" i="3"/>
  <c r="Q58" i="3"/>
  <c r="BD57" i="3"/>
  <c r="BC57" i="3"/>
  <c r="AY57" i="3"/>
  <c r="AW57" i="3"/>
  <c r="AV57" i="3"/>
  <c r="AR57" i="3"/>
  <c r="AQ57" i="3"/>
  <c r="AN57" i="3"/>
  <c r="AK57" i="3"/>
  <c r="AI57" i="3"/>
  <c r="I57" i="3"/>
  <c r="Y57" i="3"/>
  <c r="T57" i="3"/>
  <c r="R57" i="3"/>
  <c r="X57" i="3"/>
  <c r="F57" i="3"/>
  <c r="Z57" i="3"/>
  <c r="S57" i="3"/>
  <c r="H57" i="3"/>
  <c r="D57" i="3"/>
  <c r="AA57" i="3"/>
  <c r="U57" i="3"/>
  <c r="L57" i="3"/>
  <c r="A57" i="3"/>
  <c r="C55" i="3"/>
  <c r="A52" i="3"/>
  <c r="C50" i="3"/>
  <c r="BC48" i="3"/>
  <c r="BB48" i="3"/>
  <c r="AY48" i="3"/>
  <c r="AV48" i="3"/>
  <c r="AT48" i="3"/>
  <c r="AR48" i="3"/>
  <c r="AN48" i="3"/>
  <c r="AM48" i="3"/>
  <c r="AL48" i="3"/>
  <c r="AH48" i="3"/>
  <c r="G48" i="3"/>
  <c r="AD48" i="3"/>
  <c r="R48" i="3"/>
  <c r="AF48" i="3"/>
  <c r="X48" i="3"/>
  <c r="Z48" i="3"/>
  <c r="W48" i="3"/>
  <c r="S48" i="3"/>
  <c r="D48" i="3"/>
  <c r="AG48" i="3"/>
  <c r="AA48" i="3"/>
  <c r="Q48" i="3"/>
  <c r="BD47" i="3"/>
  <c r="BC47" i="3"/>
  <c r="AY47" i="3"/>
  <c r="AW47" i="3"/>
  <c r="AV47" i="3"/>
  <c r="AR47" i="3"/>
  <c r="AQ47" i="3"/>
  <c r="AN47" i="3"/>
  <c r="AK47" i="3"/>
  <c r="AI47" i="3"/>
  <c r="I47" i="3"/>
  <c r="Y47" i="3"/>
  <c r="T47" i="3"/>
  <c r="R47" i="3"/>
  <c r="X47" i="3"/>
  <c r="F47" i="3"/>
  <c r="Z47" i="3"/>
  <c r="S47" i="3"/>
  <c r="H47" i="3"/>
  <c r="D47" i="3"/>
  <c r="AA47" i="3"/>
  <c r="U47" i="3"/>
  <c r="L47" i="3"/>
  <c r="A47" i="3"/>
  <c r="C45" i="3"/>
  <c r="AV43" i="3"/>
  <c r="AN43" i="3"/>
  <c r="AD43" i="3"/>
  <c r="AB43" i="3"/>
  <c r="AG43" i="3"/>
  <c r="BA42" i="3"/>
  <c r="AS42" i="3"/>
  <c r="AJ42" i="3"/>
  <c r="M42" i="3"/>
  <c r="S42" i="3"/>
  <c r="AA42" i="3"/>
  <c r="A42" i="3"/>
  <c r="AY43" i="3" s="1"/>
  <c r="C40" i="3"/>
  <c r="BC38" i="3"/>
  <c r="BB38" i="3"/>
  <c r="AY38" i="3"/>
  <c r="AV38" i="3"/>
  <c r="AT38" i="3"/>
  <c r="AR38" i="3"/>
  <c r="AN38" i="3"/>
  <c r="AM38" i="3"/>
  <c r="AL38" i="3"/>
  <c r="AH38" i="3"/>
  <c r="G38" i="3"/>
  <c r="AD38" i="3"/>
  <c r="R38" i="3"/>
  <c r="AF38" i="3"/>
  <c r="X38" i="3"/>
  <c r="Z38" i="3"/>
  <c r="W38" i="3"/>
  <c r="S38" i="3"/>
  <c r="D38" i="3"/>
  <c r="AG38" i="3"/>
  <c r="AA38" i="3"/>
  <c r="Q38" i="3"/>
  <c r="BD37" i="3"/>
  <c r="BC37" i="3"/>
  <c r="AY37" i="3"/>
  <c r="AW37" i="3"/>
  <c r="AV37" i="3"/>
  <c r="AR37" i="3"/>
  <c r="AQ37" i="3"/>
  <c r="AN37" i="3"/>
  <c r="AK37" i="3"/>
  <c r="AI37" i="3"/>
  <c r="I37" i="3"/>
  <c r="Y37" i="3"/>
  <c r="T37" i="3"/>
  <c r="R37" i="3"/>
  <c r="X37" i="3"/>
  <c r="F37" i="3"/>
  <c r="Z37" i="3"/>
  <c r="S37" i="3"/>
  <c r="H37" i="3"/>
  <c r="D37" i="3"/>
  <c r="AA37" i="3"/>
  <c r="U37" i="3"/>
  <c r="L37" i="3"/>
  <c r="A37" i="3"/>
  <c r="C35" i="3"/>
  <c r="A32" i="3"/>
  <c r="C30" i="3"/>
  <c r="A27" i="3"/>
  <c r="C25" i="3"/>
  <c r="BC23" i="3"/>
  <c r="BB23" i="3"/>
  <c r="BA23" i="3"/>
  <c r="AX23" i="3"/>
  <c r="AW23" i="3"/>
  <c r="AU23" i="3"/>
  <c r="AS23" i="3"/>
  <c r="AQ23" i="3"/>
  <c r="AP23" i="3"/>
  <c r="AM23" i="3"/>
  <c r="AL23" i="3"/>
  <c r="AK23" i="3"/>
  <c r="AH23" i="3"/>
  <c r="I23" i="3"/>
  <c r="E23" i="3"/>
  <c r="Y23" i="3"/>
  <c r="R23" i="3"/>
  <c r="O23" i="3"/>
  <c r="X23" i="3"/>
  <c r="P23" i="3"/>
  <c r="F23" i="3"/>
  <c r="W23" i="3"/>
  <c r="V23" i="3"/>
  <c r="N23" i="3"/>
  <c r="H23" i="3"/>
  <c r="AG23" i="3"/>
  <c r="AE23" i="3"/>
  <c r="U23" i="3"/>
  <c r="Q23" i="3"/>
  <c r="L23" i="3"/>
  <c r="BC22" i="3"/>
  <c r="BB22" i="3"/>
  <c r="AZ22" i="3"/>
  <c r="AX22" i="3"/>
  <c r="AV22" i="3"/>
  <c r="AU22" i="3"/>
  <c r="AR22" i="3"/>
  <c r="AQ22" i="3"/>
  <c r="AP22" i="3"/>
  <c r="AM22" i="3"/>
  <c r="AL22" i="3"/>
  <c r="AJ22" i="3"/>
  <c r="AH22" i="3"/>
  <c r="G22" i="3"/>
  <c r="E22" i="3"/>
  <c r="T22" i="3"/>
  <c r="R22" i="3"/>
  <c r="O22" i="3"/>
  <c r="X22" i="3"/>
  <c r="P22" i="3"/>
  <c r="AB22" i="3"/>
  <c r="W22" i="3"/>
  <c r="S22" i="3"/>
  <c r="N22" i="3"/>
  <c r="D22" i="3"/>
  <c r="AG22" i="3"/>
  <c r="AE22" i="3"/>
  <c r="U22" i="3"/>
  <c r="Q22" i="3"/>
  <c r="K22" i="3"/>
  <c r="A22" i="3"/>
  <c r="C20" i="3"/>
  <c r="BC18" i="3"/>
  <c r="BB18" i="3"/>
  <c r="AY18" i="3"/>
  <c r="AW18" i="3"/>
  <c r="AT18" i="3"/>
  <c r="AS18" i="3"/>
  <c r="AO18" i="3"/>
  <c r="AM18" i="3"/>
  <c r="AL18" i="3"/>
  <c r="AH18" i="3"/>
  <c r="I18" i="3"/>
  <c r="AD18" i="3"/>
  <c r="R18" i="3"/>
  <c r="M18" i="3"/>
  <c r="X18" i="3"/>
  <c r="Z18" i="3"/>
  <c r="W18" i="3"/>
  <c r="V18" i="3"/>
  <c r="H18" i="3"/>
  <c r="AG18" i="3"/>
  <c r="AC18" i="3"/>
  <c r="Q18" i="3"/>
  <c r="BD17" i="3"/>
  <c r="BC17" i="3"/>
  <c r="AY17" i="3"/>
  <c r="AX17" i="3"/>
  <c r="AV17" i="3"/>
  <c r="AR17" i="3"/>
  <c r="AQ17" i="3"/>
  <c r="AN17" i="3"/>
  <c r="AL17" i="3"/>
  <c r="AI17" i="3"/>
  <c r="AH17" i="3"/>
  <c r="AD17" i="3"/>
  <c r="T17" i="3"/>
  <c r="R17" i="3"/>
  <c r="X17" i="3"/>
  <c r="P17" i="3"/>
  <c r="Z17" i="3"/>
  <c r="S17" i="3"/>
  <c r="J17" i="3"/>
  <c r="D17" i="3"/>
  <c r="AA17" i="3"/>
  <c r="U17" i="3"/>
  <c r="Q17" i="3"/>
  <c r="A17" i="3"/>
  <c r="C15" i="3"/>
  <c r="A12" i="3"/>
  <c r="C10" i="3"/>
  <c r="A7" i="3"/>
  <c r="C5" i="3"/>
  <c r="BC3" i="3"/>
  <c r="BA3" i="3"/>
  <c r="AX3" i="3"/>
  <c r="AU3" i="3"/>
  <c r="AS3" i="3"/>
  <c r="AP3" i="3"/>
  <c r="AM3" i="3"/>
  <c r="AK3" i="3"/>
  <c r="AH3" i="3"/>
  <c r="E3" i="3"/>
  <c r="Y3" i="3"/>
  <c r="O3" i="3"/>
  <c r="X3" i="3"/>
  <c r="F3" i="3"/>
  <c r="W3" i="3"/>
  <c r="N3" i="3"/>
  <c r="H3" i="3"/>
  <c r="AE3" i="3"/>
  <c r="U3" i="3"/>
  <c r="L3" i="3"/>
  <c r="BC2" i="3"/>
  <c r="AZ2" i="3"/>
  <c r="AX2" i="3"/>
  <c r="AU2" i="3"/>
  <c r="AR2" i="3"/>
  <c r="AP2" i="3"/>
  <c r="AM2" i="3"/>
  <c r="AJ2" i="3"/>
  <c r="AH2" i="3"/>
  <c r="E2" i="3"/>
  <c r="T2" i="3"/>
  <c r="O2" i="3"/>
  <c r="X2" i="3"/>
  <c r="AB2" i="3"/>
  <c r="W2" i="3"/>
  <c r="N2" i="3"/>
  <c r="D2" i="3"/>
  <c r="AE2" i="3"/>
  <c r="U2" i="3"/>
  <c r="K2" i="3"/>
  <c r="A2" i="3"/>
  <c r="BB3" i="3" s="1"/>
  <c r="B19" i="2"/>
  <c r="Q54" i="1" s="1"/>
  <c r="U17" i="2"/>
  <c r="T17" i="2"/>
  <c r="S17" i="2"/>
  <c r="Q17" i="2"/>
  <c r="P17" i="2"/>
  <c r="O17" i="2"/>
  <c r="M17" i="2"/>
  <c r="L17" i="2"/>
  <c r="K17" i="2"/>
  <c r="I17" i="2"/>
  <c r="H17" i="2"/>
  <c r="G17" i="2"/>
  <c r="E17" i="2"/>
  <c r="C17" i="2"/>
  <c r="D17" i="2"/>
  <c r="A17" i="2"/>
  <c r="V17" i="2" s="1"/>
  <c r="U16" i="2"/>
  <c r="P16" i="2"/>
  <c r="J16" i="2"/>
  <c r="E16" i="2"/>
  <c r="A16" i="2"/>
  <c r="V16" i="2" s="1"/>
  <c r="U15" i="2"/>
  <c r="O15" i="2"/>
  <c r="J15" i="2"/>
  <c r="E15" i="2"/>
  <c r="A15" i="2"/>
  <c r="V15" i="2" s="1"/>
  <c r="T14" i="2"/>
  <c r="O14" i="2"/>
  <c r="J14" i="2"/>
  <c r="C14" i="2"/>
  <c r="A14" i="2"/>
  <c r="V14" i="2" s="1"/>
  <c r="U13" i="2"/>
  <c r="T13" i="2"/>
  <c r="S13" i="2"/>
  <c r="Q13" i="2"/>
  <c r="P13" i="2"/>
  <c r="O13" i="2"/>
  <c r="M13" i="2"/>
  <c r="L13" i="2"/>
  <c r="K13" i="2"/>
  <c r="I13" i="2"/>
  <c r="H13" i="2"/>
  <c r="G13" i="2"/>
  <c r="E13" i="2"/>
  <c r="C13" i="2"/>
  <c r="D13" i="2"/>
  <c r="A13" i="2"/>
  <c r="V13" i="2" s="1"/>
  <c r="U12" i="2"/>
  <c r="P12" i="2"/>
  <c r="J12" i="2"/>
  <c r="E12" i="2"/>
  <c r="A12" i="2"/>
  <c r="V12" i="2" s="1"/>
  <c r="U11" i="2"/>
  <c r="O11" i="2"/>
  <c r="J11" i="2"/>
  <c r="E11" i="2"/>
  <c r="A11" i="2"/>
  <c r="V11" i="2" s="1"/>
  <c r="T10" i="2"/>
  <c r="O10" i="2"/>
  <c r="J10" i="2"/>
  <c r="C10" i="2"/>
  <c r="A10" i="2"/>
  <c r="V10" i="2" s="1"/>
  <c r="U9" i="2"/>
  <c r="T9" i="2"/>
  <c r="S9" i="2"/>
  <c r="Q9" i="2"/>
  <c r="P9" i="2"/>
  <c r="O9" i="2"/>
  <c r="M9" i="2"/>
  <c r="L9" i="2"/>
  <c r="K9" i="2"/>
  <c r="I9" i="2"/>
  <c r="H9" i="2"/>
  <c r="G9" i="2"/>
  <c r="E9" i="2"/>
  <c r="C9" i="2"/>
  <c r="D9" i="2"/>
  <c r="A9" i="2"/>
  <c r="V9" i="2" s="1"/>
  <c r="U8" i="2"/>
  <c r="P8" i="2"/>
  <c r="J8" i="2"/>
  <c r="E8" i="2"/>
  <c r="A8" i="2"/>
  <c r="V8" i="2" s="1"/>
  <c r="U7" i="2"/>
  <c r="O7" i="2"/>
  <c r="J7" i="2"/>
  <c r="E7" i="2"/>
  <c r="A7" i="2"/>
  <c r="V7" i="2" s="1"/>
  <c r="T6" i="2"/>
  <c r="O6" i="2"/>
  <c r="J6" i="2"/>
  <c r="C6" i="2"/>
  <c r="A6" i="2"/>
  <c r="V6" i="2" s="1"/>
  <c r="U5" i="2"/>
  <c r="T5" i="2"/>
  <c r="S5" i="2"/>
  <c r="Q5" i="2"/>
  <c r="P5" i="2"/>
  <c r="O5" i="2"/>
  <c r="M5" i="2"/>
  <c r="L5" i="2"/>
  <c r="K5" i="2"/>
  <c r="I5" i="2"/>
  <c r="H5" i="2"/>
  <c r="G5" i="2"/>
  <c r="E5" i="2"/>
  <c r="C5" i="2"/>
  <c r="D5" i="2"/>
  <c r="A5" i="2"/>
  <c r="V5" i="2" s="1"/>
  <c r="U4" i="2"/>
  <c r="P4" i="2"/>
  <c r="J4" i="2"/>
  <c r="E4" i="2"/>
  <c r="A4" i="2"/>
  <c r="V4" i="2" s="1"/>
  <c r="U3" i="2"/>
  <c r="O3" i="2"/>
  <c r="J3" i="2"/>
  <c r="E3" i="2"/>
  <c r="A3" i="2"/>
  <c r="V3" i="2" s="1"/>
  <c r="T2" i="2"/>
  <c r="O2" i="2"/>
  <c r="J2" i="2"/>
  <c r="C2" i="2"/>
  <c r="A2" i="2"/>
  <c r="V2" i="2" s="1"/>
  <c r="W52" i="1"/>
  <c r="W54" i="1" s="1"/>
  <c r="W55" i="1" s="1"/>
  <c r="Z51" i="1"/>
  <c r="AX1" i="11" s="1"/>
  <c r="Z48" i="1"/>
  <c r="AU1" i="11" s="1"/>
  <c r="Z47" i="1"/>
  <c r="AT1" i="11" s="1"/>
  <c r="Z46" i="1"/>
  <c r="AS1" i="11" s="1"/>
  <c r="Z45" i="1"/>
  <c r="AR1" i="11" s="1"/>
  <c r="Z44" i="1"/>
  <c r="AQ1" i="11" s="1"/>
  <c r="Z43" i="1"/>
  <c r="AP1" i="11" s="1"/>
  <c r="Z42" i="1"/>
  <c r="AO1" i="11" s="1"/>
  <c r="Z41" i="1"/>
  <c r="AN1" i="11" s="1"/>
  <c r="Z40" i="1"/>
  <c r="AM1" i="11" s="1"/>
  <c r="Z39" i="1"/>
  <c r="AL1" i="11" s="1"/>
  <c r="Z22" i="1"/>
  <c r="Z29" i="1"/>
  <c r="Z14" i="1"/>
  <c r="Z37" i="1"/>
  <c r="Z25" i="1"/>
  <c r="Z21" i="1"/>
  <c r="Z26" i="1"/>
  <c r="Z27" i="1"/>
  <c r="Z13" i="1"/>
  <c r="Z17" i="1"/>
  <c r="Z23" i="1"/>
  <c r="Z31" i="1"/>
  <c r="Z19" i="1"/>
  <c r="Z33" i="1"/>
  <c r="Z30" i="1"/>
  <c r="Z5" i="1"/>
  <c r="Z38" i="1"/>
  <c r="Z36" i="1"/>
  <c r="Z35" i="1"/>
  <c r="Z34" i="1"/>
  <c r="Z32" i="1"/>
  <c r="Z28" i="1"/>
  <c r="Z24" i="1"/>
  <c r="Z20" i="1"/>
  <c r="Z18" i="1"/>
  <c r="Z16" i="1"/>
  <c r="Z15" i="1"/>
  <c r="Z12" i="1"/>
  <c r="Z11" i="1"/>
  <c r="Z10" i="1"/>
  <c r="Z9" i="1"/>
  <c r="Z8" i="1"/>
  <c r="Z7" i="1"/>
  <c r="Z6" i="1"/>
  <c r="Z4" i="1"/>
  <c r="U4" i="1" s="1"/>
  <c r="Z3" i="1"/>
  <c r="U3" i="1" s="1"/>
  <c r="M3" i="1"/>
  <c r="Z2" i="1"/>
  <c r="N2" i="1"/>
  <c r="Z106" i="13"/>
  <c r="Z128" i="13"/>
  <c r="Z3" i="13"/>
  <c r="Z75" i="13"/>
  <c r="Z79" i="13"/>
  <c r="Z29" i="13"/>
  <c r="Z17" i="13"/>
  <c r="Z22" i="13"/>
  <c r="Z27" i="13"/>
  <c r="Z103" i="13"/>
  <c r="Z67" i="13"/>
  <c r="Z99" i="13"/>
  <c r="Z83" i="13"/>
  <c r="Z96" i="13"/>
  <c r="Z39" i="13"/>
  <c r="Z7" i="13"/>
  <c r="Z50" i="13"/>
  <c r="Z112" i="13"/>
  <c r="Z66" i="13"/>
  <c r="Z92" i="13"/>
  <c r="Z56" i="13"/>
  <c r="Z113" i="13"/>
  <c r="Z6" i="13"/>
  <c r="Z45" i="13"/>
  <c r="Z47" i="13"/>
  <c r="Z37" i="13"/>
  <c r="Z120" i="13"/>
  <c r="Z109" i="13"/>
  <c r="Z34" i="13"/>
  <c r="Z48" i="13"/>
  <c r="Z64" i="13"/>
  <c r="Z38" i="13"/>
  <c r="Z40" i="13"/>
  <c r="Z76" i="13"/>
  <c r="Z65" i="13"/>
  <c r="Z82" i="13"/>
  <c r="Z54" i="13"/>
  <c r="Z74" i="13"/>
  <c r="Z85" i="13"/>
  <c r="Z21" i="13"/>
  <c r="Z123" i="13"/>
  <c r="Z42" i="13"/>
  <c r="Z11" i="13"/>
  <c r="Z71" i="13"/>
  <c r="Z52" i="13"/>
  <c r="Z15" i="13"/>
  <c r="Z100" i="13"/>
  <c r="Z61" i="13"/>
  <c r="Z121" i="13"/>
  <c r="Z108" i="13"/>
  <c r="Z26" i="13"/>
  <c r="Z72" i="13"/>
  <c r="Z93" i="13"/>
  <c r="Z119" i="13"/>
  <c r="Z31" i="13"/>
  <c r="Z110" i="13"/>
  <c r="Z49" i="13"/>
  <c r="Z132" i="13"/>
  <c r="Z5" i="13"/>
  <c r="Z25" i="13"/>
  <c r="Z55" i="13"/>
  <c r="Z73" i="13"/>
  <c r="Z28" i="13"/>
  <c r="Z126" i="13"/>
  <c r="Z102" i="13"/>
  <c r="Z33" i="13"/>
  <c r="Z130" i="13"/>
  <c r="Z63" i="13"/>
  <c r="Z35" i="13"/>
  <c r="Z8" i="13"/>
  <c r="Z16" i="13"/>
  <c r="Z97" i="13"/>
  <c r="Z90" i="13"/>
  <c r="Z87" i="13"/>
  <c r="Z44" i="13"/>
  <c r="Z68" i="13"/>
  <c r="Z94" i="13"/>
  <c r="Z60" i="13"/>
  <c r="Z95" i="13"/>
  <c r="Z9" i="13"/>
  <c r="Z4" i="13"/>
  <c r="Z81" i="13"/>
  <c r="Z46" i="13"/>
  <c r="Z41" i="13"/>
  <c r="Z18" i="13"/>
  <c r="Z111" i="13"/>
  <c r="Z127" i="13"/>
  <c r="Z88" i="13"/>
  <c r="Z57" i="13"/>
  <c r="Z32" i="13"/>
  <c r="Z122" i="13"/>
  <c r="Z84" i="13"/>
  <c r="Z101" i="13"/>
  <c r="Z129" i="13"/>
  <c r="Z105" i="13"/>
  <c r="Z62" i="13"/>
  <c r="Z43" i="13"/>
  <c r="Z14" i="13"/>
  <c r="Z107" i="13"/>
  <c r="Z30" i="13"/>
  <c r="Z20" i="13"/>
  <c r="Z117" i="13"/>
  <c r="Z59" i="13"/>
  <c r="Z77" i="13"/>
  <c r="Z10" i="13"/>
  <c r="Z70" i="13"/>
  <c r="Z78" i="13"/>
  <c r="Z12" i="13"/>
  <c r="Z13" i="13"/>
  <c r="Z86" i="13"/>
  <c r="Z118" i="13"/>
  <c r="Z91" i="13"/>
  <c r="Z36" i="13"/>
  <c r="Z98" i="13"/>
  <c r="Z2" i="13"/>
  <c r="Z114" i="13"/>
  <c r="Z104" i="13"/>
  <c r="Z115" i="13"/>
  <c r="Z124" i="13"/>
  <c r="Z89" i="13"/>
  <c r="Z51" i="13"/>
  <c r="Z125" i="13"/>
  <c r="Z69" i="13"/>
  <c r="Z58" i="13"/>
  <c r="Z24" i="13"/>
  <c r="Z19" i="13"/>
  <c r="Z23" i="13"/>
  <c r="Z53" i="13"/>
  <c r="Z116" i="13"/>
  <c r="Z131" i="13"/>
  <c r="Z80" i="13"/>
  <c r="AK1" i="11" l="1"/>
  <c r="AJ1" i="11"/>
  <c r="Q1" i="11"/>
  <c r="W1" i="11"/>
  <c r="AI1" i="11"/>
  <c r="S2" i="1"/>
  <c r="AW211" i="11"/>
  <c r="AW212" i="11"/>
  <c r="F2" i="1"/>
  <c r="A15" i="11"/>
  <c r="AV212" i="11"/>
  <c r="AV211" i="11"/>
  <c r="H2" i="1"/>
  <c r="P2" i="1"/>
  <c r="G3" i="1"/>
  <c r="O3" i="1"/>
  <c r="J2" i="1"/>
  <c r="R2" i="1"/>
  <c r="I3" i="1"/>
  <c r="Q3" i="1"/>
  <c r="L2" i="1"/>
  <c r="T2" i="1"/>
  <c r="K3" i="1"/>
  <c r="S3" i="1"/>
  <c r="AG1" i="11"/>
  <c r="A3" i="11"/>
  <c r="S1" i="11"/>
  <c r="S211" i="11" s="1"/>
  <c r="AH1" i="11"/>
  <c r="AF1" i="11"/>
  <c r="AE1" i="11"/>
  <c r="V2" i="13"/>
  <c r="L1" i="11"/>
  <c r="L211" i="11" s="1"/>
  <c r="P1" i="1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3" i="1"/>
  <c r="L3" i="1"/>
  <c r="P3" i="1"/>
  <c r="T3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3" i="1"/>
  <c r="J3" i="1"/>
  <c r="N3" i="1"/>
  <c r="R3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44" i="1"/>
  <c r="V1" i="11"/>
  <c r="Z1" i="11"/>
  <c r="AD1" i="11"/>
  <c r="H1" i="11"/>
  <c r="T1" i="11"/>
  <c r="G18" i="14"/>
  <c r="G34" i="14" s="1"/>
  <c r="D1" i="11"/>
  <c r="D212" i="11" s="1"/>
  <c r="L4" i="1"/>
  <c r="E1" i="11"/>
  <c r="I1" i="11"/>
  <c r="M1" i="11"/>
  <c r="M212" i="11" s="1"/>
  <c r="U1" i="11"/>
  <c r="X1" i="11"/>
  <c r="AB1" i="11"/>
  <c r="C58" i="4"/>
  <c r="T4" i="1"/>
  <c r="F1" i="11"/>
  <c r="F211" i="11" s="1"/>
  <c r="J1" i="11"/>
  <c r="N1" i="11"/>
  <c r="N212" i="11" s="1"/>
  <c r="R1" i="11"/>
  <c r="R212" i="11" s="1"/>
  <c r="Y1" i="11"/>
  <c r="AC1" i="11"/>
  <c r="F51" i="1"/>
  <c r="J19" i="1"/>
  <c r="K44" i="1"/>
  <c r="H4" i="1"/>
  <c r="U19" i="1"/>
  <c r="L26" i="1"/>
  <c r="N44" i="1"/>
  <c r="Q11" i="1"/>
  <c r="Q14" i="1"/>
  <c r="Q44" i="1"/>
  <c r="J15" i="1"/>
  <c r="M15" i="1"/>
  <c r="Q15" i="1"/>
  <c r="S38" i="1"/>
  <c r="N23" i="1"/>
  <c r="I44" i="1"/>
  <c r="S44" i="1"/>
  <c r="F23" i="1"/>
  <c r="J23" i="1"/>
  <c r="G15" i="1"/>
  <c r="U15" i="1"/>
  <c r="M48" i="1"/>
  <c r="I7" i="1"/>
  <c r="K23" i="1"/>
  <c r="O23" i="1"/>
  <c r="S23" i="1"/>
  <c r="L23" i="1"/>
  <c r="T23" i="1"/>
  <c r="F37" i="1"/>
  <c r="F39" i="1"/>
  <c r="H40" i="1"/>
  <c r="Q40" i="1"/>
  <c r="G23" i="1"/>
  <c r="F40" i="1"/>
  <c r="P40" i="1"/>
  <c r="G46" i="1"/>
  <c r="N48" i="1"/>
  <c r="M7" i="1"/>
  <c r="P23" i="1"/>
  <c r="L46" i="1"/>
  <c r="F48" i="1"/>
  <c r="Q48" i="1"/>
  <c r="U7" i="1"/>
  <c r="F15" i="1"/>
  <c r="O15" i="1"/>
  <c r="O28" i="1"/>
  <c r="I23" i="1"/>
  <c r="M23" i="1"/>
  <c r="Q23" i="1"/>
  <c r="U23" i="1"/>
  <c r="N37" i="1"/>
  <c r="N39" i="1"/>
  <c r="J40" i="1"/>
  <c r="U40" i="1"/>
  <c r="R43" i="1"/>
  <c r="R46" i="1"/>
  <c r="I48" i="1"/>
  <c r="U48" i="1"/>
  <c r="B33" i="8"/>
  <c r="C33" i="8" s="1"/>
  <c r="D33" i="8" s="1"/>
  <c r="F18" i="15"/>
  <c r="N17" i="1" s="1"/>
  <c r="R18" i="15"/>
  <c r="V18" i="15"/>
  <c r="Z18" i="15"/>
  <c r="AD18" i="15"/>
  <c r="AH18" i="15"/>
  <c r="M40" i="1"/>
  <c r="C32" i="4"/>
  <c r="C67" i="4"/>
  <c r="G34" i="1"/>
  <c r="G9" i="1"/>
  <c r="J9" i="1"/>
  <c r="Q9" i="1"/>
  <c r="U11" i="1"/>
  <c r="H18" i="1"/>
  <c r="U28" i="1"/>
  <c r="K34" i="1"/>
  <c r="O13" i="1"/>
  <c r="F26" i="1"/>
  <c r="M26" i="1"/>
  <c r="U26" i="1"/>
  <c r="I14" i="1"/>
  <c r="U14" i="1"/>
  <c r="J44" i="1"/>
  <c r="O44" i="1"/>
  <c r="U44" i="1"/>
  <c r="H46" i="1"/>
  <c r="M46" i="1"/>
  <c r="U46" i="1"/>
  <c r="R51" i="1"/>
  <c r="C52" i="4"/>
  <c r="C53" i="4"/>
  <c r="C62" i="4"/>
  <c r="F16" i="1"/>
  <c r="O34" i="1"/>
  <c r="F30" i="1"/>
  <c r="P26" i="1"/>
  <c r="M14" i="1"/>
  <c r="I46" i="1"/>
  <c r="O46" i="1"/>
  <c r="C23" i="4"/>
  <c r="K9" i="1"/>
  <c r="I11" i="1"/>
  <c r="Q7" i="1"/>
  <c r="F9" i="1"/>
  <c r="M9" i="1"/>
  <c r="U9" i="1"/>
  <c r="M11" i="1"/>
  <c r="K15" i="1"/>
  <c r="R15" i="1"/>
  <c r="R16" i="1"/>
  <c r="T18" i="1"/>
  <c r="J28" i="1"/>
  <c r="S34" i="1"/>
  <c r="I38" i="1"/>
  <c r="J5" i="1"/>
  <c r="J30" i="1"/>
  <c r="O19" i="1"/>
  <c r="L27" i="1"/>
  <c r="J26" i="1"/>
  <c r="Q26" i="1"/>
  <c r="L40" i="1"/>
  <c r="R40" i="1"/>
  <c r="G44" i="1"/>
  <c r="M44" i="1"/>
  <c r="R44" i="1"/>
  <c r="K46" i="1"/>
  <c r="Q46" i="1"/>
  <c r="F47" i="1"/>
  <c r="N30" i="1"/>
  <c r="P4" i="1"/>
  <c r="I9" i="1"/>
  <c r="N9" i="1"/>
  <c r="S9" i="1"/>
  <c r="I15" i="1"/>
  <c r="S15" i="1"/>
  <c r="H16" i="1"/>
  <c r="U16" i="1"/>
  <c r="J38" i="1"/>
  <c r="U38" i="1"/>
  <c r="G30" i="1"/>
  <c r="K30" i="1"/>
  <c r="O30" i="1"/>
  <c r="S30" i="1"/>
  <c r="U13" i="1"/>
  <c r="T27" i="1"/>
  <c r="I26" i="1"/>
  <c r="N26" i="1"/>
  <c r="T26" i="1"/>
  <c r="T37" i="1"/>
  <c r="L14" i="1"/>
  <c r="T14" i="1"/>
  <c r="T39" i="1"/>
  <c r="I40" i="1"/>
  <c r="N40" i="1"/>
  <c r="T40" i="1"/>
  <c r="J42" i="1"/>
  <c r="F43" i="1"/>
  <c r="T43" i="1"/>
  <c r="H44" i="1"/>
  <c r="L44" i="1"/>
  <c r="P44" i="1"/>
  <c r="T44" i="1"/>
  <c r="F46" i="1"/>
  <c r="J46" i="1"/>
  <c r="N46" i="1"/>
  <c r="S46" i="1"/>
  <c r="N47" i="1"/>
  <c r="J48" i="1"/>
  <c r="R48" i="1"/>
  <c r="N51" i="1"/>
  <c r="C43" i="4"/>
  <c r="B30" i="8"/>
  <c r="C30" i="8" s="1"/>
  <c r="D30" i="8" s="1"/>
  <c r="AI18" i="15"/>
  <c r="M16" i="1"/>
  <c r="L30" i="1"/>
  <c r="P30" i="1"/>
  <c r="T30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31" i="1"/>
  <c r="O42" i="1"/>
  <c r="J43" i="1"/>
  <c r="N16" i="1"/>
  <c r="T32" i="1"/>
  <c r="O38" i="1"/>
  <c r="I30" i="1"/>
  <c r="Q30" i="1"/>
  <c r="T31" i="1"/>
  <c r="J13" i="1"/>
  <c r="J27" i="1"/>
  <c r="L37" i="1"/>
  <c r="L39" i="1"/>
  <c r="U42" i="1"/>
  <c r="L43" i="1"/>
  <c r="C3" i="4"/>
  <c r="C68" i="4"/>
  <c r="M18" i="15"/>
  <c r="Q18" i="15"/>
  <c r="U18" i="15"/>
  <c r="Y18" i="15"/>
  <c r="AC18" i="15"/>
  <c r="AG18" i="15"/>
  <c r="AK18" i="15"/>
  <c r="F25" i="1"/>
  <c r="K25" i="1"/>
  <c r="Q25" i="1"/>
  <c r="Q28" i="1"/>
  <c r="G35" i="1"/>
  <c r="S35" i="1"/>
  <c r="F19" i="1"/>
  <c r="K19" i="1"/>
  <c r="Q19" i="1"/>
  <c r="F13" i="1"/>
  <c r="K13" i="1"/>
  <c r="Q13" i="1"/>
  <c r="G25" i="1"/>
  <c r="M25" i="1"/>
  <c r="G18" i="2"/>
  <c r="K18" i="2"/>
  <c r="O18" i="2"/>
  <c r="S18" i="2"/>
  <c r="F35" i="1"/>
  <c r="F22" i="1"/>
  <c r="K22" i="1"/>
  <c r="Q22" i="1"/>
  <c r="K6" i="1"/>
  <c r="J7" i="1"/>
  <c r="G20" i="1"/>
  <c r="K20" i="1"/>
  <c r="O20" i="1"/>
  <c r="S20" i="1"/>
  <c r="K28" i="1"/>
  <c r="K35" i="1"/>
  <c r="O35" i="1"/>
  <c r="M22" i="1"/>
  <c r="R22" i="1"/>
  <c r="H47" i="1"/>
  <c r="O6" i="1"/>
  <c r="G7" i="1"/>
  <c r="K7" i="1"/>
  <c r="O7" i="1"/>
  <c r="S7" i="1"/>
  <c r="L20" i="1"/>
  <c r="P20" i="1"/>
  <c r="T20" i="1"/>
  <c r="F28" i="1"/>
  <c r="M28" i="1"/>
  <c r="R28" i="1"/>
  <c r="G19" i="1"/>
  <c r="M19" i="1"/>
  <c r="I22" i="1"/>
  <c r="N22" i="1"/>
  <c r="S22" i="1"/>
  <c r="H39" i="1"/>
  <c r="P39" i="1"/>
  <c r="N43" i="1"/>
  <c r="L18" i="2"/>
  <c r="T18" i="2"/>
  <c r="F20" i="1"/>
  <c r="J35" i="1"/>
  <c r="B9" i="2"/>
  <c r="F7" i="1"/>
  <c r="N7" i="1"/>
  <c r="L10" i="1"/>
  <c r="F11" i="1"/>
  <c r="J11" i="1"/>
  <c r="N11" i="1"/>
  <c r="F42" i="1"/>
  <c r="K42" i="1"/>
  <c r="Q42" i="1"/>
  <c r="P47" i="1"/>
  <c r="P10" i="1"/>
  <c r="G11" i="1"/>
  <c r="K11" i="1"/>
  <c r="O11" i="1"/>
  <c r="S11" i="1"/>
  <c r="I16" i="1"/>
  <c r="P16" i="1"/>
  <c r="L35" i="1"/>
  <c r="P35" i="1"/>
  <c r="T35" i="1"/>
  <c r="F38" i="1"/>
  <c r="K38" i="1"/>
  <c r="Q38" i="1"/>
  <c r="G13" i="1"/>
  <c r="M13" i="1"/>
  <c r="F27" i="1"/>
  <c r="I25" i="1"/>
  <c r="N25" i="1"/>
  <c r="S25" i="1"/>
  <c r="H37" i="1"/>
  <c r="P37" i="1"/>
  <c r="F14" i="1"/>
  <c r="J14" i="1"/>
  <c r="N14" i="1"/>
  <c r="G42" i="1"/>
  <c r="M42" i="1"/>
  <c r="R42" i="1"/>
  <c r="J47" i="1"/>
  <c r="R47" i="1"/>
  <c r="G48" i="1"/>
  <c r="K48" i="1"/>
  <c r="O48" i="1"/>
  <c r="S48" i="1"/>
  <c r="H18" i="2"/>
  <c r="P18" i="2"/>
  <c r="B11" i="2"/>
  <c r="S6" i="1"/>
  <c r="L7" i="1"/>
  <c r="P7" i="1"/>
  <c r="T7" i="1"/>
  <c r="T10" i="1"/>
  <c r="L11" i="1"/>
  <c r="P11" i="1"/>
  <c r="T11" i="1"/>
  <c r="J16" i="1"/>
  <c r="Q16" i="1"/>
  <c r="I20" i="1"/>
  <c r="M20" i="1"/>
  <c r="Q20" i="1"/>
  <c r="U20" i="1"/>
  <c r="I28" i="1"/>
  <c r="N28" i="1"/>
  <c r="S28" i="1"/>
  <c r="L32" i="1"/>
  <c r="I35" i="1"/>
  <c r="M35" i="1"/>
  <c r="Q35" i="1"/>
  <c r="U35" i="1"/>
  <c r="G38" i="1"/>
  <c r="M38" i="1"/>
  <c r="F5" i="1"/>
  <c r="N5" i="1"/>
  <c r="I19" i="1"/>
  <c r="N19" i="1"/>
  <c r="S19" i="1"/>
  <c r="L31" i="1"/>
  <c r="I13" i="1"/>
  <c r="N13" i="1"/>
  <c r="S13" i="1"/>
  <c r="P27" i="1"/>
  <c r="G26" i="1"/>
  <c r="K26" i="1"/>
  <c r="O26" i="1"/>
  <c r="S26" i="1"/>
  <c r="J25" i="1"/>
  <c r="O25" i="1"/>
  <c r="U25" i="1"/>
  <c r="J37" i="1"/>
  <c r="R37" i="1"/>
  <c r="G14" i="1"/>
  <c r="K14" i="1"/>
  <c r="O14" i="1"/>
  <c r="S14" i="1"/>
  <c r="J22" i="1"/>
  <c r="O22" i="1"/>
  <c r="U22" i="1"/>
  <c r="J39" i="1"/>
  <c r="R39" i="1"/>
  <c r="G40" i="1"/>
  <c r="K40" i="1"/>
  <c r="O40" i="1"/>
  <c r="S40" i="1"/>
  <c r="F41" i="1"/>
  <c r="I42" i="1"/>
  <c r="N42" i="1"/>
  <c r="S42" i="1"/>
  <c r="H43" i="1"/>
  <c r="P43" i="1"/>
  <c r="L47" i="1"/>
  <c r="T47" i="1"/>
  <c r="H48" i="1"/>
  <c r="L48" i="1"/>
  <c r="P48" i="1"/>
  <c r="T48" i="1"/>
  <c r="J51" i="1"/>
  <c r="I18" i="2"/>
  <c r="M18" i="2"/>
  <c r="Q18" i="2"/>
  <c r="U18" i="2"/>
  <c r="B16" i="2"/>
  <c r="H84" i="3"/>
  <c r="H6" i="1" s="1"/>
  <c r="Y84" i="3"/>
  <c r="AK84" i="3"/>
  <c r="AS84" i="3"/>
  <c r="G6" i="1"/>
  <c r="J20" i="1"/>
  <c r="N20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12" i="1"/>
  <c r="F17" i="1"/>
  <c r="J17" i="1"/>
  <c r="R17" i="1"/>
  <c r="J41" i="1"/>
  <c r="R41" i="1"/>
  <c r="F24" i="1"/>
  <c r="J24" i="1"/>
  <c r="N24" i="1"/>
  <c r="J36" i="1"/>
  <c r="N36" i="1"/>
  <c r="F21" i="1"/>
  <c r="N21" i="1"/>
  <c r="AJ212" i="11"/>
  <c r="AJ211" i="11"/>
  <c r="AN212" i="11"/>
  <c r="AN211" i="11"/>
  <c r="F45" i="1"/>
  <c r="J45" i="1"/>
  <c r="N45" i="1"/>
  <c r="R45" i="1"/>
  <c r="I4" i="1"/>
  <c r="M4" i="1"/>
  <c r="Q4" i="1"/>
  <c r="P6" i="1"/>
  <c r="G8" i="1"/>
  <c r="K8" i="1"/>
  <c r="O8" i="1"/>
  <c r="S8" i="1"/>
  <c r="I10" i="1"/>
  <c r="M10" i="1"/>
  <c r="Q10" i="1"/>
  <c r="U10" i="1"/>
  <c r="G12" i="1"/>
  <c r="K12" i="1"/>
  <c r="O12" i="1"/>
  <c r="S12" i="1"/>
  <c r="L212" i="11"/>
  <c r="I18" i="1"/>
  <c r="M18" i="1"/>
  <c r="Q18" i="1"/>
  <c r="U18" i="1"/>
  <c r="G24" i="1"/>
  <c r="K24" i="1"/>
  <c r="O24" i="1"/>
  <c r="S24" i="1"/>
  <c r="P212" i="11"/>
  <c r="P211" i="11"/>
  <c r="I32" i="1"/>
  <c r="M32" i="1"/>
  <c r="Q32" i="1"/>
  <c r="U32" i="1"/>
  <c r="L34" i="1"/>
  <c r="P34" i="1"/>
  <c r="T34" i="1"/>
  <c r="G36" i="1"/>
  <c r="K36" i="1"/>
  <c r="O36" i="1"/>
  <c r="S36" i="1"/>
  <c r="I5" i="1"/>
  <c r="M5" i="1"/>
  <c r="Q5" i="1"/>
  <c r="U5" i="1"/>
  <c r="G33" i="1"/>
  <c r="K33" i="1"/>
  <c r="O33" i="1"/>
  <c r="S33" i="1"/>
  <c r="I31" i="1"/>
  <c r="M31" i="1"/>
  <c r="Q31" i="1"/>
  <c r="U31" i="1"/>
  <c r="G17" i="1"/>
  <c r="K17" i="1"/>
  <c r="O17" i="1"/>
  <c r="S17" i="1"/>
  <c r="I27" i="1"/>
  <c r="M27" i="1"/>
  <c r="Q27" i="1"/>
  <c r="U27" i="1"/>
  <c r="G21" i="1"/>
  <c r="K21" i="1"/>
  <c r="O21" i="1"/>
  <c r="S21" i="1"/>
  <c r="AG211" i="11"/>
  <c r="AG212" i="11"/>
  <c r="I37" i="1"/>
  <c r="M37" i="1"/>
  <c r="Q37" i="1"/>
  <c r="U37" i="1"/>
  <c r="G29" i="1"/>
  <c r="K29" i="1"/>
  <c r="O29" i="1"/>
  <c r="S29" i="1"/>
  <c r="AK211" i="11"/>
  <c r="AK212" i="11"/>
  <c r="I39" i="1"/>
  <c r="M39" i="1"/>
  <c r="Q39" i="1"/>
  <c r="U39" i="1"/>
  <c r="G41" i="1"/>
  <c r="K41" i="1"/>
  <c r="O41" i="1"/>
  <c r="S41" i="1"/>
  <c r="AO211" i="11"/>
  <c r="AO212" i="11"/>
  <c r="I43" i="1"/>
  <c r="M43" i="1"/>
  <c r="Q43" i="1"/>
  <c r="U43" i="1"/>
  <c r="G45" i="1"/>
  <c r="K45" i="1"/>
  <c r="O45" i="1"/>
  <c r="S45" i="1"/>
  <c r="AS211" i="11"/>
  <c r="AS212" i="11"/>
  <c r="I47" i="1"/>
  <c r="M47" i="1"/>
  <c r="Q47" i="1"/>
  <c r="U47" i="1"/>
  <c r="G51" i="1"/>
  <c r="K51" i="1"/>
  <c r="O51" i="1"/>
  <c r="S51" i="1"/>
  <c r="B2" i="2"/>
  <c r="F8" i="1"/>
  <c r="J8" i="1"/>
  <c r="N8" i="1"/>
  <c r="J12" i="1"/>
  <c r="R12" i="1"/>
  <c r="F36" i="1"/>
  <c r="F33" i="1"/>
  <c r="N33" i="1"/>
  <c r="J21" i="1"/>
  <c r="N41" i="1"/>
  <c r="AX212" i="11"/>
  <c r="AX211" i="11"/>
  <c r="C1" i="1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6" i="1"/>
  <c r="Q6" i="1"/>
  <c r="F10" i="1"/>
  <c r="J10" i="1"/>
  <c r="N10" i="1"/>
  <c r="H12" i="1"/>
  <c r="L12" i="1"/>
  <c r="P12" i="1"/>
  <c r="T12" i="1"/>
  <c r="F18" i="1"/>
  <c r="J18" i="1"/>
  <c r="N18" i="1"/>
  <c r="R18" i="1"/>
  <c r="T24" i="1"/>
  <c r="Q211" i="11"/>
  <c r="Q212" i="11"/>
  <c r="I34" i="1"/>
  <c r="Q34" i="1"/>
  <c r="F31" i="1"/>
  <c r="J31" i="1"/>
  <c r="N31" i="1"/>
  <c r="H17" i="1"/>
  <c r="L17" i="1"/>
  <c r="P17" i="1"/>
  <c r="T17" i="1"/>
  <c r="L21" i="1"/>
  <c r="P21" i="1"/>
  <c r="T21" i="1"/>
  <c r="AH211" i="11"/>
  <c r="AH212" i="11"/>
  <c r="L29" i="1"/>
  <c r="P29" i="1"/>
  <c r="T29" i="1"/>
  <c r="AL211" i="11"/>
  <c r="AL212" i="11"/>
  <c r="H41" i="1"/>
  <c r="L41" i="1"/>
  <c r="P41" i="1"/>
  <c r="T41" i="1"/>
  <c r="AP211" i="11"/>
  <c r="AP212" i="11"/>
  <c r="AP15" i="11"/>
  <c r="H45" i="1"/>
  <c r="L45" i="1"/>
  <c r="P45" i="1"/>
  <c r="T45" i="1"/>
  <c r="AT211" i="11"/>
  <c r="AT212" i="11"/>
  <c r="H51" i="1"/>
  <c r="L51" i="1"/>
  <c r="P51" i="1"/>
  <c r="T51" i="1"/>
  <c r="J33" i="1"/>
  <c r="AF212" i="11"/>
  <c r="AF211" i="11"/>
  <c r="F29" i="1"/>
  <c r="J29" i="1"/>
  <c r="N29" i="1"/>
  <c r="AR212" i="11"/>
  <c r="AR211" i="11"/>
  <c r="F4" i="1"/>
  <c r="J4" i="1"/>
  <c r="N4" i="1"/>
  <c r="L8" i="1"/>
  <c r="P8" i="1"/>
  <c r="T8" i="1"/>
  <c r="L24" i="1"/>
  <c r="P24" i="1"/>
  <c r="F32" i="1"/>
  <c r="J32" i="1"/>
  <c r="N32" i="1"/>
  <c r="L36" i="1"/>
  <c r="P36" i="1"/>
  <c r="T36" i="1"/>
  <c r="L33" i="1"/>
  <c r="P33" i="1"/>
  <c r="T33" i="1"/>
  <c r="G4" i="1"/>
  <c r="K4" i="1"/>
  <c r="O4" i="1"/>
  <c r="S4" i="1"/>
  <c r="F6" i="1"/>
  <c r="J6" i="1"/>
  <c r="N6" i="1"/>
  <c r="I8" i="1"/>
  <c r="M8" i="1"/>
  <c r="Q8" i="1"/>
  <c r="U8" i="1"/>
  <c r="L9" i="1"/>
  <c r="P9" i="1"/>
  <c r="T9" i="1"/>
  <c r="G10" i="1"/>
  <c r="K10" i="1"/>
  <c r="O10" i="1"/>
  <c r="S10" i="1"/>
  <c r="I12" i="1"/>
  <c r="M12" i="1"/>
  <c r="Q12" i="1"/>
  <c r="U12" i="1"/>
  <c r="H15" i="1"/>
  <c r="L15" i="1"/>
  <c r="P15" i="1"/>
  <c r="T15" i="1"/>
  <c r="G16" i="1"/>
  <c r="K16" i="1"/>
  <c r="O16" i="1"/>
  <c r="S16" i="1"/>
  <c r="G18" i="1"/>
  <c r="K18" i="1"/>
  <c r="S18" i="1"/>
  <c r="I24" i="1"/>
  <c r="M24" i="1"/>
  <c r="Q24" i="1"/>
  <c r="U24" i="1"/>
  <c r="H28" i="1"/>
  <c r="L28" i="1"/>
  <c r="P28" i="1"/>
  <c r="T28" i="1"/>
  <c r="G32" i="1"/>
  <c r="K32" i="1"/>
  <c r="O32" i="1"/>
  <c r="S32" i="1"/>
  <c r="F34" i="1"/>
  <c r="J34" i="1"/>
  <c r="N34" i="1"/>
  <c r="S212" i="11"/>
  <c r="I36" i="1"/>
  <c r="M36" i="1"/>
  <c r="Q36" i="1"/>
  <c r="U36" i="1"/>
  <c r="L38" i="1"/>
  <c r="P38" i="1"/>
  <c r="T38" i="1"/>
  <c r="G5" i="1"/>
  <c r="K5" i="1"/>
  <c r="O5" i="1"/>
  <c r="S5" i="1"/>
  <c r="W212" i="11"/>
  <c r="W211" i="11"/>
  <c r="I33" i="1"/>
  <c r="M33" i="1"/>
  <c r="Q33" i="1"/>
  <c r="U33" i="1"/>
  <c r="L19" i="1"/>
  <c r="P19" i="1"/>
  <c r="T19" i="1"/>
  <c r="G31" i="1"/>
  <c r="K31" i="1"/>
  <c r="O31" i="1"/>
  <c r="S31" i="1"/>
  <c r="I17" i="1"/>
  <c r="M17" i="1"/>
  <c r="Q17" i="1"/>
  <c r="U17" i="1"/>
  <c r="L13" i="1"/>
  <c r="T13" i="1"/>
  <c r="G27" i="1"/>
  <c r="K27" i="1"/>
  <c r="O27" i="1"/>
  <c r="S27" i="1"/>
  <c r="AE211" i="11"/>
  <c r="I21" i="1"/>
  <c r="M21" i="1"/>
  <c r="Q21" i="1"/>
  <c r="U21" i="1"/>
  <c r="L25" i="1"/>
  <c r="P25" i="1"/>
  <c r="T25" i="1"/>
  <c r="G37" i="1"/>
  <c r="K37" i="1"/>
  <c r="O37" i="1"/>
  <c r="S37" i="1"/>
  <c r="AI212" i="11"/>
  <c r="AI211" i="11"/>
  <c r="I29" i="1"/>
  <c r="M29" i="1"/>
  <c r="Q29" i="1"/>
  <c r="U29" i="1"/>
  <c r="H22" i="1"/>
  <c r="L22" i="1"/>
  <c r="P22" i="1"/>
  <c r="T22" i="1"/>
  <c r="G39" i="1"/>
  <c r="K39" i="1"/>
  <c r="O39" i="1"/>
  <c r="S39" i="1"/>
  <c r="AM212" i="11"/>
  <c r="AM211" i="11"/>
  <c r="I41" i="1"/>
  <c r="M41" i="1"/>
  <c r="Q41" i="1"/>
  <c r="U41" i="1"/>
  <c r="H42" i="1"/>
  <c r="L42" i="1"/>
  <c r="P42" i="1"/>
  <c r="T42" i="1"/>
  <c r="G43" i="1"/>
  <c r="K43" i="1"/>
  <c r="O43" i="1"/>
  <c r="S43" i="1"/>
  <c r="AQ212" i="11"/>
  <c r="AQ211" i="11"/>
  <c r="AQ15" i="11"/>
  <c r="I45" i="1"/>
  <c r="M45" i="1"/>
  <c r="Q45" i="1"/>
  <c r="U45" i="1"/>
  <c r="P46" i="1"/>
  <c r="T46" i="1"/>
  <c r="G47" i="1"/>
  <c r="K47" i="1"/>
  <c r="O47" i="1"/>
  <c r="S47" i="1"/>
  <c r="AU212" i="11"/>
  <c r="AU211" i="11"/>
  <c r="AU2" i="11"/>
  <c r="I51" i="1"/>
  <c r="M51" i="1"/>
  <c r="Q51" i="1"/>
  <c r="U51" i="1"/>
  <c r="U84" i="3"/>
  <c r="Z84" i="3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6" i="1" s="1"/>
  <c r="C28" i="17"/>
  <c r="D28" i="17" s="1"/>
  <c r="E34" i="17"/>
  <c r="O9" i="1" s="1"/>
  <c r="T16" i="1"/>
  <c r="B18" i="17"/>
  <c r="B22" i="17"/>
  <c r="C2" i="8"/>
  <c r="D2" i="8" s="1"/>
  <c r="C91" i="6"/>
  <c r="C33" i="17" l="1"/>
  <c r="D33" i="17" s="1"/>
  <c r="H24" i="1"/>
  <c r="G18" i="15"/>
  <c r="N27" i="1" s="1"/>
  <c r="X84" i="3"/>
  <c r="B20" i="17"/>
  <c r="C31" i="17"/>
  <c r="D31" i="17" s="1"/>
  <c r="C3" i="15"/>
  <c r="B25" i="8"/>
  <c r="C25" i="8" s="1"/>
  <c r="D25" i="8" s="1"/>
  <c r="C16" i="7"/>
  <c r="B23" i="17"/>
  <c r="C5" i="15"/>
  <c r="E18" i="15"/>
  <c r="N15" i="1" s="1"/>
  <c r="C4" i="7"/>
  <c r="H35" i="8"/>
  <c r="M34" i="1" s="1"/>
  <c r="B23" i="8"/>
  <c r="C23" i="8" s="1"/>
  <c r="D23" i="8" s="1"/>
  <c r="J18" i="7"/>
  <c r="J22" i="7" s="1"/>
  <c r="T6" i="1" s="1"/>
  <c r="C14" i="7"/>
  <c r="C12" i="7"/>
  <c r="C7" i="7"/>
  <c r="K18" i="7"/>
  <c r="L16" i="1" s="1"/>
  <c r="M84" i="3"/>
  <c r="W84" i="3"/>
  <c r="AH84" i="3"/>
  <c r="E84" i="3"/>
  <c r="H5" i="1" s="1"/>
  <c r="AE84" i="3"/>
  <c r="O84" i="3"/>
  <c r="H13" i="1" s="1"/>
  <c r="N84" i="3"/>
  <c r="AD84" i="3"/>
  <c r="J84" i="3"/>
  <c r="W15" i="11"/>
  <c r="AL15" i="11"/>
  <c r="B8" i="2"/>
  <c r="B6" i="2"/>
  <c r="C18" i="2"/>
  <c r="G22" i="1" s="1"/>
  <c r="B3" i="2"/>
  <c r="AX2" i="11"/>
  <c r="H14" i="1"/>
  <c r="AG84" i="3"/>
  <c r="H38" i="1" s="1"/>
  <c r="H27" i="1"/>
  <c r="V84" i="3"/>
  <c r="H29" i="1" s="1"/>
  <c r="I84" i="3"/>
  <c r="H9" i="1" s="1"/>
  <c r="H19" i="1"/>
  <c r="H20" i="1"/>
  <c r="B30" i="17"/>
  <c r="B7" i="2"/>
  <c r="D18" i="15"/>
  <c r="N12" i="1" s="1"/>
  <c r="G35" i="8"/>
  <c r="M30" i="1" s="1"/>
  <c r="H36" i="8"/>
  <c r="U34" i="1" s="1"/>
  <c r="H18" i="7"/>
  <c r="H22" i="7" s="1"/>
  <c r="T5" i="1" s="1"/>
  <c r="AF15" i="11"/>
  <c r="AT15" i="11"/>
  <c r="B12" i="2"/>
  <c r="D18" i="2"/>
  <c r="G28" i="1" s="1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H33" i="1" s="1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X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F94" i="6"/>
  <c r="H10" i="1" l="1"/>
  <c r="H30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6" i="1"/>
  <c r="W34" i="17"/>
  <c r="U34" i="17"/>
  <c r="I35" i="8"/>
  <c r="G91" i="6"/>
  <c r="J94" i="6"/>
  <c r="Y97" i="6"/>
  <c r="A18" i="11" l="1"/>
  <c r="A41" i="11"/>
  <c r="AW28" i="11"/>
  <c r="AG28" i="11"/>
  <c r="L28" i="11"/>
  <c r="P28" i="11"/>
  <c r="A29" i="11"/>
  <c r="AS28" i="11"/>
  <c r="AX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N38" i="1" s="1"/>
  <c r="W18" i="15"/>
  <c r="G28" i="11"/>
  <c r="C11" i="10"/>
  <c r="I34" i="17"/>
  <c r="P51" i="4"/>
  <c r="G212" i="11"/>
  <c r="H18" i="10"/>
  <c r="P32" i="1" s="1"/>
  <c r="I18" i="10"/>
  <c r="Q18" i="10"/>
  <c r="C6" i="10"/>
  <c r="C17" i="10"/>
  <c r="Y18" i="10"/>
  <c r="O18" i="10"/>
  <c r="E18" i="10"/>
  <c r="P13" i="1" s="1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N35" i="1" s="1"/>
  <c r="B34" i="8"/>
  <c r="C34" i="8" s="1"/>
  <c r="D34" i="8" s="1"/>
  <c r="C5" i="10"/>
  <c r="AR84" i="3"/>
  <c r="C13" i="10"/>
  <c r="C8" i="10"/>
  <c r="C21" i="17"/>
  <c r="D21" i="17" s="1"/>
  <c r="AA18" i="15"/>
  <c r="AP94" i="6"/>
  <c r="W91" i="6"/>
  <c r="AX94" i="6"/>
  <c r="AH94" i="6"/>
  <c r="Q97" i="6"/>
  <c r="AU91" i="6"/>
  <c r="AA91" i="6"/>
  <c r="I97" i="6"/>
  <c r="AG97" i="6"/>
  <c r="U97" i="6"/>
  <c r="AL94" i="6"/>
  <c r="AI91" i="6"/>
  <c r="E97" i="6"/>
  <c r="AK97" i="6"/>
  <c r="A54" i="11" l="1"/>
  <c r="AW41" i="11"/>
  <c r="AJ41" i="11"/>
  <c r="AO41" i="11"/>
  <c r="AX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30" i="11"/>
  <c r="A19" i="11"/>
  <c r="O18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4" i="1" s="1"/>
  <c r="AE18" i="15"/>
  <c r="G2" i="11"/>
  <c r="C2" i="15"/>
  <c r="AM18" i="7"/>
  <c r="AM20" i="7" s="1"/>
  <c r="AE18" i="7"/>
  <c r="AE20" i="7" s="1"/>
  <c r="AB84" i="3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AZ84" i="3"/>
  <c r="AC18" i="10"/>
  <c r="L18" i="10"/>
  <c r="AA18" i="10"/>
  <c r="J18" i="10"/>
  <c r="Z18" i="10"/>
  <c r="L18" i="7"/>
  <c r="L18" i="1" s="1"/>
  <c r="W18" i="7"/>
  <c r="W20" i="7" s="1"/>
  <c r="AM85" i="4"/>
  <c r="G85" i="4"/>
  <c r="T84" i="3"/>
  <c r="AO97" i="6"/>
  <c r="AS97" i="6"/>
  <c r="AD94" i="6"/>
  <c r="AC97" i="6"/>
  <c r="N94" i="6"/>
  <c r="AW97" i="6"/>
  <c r="AE91" i="6"/>
  <c r="AT94" i="6"/>
  <c r="AQ91" i="6"/>
  <c r="H23" i="1" l="1"/>
  <c r="H26" i="1"/>
  <c r="H32" i="1"/>
  <c r="H35" i="1"/>
  <c r="H8" i="1"/>
  <c r="H11" i="1"/>
  <c r="O20" i="7"/>
  <c r="O22" i="7"/>
  <c r="A20" i="1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X19" i="11"/>
  <c r="AK19" i="11"/>
  <c r="AE19" i="11"/>
  <c r="V19" i="11"/>
  <c r="G19" i="11"/>
  <c r="A7" i="11"/>
  <c r="AW6" i="11"/>
  <c r="AN6" i="11"/>
  <c r="AS6" i="11"/>
  <c r="AX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H67" i="11" s="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X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P5" i="1" s="1"/>
  <c r="G18" i="10"/>
  <c r="P18" i="1" s="1"/>
  <c r="O18" i="15"/>
  <c r="B46" i="5"/>
  <c r="A48" i="5"/>
  <c r="K85" i="4"/>
  <c r="AF84" i="3"/>
  <c r="H3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S18" i="7"/>
  <c r="S20" i="7" s="1"/>
  <c r="B22" i="5"/>
  <c r="A24" i="5"/>
  <c r="AY85" i="4"/>
  <c r="BC85" i="4"/>
  <c r="AA85" i="4"/>
  <c r="AA84" i="3"/>
  <c r="G84" i="3"/>
  <c r="H7" i="1" s="1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4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4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4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4" i="1" s="1"/>
  <c r="F54" i="1"/>
  <c r="M97" i="6"/>
  <c r="S91" i="6"/>
  <c r="AM91" i="6"/>
  <c r="Z94" i="6"/>
  <c r="K91" i="6"/>
  <c r="O91" i="6"/>
  <c r="R94" i="6"/>
  <c r="AY91" i="6"/>
  <c r="V94" i="6"/>
  <c r="H31" i="1" l="1"/>
  <c r="H34" i="1"/>
  <c r="H21" i="1"/>
  <c r="H25" i="1"/>
  <c r="G67" i="11"/>
  <c r="A56" i="11"/>
  <c r="A32" i="11"/>
  <c r="A44" i="11"/>
  <c r="A80" i="11"/>
  <c r="AW67" i="11"/>
  <c r="AG67" i="11"/>
  <c r="AO67" i="11"/>
  <c r="AX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W7" i="11"/>
  <c r="AX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X20" i="11"/>
  <c r="AE20" i="11"/>
  <c r="AO20" i="11"/>
  <c r="L20" i="11"/>
  <c r="AN20" i="11"/>
  <c r="P20" i="11"/>
  <c r="AK20" i="11"/>
  <c r="AS20" i="11"/>
  <c r="G20" i="11"/>
  <c r="AG20" i="11"/>
  <c r="F52" i="1"/>
  <c r="F58" i="1" s="1"/>
  <c r="AB36" i="4"/>
  <c r="J21" i="4"/>
  <c r="L36" i="4"/>
  <c r="AU66" i="3"/>
  <c r="B34" i="17"/>
  <c r="O54" i="1" s="1"/>
  <c r="AP21" i="4"/>
  <c r="E66" i="3"/>
  <c r="AR36" i="4"/>
  <c r="Z21" i="4"/>
  <c r="N66" i="3"/>
  <c r="C85" i="4"/>
  <c r="I54" i="1" s="1"/>
  <c r="C66" i="4"/>
  <c r="A66" i="4" s="1"/>
  <c r="C61" i="4"/>
  <c r="A61" i="4" s="1"/>
  <c r="C71" i="4"/>
  <c r="A71" i="4" s="1"/>
  <c r="AM21" i="11"/>
  <c r="W21" i="11"/>
  <c r="O52" i="1"/>
  <c r="T3" i="13" s="1"/>
  <c r="T4" i="13" s="1"/>
  <c r="Q52" i="1"/>
  <c r="Q55" i="1" s="1"/>
  <c r="F21" i="11"/>
  <c r="X21" i="11"/>
  <c r="AJ8" i="11"/>
  <c r="AN21" i="11"/>
  <c r="K21" i="11"/>
  <c r="U8" i="11"/>
  <c r="AC8" i="11"/>
  <c r="AK8" i="11"/>
  <c r="AS8" i="11"/>
  <c r="O8" i="11"/>
  <c r="AX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X8" i="11"/>
  <c r="AH21" i="11"/>
  <c r="AP21" i="11"/>
  <c r="J8" i="11"/>
  <c r="D8" i="11"/>
  <c r="H21" i="11"/>
  <c r="V21" i="11"/>
  <c r="N21" i="11"/>
  <c r="W8" i="11"/>
  <c r="AU8" i="11"/>
  <c r="AQ8" i="11"/>
  <c r="AI8" i="11"/>
  <c r="F55" i="1"/>
  <c r="AQ21" i="11"/>
  <c r="AI21" i="11"/>
  <c r="AE21" i="11"/>
  <c r="G52" i="1"/>
  <c r="C76" i="4"/>
  <c r="A76" i="4" s="1"/>
  <c r="D18" i="17"/>
  <c r="D34" i="17" s="1"/>
  <c r="C34" i="17"/>
  <c r="C81" i="4"/>
  <c r="A81" i="4" s="1"/>
  <c r="E19" i="7"/>
  <c r="L54" i="1"/>
  <c r="C84" i="3"/>
  <c r="H54" i="1" s="1"/>
  <c r="AU21" i="11"/>
  <c r="AM8" i="11"/>
  <c r="AE8" i="11"/>
  <c r="AA21" i="11"/>
  <c r="H52" i="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U30" i="1" s="1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2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2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3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A9" i="11" l="1"/>
  <c r="AW8" i="11"/>
  <c r="AV8" i="11"/>
  <c r="A33" i="11"/>
  <c r="AW32" i="11"/>
  <c r="AJ32" i="11"/>
  <c r="AN32" i="11"/>
  <c r="AK32" i="11"/>
  <c r="AO32" i="11"/>
  <c r="AS32" i="11"/>
  <c r="AX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W21" i="11"/>
  <c r="AV21" i="11"/>
  <c r="A45" i="11"/>
  <c r="A69" i="11"/>
  <c r="A57" i="11"/>
  <c r="A93" i="11"/>
  <c r="AW80" i="11"/>
  <c r="AJ80" i="11"/>
  <c r="A81" i="11"/>
  <c r="P80" i="11"/>
  <c r="AS80" i="11"/>
  <c r="AK80" i="11"/>
  <c r="AX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B88" i="6"/>
  <c r="AX82" i="6"/>
  <c r="AH82" i="6"/>
  <c r="R82" i="6"/>
  <c r="AD82" i="6"/>
  <c r="AI79" i="6"/>
  <c r="AC85" i="6"/>
  <c r="AJ88" i="6"/>
  <c r="AG85" i="6"/>
  <c r="W79" i="6"/>
  <c r="AU79" i="6"/>
  <c r="G79" i="6"/>
  <c r="AL82" i="6"/>
  <c r="V82" i="6"/>
  <c r="M85" i="6"/>
  <c r="T88" i="6"/>
  <c r="AW85" i="6"/>
  <c r="P88" i="6"/>
  <c r="Z82" i="6"/>
  <c r="AK85" i="6"/>
  <c r="AR88" i="6"/>
  <c r="I85" i="6"/>
  <c r="AO85" i="6"/>
  <c r="AN88" i="6"/>
  <c r="AY79" i="6"/>
  <c r="H88" i="6"/>
  <c r="E85" i="6"/>
  <c r="AQ79" i="6"/>
  <c r="O79" i="6"/>
  <c r="X88" i="6"/>
  <c r="N82" i="6"/>
  <c r="J82" i="6"/>
  <c r="AM79" i="6"/>
  <c r="AE79" i="6"/>
  <c r="Y85" i="6"/>
  <c r="F82" i="6"/>
  <c r="AV88" i="6"/>
  <c r="AT82" i="6"/>
  <c r="S79" i="6"/>
  <c r="AA79" i="6"/>
  <c r="K79" i="6"/>
  <c r="Q85" i="6"/>
  <c r="L88" i="6"/>
  <c r="AZ88" i="6"/>
  <c r="AF88" i="6"/>
  <c r="AS85" i="6"/>
  <c r="U85" i="6"/>
  <c r="AP82" i="6"/>
  <c r="A58" i="11" l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X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W33" i="11"/>
  <c r="AX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X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W93" i="11"/>
  <c r="AJ93" i="11"/>
  <c r="AN93" i="11"/>
  <c r="A94" i="11"/>
  <c r="AG93" i="11"/>
  <c r="AO93" i="11"/>
  <c r="AS93" i="11"/>
  <c r="Q93" i="11"/>
  <c r="AX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X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X85" i="3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AF85" i="3"/>
  <c r="R36" i="1" s="1"/>
  <c r="AM85" i="3"/>
  <c r="AJ86" i="4"/>
  <c r="M86" i="4"/>
  <c r="AK85" i="3"/>
  <c r="AZ85" i="3"/>
  <c r="R85" i="3"/>
  <c r="C56" i="4"/>
  <c r="A56" i="4" s="1"/>
  <c r="AI86" i="4"/>
  <c r="V86" i="4"/>
  <c r="AN85" i="3"/>
  <c r="AX86" i="4"/>
  <c r="J86" i="4"/>
  <c r="O85" i="3"/>
  <c r="BC85" i="3"/>
  <c r="L85" i="3"/>
  <c r="J85" i="3"/>
  <c r="AF86" i="4"/>
  <c r="AO85" i="3"/>
  <c r="S85" i="3"/>
  <c r="R21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4" i="1" s="1"/>
  <c r="G85" i="3"/>
  <c r="Z85" i="3"/>
  <c r="AD85" i="3"/>
  <c r="C16" i="4"/>
  <c r="A16" i="4" s="1"/>
  <c r="C6" i="3"/>
  <c r="A6" i="3" s="1"/>
  <c r="E85" i="3"/>
  <c r="BA85" i="3"/>
  <c r="Y85" i="3"/>
  <c r="U85" i="3"/>
  <c r="W85" i="3"/>
  <c r="R26" i="1" s="1"/>
  <c r="AA85" i="3"/>
  <c r="Z86" i="4"/>
  <c r="AC86" i="4"/>
  <c r="L86" i="4"/>
  <c r="C46" i="4"/>
  <c r="A46" i="4" s="1"/>
  <c r="C51" i="4"/>
  <c r="A51" i="4" s="1"/>
  <c r="AX85" i="3"/>
  <c r="AB85" i="3"/>
  <c r="H86" i="4"/>
  <c r="BB86" i="4"/>
  <c r="I85" i="3"/>
  <c r="V85" i="3"/>
  <c r="BD85" i="3"/>
  <c r="C76" i="3"/>
  <c r="A76" i="3" s="1"/>
  <c r="AS85" i="3"/>
  <c r="C11" i="3"/>
  <c r="A11" i="3" s="1"/>
  <c r="F86" i="4"/>
  <c r="C56" i="3"/>
  <c r="A56" i="3" s="1"/>
  <c r="L3" i="13"/>
  <c r="L4" i="13" s="1"/>
  <c r="G55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5" i="1"/>
  <c r="D86" i="4"/>
  <c r="C16" i="3"/>
  <c r="A16" i="3" s="1"/>
  <c r="M3" i="13"/>
  <c r="M4" i="13" s="1"/>
  <c r="H55" i="1"/>
  <c r="C21" i="3"/>
  <c r="A21" i="3" s="1"/>
  <c r="C41" i="3"/>
  <c r="A41" i="3" s="1"/>
  <c r="C36" i="3"/>
  <c r="A36" i="3" s="1"/>
  <c r="C67" i="6"/>
  <c r="R20" i="1" l="1"/>
  <c r="R23" i="1"/>
  <c r="R30" i="1"/>
  <c r="R29" i="1"/>
  <c r="R33" i="1"/>
  <c r="R8" i="1"/>
  <c r="R7" i="1"/>
  <c r="R5" i="1"/>
  <c r="R31" i="1"/>
  <c r="R34" i="1"/>
  <c r="R9" i="1"/>
  <c r="R35" i="1"/>
  <c r="R11" i="1"/>
  <c r="R10" i="1"/>
  <c r="R25" i="1"/>
  <c r="R14" i="1"/>
  <c r="R32" i="1"/>
  <c r="R38" i="1"/>
  <c r="R19" i="1"/>
  <c r="R24" i="1"/>
  <c r="R6" i="1"/>
  <c r="R13" i="1"/>
  <c r="R27" i="1"/>
  <c r="A35" i="11"/>
  <c r="AW34" i="11"/>
  <c r="AV34" i="11"/>
  <c r="L34" i="11"/>
  <c r="AO34" i="11"/>
  <c r="AX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95" i="11"/>
  <c r="AW94" i="11"/>
  <c r="A119" i="11"/>
  <c r="AW106" i="11"/>
  <c r="AJ106" i="11"/>
  <c r="L106" i="11"/>
  <c r="AG106" i="11"/>
  <c r="AK106" i="11"/>
  <c r="AS106" i="11"/>
  <c r="AX106" i="11"/>
  <c r="A107" i="1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W81" i="11"/>
  <c r="A47" i="11"/>
  <c r="AW46" i="11"/>
  <c r="AX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83" i="11"/>
  <c r="A59" i="11"/>
  <c r="AW58" i="11"/>
  <c r="AS58" i="11"/>
  <c r="AJ58" i="11"/>
  <c r="AN58" i="11"/>
  <c r="AK58" i="11"/>
  <c r="AO58" i="11"/>
  <c r="P58" i="11"/>
  <c r="AX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R52" i="1"/>
  <c r="C85" i="3"/>
  <c r="R54" i="1" s="1"/>
  <c r="C86" i="4"/>
  <c r="S54" i="1" s="1"/>
  <c r="S55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X94" i="11"/>
  <c r="AX81" i="11"/>
  <c r="AX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X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X29" i="11"/>
  <c r="AX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X107" i="11"/>
  <c r="AX68" i="11"/>
  <c r="AX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L76" i="6"/>
  <c r="P76" i="6"/>
  <c r="AL58" i="6"/>
  <c r="H76" i="6"/>
  <c r="AP70" i="6"/>
  <c r="AO73" i="6"/>
  <c r="Z70" i="6"/>
  <c r="AT58" i="6"/>
  <c r="C55" i="6"/>
  <c r="AU67" i="6"/>
  <c r="N58" i="6"/>
  <c r="J58" i="6"/>
  <c r="AQ55" i="6"/>
  <c r="R58" i="6"/>
  <c r="Y73" i="6"/>
  <c r="AS73" i="6"/>
  <c r="AN76" i="6"/>
  <c r="AW10" i="11" l="1"/>
  <c r="A60" i="11"/>
  <c r="AW59" i="11"/>
  <c r="AX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X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X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X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X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108" i="11"/>
  <c r="AW107" i="11"/>
  <c r="AW119" i="11"/>
  <c r="A120" i="11"/>
  <c r="AJ119" i="11"/>
  <c r="AN119" i="11"/>
  <c r="AO119" i="11"/>
  <c r="AS119" i="11"/>
  <c r="A132" i="11"/>
  <c r="P119" i="11"/>
  <c r="AG119" i="11"/>
  <c r="AX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W71" i="11"/>
  <c r="AN71" i="11"/>
  <c r="AK71" i="11"/>
  <c r="AS71" i="11"/>
  <c r="AJ71" i="11"/>
  <c r="AG71" i="11"/>
  <c r="AO71" i="11"/>
  <c r="AX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K67" i="6"/>
  <c r="J70" i="6"/>
  <c r="F58" i="6"/>
  <c r="AG73" i="6"/>
  <c r="Z58" i="6"/>
  <c r="M73" i="6"/>
  <c r="AC73" i="6"/>
  <c r="AB76" i="6"/>
  <c r="U73" i="6"/>
  <c r="AU55" i="6"/>
  <c r="T76" i="6"/>
  <c r="F70" i="6"/>
  <c r="I61" i="6"/>
  <c r="AA55" i="6"/>
  <c r="AI67" i="6"/>
  <c r="AF76" i="6"/>
  <c r="AO61" i="6"/>
  <c r="W55" i="6"/>
  <c r="O67" i="6"/>
  <c r="AQ67" i="6"/>
  <c r="AW73" i="6"/>
  <c r="X76" i="6"/>
  <c r="N70" i="6"/>
  <c r="A85" i="11" l="1"/>
  <c r="AW84" i="11"/>
  <c r="AG84" i="11"/>
  <c r="AK84" i="11"/>
  <c r="AN84" i="11"/>
  <c r="AJ84" i="11"/>
  <c r="P84" i="11"/>
  <c r="AS84" i="11"/>
  <c r="AX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X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73" i="1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X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X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H132" i="11"/>
  <c r="AC132" i="11"/>
  <c r="Y132" i="11"/>
  <c r="F132" i="11"/>
  <c r="U132" i="11"/>
  <c r="C132" i="11"/>
  <c r="A109" i="11"/>
  <c r="A37" i="1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X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X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5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X36" i="11"/>
  <c r="AX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X10" i="11"/>
  <c r="AX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W67" i="6"/>
  <c r="AL70" i="6"/>
  <c r="T64" i="6"/>
  <c r="AJ64" i="6"/>
  <c r="V58" i="6"/>
  <c r="AW61" i="6"/>
  <c r="AM55" i="6"/>
  <c r="AI55" i="6"/>
  <c r="G55" i="6"/>
  <c r="AV64" i="6"/>
  <c r="L64" i="6"/>
  <c r="AY55" i="6"/>
  <c r="E61" i="6"/>
  <c r="G67" i="6"/>
  <c r="AE67" i="6"/>
  <c r="AH70" i="6"/>
  <c r="AA67" i="6"/>
  <c r="H64" i="6"/>
  <c r="AD70" i="6"/>
  <c r="AD58" i="6"/>
  <c r="X64" i="6"/>
  <c r="AZ64" i="6"/>
  <c r="AK73" i="6"/>
  <c r="AS61" i="6"/>
  <c r="M61" i="6"/>
  <c r="K55" i="6"/>
  <c r="AM67" i="6"/>
  <c r="AH58" i="6"/>
  <c r="AG61" i="6"/>
  <c r="O55" i="6"/>
  <c r="P64" i="6"/>
  <c r="Q61" i="6"/>
  <c r="AR76" i="6"/>
  <c r="AY67" i="6"/>
  <c r="AJ76" i="6"/>
  <c r="AB64" i="6"/>
  <c r="Q73" i="6"/>
  <c r="V70" i="6"/>
  <c r="S67" i="6"/>
  <c r="I73" i="6"/>
  <c r="AX58" i="6"/>
  <c r="AP58" i="6"/>
  <c r="R70" i="6"/>
  <c r="AX70" i="6"/>
  <c r="AZ76" i="6"/>
  <c r="AK61" i="6"/>
  <c r="AR64" i="6"/>
  <c r="AV76" i="6"/>
  <c r="AN64" i="6"/>
  <c r="AF64" i="6"/>
  <c r="AC61" i="6"/>
  <c r="U61" i="6"/>
  <c r="AT70" i="6"/>
  <c r="AE55" i="6"/>
  <c r="Y61" i="6"/>
  <c r="E73" i="6"/>
  <c r="S55" i="6"/>
  <c r="A98" i="11" l="1"/>
  <c r="AW97" i="11"/>
  <c r="P97" i="11"/>
  <c r="AG97" i="11"/>
  <c r="AX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X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X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G145" i="11"/>
  <c r="Q145" i="11"/>
  <c r="AE145" i="11"/>
  <c r="AL145" i="11"/>
  <c r="AX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N145" i="11"/>
  <c r="AS145" i="11"/>
  <c r="W145" i="11"/>
  <c r="AH145" i="11"/>
  <c r="AQ145" i="11"/>
  <c r="D145" i="11"/>
  <c r="I145" i="11"/>
  <c r="A74" i="1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X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W85" i="11"/>
  <c r="AX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X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J52" i="1"/>
  <c r="O3" i="13" s="1"/>
  <c r="O4" i="13" s="1"/>
  <c r="N52" i="1"/>
  <c r="N55" i="1" s="1"/>
  <c r="E3" i="1"/>
  <c r="D11" i="1"/>
  <c r="D38" i="1"/>
  <c r="D19" i="1"/>
  <c r="D13" i="1"/>
  <c r="D25" i="1"/>
  <c r="D22" i="1"/>
  <c r="D42" i="1"/>
  <c r="D46" i="1"/>
  <c r="P18" i="8"/>
  <c r="P38" i="8" s="1"/>
  <c r="D33" i="1"/>
  <c r="D17" i="1"/>
  <c r="D21" i="1"/>
  <c r="D29" i="1"/>
  <c r="D41" i="1"/>
  <c r="D45" i="1"/>
  <c r="D7" i="1"/>
  <c r="D10" i="1"/>
  <c r="D18" i="1"/>
  <c r="T54" i="1"/>
  <c r="T38" i="8"/>
  <c r="B14" i="10"/>
  <c r="D32" i="1"/>
  <c r="D34" i="1"/>
  <c r="D16" i="7"/>
  <c r="F16" i="7" s="1"/>
  <c r="L38" i="8"/>
  <c r="B4" i="15"/>
  <c r="D24" i="1"/>
  <c r="F18" i="8"/>
  <c r="B6" i="10"/>
  <c r="H20" i="10"/>
  <c r="K52" i="1"/>
  <c r="P3" i="13" s="1"/>
  <c r="P4" i="13" s="1"/>
  <c r="D4" i="1"/>
  <c r="D8" i="1"/>
  <c r="D16" i="1"/>
  <c r="D35" i="1"/>
  <c r="D5" i="1"/>
  <c r="D31" i="1"/>
  <c r="D27" i="1"/>
  <c r="D37" i="1"/>
  <c r="D39" i="1"/>
  <c r="D43" i="1"/>
  <c r="D47" i="1"/>
  <c r="H18" i="8"/>
  <c r="H38" i="8" s="1"/>
  <c r="B16" i="15"/>
  <c r="B12" i="15"/>
  <c r="L52" i="1"/>
  <c r="E2" i="1"/>
  <c r="D12" i="1"/>
  <c r="D28" i="1"/>
  <c r="D30" i="1"/>
  <c r="D23" i="1"/>
  <c r="D26" i="1"/>
  <c r="D14" i="1"/>
  <c r="D40" i="1"/>
  <c r="D44" i="1"/>
  <c r="D48" i="1"/>
  <c r="J18" i="8"/>
  <c r="R18" i="8"/>
  <c r="R38" i="8" s="1"/>
  <c r="J36" i="8"/>
  <c r="E20" i="15"/>
  <c r="B15" i="10"/>
  <c r="P52" i="1"/>
  <c r="U3" i="13" s="1"/>
  <c r="U4" i="13" s="1"/>
  <c r="D9" i="1"/>
  <c r="M52" i="1"/>
  <c r="R3" i="13" s="1"/>
  <c r="R4" i="13" s="1"/>
  <c r="U52" i="1"/>
  <c r="D3" i="1"/>
  <c r="D6" i="1"/>
  <c r="D15" i="1"/>
  <c r="D20" i="1"/>
  <c r="D36" i="1"/>
  <c r="D51" i="1"/>
  <c r="Z18" i="8"/>
  <c r="Z38" i="8" s="1"/>
  <c r="B2" i="10"/>
  <c r="K8" i="13"/>
  <c r="S3" i="13"/>
  <c r="S4" i="13" s="1"/>
  <c r="T52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135" i="11" l="1"/>
  <c r="A75" i="1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X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X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K158" i="11"/>
  <c r="AE158" i="11"/>
  <c r="K158" i="11"/>
  <c r="A123" i="1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X146" i="11"/>
  <c r="AD146" i="11"/>
  <c r="AF146" i="11"/>
  <c r="N146" i="11"/>
  <c r="AK146" i="11"/>
  <c r="AS146" i="11"/>
  <c r="M146" i="11"/>
  <c r="A51" i="1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X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X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W110" i="11"/>
  <c r="AG110" i="11"/>
  <c r="AH110" i="11"/>
  <c r="AR110" i="11"/>
  <c r="AM110" i="11"/>
  <c r="AQ110" i="11"/>
  <c r="AI110" i="11"/>
  <c r="I110" i="11"/>
  <c r="N110" i="11"/>
  <c r="Q110" i="11"/>
  <c r="AJ110" i="11"/>
  <c r="AX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W86" i="11"/>
  <c r="AV86" i="11"/>
  <c r="Y86" i="11"/>
  <c r="M86" i="11"/>
  <c r="V86" i="11"/>
  <c r="AA86" i="11"/>
  <c r="I86" i="11"/>
  <c r="F86" i="11"/>
  <c r="U86" i="11"/>
  <c r="AX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X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5" i="1"/>
  <c r="P55" i="1"/>
  <c r="J38" i="8"/>
  <c r="M55" i="1"/>
  <c r="X3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X51" i="11"/>
  <c r="AC25" i="11"/>
  <c r="AT38" i="11"/>
  <c r="O25" i="11"/>
  <c r="AE38" i="11"/>
  <c r="AX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X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X38" i="11"/>
  <c r="T51" i="11"/>
  <c r="AR51" i="11"/>
  <c r="E51" i="11"/>
  <c r="AC51" i="11"/>
  <c r="AH51" i="11"/>
  <c r="S51" i="11"/>
  <c r="D18" i="7"/>
  <c r="F2" i="7"/>
  <c r="F18" i="7" s="1"/>
  <c r="F19" i="7" s="1"/>
  <c r="D52" i="1"/>
  <c r="X2" i="1"/>
  <c r="A100" i="11" l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X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W111" i="11"/>
  <c r="D111" i="11"/>
  <c r="AM111" i="11"/>
  <c r="AV111" i="11"/>
  <c r="AU111" i="11"/>
  <c r="AF111" i="11"/>
  <c r="M111" i="11"/>
  <c r="AG111" i="11"/>
  <c r="AD111" i="11"/>
  <c r="AX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G171" i="11"/>
  <c r="AD171" i="11"/>
  <c r="AT171" i="11"/>
  <c r="AU171" i="11"/>
  <c r="AX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X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X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X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X159" i="11"/>
  <c r="N159" i="11"/>
  <c r="AQ159" i="11"/>
  <c r="AE159" i="11"/>
  <c r="A88" i="1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X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148" i="11"/>
  <c r="Q3" i="13"/>
  <c r="L55" i="1"/>
  <c r="D36" i="8"/>
  <c r="D35" i="8" s="1"/>
  <c r="C35" i="8"/>
  <c r="U54" i="1"/>
  <c r="K3" i="13"/>
  <c r="K4" i="13" s="1"/>
  <c r="D58" i="1"/>
  <c r="D25" i="7"/>
  <c r="C25" i="7" s="1"/>
  <c r="D26" i="7"/>
  <c r="D19" i="7"/>
  <c r="D18" i="8"/>
  <c r="D17" i="8" s="1"/>
  <c r="C17" i="8"/>
  <c r="A149" i="11" l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X64" i="11"/>
  <c r="AQ64" i="11"/>
  <c r="AU64" i="11"/>
  <c r="H64" i="11"/>
  <c r="U64" i="11"/>
  <c r="AD64" i="11"/>
  <c r="AA64" i="11"/>
  <c r="AJ64" i="11"/>
  <c r="AG64" i="11"/>
  <c r="AL64" i="11"/>
  <c r="P64" i="11"/>
  <c r="A113" i="1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X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X136" i="11"/>
  <c r="AU136" i="11"/>
  <c r="N136" i="11"/>
  <c r="AF136" i="11"/>
  <c r="AE136" i="11"/>
  <c r="A137" i="1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X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W76" i="11"/>
  <c r="AO76" i="11"/>
  <c r="AS76" i="11"/>
  <c r="AX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X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X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X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X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5" i="1"/>
  <c r="D27" i="7"/>
  <c r="C27" i="7" s="1"/>
  <c r="C26" i="7"/>
  <c r="A126" i="11" l="1"/>
  <c r="AW125" i="11"/>
  <c r="AV125" i="11"/>
  <c r="L125" i="11"/>
  <c r="S125" i="11"/>
  <c r="X125" i="11"/>
  <c r="AN125" i="11"/>
  <c r="AX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78" i="11"/>
  <c r="A79" i="11" s="1"/>
  <c r="AW77" i="11"/>
  <c r="AV77" i="11"/>
  <c r="U77" i="11"/>
  <c r="AR77" i="11"/>
  <c r="AH77" i="11"/>
  <c r="AX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W101" i="11"/>
  <c r="AV101" i="11"/>
  <c r="AH101" i="11"/>
  <c r="V101" i="11"/>
  <c r="F101" i="11"/>
  <c r="G101" i="11"/>
  <c r="AX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X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X197" i="11"/>
  <c r="AE197" i="11"/>
  <c r="AO197" i="11"/>
  <c r="N197" i="11"/>
  <c r="W197" i="11"/>
  <c r="AU197" i="11"/>
  <c r="AC197" i="11"/>
  <c r="X197" i="11"/>
  <c r="E197" i="11"/>
  <c r="H197" i="11"/>
  <c r="A90" i="11"/>
  <c r="AW89" i="11"/>
  <c r="AN89" i="11"/>
  <c r="P89" i="11"/>
  <c r="AJ89" i="11"/>
  <c r="AK89" i="11"/>
  <c r="AO89" i="11"/>
  <c r="AD89" i="11"/>
  <c r="Q89" i="11"/>
  <c r="AF89" i="11"/>
  <c r="AG89" i="11"/>
  <c r="AS89" i="11"/>
  <c r="AX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X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G149" i="11"/>
  <c r="AX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X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X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X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Q162" i="11"/>
  <c r="P162" i="11"/>
  <c r="AR162" i="11"/>
  <c r="R162" i="11"/>
  <c r="X162" i="11"/>
  <c r="U162" i="11"/>
  <c r="AX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X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103" i="11"/>
  <c r="AW102" i="11"/>
  <c r="AO102" i="11"/>
  <c r="AS102" i="11"/>
  <c r="P102" i="11"/>
  <c r="AX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X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X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X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X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X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X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L175" i="11"/>
  <c r="AA175" i="11"/>
  <c r="AF175" i="11"/>
  <c r="S175" i="11"/>
  <c r="AL175" i="11"/>
  <c r="AX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128" i="11"/>
  <c r="AW127" i="11"/>
  <c r="AV127" i="11"/>
  <c r="K127" i="11"/>
  <c r="AC127" i="11"/>
  <c r="AP127" i="11"/>
  <c r="G127" i="11"/>
  <c r="U127" i="11"/>
  <c r="AX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X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L163" i="11"/>
  <c r="AF163" i="11"/>
  <c r="AD163" i="11"/>
  <c r="AA163" i="11"/>
  <c r="AH163" i="11"/>
  <c r="AX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X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141" i="1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X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X188" i="11"/>
  <c r="W188" i="11"/>
  <c r="O188" i="11"/>
  <c r="AC188" i="11"/>
  <c r="I188" i="11"/>
  <c r="V188" i="11"/>
  <c r="A189" i="1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X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X116" i="11"/>
  <c r="E116" i="11"/>
  <c r="L116" i="11"/>
  <c r="AA116" i="11"/>
  <c r="AT116" i="11"/>
  <c r="M116" i="11"/>
  <c r="AI116" i="11"/>
  <c r="AW152" i="11"/>
  <c r="AV152" i="11"/>
  <c r="AN152" i="11"/>
  <c r="AX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W128" i="11"/>
  <c r="N128" i="11"/>
  <c r="AQ128" i="11"/>
  <c r="AI128" i="11"/>
  <c r="AU128" i="11"/>
  <c r="AT128" i="11"/>
  <c r="AR128" i="11"/>
  <c r="AL128" i="11"/>
  <c r="AO128" i="11"/>
  <c r="AX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X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X177" i="11"/>
  <c r="X177" i="11"/>
  <c r="E177" i="11"/>
  <c r="AA177" i="11"/>
  <c r="AL177" i="11"/>
  <c r="N177" i="11"/>
  <c r="M177" i="11"/>
  <c r="AP177" i="11"/>
  <c r="A178" i="1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J165" i="11"/>
  <c r="AE165" i="11"/>
  <c r="AX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X129" i="11"/>
  <c r="E129" i="11"/>
  <c r="L129" i="11"/>
  <c r="S129" i="11"/>
  <c r="Z129" i="11"/>
  <c r="M129" i="11"/>
  <c r="T129" i="11"/>
  <c r="AA129" i="11"/>
  <c r="AH129" i="11"/>
  <c r="A154" i="11"/>
  <c r="AW153" i="11"/>
  <c r="AV153" i="11"/>
  <c r="AK153" i="11"/>
  <c r="D153" i="11"/>
  <c r="R153" i="11"/>
  <c r="X153" i="11"/>
  <c r="AR153" i="11"/>
  <c r="Z153" i="11"/>
  <c r="AE153" i="11"/>
  <c r="U153" i="11"/>
  <c r="AX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Q189" i="11"/>
  <c r="S189" i="11"/>
  <c r="AQ189" i="11"/>
  <c r="AF189" i="11"/>
  <c r="AX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X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X190" i="11"/>
  <c r="AC190" i="11"/>
  <c r="AF190" i="11"/>
  <c r="W190" i="11"/>
  <c r="R190" i="11"/>
  <c r="AE190" i="11"/>
  <c r="AK190" i="11"/>
  <c r="D190" i="11"/>
  <c r="A191" i="1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X142" i="11"/>
  <c r="S142" i="11"/>
  <c r="Y142" i="11"/>
  <c r="AV142" i="11"/>
  <c r="Z142" i="11"/>
  <c r="D142" i="11"/>
  <c r="AW202" i="11"/>
  <c r="AV202" i="11"/>
  <c r="A203" i="11"/>
  <c r="G202" i="11"/>
  <c r="AU202" i="11"/>
  <c r="AD202" i="11"/>
  <c r="AM202" i="11"/>
  <c r="AX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P154" i="11"/>
  <c r="AS154" i="11"/>
  <c r="AH154" i="11"/>
  <c r="S154" i="11"/>
  <c r="AX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Q178" i="11"/>
  <c r="N178" i="11"/>
  <c r="P178" i="11"/>
  <c r="AI178" i="11"/>
  <c r="AX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T166" i="11"/>
  <c r="AR166" i="11"/>
  <c r="Y166" i="11"/>
  <c r="AX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X179" i="11"/>
  <c r="Z179" i="11"/>
  <c r="L179" i="11"/>
  <c r="U179" i="11"/>
  <c r="D179" i="11"/>
  <c r="AG179" i="11"/>
  <c r="Q179" i="11"/>
  <c r="AT179" i="11"/>
  <c r="AR179" i="11"/>
  <c r="A180" i="1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X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P191" i="11"/>
  <c r="AX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X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X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X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L180" i="11"/>
  <c r="AF180" i="11"/>
  <c r="AK180" i="11"/>
  <c r="AO180" i="11"/>
  <c r="AU180" i="11"/>
  <c r="H180" i="11"/>
  <c r="F180" i="11"/>
  <c r="AW192" i="11"/>
  <c r="AV192" i="11"/>
  <c r="A193" i="1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X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X204" i="11"/>
  <c r="G204" i="11"/>
  <c r="AI204" i="11"/>
  <c r="AL204" i="11"/>
  <c r="M204" i="11"/>
  <c r="AM204" i="11"/>
  <c r="J204" i="11"/>
  <c r="F204" i="11"/>
  <c r="AA204" i="11"/>
  <c r="T204" i="11"/>
  <c r="A205" i="1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X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X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X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X207" i="11"/>
  <c r="AF207" i="11"/>
  <c r="O207" i="11"/>
  <c r="E207" i="11"/>
  <c r="S207" i="11"/>
  <c r="G207" i="11"/>
  <c r="AT207" i="11"/>
  <c r="AL207" i="11"/>
  <c r="AH207" i="11"/>
  <c r="AU207" i="11"/>
  <c r="H207" i="11"/>
  <c r="AT91" i="6" l="1"/>
  <c r="J16" i="5"/>
  <c r="AA61" i="6"/>
  <c r="AR4" i="5"/>
  <c r="R61" i="5"/>
  <c r="T79" i="5"/>
  <c r="W37" i="5"/>
  <c r="N97" i="6"/>
  <c r="AZ43" i="5"/>
  <c r="C82" i="6"/>
  <c r="AQ85" i="6"/>
  <c r="AG79" i="6"/>
  <c r="M28" i="6"/>
  <c r="O52" i="6"/>
  <c r="C61" i="5"/>
  <c r="AC40" i="6"/>
  <c r="AY79" i="5"/>
  <c r="AS31" i="6"/>
  <c r="H91" i="6"/>
  <c r="P16" i="5"/>
  <c r="U76" i="6"/>
  <c r="AA31" i="6"/>
  <c r="AN70" i="6"/>
  <c r="AF4" i="5"/>
  <c r="AF94" i="6"/>
  <c r="I37" i="6"/>
  <c r="R88" i="6"/>
  <c r="AS13" i="5"/>
  <c r="AI55" i="5"/>
  <c r="AP76" i="6"/>
  <c r="AY37" i="5"/>
  <c r="C61" i="6"/>
  <c r="AN34" i="5"/>
  <c r="AU40" i="5"/>
  <c r="AI7" i="5"/>
  <c r="T94" i="6"/>
  <c r="AN91" i="5"/>
  <c r="AA13" i="5"/>
  <c r="O37" i="5"/>
  <c r="AA76" i="5"/>
  <c r="AF34" i="5"/>
  <c r="J4" i="5"/>
  <c r="AK49" i="6"/>
  <c r="S16" i="5"/>
  <c r="Q10" i="5"/>
  <c r="X73" i="6"/>
  <c r="AQ88" i="6"/>
  <c r="AE49" i="6"/>
  <c r="F25" i="6"/>
  <c r="V76" i="6"/>
  <c r="C67" i="5"/>
  <c r="N73" i="5"/>
  <c r="T46" i="5"/>
  <c r="AT58" i="5"/>
  <c r="W40" i="6"/>
  <c r="AI82" i="6"/>
  <c r="AI28" i="6"/>
  <c r="H88" i="5"/>
  <c r="AL70" i="5"/>
  <c r="AQ70" i="5"/>
  <c r="Y34" i="6"/>
  <c r="Y37" i="5"/>
  <c r="AA4" i="5"/>
  <c r="T97" i="6"/>
  <c r="AY19" i="5"/>
  <c r="V7" i="5"/>
  <c r="Y43" i="5"/>
  <c r="AP13" i="6"/>
  <c r="AN52" i="6"/>
  <c r="W55" i="5"/>
  <c r="AP7" i="6"/>
  <c r="E70" i="6"/>
  <c r="G61" i="6"/>
  <c r="O7" i="6"/>
  <c r="AX13" i="6"/>
  <c r="AW94" i="5"/>
  <c r="AF43" i="6"/>
  <c r="AX7" i="6"/>
  <c r="AZ91" i="6"/>
  <c r="S52" i="6"/>
  <c r="AJ67" i="5"/>
  <c r="AO31" i="6"/>
  <c r="R28" i="6"/>
  <c r="AZ19" i="5"/>
  <c r="AH40" i="5"/>
  <c r="I79" i="6"/>
  <c r="M49" i="5"/>
  <c r="K70" i="6"/>
  <c r="O13" i="5"/>
  <c r="AC70" i="5"/>
  <c r="AC58" i="6"/>
  <c r="AU67" i="5"/>
  <c r="AT7" i="5"/>
  <c r="O94" i="6"/>
  <c r="C52" i="5"/>
  <c r="C43" i="6"/>
  <c r="X52" i="6"/>
  <c r="AM49" i="6"/>
  <c r="AU10" i="6"/>
  <c r="AH52" i="5"/>
  <c r="AR34" i="5"/>
  <c r="AP91" i="6"/>
  <c r="M61" i="5"/>
  <c r="L67" i="6"/>
  <c r="N76" i="6"/>
  <c r="W88" i="6"/>
  <c r="V10" i="5"/>
  <c r="Y55" i="6"/>
  <c r="P94" i="5"/>
  <c r="H4" i="5"/>
  <c r="AS94" i="6"/>
  <c r="K31" i="5"/>
  <c r="AT22" i="6"/>
  <c r="X79" i="5"/>
  <c r="V25" i="5"/>
  <c r="Z49" i="6"/>
  <c r="AC28" i="5"/>
  <c r="AS67" i="6"/>
  <c r="Z19" i="5"/>
  <c r="F19" i="6"/>
  <c r="W76" i="6"/>
  <c r="AO34" i="5"/>
  <c r="L91" i="5"/>
  <c r="H67" i="5"/>
  <c r="K64" i="5"/>
  <c r="G7" i="6"/>
  <c r="AA82" i="5"/>
  <c r="L31" i="5"/>
  <c r="Y46" i="5"/>
  <c r="AI82" i="5"/>
  <c r="AQ73" i="6"/>
  <c r="AK76" i="5"/>
  <c r="AF88" i="5"/>
  <c r="AB7" i="5"/>
  <c r="AD61" i="5"/>
  <c r="E46" i="6"/>
  <c r="AG19" i="5"/>
  <c r="E4" i="6"/>
  <c r="G28" i="5"/>
  <c r="AI79" i="5"/>
  <c r="Q4" i="6"/>
  <c r="AS16" i="6"/>
  <c r="V76" i="5"/>
  <c r="AM40" i="5"/>
  <c r="X31" i="6"/>
  <c r="AG37" i="6"/>
  <c r="AL52" i="6"/>
  <c r="AU88" i="6"/>
  <c r="AP64" i="6"/>
  <c r="AH88" i="5"/>
  <c r="T25" i="6"/>
  <c r="K13" i="6"/>
  <c r="U52" i="6"/>
  <c r="AF43" i="5"/>
  <c r="AN40" i="5"/>
  <c r="V19" i="6"/>
  <c r="AW7" i="5"/>
  <c r="AW46" i="5"/>
  <c r="AV40" i="5"/>
  <c r="Z88" i="5"/>
  <c r="W61" i="6"/>
  <c r="C25" i="5"/>
  <c r="AF67" i="5"/>
  <c r="AQ19" i="6"/>
  <c r="X82" i="5"/>
  <c r="Y94" i="6"/>
  <c r="AZ25" i="5"/>
  <c r="AE76" i="5"/>
  <c r="N25" i="5"/>
  <c r="AY22" i="6"/>
  <c r="U37" i="6"/>
  <c r="AS37" i="5"/>
  <c r="R82" i="5"/>
  <c r="AN76" i="5"/>
  <c r="AG52" i="5"/>
  <c r="AD10" i="5"/>
  <c r="AB88" i="5"/>
  <c r="AQ28" i="6"/>
  <c r="AM82" i="5"/>
  <c r="AR79" i="6"/>
  <c r="AX82" i="5"/>
  <c r="I16" i="5"/>
  <c r="C94" i="6"/>
  <c r="N4" i="5"/>
  <c r="X28" i="5"/>
  <c r="Z58" i="5"/>
  <c r="AH97" i="6"/>
  <c r="AB61" i="6"/>
  <c r="P43" i="5"/>
  <c r="AV25" i="6"/>
  <c r="G85" i="6"/>
  <c r="AB10" i="6"/>
  <c r="AX46" i="5"/>
  <c r="AR58" i="6"/>
  <c r="AZ52" i="6"/>
  <c r="AE37" i="5"/>
  <c r="J73" i="5"/>
  <c r="AG43" i="6"/>
  <c r="T67" i="6"/>
  <c r="AB10" i="5"/>
  <c r="AS76" i="5"/>
  <c r="T7" i="6"/>
  <c r="AH97" i="5"/>
  <c r="AL76" i="6"/>
  <c r="Y49" i="6"/>
  <c r="AZ34" i="5"/>
  <c r="AJ94" i="6"/>
  <c r="T73" i="5"/>
  <c r="T34" i="6"/>
  <c r="H19" i="5"/>
  <c r="AT31" i="5"/>
  <c r="AS43" i="6"/>
  <c r="AT94" i="5"/>
  <c r="AY10" i="5"/>
  <c r="AY4" i="6"/>
  <c r="AL22" i="5"/>
  <c r="N55" i="5"/>
  <c r="AR85" i="5"/>
  <c r="AU7" i="5"/>
  <c r="AS40" i="5"/>
  <c r="Q43" i="6"/>
  <c r="AK76" i="6"/>
  <c r="AZ31" i="5"/>
  <c r="F31" i="6"/>
  <c r="AP64" i="5"/>
  <c r="AN52" i="5"/>
  <c r="AW37" i="5"/>
  <c r="AA61" i="5"/>
  <c r="W61" i="5"/>
  <c r="K97" i="6"/>
  <c r="AG70" i="6"/>
  <c r="AX79" i="5"/>
  <c r="P73" i="5"/>
  <c r="S10" i="5"/>
  <c r="Q28" i="6"/>
  <c r="AN67" i="6"/>
  <c r="AH16" i="5"/>
  <c r="AV67" i="6"/>
  <c r="AI10" i="5"/>
  <c r="H61" i="5"/>
  <c r="I67" i="6"/>
  <c r="X52" i="5"/>
  <c r="AE94" i="5"/>
  <c r="AT19" i="5"/>
  <c r="AM22" i="6"/>
  <c r="AM19" i="5"/>
  <c r="AN16" i="5"/>
  <c r="AV13" i="6"/>
  <c r="H97" i="5"/>
  <c r="AM10" i="6"/>
  <c r="Z43" i="6"/>
  <c r="AE22" i="5"/>
  <c r="AT31" i="6"/>
  <c r="F67" i="6"/>
  <c r="U10" i="6"/>
  <c r="AN34" i="6"/>
  <c r="AX97" i="5"/>
  <c r="AR46" i="6"/>
  <c r="AX67" i="5"/>
  <c r="AS46" i="5"/>
  <c r="AL82" i="5"/>
  <c r="AS82" i="6"/>
  <c r="I22" i="5"/>
  <c r="AC37" i="5"/>
  <c r="I94" i="5"/>
  <c r="AE64" i="6"/>
  <c r="M13" i="6"/>
  <c r="AZ7" i="5"/>
  <c r="AX88" i="6"/>
  <c r="AL88" i="5"/>
  <c r="G97" i="6"/>
  <c r="Y58" i="5"/>
  <c r="AD4" i="5"/>
  <c r="AT25" i="6"/>
  <c r="AV34" i="6"/>
  <c r="AA34" i="5"/>
  <c r="X25" i="6"/>
  <c r="L40" i="5"/>
  <c r="W28" i="5"/>
  <c r="S67" i="5"/>
  <c r="H70" i="5"/>
  <c r="AP28" i="5"/>
  <c r="AQ73" i="5"/>
  <c r="H13" i="5"/>
  <c r="AQ79" i="5"/>
  <c r="O40" i="5"/>
  <c r="M46" i="6"/>
  <c r="M19" i="6"/>
  <c r="W25" i="5"/>
  <c r="H19" i="6"/>
  <c r="H49" i="5"/>
  <c r="AL55" i="5"/>
  <c r="E76" i="6"/>
  <c r="AL91" i="6"/>
  <c r="AN49" i="6"/>
  <c r="AT91" i="5"/>
  <c r="AY94" i="5"/>
  <c r="AW13" i="5"/>
  <c r="AR43" i="5"/>
  <c r="J64" i="6"/>
  <c r="T55" i="5"/>
  <c r="AR43" i="6"/>
  <c r="Y16" i="5"/>
  <c r="AQ13" i="6"/>
  <c r="AX52" i="5"/>
  <c r="S13" i="5"/>
  <c r="AJ10" i="6"/>
  <c r="Z88" i="6"/>
  <c r="AL22" i="6"/>
  <c r="J73" i="6"/>
  <c r="Z70" i="5"/>
  <c r="J19" i="5"/>
  <c r="N67" i="5"/>
  <c r="S64" i="5"/>
  <c r="F25" i="5"/>
  <c r="AD49" i="6"/>
  <c r="AE73" i="5"/>
  <c r="AF10" i="5"/>
  <c r="AZ40" i="6"/>
  <c r="AB82" i="6"/>
  <c r="M49" i="6"/>
  <c r="G88" i="5"/>
  <c r="C37" i="6"/>
  <c r="AG88" i="5"/>
  <c r="W85" i="5"/>
  <c r="AB31" i="6"/>
  <c r="F10" i="6"/>
  <c r="AP58" i="5"/>
  <c r="AP82" i="5"/>
  <c r="E67" i="5"/>
  <c r="M76" i="5"/>
  <c r="AH61" i="6"/>
  <c r="T61" i="6"/>
  <c r="AK7" i="5"/>
  <c r="J28" i="6"/>
  <c r="G64" i="6"/>
  <c r="AD13" i="6"/>
  <c r="U34" i="5"/>
  <c r="AX88" i="5"/>
  <c r="T76" i="5"/>
  <c r="H31" i="5"/>
  <c r="W94" i="5"/>
  <c r="O97" i="6"/>
  <c r="AH58" i="5"/>
  <c r="T40" i="6"/>
  <c r="J55" i="6"/>
  <c r="R64" i="6"/>
  <c r="AA94" i="6"/>
  <c r="AT67" i="5"/>
  <c r="L7" i="5"/>
  <c r="AL34" i="5"/>
  <c r="C64" i="5"/>
  <c r="AM73" i="5"/>
  <c r="S79" i="5"/>
  <c r="F49" i="6"/>
  <c r="L64" i="5"/>
  <c r="AH46" i="6"/>
  <c r="AX31" i="6"/>
  <c r="I37" i="5"/>
  <c r="AX22" i="5"/>
  <c r="L67" i="5"/>
  <c r="W52" i="6"/>
  <c r="F37" i="6"/>
  <c r="Z67" i="5"/>
  <c r="T70" i="6"/>
  <c r="O22" i="5"/>
  <c r="U55" i="6"/>
  <c r="K37" i="5"/>
  <c r="AL94" i="5"/>
  <c r="AC16" i="6"/>
  <c r="E79" i="6"/>
  <c r="AO13" i="5"/>
  <c r="AO28" i="5"/>
  <c r="H25" i="6"/>
  <c r="F82" i="5"/>
  <c r="AB49" i="6"/>
  <c r="E43" i="5"/>
  <c r="V79" i="5"/>
  <c r="AR67" i="5"/>
  <c r="AT7" i="6"/>
  <c r="AK79" i="6"/>
  <c r="N13" i="5"/>
  <c r="F61" i="6"/>
  <c r="G13" i="5"/>
  <c r="F94" i="5"/>
  <c r="P97" i="5"/>
  <c r="N79" i="5"/>
  <c r="AK28" i="5"/>
  <c r="AK70" i="5"/>
  <c r="AW91" i="6"/>
  <c r="J55" i="5"/>
  <c r="AL58" i="5"/>
  <c r="J79" i="6"/>
  <c r="AN13" i="6"/>
  <c r="AK28" i="6"/>
  <c r="C7" i="6"/>
  <c r="N37" i="6"/>
  <c r="L91" i="6"/>
  <c r="M37" i="6"/>
  <c r="L73" i="5"/>
  <c r="X91" i="5"/>
  <c r="AW70" i="6"/>
  <c r="AL49" i="6"/>
  <c r="AW76" i="5"/>
  <c r="AA16" i="5"/>
  <c r="P10" i="6"/>
  <c r="P94" i="6"/>
  <c r="R19" i="6"/>
  <c r="I7" i="5"/>
  <c r="AW52" i="6"/>
  <c r="AK55" i="6"/>
  <c r="T13" i="6"/>
  <c r="AW22" i="5"/>
  <c r="AC76" i="6"/>
  <c r="T28" i="5"/>
  <c r="AJ7" i="5"/>
  <c r="AU16" i="6"/>
  <c r="AW46" i="6"/>
  <c r="AU64" i="5"/>
  <c r="N34" i="5"/>
  <c r="AQ49" i="5"/>
  <c r="AI28" i="5"/>
  <c r="E40" i="6"/>
  <c r="Q31" i="6"/>
  <c r="AD91" i="6"/>
  <c r="AD13" i="5"/>
  <c r="I97" i="5"/>
  <c r="H43" i="5"/>
  <c r="L76" i="5"/>
  <c r="AI52" i="5"/>
  <c r="AB91" i="6"/>
  <c r="U10" i="5"/>
  <c r="AX40" i="6"/>
  <c r="G13" i="6"/>
  <c r="S43" i="5"/>
  <c r="AI85" i="6"/>
  <c r="N40" i="5"/>
  <c r="AP61" i="5"/>
  <c r="J31" i="6"/>
  <c r="AA40" i="5"/>
  <c r="Y10" i="5"/>
  <c r="N34" i="6"/>
  <c r="AQ70" i="6"/>
  <c r="C4" i="5"/>
  <c r="AK13" i="6"/>
  <c r="AA19" i="5"/>
  <c r="K70" i="5"/>
  <c r="Z10" i="6"/>
  <c r="AZ73" i="5"/>
  <c r="AK25" i="5"/>
  <c r="AW94" i="6"/>
  <c r="L94" i="6"/>
  <c r="J85" i="5"/>
  <c r="AZ58" i="6"/>
  <c r="I10" i="6"/>
  <c r="AH64" i="5"/>
  <c r="AJ52" i="5"/>
  <c r="J34" i="6"/>
  <c r="P25" i="5"/>
  <c r="T97" i="5"/>
  <c r="AM85" i="5"/>
  <c r="S97" i="5"/>
  <c r="F91" i="6"/>
  <c r="AQ97" i="6"/>
  <c r="F28" i="6"/>
  <c r="AX55" i="5"/>
  <c r="AA37" i="5"/>
  <c r="Z4" i="6"/>
  <c r="O49" i="6"/>
  <c r="AE19" i="5"/>
  <c r="F40" i="5"/>
  <c r="P31" i="5"/>
  <c r="G4" i="6"/>
  <c r="AL64" i="5"/>
  <c r="E82" i="6"/>
  <c r="E88" i="6"/>
  <c r="AT10" i="5"/>
  <c r="AO25" i="6"/>
  <c r="T10" i="5"/>
  <c r="Z73" i="6"/>
  <c r="S58" i="5"/>
  <c r="P85" i="5"/>
  <c r="AK70" i="6"/>
  <c r="AN28" i="6"/>
  <c r="AD52" i="5"/>
  <c r="AT16" i="6"/>
  <c r="AW88" i="6"/>
  <c r="N28" i="5"/>
  <c r="V55" i="6"/>
  <c r="O79" i="5"/>
  <c r="M88" i="6"/>
  <c r="AM52" i="5"/>
  <c r="AC64" i="6"/>
  <c r="AV55" i="5"/>
  <c r="F4" i="5"/>
  <c r="P85" i="6"/>
  <c r="AN19" i="5"/>
  <c r="AN43" i="5"/>
  <c r="AM70" i="5"/>
  <c r="Y22" i="5"/>
  <c r="AY40" i="6"/>
  <c r="R85" i="5"/>
  <c r="K22" i="5"/>
  <c r="T73" i="6"/>
  <c r="AM28" i="5"/>
  <c r="AY16" i="6"/>
  <c r="N49" i="6"/>
  <c r="E28" i="5"/>
  <c r="AG55" i="5"/>
  <c r="AX61" i="6"/>
  <c r="P76" i="5"/>
  <c r="AO4" i="6"/>
  <c r="AA49" i="6"/>
  <c r="AO64" i="6"/>
  <c r="AD37" i="6"/>
  <c r="AZ70" i="5"/>
  <c r="AU13" i="6"/>
  <c r="AV85" i="5"/>
  <c r="AP22" i="6"/>
  <c r="AJ46" i="6"/>
  <c r="I22" i="6"/>
  <c r="AV58" i="6"/>
  <c r="M94" i="5"/>
  <c r="Y64" i="6"/>
  <c r="AV46" i="6"/>
  <c r="AW55" i="6"/>
  <c r="K73" i="6"/>
  <c r="U7" i="6"/>
  <c r="P28" i="6"/>
  <c r="R16" i="5"/>
  <c r="AH49" i="6"/>
  <c r="T10" i="6"/>
  <c r="X94" i="5"/>
  <c r="AV10" i="6"/>
  <c r="P67" i="6"/>
  <c r="R97" i="5"/>
  <c r="N7" i="6"/>
  <c r="E19" i="6"/>
  <c r="W46" i="6"/>
  <c r="P55" i="6"/>
  <c r="Q82" i="6"/>
  <c r="P97" i="6"/>
  <c r="K67" i="5"/>
  <c r="AX25" i="6"/>
  <c r="AV40" i="6"/>
  <c r="V37" i="6"/>
  <c r="K22" i="6"/>
  <c r="AE16" i="5"/>
  <c r="AP88" i="5"/>
  <c r="AZ76" i="5"/>
  <c r="AO13" i="6"/>
  <c r="J19" i="6"/>
  <c r="Y31" i="5"/>
  <c r="AN85" i="6"/>
  <c r="AF91" i="6"/>
  <c r="J67" i="5"/>
  <c r="AR37" i="5"/>
  <c r="AI88" i="6"/>
  <c r="AR73" i="5"/>
  <c r="AP7" i="5"/>
  <c r="AP13" i="5"/>
  <c r="J25" i="6"/>
  <c r="AY82" i="5"/>
  <c r="AY94" i="6"/>
  <c r="E52" i="6"/>
  <c r="H4" i="6"/>
  <c r="P46" i="6"/>
  <c r="W22" i="6"/>
  <c r="F40" i="6"/>
  <c r="M13" i="5"/>
  <c r="AO88" i="6"/>
  <c r="F7" i="5"/>
  <c r="K28" i="6"/>
  <c r="AQ28" i="5"/>
  <c r="AQ76" i="5"/>
  <c r="Q13" i="5"/>
  <c r="N19" i="6"/>
  <c r="AC43" i="6"/>
  <c r="T46" i="6"/>
  <c r="AG13" i="6"/>
  <c r="AY97" i="6"/>
  <c r="P61" i="6"/>
  <c r="Z31" i="6"/>
  <c r="AS22" i="6"/>
  <c r="N64" i="6"/>
  <c r="C49" i="6"/>
  <c r="AO85" i="5"/>
  <c r="AE4" i="6"/>
  <c r="AE76" i="6"/>
  <c r="Q52" i="6"/>
  <c r="AL31" i="5"/>
  <c r="F73" i="5"/>
  <c r="AC55" i="5"/>
  <c r="J58" i="5"/>
  <c r="U7" i="5"/>
  <c r="E58" i="5"/>
  <c r="AZ52" i="5"/>
  <c r="AN73" i="5"/>
  <c r="V31" i="5"/>
  <c r="V94" i="5"/>
  <c r="AF31" i="5"/>
  <c r="AS13" i="6"/>
  <c r="S19" i="6"/>
  <c r="G82" i="5"/>
  <c r="H34" i="6"/>
  <c r="L19" i="6"/>
  <c r="AC19" i="5"/>
  <c r="AM16" i="5"/>
  <c r="K34" i="5"/>
  <c r="AT16" i="5"/>
  <c r="Z31" i="5"/>
  <c r="Y16" i="6"/>
  <c r="AU19" i="5"/>
  <c r="Z94" i="5"/>
  <c r="W7" i="5"/>
  <c r="AS49" i="5"/>
  <c r="AN10" i="6"/>
  <c r="O58" i="5"/>
  <c r="AE67" i="5"/>
  <c r="J97" i="6"/>
  <c r="AU37" i="6"/>
  <c r="AR82" i="5"/>
  <c r="AZ94" i="5"/>
  <c r="AI19" i="5"/>
  <c r="AQ64" i="5"/>
  <c r="AL25" i="5"/>
  <c r="AF70" i="5"/>
  <c r="U58" i="6"/>
  <c r="AG22" i="5"/>
  <c r="S28" i="6"/>
  <c r="AU25" i="6"/>
  <c r="AA28" i="5"/>
  <c r="Y73" i="5"/>
  <c r="AM19" i="6"/>
  <c r="AN31" i="6"/>
  <c r="AC49" i="5"/>
  <c r="R31" i="6"/>
  <c r="AJ25" i="6"/>
  <c r="AN40" i="6"/>
  <c r="AG79" i="5"/>
  <c r="AV7" i="6"/>
  <c r="AA79" i="5"/>
  <c r="AP46" i="6"/>
  <c r="G22" i="5"/>
  <c r="H49" i="6"/>
  <c r="AC4" i="6"/>
  <c r="AK91" i="5"/>
  <c r="AV70" i="6"/>
  <c r="M55" i="6"/>
  <c r="AU73" i="6"/>
  <c r="O70" i="5"/>
  <c r="W16" i="5"/>
  <c r="R7" i="6"/>
  <c r="E64" i="6"/>
  <c r="AJ73" i="6"/>
  <c r="Q64" i="6"/>
  <c r="AM46" i="5"/>
  <c r="AE4" i="5"/>
  <c r="G79" i="5"/>
  <c r="AH10" i="6"/>
  <c r="W73" i="5"/>
  <c r="H10" i="5"/>
  <c r="AN4" i="6"/>
  <c r="AY49" i="6"/>
  <c r="K82" i="5"/>
  <c r="AX19" i="5"/>
  <c r="AR85" i="6"/>
  <c r="X70" i="6"/>
  <c r="K88" i="6"/>
  <c r="Z91" i="5"/>
  <c r="M91" i="6"/>
  <c r="AF19" i="5"/>
  <c r="AO91" i="5"/>
  <c r="AK82" i="6"/>
  <c r="E13" i="6"/>
  <c r="AS19" i="6"/>
  <c r="AI46" i="6"/>
  <c r="X61" i="6"/>
  <c r="AO37" i="6"/>
  <c r="AF82" i="6"/>
  <c r="AG19" i="6"/>
  <c r="AS22" i="5"/>
  <c r="J70" i="5"/>
  <c r="AG94" i="6"/>
  <c r="AS58" i="5"/>
  <c r="AQ64" i="6"/>
  <c r="K61" i="6"/>
  <c r="AK4" i="6"/>
  <c r="M52" i="6"/>
  <c r="AY7" i="5"/>
  <c r="AZ61" i="6"/>
  <c r="T94" i="5"/>
  <c r="AY13" i="6"/>
  <c r="T85" i="6"/>
  <c r="AI19" i="6"/>
  <c r="AY46" i="5"/>
  <c r="W43" i="5"/>
  <c r="O46" i="6"/>
  <c r="H22" i="5"/>
  <c r="AR16" i="6"/>
  <c r="AG7" i="6"/>
  <c r="AE13" i="6"/>
  <c r="Q91" i="6"/>
  <c r="G37" i="6"/>
  <c r="AH64" i="6"/>
  <c r="S94" i="6"/>
  <c r="AI25" i="6"/>
  <c r="AI22" i="5"/>
  <c r="AY31" i="5"/>
  <c r="K85" i="5"/>
  <c r="G4" i="5"/>
  <c r="X4" i="6"/>
  <c r="AK25" i="6"/>
  <c r="AP70" i="5"/>
  <c r="P91" i="6"/>
  <c r="O16" i="5"/>
  <c r="F22" i="6"/>
  <c r="W58" i="5"/>
  <c r="AW97" i="5"/>
  <c r="AX37" i="5"/>
  <c r="K49" i="5"/>
  <c r="K25" i="6"/>
  <c r="G46" i="5"/>
  <c r="AT22" i="5"/>
  <c r="O97" i="5"/>
  <c r="AH7" i="6"/>
  <c r="AD58" i="5"/>
  <c r="AZ55" i="6"/>
  <c r="AJ73" i="5"/>
  <c r="AW34" i="6"/>
  <c r="W37" i="6"/>
  <c r="AZ82" i="6"/>
  <c r="Z85" i="6"/>
  <c r="AV49" i="6"/>
  <c r="T19" i="6"/>
  <c r="AD79" i="5"/>
  <c r="AC13" i="6"/>
  <c r="T13" i="5"/>
  <c r="AU46" i="5"/>
  <c r="AK94" i="6"/>
  <c r="AM73" i="6"/>
  <c r="AW79" i="6"/>
  <c r="AU97" i="6"/>
  <c r="F34" i="5"/>
  <c r="T67" i="5"/>
  <c r="S4" i="6"/>
  <c r="AB85" i="6"/>
  <c r="AA43" i="6"/>
  <c r="Q94" i="6"/>
  <c r="AT97" i="5"/>
  <c r="AL4" i="5"/>
  <c r="AW61" i="5"/>
  <c r="N52" i="6"/>
  <c r="AY91" i="5"/>
  <c r="M7" i="5"/>
  <c r="AC52" i="6"/>
  <c r="L58" i="6"/>
  <c r="AN94" i="5"/>
  <c r="N10" i="5"/>
  <c r="H91" i="5"/>
  <c r="O40" i="6"/>
  <c r="AK37" i="5"/>
  <c r="AP28" i="6"/>
  <c r="H22" i="6"/>
  <c r="AP73" i="5"/>
  <c r="Y7" i="6"/>
  <c r="AS73" i="5"/>
  <c r="AE22" i="6"/>
  <c r="W34" i="6"/>
  <c r="AW34" i="5"/>
  <c r="AD79" i="6"/>
  <c r="AU61" i="5"/>
  <c r="AI25" i="5"/>
  <c r="M4" i="5"/>
  <c r="AE97" i="5"/>
  <c r="AV4" i="6"/>
  <c r="AA55" i="5"/>
  <c r="AC25" i="6"/>
  <c r="AH52" i="6"/>
  <c r="Y43" i="6"/>
  <c r="AJ55" i="6"/>
  <c r="X43" i="6"/>
  <c r="AG91" i="6"/>
  <c r="AN73" i="6"/>
  <c r="Q76" i="6"/>
  <c r="AX49" i="6"/>
  <c r="AQ10" i="6"/>
  <c r="S34" i="5"/>
  <c r="W4" i="6"/>
  <c r="AR79" i="5"/>
  <c r="AG31" i="5"/>
  <c r="AP97" i="5"/>
  <c r="AD34" i="6"/>
  <c r="AI64" i="6"/>
  <c r="X58" i="6"/>
  <c r="AP97" i="6"/>
  <c r="AF37" i="6"/>
  <c r="AU94" i="5"/>
  <c r="Y31" i="6"/>
  <c r="Q61" i="5"/>
  <c r="AG82" i="6"/>
  <c r="AP55" i="6"/>
  <c r="T22" i="5"/>
  <c r="AS82" i="5"/>
  <c r="O61" i="6"/>
  <c r="F52" i="5"/>
  <c r="AP34" i="5"/>
  <c r="AD22" i="6"/>
  <c r="R91" i="6"/>
  <c r="AY13" i="5"/>
  <c r="AZ61" i="5"/>
  <c r="AK61" i="5"/>
  <c r="AE82" i="6"/>
  <c r="E37" i="6"/>
  <c r="AY31" i="6"/>
  <c r="E43" i="6"/>
  <c r="AB25" i="6"/>
  <c r="AO61" i="5"/>
  <c r="N61" i="5"/>
  <c r="AC52" i="5"/>
  <c r="Q76" i="5"/>
  <c r="AT40" i="5"/>
  <c r="AT79" i="6"/>
  <c r="S37" i="5"/>
  <c r="AU52" i="6"/>
  <c r="C58" i="5"/>
  <c r="J76" i="5"/>
  <c r="AG40" i="6"/>
  <c r="AK94" i="5"/>
  <c r="AW55" i="5"/>
  <c r="J25" i="5"/>
  <c r="U13" i="6"/>
  <c r="AN79" i="6"/>
  <c r="L10" i="6"/>
  <c r="M73" i="5"/>
  <c r="U55" i="5"/>
  <c r="S40" i="6"/>
  <c r="AI40" i="5"/>
  <c r="AO28" i="6"/>
  <c r="AE16" i="6"/>
  <c r="AC25" i="5"/>
  <c r="T43" i="5"/>
  <c r="I19" i="6"/>
  <c r="U67" i="6"/>
  <c r="AT88" i="5"/>
  <c r="T43" i="6"/>
  <c r="AE31" i="6"/>
  <c r="AG28" i="6"/>
  <c r="P40" i="6"/>
  <c r="AQ7" i="6"/>
  <c r="AO19" i="5"/>
  <c r="Q37" i="6"/>
  <c r="AL16" i="6"/>
  <c r="E7" i="6"/>
  <c r="G49" i="6"/>
  <c r="Q67" i="5"/>
  <c r="AL43" i="5"/>
  <c r="K52" i="5"/>
  <c r="AO52" i="5"/>
  <c r="N61" i="6"/>
  <c r="AQ43" i="5"/>
  <c r="H16" i="6"/>
  <c r="AG70" i="5"/>
  <c r="U25" i="6"/>
  <c r="AD67" i="5"/>
  <c r="X85" i="5"/>
  <c r="AV70" i="5"/>
  <c r="AQ94" i="5"/>
  <c r="AB28" i="6"/>
  <c r="AA40" i="6"/>
  <c r="E16" i="6"/>
  <c r="AF61" i="6"/>
  <c r="G43" i="6"/>
  <c r="AO10" i="5"/>
  <c r="AE40" i="5"/>
  <c r="AP67" i="6"/>
  <c r="AK91" i="6"/>
  <c r="O82" i="6"/>
  <c r="R25" i="6"/>
  <c r="V97" i="5"/>
  <c r="AF31" i="6"/>
  <c r="AP88" i="6"/>
  <c r="AJ91" i="5"/>
  <c r="AG16" i="6"/>
  <c r="AH46" i="5"/>
  <c r="C73" i="5"/>
  <c r="V13" i="5"/>
  <c r="AD73" i="5"/>
  <c r="E28" i="6"/>
  <c r="AG76" i="6"/>
  <c r="AY28" i="5"/>
  <c r="AW28" i="5"/>
  <c r="K88" i="5"/>
  <c r="AJ13" i="6"/>
  <c r="E4" i="5"/>
  <c r="AC4" i="5"/>
  <c r="AC73" i="5"/>
  <c r="AC34" i="5"/>
  <c r="R46" i="6"/>
  <c r="X70" i="5"/>
  <c r="E85" i="5"/>
  <c r="L70" i="6"/>
  <c r="AZ70" i="6"/>
  <c r="AR58" i="5"/>
  <c r="O10" i="5"/>
  <c r="AT76" i="5"/>
  <c r="AD82" i="5"/>
  <c r="V64" i="6"/>
  <c r="P13" i="5"/>
  <c r="K4" i="5"/>
  <c r="AF40" i="5"/>
  <c r="E97" i="5"/>
  <c r="C88" i="6"/>
  <c r="AC46" i="6"/>
  <c r="AX22" i="6"/>
  <c r="R37" i="5"/>
  <c r="AA52" i="5"/>
  <c r="AZ67" i="6"/>
  <c r="AV13" i="5"/>
  <c r="K82" i="6"/>
  <c r="AB73" i="6"/>
  <c r="AF22" i="6"/>
  <c r="AF82" i="5"/>
  <c r="AI88" i="5"/>
  <c r="C40" i="6"/>
  <c r="C97" i="6"/>
  <c r="AI70" i="5"/>
  <c r="S49" i="5"/>
  <c r="J52" i="5"/>
  <c r="I34" i="6"/>
  <c r="AC22" i="6"/>
  <c r="O76" i="5"/>
  <c r="AB34" i="6"/>
  <c r="AK43" i="6"/>
  <c r="AS25" i="5"/>
  <c r="C22" i="6"/>
  <c r="AQ13" i="5"/>
  <c r="I13" i="5"/>
  <c r="AE52" i="6"/>
  <c r="AY10" i="6"/>
  <c r="U61" i="5"/>
  <c r="E10" i="5"/>
  <c r="AS31" i="5"/>
  <c r="AB40" i="5"/>
  <c r="AC79" i="6"/>
  <c r="AN43" i="6"/>
  <c r="AI94" i="5"/>
  <c r="L13" i="5"/>
  <c r="AV10" i="5"/>
  <c r="AA85" i="6"/>
  <c r="U88" i="5"/>
  <c r="O28" i="6"/>
  <c r="AH28" i="6"/>
  <c r="T49" i="6"/>
  <c r="AW31" i="6"/>
  <c r="AP49" i="5"/>
  <c r="AK49" i="5"/>
  <c r="AT13" i="6"/>
  <c r="L49" i="6"/>
  <c r="AT61" i="6"/>
  <c r="AU61" i="6"/>
  <c r="AC22" i="5"/>
  <c r="AN16" i="6"/>
  <c r="W34" i="5"/>
  <c r="AC7" i="6"/>
  <c r="AB94" i="5"/>
  <c r="AR19" i="6"/>
  <c r="AR31" i="6"/>
  <c r="Q19" i="6"/>
  <c r="AM31" i="6"/>
  <c r="N85" i="5"/>
  <c r="L4" i="6"/>
  <c r="P88" i="5"/>
  <c r="AJ91" i="6"/>
  <c r="AY34" i="6"/>
  <c r="G58" i="6"/>
  <c r="AK31" i="6"/>
  <c r="AE46" i="5"/>
  <c r="F16" i="5"/>
  <c r="AQ22" i="6"/>
  <c r="AW85" i="5"/>
  <c r="U4" i="6"/>
  <c r="AN61" i="6"/>
  <c r="AR88" i="5"/>
  <c r="U94" i="5"/>
  <c r="Z7" i="5"/>
  <c r="O34" i="6"/>
  <c r="AN37" i="6"/>
  <c r="U94" i="6"/>
  <c r="AH28" i="5"/>
  <c r="R97" i="6"/>
  <c r="AR76" i="5"/>
  <c r="T91" i="5"/>
  <c r="J7" i="6"/>
  <c r="S46" i="5"/>
  <c r="Q49" i="5"/>
  <c r="AM76" i="6"/>
  <c r="V34" i="5"/>
  <c r="AM28" i="6"/>
  <c r="K34" i="6"/>
  <c r="N40" i="6"/>
  <c r="V4" i="6"/>
  <c r="J10" i="5"/>
  <c r="AX94" i="5"/>
  <c r="AC97" i="5"/>
  <c r="AD55" i="5"/>
  <c r="AH85" i="6"/>
  <c r="AE88" i="5"/>
  <c r="M16" i="6"/>
  <c r="AE94" i="6"/>
  <c r="AR61" i="5"/>
  <c r="Q16" i="6"/>
  <c r="AO67" i="5"/>
  <c r="C79" i="5"/>
  <c r="S10" i="6"/>
  <c r="P49" i="5"/>
  <c r="AA19" i="6"/>
  <c r="J43" i="5"/>
  <c r="AW82" i="6"/>
  <c r="P73" i="6"/>
  <c r="AK13" i="5"/>
  <c r="P70" i="5"/>
  <c r="AH55" i="5"/>
  <c r="O25" i="6"/>
  <c r="AJ10" i="5"/>
  <c r="AV97" i="6"/>
  <c r="AF58" i="6"/>
  <c r="AK97" i="5"/>
  <c r="Y61" i="5"/>
  <c r="AA85" i="5"/>
  <c r="Y22" i="6"/>
  <c r="AB4" i="6"/>
  <c r="AS97" i="5"/>
  <c r="I19" i="5"/>
  <c r="AD28" i="6"/>
  <c r="Y4" i="5"/>
  <c r="I55" i="6"/>
  <c r="AP49" i="6"/>
  <c r="G97" i="5"/>
  <c r="AN82" i="5"/>
  <c r="L97" i="5"/>
  <c r="AV37" i="6"/>
  <c r="C31" i="5"/>
  <c r="AK37" i="6"/>
  <c r="Q58" i="6"/>
  <c r="S70" i="5"/>
  <c r="AS34" i="6"/>
  <c r="H85" i="5"/>
  <c r="T34" i="5"/>
  <c r="P91" i="5"/>
  <c r="V19" i="5"/>
  <c r="K4" i="6"/>
  <c r="AQ34" i="5"/>
  <c r="H67" i="6"/>
  <c r="M22" i="5"/>
  <c r="AK31" i="5"/>
  <c r="AA58" i="5"/>
  <c r="AD76" i="5"/>
  <c r="AA67" i="5"/>
  <c r="AD25" i="6"/>
  <c r="I94" i="6"/>
  <c r="V97" i="6"/>
  <c r="I58" i="5"/>
  <c r="AU49" i="5"/>
  <c r="X94" i="6"/>
  <c r="AY16" i="5"/>
  <c r="X25" i="5"/>
  <c r="AZ94" i="6"/>
  <c r="S25" i="5"/>
  <c r="M22" i="6"/>
  <c r="AR94" i="6"/>
  <c r="T55" i="6"/>
  <c r="AB22" i="5"/>
  <c r="AA49" i="5"/>
  <c r="K64" i="6"/>
  <c r="AS85" i="5"/>
  <c r="AM79" i="5"/>
  <c r="AO76" i="6"/>
  <c r="AU73" i="5"/>
  <c r="AE25" i="6"/>
  <c r="AS28" i="5"/>
  <c r="H40" i="6"/>
  <c r="AL91" i="5"/>
  <c r="AX79" i="6"/>
  <c r="Q85" i="5"/>
  <c r="H43" i="6"/>
  <c r="J94" i="5"/>
  <c r="Z25" i="6"/>
  <c r="S73" i="5"/>
  <c r="Q10" i="6"/>
  <c r="AJ22" i="5"/>
  <c r="U46" i="5"/>
  <c r="AZ49" i="5"/>
  <c r="AM43" i="6"/>
  <c r="L28" i="6"/>
  <c r="M46" i="5"/>
  <c r="AC19" i="6"/>
  <c r="AK19" i="5"/>
  <c r="AU70" i="6"/>
  <c r="J4" i="6"/>
  <c r="AW73" i="5"/>
  <c r="AY46" i="6"/>
  <c r="E61" i="5"/>
  <c r="V7" i="6"/>
  <c r="G34" i="5"/>
  <c r="V52" i="5"/>
  <c r="S61" i="5"/>
  <c r="AI7" i="6"/>
  <c r="T7" i="5"/>
  <c r="AJ61" i="5"/>
  <c r="W40" i="5"/>
  <c r="AI4" i="6"/>
  <c r="I31" i="5"/>
  <c r="AH25" i="6"/>
  <c r="Q55" i="6"/>
  <c r="AK22" i="6"/>
  <c r="P79" i="6"/>
  <c r="AS79" i="5"/>
  <c r="W97" i="5"/>
  <c r="N16" i="6"/>
  <c r="E25" i="6"/>
  <c r="AC67" i="5"/>
  <c r="V70" i="5"/>
  <c r="AG25" i="6"/>
  <c r="AN61" i="5"/>
  <c r="AI31" i="6"/>
  <c r="H58" i="5"/>
  <c r="AN55" i="6"/>
  <c r="P34" i="6"/>
  <c r="R25" i="5"/>
  <c r="AD19" i="5"/>
  <c r="S85" i="6"/>
  <c r="AZ10" i="5"/>
  <c r="K79" i="5"/>
  <c r="AW67" i="5"/>
  <c r="AQ7" i="5"/>
  <c r="AM49" i="5"/>
  <c r="Q28" i="5"/>
  <c r="U49" i="6"/>
  <c r="U25" i="5"/>
  <c r="S22" i="5"/>
  <c r="V43" i="5"/>
  <c r="AP85" i="5"/>
  <c r="X82" i="6"/>
  <c r="L40" i="6"/>
  <c r="AH73" i="6"/>
  <c r="AW19" i="6"/>
  <c r="T70" i="5"/>
  <c r="AC94" i="5"/>
  <c r="R10" i="5"/>
  <c r="AD73" i="6"/>
  <c r="C31" i="6"/>
  <c r="I7" i="6"/>
  <c r="AV73" i="5"/>
  <c r="L4" i="5"/>
  <c r="M4" i="6"/>
  <c r="AS58" i="6"/>
  <c r="AS88" i="6"/>
  <c r="M34" i="5"/>
  <c r="AE64" i="5"/>
  <c r="AQ91" i="5"/>
  <c r="G40" i="6"/>
  <c r="U16" i="5"/>
  <c r="J97" i="5"/>
  <c r="Z46" i="5"/>
  <c r="Z64" i="5"/>
  <c r="AH22" i="6"/>
  <c r="K76" i="6"/>
  <c r="AQ55" i="5"/>
  <c r="AG25" i="5"/>
  <c r="F67" i="5"/>
  <c r="AL4" i="6"/>
  <c r="R46" i="5"/>
  <c r="L79" i="6"/>
  <c r="AT37" i="5"/>
  <c r="Z85" i="5"/>
  <c r="X16" i="6"/>
  <c r="AX34" i="6"/>
  <c r="AP55" i="5"/>
  <c r="AM16" i="6"/>
  <c r="AD76" i="6"/>
  <c r="AQ25" i="5"/>
  <c r="I4" i="6"/>
  <c r="N88" i="5"/>
  <c r="AS67" i="5"/>
  <c r="AU88" i="5"/>
  <c r="C13" i="6"/>
  <c r="AS46" i="6"/>
  <c r="N91" i="6"/>
  <c r="G22" i="6"/>
  <c r="AM46" i="6"/>
  <c r="X19" i="5"/>
  <c r="O19" i="5"/>
  <c r="AI70" i="6"/>
  <c r="AJ58" i="6"/>
  <c r="E25" i="5"/>
  <c r="W13" i="5"/>
  <c r="C70" i="5"/>
  <c r="N46" i="6"/>
  <c r="H82" i="6"/>
  <c r="V46" i="6"/>
  <c r="AL79" i="5"/>
  <c r="AT55" i="5"/>
  <c r="T31" i="6"/>
  <c r="AC88" i="6"/>
  <c r="AY37" i="6"/>
  <c r="AF67" i="6"/>
  <c r="AD70" i="5"/>
  <c r="J79" i="5"/>
  <c r="E22" i="5"/>
  <c r="AZ82" i="5"/>
  <c r="AJ19" i="6"/>
  <c r="AJ22" i="6"/>
  <c r="AE43" i="5"/>
  <c r="AU58" i="5"/>
  <c r="M88" i="5"/>
  <c r="Q34" i="5"/>
  <c r="AH76" i="5"/>
  <c r="AX46" i="6"/>
  <c r="Z13" i="6"/>
  <c r="AI52" i="6"/>
  <c r="AC91" i="6"/>
  <c r="L43" i="6"/>
  <c r="P79" i="5"/>
  <c r="AT46" i="5"/>
  <c r="AU7" i="6"/>
  <c r="R40" i="6"/>
  <c r="P61" i="5"/>
  <c r="T61" i="5"/>
  <c r="M31" i="5"/>
  <c r="J49" i="6"/>
  <c r="C97" i="5"/>
  <c r="AC85" i="5"/>
  <c r="W85" i="6"/>
  <c r="AL40" i="5"/>
  <c r="J10" i="6"/>
  <c r="E19" i="5"/>
  <c r="X67" i="5"/>
  <c r="U79" i="6"/>
  <c r="AV85" i="6"/>
  <c r="T31" i="5"/>
  <c r="J22" i="6"/>
  <c r="AT52" i="5"/>
  <c r="AV76" i="5"/>
  <c r="AW58" i="5"/>
  <c r="T52" i="5"/>
  <c r="C16" i="6"/>
  <c r="H7" i="5"/>
  <c r="U28" i="6"/>
  <c r="AG67" i="5"/>
  <c r="AY34" i="5"/>
  <c r="AT43" i="5"/>
  <c r="L37" i="5"/>
  <c r="AD94" i="5"/>
  <c r="AS52" i="5"/>
  <c r="AP85" i="6"/>
  <c r="V46" i="5"/>
  <c r="AX91" i="6"/>
  <c r="AN58" i="6"/>
  <c r="AH55" i="6"/>
  <c r="AD61" i="6"/>
  <c r="E52" i="5"/>
  <c r="N85" i="6"/>
  <c r="F85" i="6"/>
  <c r="K73" i="5"/>
  <c r="C70" i="6"/>
  <c r="AW4" i="5"/>
  <c r="X10" i="5"/>
  <c r="AC82" i="6"/>
  <c r="AI37" i="5"/>
  <c r="AL28" i="6"/>
  <c r="U82" i="5"/>
  <c r="AE82" i="5"/>
  <c r="AD67" i="6"/>
  <c r="J46" i="6"/>
  <c r="AO58" i="5"/>
  <c r="Z73" i="5"/>
  <c r="AZ16" i="6"/>
  <c r="H31" i="6"/>
  <c r="P16" i="6"/>
  <c r="AI10" i="6"/>
  <c r="S73" i="6"/>
  <c r="C25" i="6"/>
  <c r="Y34" i="5"/>
  <c r="F55" i="5"/>
  <c r="X40" i="5"/>
  <c r="AA88" i="5"/>
  <c r="X55" i="5"/>
  <c r="N43" i="6"/>
  <c r="AJ79" i="6"/>
  <c r="R94" i="5"/>
  <c r="AN94" i="6"/>
  <c r="G7" i="5"/>
  <c r="H97" i="6"/>
  <c r="Q73" i="5"/>
  <c r="R43" i="5"/>
  <c r="AY52" i="5"/>
  <c r="AH4" i="5"/>
  <c r="AP46" i="5"/>
  <c r="E46" i="5"/>
  <c r="AK10" i="5"/>
  <c r="AE25" i="5"/>
  <c r="AE10" i="6"/>
  <c r="Y70" i="6"/>
  <c r="L10" i="5"/>
  <c r="N31" i="5"/>
  <c r="Y49" i="5"/>
  <c r="AK4" i="5"/>
  <c r="AE55" i="5"/>
  <c r="I76" i="6"/>
  <c r="Y94" i="5"/>
  <c r="AH73" i="5"/>
  <c r="AM67" i="5"/>
  <c r="AB58" i="6"/>
  <c r="AA31" i="5"/>
  <c r="AS10" i="6"/>
  <c r="Z28" i="5"/>
  <c r="F88" i="5"/>
  <c r="C16" i="5"/>
  <c r="N64" i="5"/>
  <c r="AF25" i="6"/>
  <c r="Z82" i="5"/>
  <c r="S25" i="6"/>
  <c r="AX10" i="6"/>
  <c r="AR28" i="6"/>
  <c r="AU16" i="5"/>
  <c r="H46" i="5"/>
  <c r="AS37" i="6"/>
  <c r="X91" i="6"/>
  <c r="X46" i="5"/>
  <c r="AJ82" i="6"/>
  <c r="AU82" i="5"/>
  <c r="AO40" i="6"/>
  <c r="K46" i="5"/>
  <c r="E64" i="5"/>
  <c r="AS70" i="6"/>
  <c r="I46" i="5"/>
  <c r="AI97" i="6"/>
  <c r="V61" i="5"/>
  <c r="AD19" i="6"/>
  <c r="S91" i="5"/>
  <c r="L34" i="6"/>
  <c r="V67" i="5"/>
  <c r="AW64" i="5"/>
  <c r="C76" i="6"/>
  <c r="Y28" i="5"/>
  <c r="R19" i="5"/>
  <c r="AN91" i="6"/>
  <c r="S43" i="6"/>
  <c r="C85" i="5"/>
  <c r="E76" i="5"/>
  <c r="O43" i="5"/>
  <c r="Y10" i="6"/>
  <c r="AH34" i="6"/>
  <c r="AO49" i="6"/>
  <c r="J91" i="5"/>
  <c r="AL13" i="6"/>
  <c r="AE10" i="5"/>
  <c r="K40" i="5"/>
  <c r="AN46" i="6"/>
  <c r="J13" i="5"/>
  <c r="AI34" i="5"/>
  <c r="P34" i="5"/>
  <c r="AA22" i="6"/>
  <c r="S97" i="6"/>
  <c r="AH67" i="6"/>
  <c r="L82" i="6"/>
  <c r="AN85" i="5"/>
  <c r="M82" i="6"/>
  <c r="C19" i="5"/>
  <c r="AJ4" i="5"/>
  <c r="R16" i="6"/>
  <c r="AB64" i="5"/>
  <c r="U91" i="5"/>
  <c r="K94" i="5"/>
  <c r="O85" i="5"/>
  <c r="AZ37" i="6"/>
  <c r="AR55" i="6"/>
  <c r="P4" i="5"/>
  <c r="N28" i="6"/>
  <c r="R43" i="6"/>
  <c r="AL97" i="6"/>
  <c r="J31" i="5"/>
  <c r="Z46" i="6"/>
  <c r="AA82" i="6"/>
  <c r="X10" i="6"/>
  <c r="AT73" i="5"/>
  <c r="F61" i="5"/>
  <c r="P46" i="5"/>
  <c r="AE70" i="5"/>
  <c r="R67" i="5"/>
  <c r="AT88" i="6"/>
  <c r="U58" i="5"/>
  <c r="AV61" i="5"/>
  <c r="AQ10" i="5"/>
  <c r="AX7" i="5"/>
  <c r="R40" i="5"/>
  <c r="AC49" i="6"/>
  <c r="AD46" i="6"/>
  <c r="H55" i="5"/>
  <c r="AI58" i="6"/>
  <c r="AN4" i="5"/>
  <c r="AA97" i="6"/>
  <c r="I76" i="5"/>
  <c r="AD37" i="5"/>
  <c r="H61" i="6"/>
  <c r="N16" i="5"/>
  <c r="AJ28" i="5"/>
  <c r="S46" i="6"/>
  <c r="AG37" i="5"/>
  <c r="F73" i="6"/>
  <c r="AZ4" i="6"/>
  <c r="J64" i="5"/>
  <c r="X28" i="6"/>
  <c r="AU46" i="6"/>
  <c r="I43" i="5"/>
  <c r="AW49" i="5"/>
  <c r="AF85" i="6"/>
  <c r="U70" i="5"/>
  <c r="AV34" i="5"/>
  <c r="AA7" i="5"/>
  <c r="S76" i="6"/>
  <c r="AU79" i="5"/>
  <c r="AJ97" i="5"/>
  <c r="AX19" i="6"/>
  <c r="AX16" i="5"/>
  <c r="N91" i="5"/>
  <c r="AG40" i="5"/>
  <c r="S76" i="5"/>
  <c r="Z19" i="6"/>
  <c r="W7" i="6"/>
  <c r="AY70" i="6"/>
  <c r="J13" i="6"/>
  <c r="V49" i="6"/>
  <c r="AI58" i="5"/>
  <c r="AK34" i="6"/>
  <c r="AO37" i="5"/>
  <c r="AE7" i="5"/>
  <c r="AO19" i="6"/>
  <c r="AS10" i="5"/>
  <c r="R7" i="5"/>
  <c r="Q4" i="5"/>
  <c r="T37" i="6"/>
  <c r="AL46" i="5"/>
  <c r="K58" i="6"/>
  <c r="V64" i="5"/>
  <c r="AG43" i="5"/>
  <c r="AM82" i="6"/>
  <c r="L46" i="5"/>
  <c r="AZ22" i="5"/>
  <c r="AJ34" i="6"/>
  <c r="X61" i="5"/>
  <c r="AN58" i="5"/>
  <c r="AQ40" i="6"/>
  <c r="AQ40" i="5"/>
  <c r="Y82" i="5"/>
  <c r="AR7" i="5"/>
  <c r="S31" i="6"/>
  <c r="F52" i="6"/>
  <c r="AB61" i="5"/>
  <c r="AY64" i="6"/>
  <c r="R55" i="5"/>
  <c r="AQ94" i="6"/>
  <c r="F46" i="5"/>
  <c r="Q22" i="5"/>
  <c r="AC16" i="5"/>
  <c r="H82" i="5"/>
  <c r="AN70" i="5"/>
  <c r="K61" i="5"/>
  <c r="AL73" i="6"/>
  <c r="Z22" i="6"/>
  <c r="AF46" i="5"/>
  <c r="I58" i="6"/>
  <c r="Q88" i="5"/>
  <c r="AV28" i="5"/>
  <c r="P52" i="5"/>
  <c r="Q94" i="5"/>
  <c r="AT82" i="5"/>
  <c r="AY43" i="6"/>
  <c r="W94" i="6"/>
  <c r="AS52" i="6"/>
  <c r="J34" i="5"/>
  <c r="AP16" i="5"/>
  <c r="AM7" i="6"/>
  <c r="AR13" i="6"/>
  <c r="I82" i="6"/>
  <c r="AO55" i="6"/>
  <c r="AQ76" i="6"/>
  <c r="K43" i="6"/>
  <c r="AN46" i="5"/>
  <c r="E13" i="5"/>
  <c r="Q19" i="5"/>
  <c r="Q34" i="6"/>
  <c r="AY76" i="5"/>
  <c r="P58" i="5"/>
  <c r="AC94" i="6"/>
  <c r="V49" i="5"/>
  <c r="AJ85" i="5"/>
  <c r="G28" i="6"/>
  <c r="U19" i="6"/>
  <c r="W25" i="6"/>
  <c r="AH82" i="5"/>
  <c r="Z7" i="6"/>
  <c r="M79" i="5"/>
  <c r="F79" i="5"/>
  <c r="J82" i="5"/>
  <c r="Y25" i="5"/>
  <c r="AS40" i="6"/>
  <c r="AB67" i="6"/>
  <c r="AT46" i="6"/>
  <c r="AB37" i="5"/>
  <c r="AZ25" i="6"/>
  <c r="AP4" i="5"/>
  <c r="AU76" i="6"/>
  <c r="AA94" i="5"/>
  <c r="AO94" i="5"/>
  <c r="AJ19" i="5"/>
  <c r="Q7" i="5"/>
  <c r="S19" i="5"/>
  <c r="AE88" i="6"/>
  <c r="Z16" i="6"/>
  <c r="AC70" i="6"/>
  <c r="AP91" i="5"/>
  <c r="AB85" i="5"/>
  <c r="V28" i="5"/>
  <c r="AP19" i="6"/>
  <c r="R22" i="5"/>
  <c r="I49" i="6"/>
  <c r="AZ19" i="6"/>
  <c r="AO46" i="5"/>
  <c r="AP16" i="6"/>
  <c r="G40" i="5"/>
  <c r="AA70" i="6"/>
  <c r="X49" i="5"/>
  <c r="H37" i="5"/>
  <c r="AJ70" i="5"/>
  <c r="K40" i="6"/>
  <c r="F16" i="6"/>
  <c r="AT79" i="5"/>
  <c r="AI73" i="5"/>
  <c r="U46" i="6"/>
  <c r="V85" i="6"/>
  <c r="AD22" i="5"/>
  <c r="C40" i="5"/>
  <c r="O4" i="5"/>
  <c r="AD46" i="5"/>
  <c r="AF49" i="5"/>
  <c r="AN88" i="5"/>
  <c r="AN13" i="5"/>
  <c r="V91" i="6"/>
  <c r="K97" i="5"/>
  <c r="AW31" i="5"/>
  <c r="AA91" i="5"/>
  <c r="AH67" i="5"/>
  <c r="M67" i="5"/>
  <c r="F55" i="6"/>
  <c r="Q52" i="5"/>
  <c r="AM40" i="6"/>
  <c r="H76" i="5"/>
  <c r="O19" i="6"/>
  <c r="AY61" i="6"/>
  <c r="X4" i="5"/>
  <c r="Y52" i="5"/>
  <c r="E91" i="6"/>
  <c r="AV28" i="6"/>
  <c r="N22" i="6"/>
  <c r="F37" i="5"/>
  <c r="V34" i="6"/>
  <c r="Z97" i="6"/>
  <c r="O88" i="6"/>
  <c r="X13" i="5"/>
  <c r="S7" i="6"/>
  <c r="Z34" i="6"/>
  <c r="AZ16" i="5"/>
  <c r="J40" i="5"/>
  <c r="AY85" i="5"/>
  <c r="AA16" i="6"/>
  <c r="E79" i="5"/>
  <c r="AK46" i="6"/>
  <c r="AQ58" i="6"/>
  <c r="G46" i="6"/>
  <c r="V22" i="5"/>
  <c r="AI16" i="6"/>
  <c r="AM34" i="6"/>
  <c r="K7" i="5"/>
  <c r="I52" i="5"/>
  <c r="AC10" i="5"/>
  <c r="AJ70" i="6"/>
  <c r="G94" i="6"/>
  <c r="S82" i="6"/>
  <c r="G52" i="5"/>
  <c r="O37" i="6"/>
  <c r="G88" i="6"/>
  <c r="H52" i="6"/>
  <c r="I64" i="6"/>
  <c r="N10" i="6"/>
  <c r="AA76" i="6"/>
  <c r="M82" i="5"/>
  <c r="Z61" i="5"/>
  <c r="U64" i="5"/>
  <c r="F76" i="6"/>
  <c r="P52" i="6"/>
  <c r="AJ34" i="5"/>
  <c r="AH91" i="5"/>
  <c r="S31" i="5"/>
  <c r="Z40" i="6"/>
  <c r="AP25" i="5"/>
  <c r="AB7" i="6"/>
  <c r="AU40" i="6"/>
  <c r="AD91" i="5"/>
  <c r="AZ64" i="5"/>
  <c r="AD85" i="6"/>
  <c r="Y40" i="6"/>
  <c r="P4" i="6"/>
  <c r="AF49" i="6"/>
  <c r="G16" i="6"/>
  <c r="AS94" i="5"/>
  <c r="AX10" i="5"/>
  <c r="F76" i="5"/>
  <c r="AU97" i="5"/>
  <c r="AZ13" i="5"/>
  <c r="AE7" i="6"/>
  <c r="L97" i="6"/>
  <c r="R67" i="6"/>
  <c r="W49" i="5"/>
  <c r="AC7" i="5"/>
  <c r="Q79" i="6"/>
  <c r="C55" i="5"/>
  <c r="AU22" i="6"/>
  <c r="AB34" i="5"/>
  <c r="T49" i="5"/>
  <c r="H25" i="5"/>
  <c r="O10" i="6"/>
  <c r="AY43" i="5"/>
  <c r="AR7" i="6"/>
  <c r="AA43" i="5"/>
  <c r="AF91" i="5"/>
  <c r="Z25" i="5"/>
  <c r="L7" i="6"/>
  <c r="Y79" i="6"/>
  <c r="AN31" i="5"/>
  <c r="AC28" i="6"/>
  <c r="AB43" i="6"/>
  <c r="S52" i="5"/>
  <c r="AJ67" i="6"/>
  <c r="C10" i="5"/>
  <c r="X22" i="5"/>
  <c r="AM55" i="5"/>
  <c r="AJ37" i="5"/>
  <c r="V61" i="6"/>
  <c r="AT49" i="5"/>
  <c r="AW58" i="6"/>
  <c r="W64" i="5"/>
  <c r="Y70" i="5"/>
  <c r="AR22" i="5"/>
  <c r="F43" i="5"/>
  <c r="W31" i="6"/>
  <c r="V58" i="5"/>
  <c r="C73" i="6"/>
  <c r="Y91" i="6"/>
  <c r="AK19" i="6"/>
  <c r="I31" i="6"/>
  <c r="AS88" i="5"/>
  <c r="Q31" i="5"/>
  <c r="P49" i="6"/>
  <c r="W88" i="5"/>
  <c r="F13" i="5"/>
  <c r="AO70" i="6"/>
  <c r="O28" i="5"/>
  <c r="F58" i="5"/>
  <c r="AO7" i="6"/>
  <c r="X79" i="6"/>
  <c r="K10" i="6"/>
  <c r="AZ28" i="5"/>
  <c r="E94" i="5"/>
  <c r="C10" i="6"/>
  <c r="AO31" i="5"/>
  <c r="AU70" i="5"/>
  <c r="P37" i="5"/>
  <c r="Y79" i="5"/>
  <c r="AO76" i="5"/>
  <c r="AU64" i="6"/>
  <c r="AM58" i="6"/>
  <c r="C85" i="6"/>
  <c r="L52" i="6"/>
  <c r="AZ49" i="6"/>
  <c r="I88" i="5"/>
  <c r="AP31" i="5"/>
  <c r="AM88" i="5"/>
  <c r="AA73" i="5"/>
  <c r="U19" i="5"/>
  <c r="AE73" i="6"/>
  <c r="L94" i="5"/>
  <c r="G10" i="5"/>
  <c r="AJ43" i="6"/>
  <c r="AO82" i="6"/>
  <c r="AT85" i="6"/>
  <c r="AG10" i="6"/>
  <c r="AL55" i="6"/>
  <c r="P10" i="5"/>
  <c r="H79" i="5"/>
  <c r="AL88" i="6"/>
  <c r="V79" i="6"/>
  <c r="N82" i="5"/>
  <c r="L52" i="5"/>
  <c r="AG28" i="5"/>
  <c r="AA4" i="6"/>
  <c r="AF34" i="6"/>
  <c r="AL19" i="6"/>
  <c r="E40" i="5"/>
  <c r="AT28" i="5"/>
  <c r="AA58" i="6"/>
  <c r="AA37" i="6"/>
  <c r="Y7" i="5"/>
  <c r="U73" i="5"/>
  <c r="AJ31" i="5"/>
  <c r="H13" i="6"/>
  <c r="AP34" i="6"/>
  <c r="AC91" i="5"/>
  <c r="X46" i="6"/>
  <c r="AG22" i="6"/>
  <c r="Z49" i="5"/>
  <c r="AZ73" i="6"/>
  <c r="W79" i="5"/>
  <c r="R79" i="6"/>
  <c r="Z37" i="5"/>
  <c r="E37" i="5"/>
  <c r="AK88" i="6"/>
  <c r="AV82" i="6"/>
  <c r="U82" i="6"/>
  <c r="AE37" i="6"/>
  <c r="X55" i="6"/>
  <c r="S7" i="5"/>
  <c r="E55" i="5"/>
  <c r="AX61" i="5"/>
  <c r="Y91" i="5"/>
  <c r="U70" i="6"/>
  <c r="AY64" i="5"/>
  <c r="G67" i="5"/>
  <c r="M70" i="6"/>
  <c r="C94" i="5"/>
  <c r="R10" i="6"/>
  <c r="C37" i="5"/>
  <c r="AT10" i="6"/>
  <c r="M79" i="6"/>
  <c r="AY55" i="5"/>
  <c r="AP31" i="6"/>
  <c r="AX58" i="5"/>
  <c r="AH19" i="5"/>
  <c r="AD64" i="5"/>
  <c r="O67" i="5"/>
  <c r="AX76" i="6"/>
  <c r="C28" i="6"/>
  <c r="Q25" i="5"/>
  <c r="AU55" i="5"/>
  <c r="AH49" i="5"/>
  <c r="U43" i="5"/>
  <c r="Q37" i="5"/>
  <c r="AQ88" i="5"/>
  <c r="N22" i="5"/>
  <c r="AI94" i="6"/>
  <c r="AS34" i="5"/>
  <c r="I25" i="6"/>
  <c r="G16" i="5"/>
  <c r="AP94" i="5"/>
  <c r="AH13" i="6"/>
  <c r="Z55" i="5"/>
  <c r="AB37" i="6"/>
  <c r="W67" i="5"/>
  <c r="AG82" i="5"/>
  <c r="X76" i="5"/>
  <c r="T82" i="6"/>
  <c r="AB43" i="5"/>
  <c r="V37" i="5"/>
  <c r="Q70" i="5"/>
  <c r="AR13" i="5"/>
  <c r="Q88" i="6"/>
  <c r="AI34" i="6"/>
  <c r="AW76" i="6"/>
  <c r="AZ85" i="6"/>
  <c r="G73" i="6"/>
  <c r="AF76" i="5"/>
  <c r="AW4" i="6"/>
  <c r="AW25" i="6"/>
  <c r="AZ13" i="6"/>
  <c r="AB19" i="5"/>
  <c r="AM31" i="5"/>
  <c r="AV7" i="5"/>
  <c r="AU19" i="6"/>
  <c r="AR28" i="5"/>
  <c r="AU85" i="5"/>
  <c r="J91" i="6"/>
  <c r="Y97" i="5"/>
  <c r="AU31" i="6"/>
  <c r="U22" i="5"/>
  <c r="M37" i="5"/>
  <c r="R79" i="5"/>
  <c r="AR91" i="6"/>
  <c r="AY49" i="5"/>
  <c r="AP67" i="5"/>
  <c r="AJ16" i="5"/>
  <c r="F97" i="6"/>
  <c r="W10" i="6"/>
  <c r="C76" i="5"/>
  <c r="AH31" i="6"/>
  <c r="AZ97" i="6"/>
  <c r="R88" i="5"/>
  <c r="AH91" i="6"/>
  <c r="AA10" i="5"/>
  <c r="Z79" i="6"/>
  <c r="G58" i="5"/>
  <c r="T52" i="6"/>
  <c r="V88" i="6"/>
  <c r="E49" i="5"/>
  <c r="V67" i="6"/>
  <c r="C82" i="5"/>
  <c r="AY61" i="5"/>
  <c r="AZ22" i="6"/>
  <c r="AP52" i="5"/>
  <c r="U22" i="6"/>
  <c r="AL19" i="5"/>
  <c r="AM10" i="5"/>
  <c r="P67" i="5"/>
  <c r="AF55" i="6"/>
  <c r="AF94" i="5"/>
  <c r="AE70" i="6"/>
  <c r="I49" i="5"/>
  <c r="AH43" i="5"/>
  <c r="X88" i="5"/>
  <c r="F49" i="5"/>
  <c r="Z13" i="5"/>
  <c r="W13" i="6"/>
  <c r="U28" i="5"/>
  <c r="P22" i="6"/>
  <c r="AM70" i="6"/>
  <c r="AJ94" i="5"/>
  <c r="AW70" i="5"/>
  <c r="T22" i="6"/>
  <c r="AS91" i="5"/>
  <c r="AT37" i="6"/>
  <c r="AA46" i="6"/>
  <c r="AK85" i="5"/>
  <c r="AR16" i="5"/>
  <c r="W70" i="6"/>
  <c r="AV52" i="6"/>
  <c r="AT43" i="6"/>
  <c r="I34" i="5"/>
  <c r="H70" i="6"/>
  <c r="AB22" i="6"/>
  <c r="AC37" i="6"/>
  <c r="N19" i="5"/>
  <c r="AO34" i="6"/>
  <c r="U40" i="6"/>
  <c r="AH34" i="5"/>
  <c r="AW40" i="5"/>
  <c r="N4" i="6"/>
  <c r="I16" i="6"/>
  <c r="AY25" i="5"/>
  <c r="AG34" i="6"/>
  <c r="AV79" i="5"/>
  <c r="AL16" i="5"/>
  <c r="AF13" i="5"/>
  <c r="V31" i="6"/>
  <c r="E88" i="5"/>
  <c r="E55" i="6"/>
  <c r="AW82" i="5"/>
  <c r="V73" i="6"/>
  <c r="AM61" i="6"/>
  <c r="AW52" i="5"/>
  <c r="AT34" i="6"/>
  <c r="C28" i="5"/>
  <c r="G25" i="6"/>
  <c r="AW88" i="5"/>
  <c r="S37" i="6"/>
  <c r="AL64" i="6"/>
  <c r="H55" i="6"/>
  <c r="AV4" i="5"/>
  <c r="L13" i="6"/>
  <c r="AW40" i="6"/>
  <c r="AM94" i="5"/>
  <c r="C43" i="5"/>
  <c r="AK67" i="6"/>
  <c r="AD40" i="6"/>
  <c r="AO22" i="5"/>
  <c r="AN7" i="6"/>
  <c r="AC31" i="6"/>
  <c r="AT34" i="5"/>
  <c r="V73" i="5"/>
  <c r="R73" i="5"/>
  <c r="AJ82" i="5"/>
  <c r="N73" i="6"/>
  <c r="M94" i="6"/>
  <c r="AC34" i="6"/>
  <c r="R13" i="6"/>
  <c r="F85" i="5"/>
  <c r="R76" i="6"/>
  <c r="AG97" i="5"/>
  <c r="AE43" i="6"/>
  <c r="I79" i="5"/>
  <c r="X43" i="5"/>
  <c r="AL43" i="6"/>
  <c r="AQ16" i="5"/>
  <c r="AB82" i="5"/>
  <c r="AR97" i="6"/>
  <c r="Y13" i="6"/>
  <c r="R4" i="6"/>
  <c r="AX43" i="6"/>
  <c r="W22" i="5"/>
  <c r="F79" i="6"/>
  <c r="AG4" i="6"/>
  <c r="AQ4" i="6"/>
  <c r="AF10" i="6"/>
  <c r="C88" i="5"/>
  <c r="Q91" i="5"/>
  <c r="AV82" i="5"/>
  <c r="G64" i="5"/>
  <c r="AA46" i="5"/>
  <c r="Q40" i="6"/>
  <c r="V25" i="6"/>
  <c r="AF79" i="5"/>
  <c r="AX49" i="5"/>
  <c r="V40" i="5"/>
  <c r="L61" i="5"/>
  <c r="G76" i="6"/>
  <c r="AO10" i="6"/>
  <c r="AK16" i="5"/>
  <c r="AB52" i="6"/>
  <c r="P40" i="5"/>
  <c r="G70" i="6"/>
  <c r="AR10" i="5"/>
  <c r="C91" i="5"/>
  <c r="AI43" i="6"/>
  <c r="Y46" i="6"/>
  <c r="AG52" i="6"/>
  <c r="K28" i="5"/>
  <c r="C46" i="6"/>
  <c r="AU10" i="5"/>
  <c r="Q16" i="5"/>
  <c r="AE85" i="6"/>
  <c r="AE13" i="5"/>
  <c r="AT97" i="6"/>
  <c r="AK82" i="5"/>
  <c r="Z10" i="5"/>
  <c r="AO49" i="5"/>
  <c r="AO43" i="5"/>
  <c r="AU58" i="6"/>
  <c r="AS64" i="5"/>
  <c r="AD40" i="5"/>
  <c r="AC88" i="5"/>
  <c r="L16" i="5"/>
  <c r="R49" i="5"/>
  <c r="AP40" i="5"/>
  <c r="X37" i="6"/>
  <c r="AU34" i="5"/>
  <c r="AO43" i="6"/>
  <c r="AS79" i="6"/>
  <c r="AP37" i="5"/>
  <c r="O64" i="6"/>
  <c r="AS16" i="5"/>
  <c r="U91" i="6"/>
  <c r="E10" i="6"/>
  <c r="S34" i="6"/>
  <c r="AT25" i="5"/>
  <c r="AW79" i="5"/>
  <c r="AB55" i="6"/>
  <c r="AV91" i="6"/>
  <c r="AE19" i="6"/>
  <c r="AU85" i="6"/>
  <c r="AZ58" i="5"/>
  <c r="AV88" i="5"/>
  <c r="AL67" i="6"/>
  <c r="Q13" i="6"/>
  <c r="AG64" i="6"/>
  <c r="H28" i="6"/>
  <c r="AD31" i="5"/>
  <c r="X97" i="6"/>
  <c r="AZ67" i="5"/>
  <c r="AX4" i="5"/>
  <c r="AE85" i="5"/>
  <c r="AK52" i="6"/>
  <c r="AQ52" i="6"/>
  <c r="U88" i="6"/>
  <c r="AM22" i="5"/>
  <c r="AU4" i="6"/>
  <c r="N52" i="5"/>
  <c r="I61" i="5"/>
  <c r="AO67" i="6"/>
  <c r="Y19" i="5"/>
  <c r="AJ58" i="5"/>
  <c r="V16" i="5"/>
  <c r="M91" i="5"/>
  <c r="I73" i="5"/>
  <c r="AA7" i="6"/>
  <c r="Y88" i="6"/>
  <c r="K19" i="6"/>
  <c r="F64" i="6"/>
  <c r="AP79" i="5"/>
  <c r="L43" i="5"/>
  <c r="AL10" i="6"/>
  <c r="Y64" i="5"/>
  <c r="AK43" i="5"/>
  <c r="Y4" i="6"/>
  <c r="AF28" i="6"/>
  <c r="N7" i="5"/>
  <c r="AW16" i="5"/>
  <c r="AB28" i="5"/>
  <c r="H40" i="5"/>
  <c r="K49" i="6"/>
  <c r="L16" i="6"/>
  <c r="L46" i="6"/>
  <c r="O64" i="5"/>
  <c r="AN82" i="6"/>
  <c r="AL61" i="5"/>
  <c r="AR25" i="5"/>
  <c r="V40" i="6"/>
  <c r="AB40" i="6"/>
  <c r="AF70" i="6"/>
  <c r="E22" i="6"/>
  <c r="AJ40" i="6"/>
  <c r="AS55" i="6"/>
  <c r="H94" i="6"/>
  <c r="AF97" i="6"/>
  <c r="Y82" i="6"/>
  <c r="AU43" i="5"/>
  <c r="K91" i="5"/>
  <c r="S28" i="5"/>
  <c r="AV97" i="5"/>
  <c r="AL10" i="5"/>
  <c r="AW28" i="6"/>
  <c r="W91" i="5"/>
  <c r="O58" i="6"/>
  <c r="AX91" i="5"/>
  <c r="Y67" i="5"/>
  <c r="AE91" i="5"/>
  <c r="Y25" i="6"/>
  <c r="K16" i="5"/>
  <c r="T4" i="5"/>
  <c r="AU76" i="5"/>
  <c r="AQ31" i="6"/>
  <c r="AU28" i="6"/>
  <c r="O52" i="5"/>
  <c r="AF55" i="5"/>
  <c r="AU28" i="5"/>
  <c r="AI49" i="5"/>
  <c r="Z4" i="5"/>
  <c r="S61" i="6"/>
  <c r="J85" i="6"/>
  <c r="AM64" i="6"/>
  <c r="AF7" i="6"/>
  <c r="J67" i="6"/>
  <c r="H79" i="6"/>
  <c r="AX64" i="5"/>
  <c r="O88" i="5"/>
  <c r="L61" i="6"/>
  <c r="I82" i="5"/>
  <c r="AV16" i="5"/>
  <c r="AJ49" i="6"/>
  <c r="G91" i="5"/>
  <c r="U97" i="5"/>
  <c r="AG58" i="6"/>
  <c r="Q43" i="5"/>
  <c r="AJ28" i="6"/>
  <c r="G19" i="5"/>
  <c r="AV31" i="5"/>
  <c r="G43" i="5"/>
  <c r="F70" i="5"/>
  <c r="AI13" i="5"/>
  <c r="AH79" i="6"/>
  <c r="AB49" i="5"/>
  <c r="N79" i="6"/>
  <c r="AL28" i="5"/>
  <c r="I52" i="6"/>
  <c r="N97" i="5"/>
  <c r="AN79" i="5"/>
  <c r="AH70" i="5"/>
  <c r="AI61" i="6"/>
  <c r="AD7" i="6"/>
  <c r="AF16" i="6"/>
  <c r="X64" i="5"/>
  <c r="R13" i="5"/>
  <c r="R76" i="5"/>
  <c r="R85" i="6"/>
  <c r="R55" i="6"/>
  <c r="M10" i="5"/>
  <c r="AJ43" i="5"/>
  <c r="P70" i="6"/>
  <c r="AK55" i="5"/>
  <c r="AA97" i="5"/>
  <c r="AZ43" i="6"/>
  <c r="AH85" i="5"/>
  <c r="Q79" i="5"/>
  <c r="R49" i="6"/>
  <c r="W49" i="6"/>
  <c r="AQ82" i="6"/>
  <c r="AT64" i="6"/>
  <c r="AI76" i="5"/>
  <c r="AU43" i="6"/>
  <c r="N55" i="6"/>
  <c r="E82" i="5"/>
  <c r="AK10" i="6"/>
  <c r="AG73" i="5"/>
  <c r="L22" i="5"/>
  <c r="AL85" i="5"/>
  <c r="AH94" i="5"/>
  <c r="AD28" i="5"/>
  <c r="AV58" i="5"/>
  <c r="Y88" i="5"/>
  <c r="AT64" i="5"/>
  <c r="N49" i="5"/>
  <c r="AF97" i="5"/>
  <c r="AL85" i="6"/>
  <c r="L31" i="6"/>
  <c r="X31" i="5"/>
  <c r="AP61" i="6"/>
  <c r="AL7" i="6"/>
  <c r="AJ46" i="5"/>
  <c r="AS7" i="6"/>
  <c r="AR49" i="5"/>
  <c r="T79" i="6"/>
  <c r="AZ7" i="6"/>
  <c r="R70" i="5"/>
  <c r="P7" i="6"/>
  <c r="AF37" i="5"/>
  <c r="E58" i="6"/>
  <c r="K58" i="5"/>
  <c r="Z52" i="6"/>
  <c r="AG76" i="5"/>
  <c r="AQ37" i="6"/>
  <c r="AQ61" i="6"/>
  <c r="AS28" i="6"/>
  <c r="V91" i="5"/>
  <c r="AV52" i="5"/>
  <c r="AG85" i="5"/>
  <c r="U13" i="5"/>
  <c r="AC58" i="5"/>
  <c r="L25" i="5"/>
  <c r="AJ85" i="6"/>
  <c r="AL37" i="6"/>
  <c r="V16" i="6"/>
  <c r="U67" i="5"/>
  <c r="AQ43" i="6"/>
  <c r="AK79" i="5"/>
  <c r="T16" i="5"/>
  <c r="AK67" i="5"/>
  <c r="L73" i="6"/>
  <c r="AA34" i="6"/>
  <c r="AH40" i="6"/>
  <c r="AH88" i="6"/>
  <c r="AY88" i="5"/>
  <c r="AX31" i="5"/>
  <c r="AN37" i="5"/>
  <c r="AJ52" i="6"/>
  <c r="V4" i="5"/>
  <c r="AD34" i="5"/>
  <c r="AO22" i="6"/>
  <c r="K43" i="5"/>
  <c r="T28" i="6"/>
  <c r="G70" i="5"/>
  <c r="AH76" i="6"/>
  <c r="X34" i="5"/>
  <c r="Y28" i="6"/>
  <c r="AI67" i="5"/>
  <c r="AB97" i="5"/>
  <c r="J43" i="6"/>
  <c r="F88" i="6"/>
  <c r="W31" i="5"/>
  <c r="AJ97" i="6"/>
  <c r="T37" i="5"/>
  <c r="N94" i="5"/>
  <c r="F91" i="5"/>
  <c r="Q7" i="6"/>
  <c r="I46" i="6"/>
  <c r="AT76" i="6"/>
  <c r="AP43" i="5"/>
  <c r="J88" i="5"/>
  <c r="AG88" i="6"/>
  <c r="C7" i="5"/>
  <c r="AP4" i="6"/>
  <c r="AV49" i="5"/>
  <c r="AQ16" i="6"/>
  <c r="AL52" i="5"/>
  <c r="AF7" i="5"/>
  <c r="F31" i="5"/>
  <c r="N13" i="6"/>
  <c r="AY85" i="6"/>
  <c r="AQ19" i="5"/>
  <c r="F34" i="6"/>
  <c r="P25" i="6"/>
  <c r="AA73" i="6"/>
  <c r="I91" i="5"/>
  <c r="AM76" i="5"/>
  <c r="AA88" i="6"/>
  <c r="S70" i="6"/>
  <c r="C4" i="6"/>
  <c r="R52" i="6"/>
  <c r="O7" i="5"/>
  <c r="AW67" i="6"/>
  <c r="M64" i="6"/>
  <c r="AD88" i="5"/>
  <c r="C49" i="5"/>
  <c r="O91" i="5"/>
  <c r="H52" i="5"/>
  <c r="L79" i="5"/>
  <c r="AT61" i="5"/>
  <c r="AE40" i="6"/>
  <c r="M19" i="5"/>
  <c r="AZ79" i="5"/>
  <c r="Z64" i="6"/>
  <c r="AY28" i="6"/>
  <c r="AO91" i="6"/>
  <c r="Q67" i="6"/>
  <c r="AV55" i="6"/>
  <c r="W82" i="5"/>
  <c r="N58" i="5"/>
  <c r="AG67" i="6"/>
  <c r="AS7" i="5"/>
  <c r="P58" i="6"/>
  <c r="AZ10" i="6"/>
  <c r="AQ34" i="6"/>
  <c r="AF16" i="5"/>
  <c r="C13" i="5"/>
  <c r="J61" i="6"/>
  <c r="AL61" i="6"/>
  <c r="Q55" i="5"/>
  <c r="Z61" i="6"/>
  <c r="AU94" i="6"/>
  <c r="C64" i="6"/>
  <c r="AN10" i="5"/>
  <c r="G73" i="5"/>
  <c r="AU13" i="5"/>
  <c r="AX43" i="5"/>
  <c r="AO79" i="6"/>
  <c r="AH10" i="5"/>
  <c r="AH7" i="5"/>
  <c r="I4" i="5"/>
  <c r="J37" i="5"/>
  <c r="G37" i="5"/>
  <c r="U34" i="6"/>
  <c r="U64" i="6"/>
  <c r="Z16" i="5"/>
  <c r="V28" i="6"/>
  <c r="T91" i="6"/>
  <c r="L88" i="5"/>
  <c r="AF46" i="6"/>
  <c r="AW64" i="6"/>
  <c r="M43" i="6"/>
  <c r="H85" i="6"/>
  <c r="AZ55" i="5"/>
  <c r="W16" i="6"/>
  <c r="AX73" i="6"/>
  <c r="U31" i="6"/>
  <c r="M25" i="6"/>
  <c r="AV46" i="5"/>
  <c r="AE97" i="6"/>
  <c r="Q58" i="5"/>
  <c r="C58" i="6"/>
  <c r="S49" i="6"/>
  <c r="AD31" i="6"/>
  <c r="AB16" i="6"/>
  <c r="N67" i="6"/>
  <c r="I40" i="6"/>
  <c r="J28" i="5"/>
  <c r="Z91" i="6"/>
  <c r="AI49" i="6"/>
  <c r="AH61" i="5"/>
  <c r="AL73" i="5"/>
  <c r="N88" i="6"/>
  <c r="Z28" i="6"/>
  <c r="AP37" i="6"/>
  <c r="H10" i="6"/>
  <c r="J7" i="5"/>
  <c r="AY88" i="6"/>
  <c r="H73" i="6"/>
  <c r="X49" i="6"/>
  <c r="AG49" i="6"/>
  <c r="AS4" i="6"/>
  <c r="Q82" i="5"/>
  <c r="W76" i="5"/>
  <c r="J37" i="6"/>
  <c r="AI76" i="6"/>
  <c r="AN28" i="5"/>
  <c r="F7" i="6"/>
  <c r="AK73" i="5"/>
  <c r="AA52" i="6"/>
  <c r="AA10" i="6"/>
  <c r="G31" i="5"/>
  <c r="AS4" i="5"/>
  <c r="J46" i="5"/>
  <c r="X19" i="6"/>
  <c r="AO7" i="5"/>
  <c r="AC55" i="6"/>
  <c r="AE34" i="6"/>
  <c r="AQ58" i="5"/>
  <c r="AD4" i="6"/>
  <c r="AI13" i="6"/>
  <c r="R73" i="6"/>
  <c r="AZ46" i="6"/>
  <c r="M25" i="5"/>
  <c r="AI43" i="5"/>
  <c r="W46" i="5"/>
  <c r="S64" i="6"/>
  <c r="O43" i="6"/>
  <c r="J22" i="5"/>
  <c r="AH37" i="5"/>
  <c r="AR4" i="6"/>
  <c r="AH37" i="6"/>
  <c r="K52" i="6"/>
  <c r="O94" i="5"/>
  <c r="E73" i="5"/>
  <c r="M7" i="6"/>
  <c r="AG61" i="5"/>
  <c r="AV25" i="5"/>
  <c r="AN7" i="5"/>
  <c r="K25" i="5"/>
  <c r="O82" i="5"/>
  <c r="M10" i="6"/>
  <c r="AQ22" i="5"/>
  <c r="K31" i="6"/>
  <c r="Q40" i="5"/>
  <c r="AQ49" i="6"/>
  <c r="AV73" i="6"/>
  <c r="F97" i="5"/>
  <c r="X22" i="6"/>
  <c r="AM91" i="5"/>
  <c r="AZ37" i="5"/>
  <c r="Y37" i="6"/>
  <c r="Y76" i="5"/>
  <c r="Z76" i="6"/>
  <c r="AU31" i="5"/>
  <c r="O73" i="6"/>
  <c r="O61" i="5"/>
  <c r="AQ61" i="5"/>
  <c r="AO64" i="5"/>
  <c r="AV22" i="5"/>
  <c r="AX34" i="5"/>
  <c r="AX97" i="6"/>
  <c r="AT28" i="6"/>
  <c r="AR70" i="5"/>
  <c r="AF79" i="6"/>
  <c r="W19" i="6"/>
  <c r="M40" i="5"/>
  <c r="T64" i="5"/>
  <c r="AG58" i="5"/>
  <c r="X97" i="5"/>
  <c r="Y67" i="6"/>
  <c r="AW19" i="5"/>
  <c r="E16" i="5"/>
  <c r="AH79" i="5"/>
  <c r="AB70" i="5"/>
  <c r="AV94" i="6"/>
  <c r="AV91" i="5"/>
  <c r="AR73" i="6"/>
  <c r="AN67" i="5"/>
  <c r="K76" i="5"/>
  <c r="AM13" i="5"/>
  <c r="AX4" i="6"/>
  <c r="AR40" i="5"/>
  <c r="O76" i="6"/>
  <c r="W10" i="5"/>
  <c r="M31" i="6"/>
  <c r="AY4" i="5"/>
  <c r="AO16" i="6"/>
  <c r="AR82" i="6"/>
  <c r="P43" i="6"/>
  <c r="S40" i="5"/>
  <c r="AO97" i="5"/>
  <c r="K19" i="5"/>
  <c r="AR91" i="5"/>
  <c r="AH13" i="5"/>
  <c r="AY25" i="6"/>
  <c r="AM4" i="5"/>
  <c r="T16" i="6"/>
  <c r="E31" i="5"/>
  <c r="AB46" i="5"/>
  <c r="AR52" i="6"/>
  <c r="AY73" i="5"/>
  <c r="AW13" i="6"/>
  <c r="K16" i="6"/>
  <c r="M58" i="5"/>
  <c r="T25" i="5"/>
  <c r="T82" i="5"/>
  <c r="AX25" i="5"/>
  <c r="AT52" i="6"/>
  <c r="Q46" i="5"/>
  <c r="AT73" i="6"/>
  <c r="AM37" i="5"/>
  <c r="AL40" i="6"/>
  <c r="AR25" i="6"/>
  <c r="AK64" i="6"/>
  <c r="AB94" i="6"/>
  <c r="AD52" i="6"/>
  <c r="AV94" i="5"/>
  <c r="S94" i="5"/>
  <c r="M52" i="5"/>
  <c r="AK58" i="5"/>
  <c r="E7" i="5"/>
  <c r="J40" i="6"/>
  <c r="AP76" i="5"/>
  <c r="H58" i="6"/>
  <c r="Q49" i="6"/>
  <c r="U49" i="5"/>
  <c r="AR31" i="5"/>
  <c r="AR94" i="5"/>
  <c r="AB79" i="6"/>
  <c r="R31" i="5"/>
  <c r="AV43" i="5"/>
  <c r="T58" i="6"/>
  <c r="W73" i="6"/>
  <c r="AP22" i="5"/>
  <c r="U52" i="5"/>
  <c r="AJ64" i="5"/>
  <c r="G19" i="6"/>
  <c r="R91" i="5"/>
  <c r="AW16" i="6"/>
  <c r="L85" i="6"/>
  <c r="AR67" i="6"/>
  <c r="AI37" i="6"/>
  <c r="AM7" i="5"/>
  <c r="AO55" i="5"/>
  <c r="AZ79" i="6"/>
  <c r="AZ85" i="5"/>
  <c r="AD43" i="5"/>
  <c r="P37" i="6"/>
  <c r="E31" i="6"/>
  <c r="AO16" i="5"/>
  <c r="AE34" i="5"/>
  <c r="P82" i="5"/>
  <c r="AG31" i="6"/>
  <c r="Z76" i="5"/>
  <c r="AF58" i="5"/>
  <c r="N25" i="6"/>
  <c r="C19" i="6"/>
  <c r="F13" i="6"/>
  <c r="P19" i="6"/>
  <c r="AG34" i="5"/>
  <c r="R52" i="5"/>
  <c r="X67" i="6"/>
  <c r="AY40" i="5"/>
  <c r="AX73" i="5"/>
  <c r="K37" i="6"/>
  <c r="AG49" i="5"/>
  <c r="AT19" i="6"/>
  <c r="H37" i="6"/>
  <c r="AP43" i="6"/>
  <c r="AI64" i="5"/>
  <c r="AV67" i="5"/>
  <c r="K7" i="6"/>
  <c r="M70" i="5"/>
  <c r="T4" i="6"/>
  <c r="AA25" i="5"/>
  <c r="AZ91" i="5"/>
  <c r="J16" i="6"/>
  <c r="I43" i="6"/>
  <c r="AY19" i="6"/>
  <c r="AV64" i="5"/>
  <c r="AT85" i="5"/>
  <c r="AK16" i="6"/>
  <c r="AF40" i="6"/>
  <c r="AI73" i="6"/>
  <c r="W43" i="6"/>
  <c r="AE31" i="5"/>
  <c r="AA25" i="6"/>
  <c r="H94" i="5"/>
  <c r="R34" i="6"/>
  <c r="AY82" i="6"/>
  <c r="M64" i="5"/>
  <c r="AP79" i="6"/>
  <c r="AY58" i="5"/>
  <c r="J61" i="5"/>
  <c r="Z55" i="6"/>
  <c r="Y19" i="6"/>
  <c r="I25" i="5"/>
  <c r="AB52" i="5"/>
  <c r="AG13" i="5"/>
  <c r="AL97" i="5"/>
  <c r="I70" i="5"/>
  <c r="X37" i="5"/>
  <c r="AR10" i="6"/>
  <c r="Z97" i="5"/>
  <c r="E49" i="6"/>
  <c r="AJ49" i="5"/>
  <c r="AP25" i="6"/>
  <c r="H7" i="6"/>
  <c r="AT40" i="6"/>
  <c r="G94" i="5"/>
  <c r="AY73" i="6"/>
  <c r="P64" i="5"/>
  <c r="AP40" i="6"/>
  <c r="C34" i="6"/>
  <c r="K13" i="5"/>
  <c r="L55" i="5"/>
  <c r="N37" i="5"/>
  <c r="AA64" i="6"/>
  <c r="AU22" i="5"/>
  <c r="AE28" i="6"/>
  <c r="E67" i="6"/>
  <c r="AC82" i="5"/>
  <c r="AI85" i="5"/>
  <c r="L25" i="6"/>
  <c r="AY52" i="6"/>
  <c r="AD97" i="5"/>
  <c r="H16" i="5"/>
  <c r="O13" i="6"/>
  <c r="AX40" i="5"/>
  <c r="AD16" i="5"/>
  <c r="W70" i="5"/>
  <c r="AI97" i="5"/>
  <c r="AL46" i="6"/>
  <c r="AT49" i="6"/>
  <c r="I67" i="5"/>
  <c r="G31" i="6"/>
  <c r="AM88" i="6"/>
  <c r="U76" i="5"/>
  <c r="AS91" i="6"/>
  <c r="AC61" i="5"/>
  <c r="Y13" i="5"/>
  <c r="Q25" i="6"/>
  <c r="AU34" i="6"/>
  <c r="AS25" i="6"/>
  <c r="S88" i="5"/>
  <c r="U16" i="6"/>
  <c r="AG4" i="5"/>
  <c r="P28" i="5"/>
  <c r="Y40" i="5"/>
  <c r="P82" i="6"/>
  <c r="AY97" i="5"/>
  <c r="AB4" i="5"/>
  <c r="AG16" i="5"/>
  <c r="L28" i="5"/>
  <c r="J49" i="5"/>
  <c r="AU4" i="5"/>
  <c r="AJ76" i="5"/>
  <c r="L70" i="5"/>
  <c r="AP52" i="6"/>
  <c r="V88" i="5"/>
  <c r="I28" i="6"/>
  <c r="N70" i="5"/>
  <c r="AQ46" i="5"/>
  <c r="AG64" i="5"/>
  <c r="AT55" i="6"/>
  <c r="T19" i="5"/>
  <c r="I28" i="5"/>
  <c r="M76" i="6"/>
  <c r="O25" i="5"/>
  <c r="AK58" i="6"/>
  <c r="AR34" i="6"/>
  <c r="K55" i="5"/>
  <c r="AM94" i="6"/>
  <c r="AK64" i="5"/>
  <c r="AX85" i="6"/>
  <c r="AQ85" i="5"/>
  <c r="O49" i="5"/>
  <c r="AF73" i="5"/>
  <c r="R34" i="5"/>
  <c r="K94" i="6"/>
  <c r="AE61" i="6"/>
  <c r="I64" i="5"/>
  <c r="AI61" i="5"/>
  <c r="W97" i="6"/>
  <c r="M97" i="5"/>
  <c r="Z22" i="5"/>
  <c r="X85" i="6"/>
  <c r="AV16" i="6"/>
  <c r="AF85" i="5"/>
  <c r="E70" i="5"/>
  <c r="AR22" i="6"/>
  <c r="V82" i="5"/>
  <c r="AZ34" i="6"/>
  <c r="U37" i="5"/>
  <c r="AJ79" i="5"/>
  <c r="AV79" i="6"/>
  <c r="G61" i="5"/>
  <c r="M67" i="6"/>
  <c r="L55" i="6"/>
  <c r="AQ82" i="5"/>
  <c r="J52" i="6"/>
  <c r="AW43" i="5"/>
  <c r="R4" i="5"/>
  <c r="Q70" i="6"/>
  <c r="I13" i="6"/>
  <c r="AY22" i="5"/>
  <c r="S16" i="6"/>
  <c r="T88" i="5"/>
  <c r="E91" i="5"/>
  <c r="AG94" i="5"/>
  <c r="AP10" i="5"/>
  <c r="AC79" i="5"/>
  <c r="S85" i="5"/>
  <c r="AP10" i="6"/>
  <c r="AB55" i="5"/>
  <c r="O70" i="6"/>
  <c r="Y58" i="6"/>
  <c r="AI40" i="6"/>
  <c r="AV61" i="6"/>
  <c r="P55" i="5"/>
  <c r="AB13" i="6"/>
  <c r="AM61" i="5"/>
  <c r="F10" i="5"/>
  <c r="R58" i="5"/>
  <c r="AV31" i="6"/>
  <c r="AP19" i="5"/>
  <c r="P22" i="5"/>
  <c r="AU49" i="6"/>
  <c r="AB58" i="5"/>
  <c r="AJ13" i="5"/>
  <c r="F22" i="5"/>
  <c r="AC10" i="6"/>
  <c r="AN19" i="6"/>
  <c r="Q64" i="5"/>
  <c r="N76" i="5"/>
  <c r="AP73" i="6"/>
  <c r="AI91" i="5"/>
  <c r="AD49" i="5"/>
  <c r="S58" i="6"/>
  <c r="N46" i="5"/>
  <c r="F4" i="6"/>
  <c r="AO52" i="6"/>
  <c r="AM43" i="5"/>
  <c r="AB25" i="5"/>
  <c r="AL31" i="6"/>
  <c r="AE79" i="5"/>
  <c r="F19" i="5"/>
  <c r="AS19" i="5"/>
  <c r="AM37" i="6"/>
  <c r="W82" i="6"/>
  <c r="U40" i="5"/>
  <c r="AY70" i="5"/>
  <c r="U4" i="5"/>
  <c r="AM25" i="6"/>
  <c r="AW22" i="6"/>
  <c r="L85" i="5"/>
  <c r="AR40" i="6"/>
  <c r="AS64" i="6"/>
  <c r="AM64" i="5"/>
  <c r="Y76" i="6"/>
  <c r="M85" i="5"/>
  <c r="S88" i="6"/>
  <c r="H34" i="5"/>
  <c r="Z79" i="5"/>
  <c r="L34" i="5"/>
  <c r="AL76" i="5"/>
  <c r="S82" i="5"/>
  <c r="AQ37" i="5"/>
  <c r="AO58" i="6"/>
  <c r="AE58" i="6"/>
  <c r="F43" i="6"/>
  <c r="X7" i="5"/>
  <c r="AL13" i="5"/>
  <c r="V10" i="6"/>
  <c r="AH22" i="5"/>
  <c r="AF25" i="5"/>
  <c r="AC40" i="5"/>
  <c r="AW43" i="6"/>
  <c r="R28" i="5"/>
  <c r="AI16" i="5"/>
  <c r="U31" i="5"/>
  <c r="AD7" i="5"/>
  <c r="AX52" i="6"/>
  <c r="T85" i="5"/>
  <c r="AL67" i="5"/>
  <c r="I88" i="6"/>
  <c r="V52" i="6"/>
  <c r="AO73" i="5"/>
  <c r="G85" i="5"/>
  <c r="AO94" i="6"/>
  <c r="AM4" i="6"/>
  <c r="I91" i="6"/>
  <c r="AX28" i="6"/>
  <c r="AE49" i="5"/>
  <c r="AB97" i="6"/>
  <c r="J88" i="6"/>
  <c r="AR46" i="5"/>
  <c r="V43" i="6"/>
  <c r="AD97" i="6"/>
  <c r="AF22" i="5"/>
  <c r="AX37" i="6"/>
  <c r="AZ40" i="5"/>
  <c r="AH4" i="6"/>
  <c r="AR19" i="5"/>
  <c r="AB91" i="5"/>
  <c r="R64" i="5"/>
  <c r="M16" i="5"/>
  <c r="X34" i="6"/>
  <c r="Y85" i="5"/>
  <c r="AH16" i="6"/>
  <c r="AW10" i="5"/>
  <c r="F64" i="5"/>
  <c r="AO70" i="5"/>
  <c r="W28" i="6"/>
  <c r="AB67" i="5"/>
  <c r="AQ4" i="5"/>
  <c r="N43" i="5"/>
  <c r="X40" i="6"/>
  <c r="G25" i="5"/>
  <c r="N31" i="6"/>
  <c r="AM34" i="5"/>
  <c r="AO4" i="5"/>
  <c r="AN49" i="5"/>
  <c r="AH43" i="6"/>
  <c r="AJ55" i="5"/>
  <c r="I85" i="5"/>
  <c r="AA22" i="5"/>
  <c r="AX13" i="5"/>
  <c r="AH19" i="6"/>
  <c r="I40" i="5"/>
  <c r="AS76" i="6"/>
  <c r="L82" i="5"/>
  <c r="O34" i="5"/>
  <c r="O73" i="5"/>
  <c r="AQ67" i="5"/>
  <c r="AW37" i="6"/>
  <c r="P13" i="6"/>
  <c r="Z52" i="5"/>
  <c r="AW7" i="6"/>
  <c r="AY58" i="6"/>
  <c r="P7" i="5"/>
  <c r="AR70" i="6"/>
  <c r="AF13" i="6"/>
  <c r="F46" i="6"/>
  <c r="AJ61" i="6"/>
  <c r="S13" i="6"/>
  <c r="AB76" i="5"/>
  <c r="AK40" i="6"/>
  <c r="AC64" i="5"/>
  <c r="AR49" i="6"/>
  <c r="AM85" i="6"/>
  <c r="AR37" i="6"/>
  <c r="V55" i="5"/>
  <c r="AX70" i="5"/>
  <c r="AF19" i="6"/>
  <c r="Q22" i="6"/>
  <c r="R61" i="6"/>
  <c r="Z43" i="5"/>
  <c r="AQ52" i="5"/>
  <c r="G76" i="5"/>
  <c r="AJ16" i="6"/>
  <c r="AO88" i="5"/>
  <c r="AK34" i="5"/>
  <c r="AK40" i="5"/>
  <c r="AE46" i="6"/>
  <c r="G34" i="6"/>
  <c r="T40" i="5"/>
  <c r="AZ46" i="5"/>
  <c r="AA70" i="5"/>
  <c r="AF28" i="5"/>
  <c r="AN25" i="6"/>
  <c r="AW49" i="6"/>
  <c r="H28" i="5"/>
  <c r="AM97" i="6"/>
  <c r="AG46" i="5"/>
  <c r="AA13" i="6"/>
  <c r="AR52" i="5"/>
  <c r="W52" i="5"/>
  <c r="C34" i="5"/>
  <c r="AJ37" i="6"/>
  <c r="AT4" i="6"/>
  <c r="E94" i="6"/>
  <c r="P31" i="6"/>
  <c r="AC43" i="5"/>
  <c r="AL79" i="6"/>
  <c r="H46" i="6"/>
  <c r="W19" i="5"/>
  <c r="AG46" i="6"/>
  <c r="U43" i="6"/>
  <c r="AN97" i="5"/>
  <c r="AB46" i="6"/>
  <c r="AL37" i="5"/>
  <c r="W58" i="6"/>
  <c r="AB73" i="5"/>
  <c r="AN64" i="5"/>
  <c r="AD43" i="6"/>
  <c r="K46" i="6"/>
  <c r="AX28" i="5"/>
  <c r="AW10" i="6"/>
  <c r="AY76" i="6"/>
  <c r="AT13" i="5"/>
  <c r="V13" i="6"/>
  <c r="AI22" i="6"/>
  <c r="O16" i="6"/>
  <c r="P19" i="5"/>
  <c r="L49" i="5"/>
  <c r="AN22" i="6"/>
  <c r="L37" i="6"/>
  <c r="AN22" i="5"/>
  <c r="R37" i="6"/>
  <c r="AM58" i="5"/>
  <c r="AX64" i="6"/>
  <c r="L22" i="6"/>
  <c r="AT70" i="5"/>
  <c r="O46" i="5"/>
  <c r="AD85" i="5"/>
  <c r="T58" i="5"/>
  <c r="K10" i="5"/>
  <c r="AB13" i="5"/>
  <c r="AZ28" i="6"/>
  <c r="AA64" i="5"/>
  <c r="G82" i="6"/>
  <c r="M43" i="5"/>
  <c r="AD88" i="6"/>
  <c r="X73" i="5"/>
  <c r="AZ4" i="5"/>
  <c r="AL49" i="5"/>
  <c r="AF52" i="5"/>
  <c r="AC67" i="6"/>
  <c r="AQ46" i="6"/>
  <c r="M28" i="5"/>
  <c r="K85" i="6"/>
  <c r="Z40" i="5"/>
  <c r="G10" i="6"/>
  <c r="AC13" i="5"/>
  <c r="AR55" i="5"/>
  <c r="O31" i="6"/>
  <c r="AY67" i="5"/>
  <c r="S22" i="6"/>
  <c r="AM13" i="6"/>
  <c r="AD64" i="6"/>
  <c r="AO79" i="5"/>
  <c r="Q97" i="5"/>
  <c r="AX85" i="5"/>
  <c r="AV43" i="6"/>
  <c r="AH31" i="5"/>
  <c r="AM25" i="5"/>
  <c r="AC31" i="5"/>
  <c r="AV22" i="6"/>
  <c r="AT67" i="6"/>
  <c r="H73" i="5"/>
  <c r="AI46" i="5"/>
  <c r="M55" i="5"/>
  <c r="M58" i="6"/>
  <c r="G52" i="6"/>
  <c r="AB79" i="5"/>
  <c r="AK7" i="6"/>
  <c r="AB31" i="5"/>
  <c r="AI31" i="5"/>
  <c r="AK52" i="5"/>
  <c r="AZ97" i="5"/>
  <c r="AE28" i="5"/>
  <c r="G55" i="5"/>
  <c r="AS55" i="5"/>
  <c r="AN55" i="5"/>
  <c r="AQ97" i="5"/>
  <c r="AW25" i="5"/>
  <c r="AR61" i="6"/>
  <c r="AN97" i="6"/>
  <c r="O4" i="6"/>
  <c r="AO46" i="6"/>
  <c r="AG55" i="6"/>
  <c r="AD25" i="5"/>
  <c r="C46" i="5"/>
  <c r="F28" i="5"/>
  <c r="AF64" i="5"/>
  <c r="AV19" i="6"/>
  <c r="E34" i="6"/>
  <c r="AD10" i="6"/>
  <c r="AF61" i="5"/>
  <c r="I55" i="5"/>
  <c r="X7" i="6"/>
  <c r="S4" i="5"/>
  <c r="AD55" i="6"/>
  <c r="AB19" i="6"/>
  <c r="AS49" i="6"/>
  <c r="AZ88" i="5"/>
  <c r="AA28" i="6"/>
  <c r="AL7" i="5"/>
  <c r="AU37" i="5"/>
  <c r="Z67" i="6"/>
  <c r="H64" i="5"/>
  <c r="O31" i="5"/>
  <c r="U79" i="5"/>
  <c r="AV37" i="5"/>
  <c r="AF4" i="6"/>
  <c r="AK46" i="5"/>
  <c r="Y52" i="6"/>
  <c r="AU52" i="5"/>
  <c r="AF52" i="6"/>
  <c r="AJ25" i="5"/>
  <c r="Z37" i="6"/>
  <c r="AO25" i="5"/>
  <c r="C52" i="6"/>
  <c r="AG10" i="5"/>
  <c r="AV19" i="5"/>
  <c r="O22" i="6"/>
  <c r="X13" i="6"/>
  <c r="W4" i="5"/>
  <c r="L58" i="5"/>
  <c r="AR97" i="5"/>
  <c r="AN25" i="5"/>
  <c r="V85" i="5"/>
  <c r="AL34" i="6"/>
  <c r="AH25" i="5"/>
  <c r="AO82" i="5"/>
  <c r="AS61" i="5"/>
  <c r="M40" i="6"/>
  <c r="AU91" i="5"/>
  <c r="AK88" i="5"/>
  <c r="AX55" i="6"/>
  <c r="U85" i="5"/>
  <c r="Q46" i="6"/>
  <c r="AO40" i="5"/>
  <c r="AG91" i="5"/>
  <c r="Z34" i="5"/>
  <c r="AJ7" i="6"/>
  <c r="AX67" i="6"/>
  <c r="G49" i="5"/>
  <c r="AU82" i="6"/>
  <c r="AL25" i="6"/>
  <c r="AB70" i="6"/>
  <c r="AE61" i="5"/>
  <c r="I70" i="6"/>
  <c r="AK22" i="5"/>
  <c r="L19" i="5"/>
  <c r="I10" i="5"/>
  <c r="O85" i="6"/>
  <c r="O55" i="5"/>
  <c r="X58" i="5"/>
  <c r="AZ31" i="6"/>
  <c r="AS43" i="5"/>
  <c r="AQ25" i="6"/>
  <c r="AJ31" i="6"/>
  <c r="M34" i="6"/>
  <c r="R22" i="6"/>
  <c r="E34" i="5"/>
  <c r="AE52" i="5"/>
  <c r="AX76" i="5"/>
  <c r="AY7" i="6"/>
  <c r="AT4" i="5"/>
  <c r="AM52" i="6"/>
  <c r="AC46" i="5"/>
  <c r="AI4" i="5"/>
  <c r="AQ31" i="5"/>
  <c r="AS70" i="5"/>
  <c r="AR64" i="5"/>
  <c r="AG7" i="5"/>
  <c r="AU25" i="5"/>
  <c r="AJ88" i="5"/>
  <c r="J76" i="6"/>
  <c r="AJ4" i="6"/>
  <c r="Y55" i="5"/>
  <c r="AB16" i="5"/>
  <c r="C22" i="5"/>
  <c r="AX16" i="6"/>
  <c r="AC76" i="5"/>
  <c r="AD16" i="6"/>
  <c r="AF73" i="6"/>
  <c r="AM97" i="5"/>
  <c r="V22" i="6"/>
  <c r="X16" i="5"/>
  <c r="W64" i="6"/>
  <c r="AE58" i="5"/>
  <c r="AJ40" i="5"/>
  <c r="S55" i="5"/>
  <c r="AW91" i="5"/>
  <c r="D22" i="5" l="1"/>
  <c r="AJ99" i="6"/>
  <c r="AI99" i="5"/>
  <c r="AT99" i="5"/>
  <c r="W99" i="5"/>
  <c r="D52" i="6"/>
  <c r="AF99" i="6"/>
  <c r="S99" i="5"/>
  <c r="D46" i="5"/>
  <c r="O99" i="6"/>
  <c r="AZ99" i="5"/>
  <c r="AT99" i="6"/>
  <c r="D34" i="5"/>
  <c r="AO99" i="5"/>
  <c r="AQ99" i="5"/>
  <c r="AH99" i="6"/>
  <c r="AM99" i="6"/>
  <c r="U99" i="5"/>
  <c r="F99" i="6"/>
  <c r="R99" i="5"/>
  <c r="AU99" i="5"/>
  <c r="AB99" i="5"/>
  <c r="AG99" i="5"/>
  <c r="D67" i="6"/>
  <c r="D34" i="6"/>
  <c r="T99" i="6"/>
  <c r="D19" i="6"/>
  <c r="AM99" i="5"/>
  <c r="AY99" i="5"/>
  <c r="AX99" i="6"/>
  <c r="AR99" i="6"/>
  <c r="AD99" i="6"/>
  <c r="AS99" i="5"/>
  <c r="AS99" i="6"/>
  <c r="D58" i="6"/>
  <c r="I99" i="5"/>
  <c r="D64" i="6"/>
  <c r="D13" i="5"/>
  <c r="D49" i="5"/>
  <c r="C100" i="6"/>
  <c r="D4" i="6"/>
  <c r="AP99" i="6"/>
  <c r="D7" i="5"/>
  <c r="V99" i="5"/>
  <c r="Z99" i="5"/>
  <c r="T99" i="5"/>
  <c r="Y99" i="6"/>
  <c r="AU99" i="6"/>
  <c r="AX99" i="5"/>
  <c r="D46" i="6"/>
  <c r="D91" i="5"/>
  <c r="D88" i="5"/>
  <c r="AQ99" i="6"/>
  <c r="AG99" i="6"/>
  <c r="R99" i="6"/>
  <c r="D43" i="5"/>
  <c r="AV99" i="5"/>
  <c r="D28" i="5"/>
  <c r="D55" i="6"/>
  <c r="N99" i="6"/>
  <c r="D82" i="5"/>
  <c r="D76" i="5"/>
  <c r="AW99" i="6"/>
  <c r="D28" i="6"/>
  <c r="D37" i="5"/>
  <c r="D94" i="5"/>
  <c r="AA99" i="6"/>
  <c r="D85" i="6"/>
  <c r="D10" i="6"/>
  <c r="D73" i="6"/>
  <c r="D10" i="5"/>
  <c r="D55" i="5"/>
  <c r="P99" i="6"/>
  <c r="D91" i="6"/>
  <c r="X99" i="5"/>
  <c r="O99" i="5"/>
  <c r="D40" i="5"/>
  <c r="AP99" i="5"/>
  <c r="Q99" i="5"/>
  <c r="AZ99" i="6"/>
  <c r="AN99" i="5"/>
  <c r="P99" i="5"/>
  <c r="AJ99" i="5"/>
  <c r="D19" i="5"/>
  <c r="D85" i="5"/>
  <c r="D76" i="6"/>
  <c r="D16" i="5"/>
  <c r="AK99" i="5"/>
  <c r="AH99" i="5"/>
  <c r="D25" i="6"/>
  <c r="AW99" i="5"/>
  <c r="D70" i="6"/>
  <c r="D16" i="6"/>
  <c r="D97" i="5"/>
  <c r="D70" i="5"/>
  <c r="D13" i="6"/>
  <c r="I99" i="6"/>
  <c r="AL99" i="6"/>
  <c r="M99" i="6"/>
  <c r="L99" i="5"/>
  <c r="D31" i="6"/>
  <c r="AI99" i="6"/>
  <c r="J99" i="6"/>
  <c r="K99" i="6"/>
  <c r="D31" i="5"/>
  <c r="Y99" i="5"/>
  <c r="AB99" i="6"/>
  <c r="D79" i="5"/>
  <c r="V99" i="6"/>
  <c r="U99" i="6"/>
  <c r="L99" i="6"/>
  <c r="D22" i="6"/>
  <c r="D97" i="6"/>
  <c r="D40" i="6"/>
  <c r="D88" i="6"/>
  <c r="K99" i="5"/>
  <c r="AC99" i="5"/>
  <c r="W186" i="11"/>
  <c r="I199" i="11"/>
  <c r="AL56" i="11"/>
  <c r="AF43" i="11"/>
  <c r="C108" i="11"/>
  <c r="M134" i="11"/>
  <c r="G30" i="11"/>
  <c r="AN121" i="11"/>
  <c r="F134" i="11"/>
  <c r="F30" i="11"/>
  <c r="J56" i="11"/>
  <c r="Q56" i="11"/>
  <c r="L30" i="11"/>
  <c r="M108" i="11"/>
  <c r="AP4" i="11"/>
  <c r="AA69" i="11"/>
  <c r="AG199" i="11"/>
  <c r="AE186" i="11"/>
  <c r="I173" i="11"/>
  <c r="AR160" i="11"/>
  <c r="J147" i="11"/>
  <c r="AT160" i="11"/>
  <c r="Y199" i="11"/>
  <c r="J134" i="11"/>
  <c r="F43" i="11"/>
  <c r="W17" i="11"/>
  <c r="AS56" i="11"/>
  <c r="AC43" i="11"/>
  <c r="AM4" i="11"/>
  <c r="AC95" i="11"/>
  <c r="AA30" i="11"/>
  <c r="W43" i="11"/>
  <c r="AX95" i="11"/>
  <c r="T56" i="11"/>
  <c r="AU43" i="11"/>
  <c r="AK30" i="11"/>
  <c r="W134" i="11"/>
  <c r="V17" i="11"/>
  <c r="S17" i="11"/>
  <c r="AI121" i="11"/>
  <c r="X56" i="11"/>
  <c r="Z173" i="11"/>
  <c r="I95" i="11"/>
  <c r="N134" i="11"/>
  <c r="N186" i="11"/>
  <c r="P43" i="11"/>
  <c r="Y69" i="11"/>
  <c r="AS30" i="11"/>
  <c r="E134" i="11"/>
  <c r="K160" i="11"/>
  <c r="Y134" i="11"/>
  <c r="AJ95" i="11"/>
  <c r="AF160" i="11"/>
  <c r="E43" i="11"/>
  <c r="Y108" i="11"/>
  <c r="K56" i="11"/>
  <c r="AC147" i="11"/>
  <c r="C95" i="11"/>
  <c r="R147" i="11"/>
  <c r="T4" i="11"/>
  <c r="V43" i="11"/>
  <c r="U173" i="11"/>
  <c r="E99" i="5"/>
  <c r="AA173" i="11"/>
  <c r="AL95" i="11"/>
  <c r="AK121" i="11"/>
  <c r="W95" i="11"/>
  <c r="AD95" i="11"/>
  <c r="AJ82" i="11"/>
  <c r="V82" i="11"/>
  <c r="AS82" i="11"/>
  <c r="AN134" i="11"/>
  <c r="N147" i="11"/>
  <c r="AV69" i="11"/>
  <c r="N43" i="11"/>
  <c r="Q17" i="11"/>
  <c r="R43" i="11"/>
  <c r="AA56" i="11"/>
  <c r="AW30" i="11"/>
  <c r="AP134" i="11"/>
  <c r="Y147" i="11"/>
  <c r="AJ121" i="11"/>
  <c r="Q199" i="11"/>
  <c r="Z95" i="11"/>
  <c r="AF69" i="11"/>
  <c r="AF186" i="11"/>
  <c r="K4" i="11"/>
  <c r="AR199" i="11"/>
  <c r="AU30" i="11"/>
  <c r="AX82" i="11"/>
  <c r="AO82" i="11"/>
  <c r="AB17" i="11"/>
  <c r="Y173" i="11"/>
  <c r="J43" i="11"/>
  <c r="AH56" i="11"/>
  <c r="K95" i="11"/>
  <c r="F121" i="11"/>
  <c r="G160" i="11"/>
  <c r="H95" i="11"/>
  <c r="Q186" i="11"/>
  <c r="AD56" i="11"/>
  <c r="Q4" i="11"/>
  <c r="S30" i="11"/>
  <c r="AH134" i="11"/>
  <c r="AG108" i="11"/>
  <c r="AD173" i="11"/>
  <c r="AS199" i="11"/>
  <c r="AF134" i="11"/>
  <c r="Y4" i="11"/>
  <c r="AE160" i="11"/>
  <c r="AI30" i="11"/>
  <c r="AJ56" i="11"/>
  <c r="AA121" i="11"/>
  <c r="AU199" i="11"/>
  <c r="V160" i="11"/>
  <c r="AU173" i="11"/>
  <c r="O147" i="11"/>
  <c r="AC30" i="11"/>
  <c r="X121" i="11"/>
  <c r="X82" i="11"/>
  <c r="N173" i="11"/>
  <c r="AG17" i="11"/>
  <c r="D4" i="11"/>
  <c r="V56" i="11"/>
  <c r="I186" i="11"/>
  <c r="AW56" i="11"/>
  <c r="AI82" i="11"/>
  <c r="AD4" i="11"/>
  <c r="W4" i="11"/>
  <c r="V173" i="11"/>
  <c r="E69" i="11"/>
  <c r="AR186" i="11"/>
  <c r="Q43" i="11"/>
  <c r="P56" i="11"/>
  <c r="AQ147" i="11"/>
  <c r="AN82" i="11"/>
  <c r="S160" i="11"/>
  <c r="P4" i="11"/>
  <c r="AT17" i="11"/>
  <c r="Y56" i="11"/>
  <c r="M95" i="11"/>
  <c r="AQ17" i="11"/>
  <c r="AJ199" i="11"/>
  <c r="AM160" i="11"/>
  <c r="AA43" i="11"/>
  <c r="AM69" i="11"/>
  <c r="AC186" i="11"/>
  <c r="G82" i="11"/>
  <c r="J121" i="11"/>
  <c r="AV134" i="11"/>
  <c r="F199" i="11"/>
  <c r="AM30" i="11"/>
  <c r="AP173" i="11"/>
  <c r="N160" i="11"/>
  <c r="AK56" i="11"/>
  <c r="W30" i="11"/>
  <c r="AR30" i="11"/>
  <c r="Y186" i="11"/>
  <c r="L69" i="11"/>
  <c r="AP186" i="11"/>
  <c r="E147" i="11"/>
  <c r="AW4" i="11"/>
  <c r="AL121" i="11"/>
  <c r="AW199" i="11"/>
  <c r="AL134" i="11"/>
  <c r="O134" i="11"/>
  <c r="W121" i="11"/>
  <c r="AW69" i="11"/>
  <c r="X186" i="11"/>
  <c r="J186" i="11"/>
  <c r="AO4" i="11"/>
  <c r="AN4" i="11"/>
  <c r="T199" i="11"/>
  <c r="AB108" i="11"/>
  <c r="E82" i="11"/>
  <c r="AD199" i="11"/>
  <c r="AQ108" i="11"/>
  <c r="AE82" i="11"/>
  <c r="M82" i="11"/>
  <c r="AP30" i="11"/>
  <c r="AK186" i="11"/>
  <c r="AQ160" i="11"/>
  <c r="AU82" i="11"/>
  <c r="D82" i="11"/>
  <c r="AO134" i="11"/>
  <c r="R108" i="11"/>
  <c r="E4" i="11"/>
  <c r="AS108" i="11"/>
  <c r="S82" i="11"/>
  <c r="U30" i="11"/>
  <c r="AE134" i="11"/>
  <c r="X147" i="11"/>
  <c r="Y17" i="11"/>
  <c r="S173" i="11"/>
  <c r="M17" i="11"/>
  <c r="G43" i="11"/>
  <c r="Y95" i="11"/>
  <c r="AC56" i="11"/>
  <c r="V134" i="11"/>
  <c r="AA199" i="11"/>
  <c r="P121" i="11"/>
  <c r="G69" i="11"/>
  <c r="AT173" i="11"/>
  <c r="V186" i="11"/>
  <c r="C56" i="11"/>
  <c r="AB30" i="11"/>
  <c r="AP69" i="11"/>
  <c r="AC121" i="11"/>
  <c r="AL199" i="11"/>
  <c r="AP108" i="11"/>
  <c r="H173" i="11"/>
  <c r="AR121" i="11"/>
  <c r="V95" i="11"/>
  <c r="AW160" i="11"/>
  <c r="AU56" i="11"/>
  <c r="V108" i="11"/>
  <c r="O82" i="11"/>
  <c r="K108" i="11"/>
  <c r="Z30" i="11"/>
  <c r="D173" i="11"/>
  <c r="C17" i="11"/>
  <c r="L95" i="11"/>
  <c r="D160" i="11"/>
  <c r="AK69" i="11"/>
  <c r="Q69" i="11"/>
  <c r="X199" i="11"/>
  <c r="Z4" i="11"/>
  <c r="AT56" i="11"/>
  <c r="Q95" i="11"/>
  <c r="AV56" i="11"/>
  <c r="C69" i="11"/>
  <c r="AV173" i="11"/>
  <c r="AW121" i="11"/>
  <c r="S108" i="11"/>
  <c r="AE30" i="11"/>
  <c r="W160" i="11"/>
  <c r="AI95" i="11"/>
  <c r="H186" i="11"/>
  <c r="C186" i="11"/>
  <c r="AM147" i="11"/>
  <c r="G199" i="11"/>
  <c r="M173" i="11"/>
  <c r="AL173" i="11"/>
  <c r="U160" i="11"/>
  <c r="AO173" i="11"/>
  <c r="K186" i="11"/>
  <c r="O4" i="11"/>
  <c r="AW147" i="11"/>
  <c r="X30" i="11"/>
  <c r="E160" i="11"/>
  <c r="AM121" i="11"/>
  <c r="AN30" i="11"/>
  <c r="C134" i="11"/>
  <c r="X43" i="11"/>
  <c r="F82" i="11"/>
  <c r="AX56" i="11"/>
  <c r="AQ69" i="11"/>
  <c r="AF108" i="11"/>
  <c r="D95" i="11"/>
  <c r="AK95" i="11"/>
  <c r="D17" i="11"/>
  <c r="C173" i="11"/>
  <c r="AP82" i="11"/>
  <c r="AO147" i="11"/>
  <c r="AQ56" i="11"/>
  <c r="AT30" i="11"/>
  <c r="AS69" i="11"/>
  <c r="AT186" i="11"/>
  <c r="AN186" i="11"/>
  <c r="M160" i="11"/>
  <c r="AG82" i="11"/>
  <c r="K82" i="11"/>
  <c r="O30" i="11"/>
  <c r="AH43" i="11"/>
  <c r="H30" i="11"/>
  <c r="AX134" i="11"/>
  <c r="M30" i="11"/>
  <c r="AI147" i="11"/>
  <c r="Z43" i="11"/>
  <c r="E17" i="11"/>
  <c r="C4" i="11"/>
  <c r="AG134" i="11"/>
  <c r="Z160" i="11"/>
  <c r="AR56" i="11"/>
  <c r="H4" i="11"/>
  <c r="AI160" i="11"/>
  <c r="AO121" i="11"/>
  <c r="N199" i="11"/>
  <c r="R4" i="11"/>
  <c r="L17" i="11"/>
  <c r="U17" i="11"/>
  <c r="O56" i="11"/>
  <c r="AW134" i="11"/>
  <c r="AQ43" i="11"/>
  <c r="F108" i="11"/>
  <c r="G121" i="11"/>
  <c r="AT82" i="11"/>
  <c r="M121" i="11"/>
  <c r="Y82" i="11"/>
  <c r="M199" i="11"/>
  <c r="M186" i="11"/>
  <c r="AV43" i="11"/>
  <c r="P69" i="11"/>
  <c r="C147" i="11"/>
  <c r="O43" i="11"/>
  <c r="AQ173" i="11"/>
  <c r="AT69" i="11"/>
  <c r="H160" i="11"/>
  <c r="R17" i="11"/>
  <c r="O121" i="11"/>
  <c r="X95" i="11"/>
  <c r="AD17" i="11"/>
  <c r="AS95" i="11"/>
  <c r="Z82" i="11"/>
  <c r="H199" i="11"/>
  <c r="J82" i="11"/>
  <c r="AC69" i="11"/>
  <c r="Z134" i="11"/>
  <c r="T69" i="11"/>
  <c r="R30" i="11"/>
  <c r="Q82" i="11"/>
  <c r="AD160" i="11"/>
  <c r="N56" i="11"/>
  <c r="AT43" i="11"/>
  <c r="AW186" i="11"/>
  <c r="AU69" i="11"/>
  <c r="AF4" i="11"/>
  <c r="G4" i="11"/>
  <c r="G95" i="11"/>
  <c r="AE147" i="11"/>
  <c r="S147" i="11"/>
  <c r="AB147" i="11"/>
  <c r="U199" i="11"/>
  <c r="P199" i="11"/>
  <c r="AU134" i="11"/>
  <c r="AL160" i="11"/>
  <c r="I30" i="11"/>
  <c r="AC4" i="11"/>
  <c r="AB121" i="11"/>
  <c r="AT134" i="11"/>
  <c r="AA95" i="11"/>
  <c r="AP147" i="11"/>
  <c r="AH82" i="11"/>
  <c r="V69" i="11"/>
  <c r="S69" i="11"/>
  <c r="AU17" i="11"/>
  <c r="AR173" i="11"/>
  <c r="F95" i="11"/>
  <c r="AG4" i="11"/>
  <c r="I4" i="11"/>
  <c r="Z17" i="11"/>
  <c r="AP43" i="11"/>
  <c r="E186" i="11"/>
  <c r="E108" i="11"/>
  <c r="G147" i="11"/>
  <c r="X69" i="11"/>
  <c r="AV30" i="11"/>
  <c r="AW95" i="11"/>
  <c r="AV199" i="11"/>
  <c r="H56" i="11"/>
  <c r="AF82" i="11"/>
  <c r="L43" i="11"/>
  <c r="AR95" i="11"/>
  <c r="AN108" i="11"/>
  <c r="AN69" i="11"/>
  <c r="AJ30" i="11"/>
  <c r="AG56" i="11"/>
  <c r="M4" i="11"/>
  <c r="AR147" i="11"/>
  <c r="AF121" i="11"/>
  <c r="T95" i="11"/>
  <c r="N30" i="11"/>
  <c r="X17" i="11"/>
  <c r="H108" i="11"/>
  <c r="AS186" i="11"/>
  <c r="H69" i="11"/>
  <c r="AT147" i="11"/>
  <c r="E30" i="11"/>
  <c r="AB56" i="11"/>
  <c r="L121" i="11"/>
  <c r="AK17" i="11"/>
  <c r="F69" i="11"/>
  <c r="AC173" i="11"/>
  <c r="Q147" i="11"/>
  <c r="U82" i="11"/>
  <c r="I69" i="11"/>
  <c r="L199" i="11"/>
  <c r="S134" i="11"/>
  <c r="AF199" i="11"/>
  <c r="AR4" i="11"/>
  <c r="AE108" i="11"/>
  <c r="AQ121" i="11"/>
  <c r="I56" i="11"/>
  <c r="D69" i="11"/>
  <c r="AV82" i="11"/>
  <c r="V4" i="11"/>
  <c r="T121" i="11"/>
  <c r="AG121" i="11"/>
  <c r="AW108" i="11"/>
  <c r="R95" i="11"/>
  <c r="AM108" i="11"/>
  <c r="U95" i="11"/>
  <c r="AJ147" i="11"/>
  <c r="AH108" i="11"/>
  <c r="AS4" i="11"/>
  <c r="AG30" i="11"/>
  <c r="AV121" i="11"/>
  <c r="M69" i="11"/>
  <c r="O199" i="11"/>
  <c r="AP17" i="11"/>
  <c r="N121" i="11"/>
  <c r="I121" i="11"/>
  <c r="N82" i="11"/>
  <c r="P186" i="11"/>
  <c r="AG147" i="11"/>
  <c r="J95" i="11"/>
  <c r="AO95" i="11"/>
  <c r="U69" i="11"/>
  <c r="K17" i="11"/>
  <c r="AD69" i="11"/>
  <c r="R199" i="11"/>
  <c r="AD82" i="11"/>
  <c r="N17" i="11"/>
  <c r="AI134" i="11"/>
  <c r="X4" i="11"/>
  <c r="D147" i="11"/>
  <c r="L108" i="11"/>
  <c r="W69" i="11"/>
  <c r="AL30" i="11"/>
  <c r="AJ17" i="11"/>
  <c r="AS173" i="11"/>
  <c r="Q108" i="11"/>
  <c r="V147" i="11"/>
  <c r="AA134" i="11"/>
  <c r="AX121" i="11"/>
  <c r="O186" i="11"/>
  <c r="AT121" i="11"/>
  <c r="H134" i="11"/>
  <c r="U186" i="11"/>
  <c r="AA186" i="11"/>
  <c r="P17" i="11"/>
  <c r="AE4" i="11"/>
  <c r="P30" i="11"/>
  <c r="AD108" i="11"/>
  <c r="Z56" i="11"/>
  <c r="AN147" i="11"/>
  <c r="AK108" i="11"/>
  <c r="AF173" i="11"/>
  <c r="U43" i="11"/>
  <c r="AU186" i="11"/>
  <c r="K30" i="11"/>
  <c r="T160" i="11"/>
  <c r="AF147" i="11"/>
  <c r="J17" i="11"/>
  <c r="AS43" i="11"/>
  <c r="AH121" i="11"/>
  <c r="W147" i="11"/>
  <c r="F160" i="11"/>
  <c r="AJ43" i="11"/>
  <c r="AM43" i="11"/>
  <c r="AG95" i="11"/>
  <c r="AV108" i="11"/>
  <c r="AI108" i="11"/>
  <c r="X173" i="11"/>
  <c r="AS160" i="11"/>
  <c r="J4" i="11"/>
  <c r="AI4" i="11"/>
  <c r="AP160" i="11"/>
  <c r="AM95" i="11"/>
  <c r="T82" i="11"/>
  <c r="AM199" i="11"/>
  <c r="AE173" i="11"/>
  <c r="AO160" i="11"/>
  <c r="AH17" i="11"/>
  <c r="E121" i="11"/>
  <c r="AQ95" i="11"/>
  <c r="L173" i="11"/>
  <c r="AX4" i="11"/>
  <c r="AE95" i="11"/>
  <c r="Y160" i="11"/>
  <c r="AW17" i="11"/>
  <c r="T147" i="11"/>
  <c r="AV17" i="11"/>
  <c r="N4" i="11"/>
  <c r="AS134" i="11"/>
  <c r="AV186" i="11"/>
  <c r="AK147" i="11"/>
  <c r="AJ160" i="11"/>
  <c r="O173" i="11"/>
  <c r="AN95" i="11"/>
  <c r="AN173" i="11"/>
  <c r="AO108" i="11"/>
  <c r="Y43" i="11"/>
  <c r="J160" i="11"/>
  <c r="AI69" i="11"/>
  <c r="R69" i="11"/>
  <c r="AP56" i="11"/>
  <c r="AK82" i="11"/>
  <c r="X134" i="11"/>
  <c r="E173" i="11"/>
  <c r="G186" i="11"/>
  <c r="E199" i="11"/>
  <c r="AI186" i="11"/>
  <c r="AE43" i="11"/>
  <c r="F56" i="11"/>
  <c r="J30" i="11"/>
  <c r="AB69" i="11"/>
  <c r="AQ82" i="11"/>
  <c r="C43" i="11"/>
  <c r="AI17" i="11"/>
  <c r="AK134" i="11"/>
  <c r="AK43" i="11"/>
  <c r="AJ4" i="11"/>
  <c r="AT4" i="11"/>
  <c r="AL69" i="11"/>
  <c r="AI43" i="11"/>
  <c r="AH69" i="11"/>
  <c r="AL43" i="11"/>
  <c r="AG186" i="11"/>
  <c r="AF30" i="11"/>
  <c r="AK199" i="11"/>
  <c r="AV147" i="11"/>
  <c r="R134" i="11"/>
  <c r="R82" i="11"/>
  <c r="I82" i="11"/>
  <c r="AO199" i="11"/>
  <c r="AE121" i="11"/>
  <c r="K147" i="11"/>
  <c r="Y121" i="11"/>
  <c r="AC134" i="11"/>
  <c r="P160" i="11"/>
  <c r="AJ134" i="11"/>
  <c r="AA82" i="11"/>
  <c r="AX147" i="11"/>
  <c r="AX43" i="11"/>
  <c r="U147" i="11"/>
  <c r="AB199" i="11"/>
  <c r="R186" i="11"/>
  <c r="AU4" i="11"/>
  <c r="P134" i="11"/>
  <c r="V121" i="11"/>
  <c r="AD121" i="11"/>
  <c r="AQ4" i="11"/>
  <c r="D134" i="11"/>
  <c r="S186" i="11"/>
  <c r="AA147" i="11"/>
  <c r="AK4" i="11"/>
  <c r="Z199" i="11"/>
  <c r="AC160" i="11"/>
  <c r="I17" i="11"/>
  <c r="AH186" i="11"/>
  <c r="D108" i="11"/>
  <c r="AQ134" i="11"/>
  <c r="K173" i="11"/>
  <c r="AE69" i="11"/>
  <c r="T43" i="11"/>
  <c r="AF17" i="11"/>
  <c r="AB82" i="11"/>
  <c r="AQ186" i="11"/>
  <c r="AR69" i="11"/>
  <c r="S121" i="11"/>
  <c r="D43" i="11"/>
  <c r="K69" i="11"/>
  <c r="S56" i="11"/>
  <c r="T173" i="11"/>
  <c r="W173" i="11"/>
  <c r="Q160" i="11"/>
  <c r="AF95" i="11"/>
  <c r="AN160" i="11"/>
  <c r="AL186" i="11"/>
  <c r="AI199" i="11"/>
  <c r="G17" i="11"/>
  <c r="AM186" i="11"/>
  <c r="O69" i="11"/>
  <c r="AG69" i="11"/>
  <c r="T108" i="11"/>
  <c r="AU147" i="11"/>
  <c r="AO17" i="11"/>
  <c r="N95" i="11"/>
  <c r="H147" i="11"/>
  <c r="AX17" i="11"/>
  <c r="AH160" i="11"/>
  <c r="F173" i="11"/>
  <c r="AB160" i="11"/>
  <c r="I134" i="11"/>
  <c r="AI56" i="11"/>
  <c r="V199" i="11"/>
  <c r="F186" i="11"/>
  <c r="AL147" i="11"/>
  <c r="AH95" i="11"/>
  <c r="AA17" i="11"/>
  <c r="AU108" i="11"/>
  <c r="AS147" i="11"/>
  <c r="L134" i="11"/>
  <c r="M147" i="11"/>
  <c r="Z121" i="11"/>
  <c r="AU160" i="11"/>
  <c r="D186" i="11"/>
  <c r="P95" i="11"/>
  <c r="F147" i="11"/>
  <c r="AJ173" i="11"/>
  <c r="AV95" i="11"/>
  <c r="AJ108" i="11"/>
  <c r="AR17" i="11"/>
  <c r="L186" i="11"/>
  <c r="AQ199" i="11"/>
  <c r="AJ186" i="11"/>
  <c r="O17" i="11"/>
  <c r="V30" i="11"/>
  <c r="K121" i="11"/>
  <c r="AR82" i="11"/>
  <c r="H43" i="11"/>
  <c r="Q173" i="11"/>
  <c r="Q134" i="11"/>
  <c r="AB95" i="11"/>
  <c r="AO186" i="11"/>
  <c r="AI173" i="11"/>
  <c r="AH173" i="11"/>
  <c r="C30" i="11"/>
  <c r="AA108" i="11"/>
  <c r="C199" i="11"/>
  <c r="I108" i="11"/>
  <c r="K43" i="11"/>
  <c r="I147" i="11"/>
  <c r="N69" i="11"/>
  <c r="AX186" i="11"/>
  <c r="Z186" i="11"/>
  <c r="AL108" i="11"/>
  <c r="F17" i="11"/>
  <c r="AS121" i="11"/>
  <c r="AG43" i="11"/>
  <c r="AW173" i="11"/>
  <c r="L82" i="11"/>
  <c r="AP121" i="11"/>
  <c r="W108" i="11"/>
  <c r="AM56" i="11"/>
  <c r="I43" i="11"/>
  <c r="U121" i="11"/>
  <c r="AP199" i="11"/>
  <c r="AE199" i="11"/>
  <c r="O108" i="11"/>
  <c r="Z147" i="11"/>
  <c r="M43" i="11"/>
  <c r="AG160" i="11"/>
  <c r="AF56" i="11"/>
  <c r="AV4" i="11"/>
  <c r="AN17" i="11"/>
  <c r="C82" i="11"/>
  <c r="S4" i="11"/>
  <c r="G56" i="11"/>
  <c r="AB186" i="11"/>
  <c r="AE17" i="11"/>
  <c r="AB173" i="11"/>
  <c r="AM173" i="11"/>
  <c r="R173" i="11"/>
  <c r="AN199" i="11"/>
  <c r="AX173" i="11"/>
  <c r="AB43" i="11"/>
  <c r="H121" i="11"/>
  <c r="AX160" i="11"/>
  <c r="D56" i="11"/>
  <c r="AN43" i="11"/>
  <c r="AU95" i="11"/>
  <c r="J108" i="11"/>
  <c r="R160" i="11"/>
  <c r="T186" i="11"/>
  <c r="L147" i="11"/>
  <c r="Q30" i="11"/>
  <c r="W199" i="11"/>
  <c r="U108" i="11"/>
  <c r="G173" i="11"/>
  <c r="U4" i="11"/>
  <c r="AX108" i="11"/>
  <c r="Z69" i="11"/>
  <c r="AA160" i="11"/>
  <c r="AW43" i="11"/>
  <c r="P82" i="11"/>
  <c r="AT199" i="11"/>
  <c r="AL17" i="11"/>
  <c r="Z108" i="11"/>
  <c r="AT108" i="11"/>
  <c r="AC108" i="11"/>
  <c r="S199" i="11"/>
  <c r="P147" i="11"/>
  <c r="O95" i="11"/>
  <c r="H17" i="11"/>
  <c r="AD134" i="11"/>
  <c r="G108" i="11"/>
  <c r="AM17" i="11"/>
  <c r="M56" i="11"/>
  <c r="E56" i="11"/>
  <c r="W82" i="11"/>
  <c r="P173" i="11"/>
  <c r="AD186" i="11"/>
  <c r="J173" i="11"/>
  <c r="AE56" i="11"/>
  <c r="AR43" i="11"/>
  <c r="U134" i="11"/>
  <c r="W56" i="11"/>
  <c r="T134" i="11"/>
  <c r="AP95" i="11"/>
  <c r="AH4" i="11"/>
  <c r="J199" i="11"/>
  <c r="AJ69" i="11"/>
  <c r="R121" i="11"/>
  <c r="AO30" i="11"/>
  <c r="AL82" i="11"/>
  <c r="AO43" i="11"/>
  <c r="AH199" i="11"/>
  <c r="D30" i="11"/>
  <c r="AD43" i="11"/>
  <c r="C160" i="11"/>
  <c r="C121" i="11"/>
  <c r="D199" i="11"/>
  <c r="AT95" i="11"/>
  <c r="AR134" i="11"/>
  <c r="AA4" i="11"/>
  <c r="Q121" i="11"/>
  <c r="L56" i="11"/>
  <c r="AB4" i="11"/>
  <c r="AW82" i="11"/>
  <c r="AD147" i="11"/>
  <c r="AN56" i="11"/>
  <c r="AD30" i="11"/>
  <c r="AM134" i="11"/>
  <c r="AC17" i="11"/>
  <c r="O160" i="11"/>
  <c r="L4" i="11"/>
  <c r="AU121" i="11"/>
  <c r="H82" i="11"/>
  <c r="E95" i="11"/>
  <c r="AC199" i="11"/>
  <c r="AH147" i="11"/>
  <c r="S95" i="11"/>
  <c r="AX199" i="11"/>
  <c r="AL4" i="11"/>
  <c r="AO56" i="11"/>
  <c r="AK173" i="11"/>
  <c r="P108" i="11"/>
  <c r="U56" i="11"/>
  <c r="D121" i="11"/>
  <c r="I160" i="11"/>
  <c r="AX30" i="11"/>
  <c r="AK160" i="11"/>
  <c r="S43" i="11"/>
  <c r="T30" i="11"/>
  <c r="AC82" i="11"/>
  <c r="G134" i="11"/>
  <c r="K134" i="11"/>
  <c r="T17" i="11"/>
  <c r="Y30" i="11"/>
  <c r="X160" i="11"/>
  <c r="AB134" i="11"/>
  <c r="J69" i="11"/>
  <c r="L160" i="11"/>
  <c r="AR108" i="11"/>
  <c r="R56" i="11"/>
  <c r="K199" i="11"/>
  <c r="AX69" i="11"/>
  <c r="AM82" i="11"/>
  <c r="AQ30" i="11"/>
  <c r="AV160" i="11"/>
  <c r="F4" i="11"/>
  <c r="N108" i="11"/>
  <c r="AH30" i="11"/>
  <c r="AO69" i="11"/>
  <c r="X108" i="11"/>
  <c r="AS17" i="11"/>
  <c r="AG173" i="11"/>
  <c r="D73" i="5"/>
  <c r="D58" i="5"/>
  <c r="W99" i="6"/>
  <c r="AV99" i="6"/>
  <c r="M99" i="5"/>
  <c r="AL99" i="5"/>
  <c r="S99" i="6"/>
  <c r="X99" i="6"/>
  <c r="G99" i="5"/>
  <c r="AK99" i="6"/>
  <c r="AN99" i="6"/>
  <c r="AE99" i="5"/>
  <c r="AC99" i="6"/>
  <c r="AE99" i="6"/>
  <c r="D49" i="6"/>
  <c r="H99" i="6"/>
  <c r="AO99" i="6"/>
  <c r="F99" i="5"/>
  <c r="G99" i="6"/>
  <c r="Z99" i="6"/>
  <c r="D4" i="5"/>
  <c r="C100" i="5"/>
  <c r="D7" i="6"/>
  <c r="D79" i="6"/>
  <c r="D64" i="5"/>
  <c r="D37" i="6"/>
  <c r="AD99" i="5"/>
  <c r="AY99" i="6"/>
  <c r="N99" i="5"/>
  <c r="D94" i="6"/>
  <c r="D25" i="5"/>
  <c r="Q99" i="6"/>
  <c r="N5" i="11"/>
  <c r="AV57" i="11"/>
  <c r="AO122" i="11"/>
  <c r="AJ122" i="11"/>
  <c r="U44" i="11"/>
  <c r="AM44" i="11"/>
  <c r="AS161" i="11"/>
  <c r="H96" i="11"/>
  <c r="G5" i="11"/>
  <c r="AK187" i="11"/>
  <c r="I161" i="11"/>
  <c r="H161" i="11"/>
  <c r="AL18" i="11"/>
  <c r="O18" i="11"/>
  <c r="AD148" i="11"/>
  <c r="R5" i="11"/>
  <c r="T96" i="11"/>
  <c r="AK70" i="11"/>
  <c r="S57" i="11"/>
  <c r="AL31" i="11"/>
  <c r="AK57" i="11"/>
  <c r="AA161" i="11"/>
  <c r="S18" i="11"/>
  <c r="AJ31" i="11"/>
  <c r="X122" i="11"/>
  <c r="AO96" i="11"/>
  <c r="AN187" i="11"/>
  <c r="AK31" i="11"/>
  <c r="AC18" i="11"/>
  <c r="T18" i="11"/>
  <c r="AF96" i="11"/>
  <c r="R161" i="11"/>
  <c r="AQ83" i="11"/>
  <c r="AL57" i="11"/>
  <c r="E70" i="11"/>
  <c r="C44" i="11"/>
  <c r="AW83" i="11"/>
  <c r="T174" i="11"/>
  <c r="U18" i="11"/>
  <c r="K187" i="11"/>
  <c r="AN122" i="11"/>
  <c r="AH187" i="11"/>
  <c r="AT109" i="11"/>
  <c r="Z57" i="11"/>
  <c r="Q57" i="11"/>
  <c r="U5" i="11"/>
  <c r="H44" i="11"/>
  <c r="N70" i="11"/>
  <c r="Q18" i="11"/>
  <c r="AX135" i="11"/>
  <c r="AJ96" i="11"/>
  <c r="I5" i="11"/>
  <c r="AA187" i="11"/>
  <c r="AJ161" i="11"/>
  <c r="AC200" i="11"/>
  <c r="J135" i="11"/>
  <c r="M18" i="11"/>
  <c r="O135" i="11"/>
  <c r="D70" i="11"/>
  <c r="Z200" i="11"/>
  <c r="AQ18" i="11"/>
  <c r="U135" i="11"/>
  <c r="P31" i="11"/>
  <c r="M109" i="11"/>
  <c r="AI44" i="11"/>
  <c r="K70" i="11"/>
  <c r="AB57" i="11"/>
  <c r="AR187" i="11"/>
  <c r="AC187" i="11"/>
  <c r="AT5" i="11"/>
  <c r="AT122" i="11"/>
  <c r="G200" i="11"/>
  <c r="AC57" i="11"/>
  <c r="AD200" i="11"/>
  <c r="AH174" i="11"/>
  <c r="AS174" i="11"/>
  <c r="C187" i="11"/>
  <c r="AQ5" i="11"/>
  <c r="Y5" i="11"/>
  <c r="P135" i="11"/>
  <c r="K5" i="11"/>
  <c r="AS83" i="11"/>
  <c r="C200" i="11"/>
  <c r="AU174" i="11"/>
  <c r="H57" i="11"/>
  <c r="T83" i="11"/>
  <c r="AQ96" i="11"/>
  <c r="S135" i="11"/>
  <c r="AT174" i="11"/>
  <c r="AI31" i="11"/>
  <c r="I31" i="11"/>
  <c r="AA31" i="11"/>
  <c r="AV31" i="11"/>
  <c r="S174" i="11"/>
  <c r="AL122" i="11"/>
  <c r="AU5" i="11"/>
  <c r="AO83" i="11"/>
  <c r="R83" i="11"/>
  <c r="F174" i="11"/>
  <c r="AK83" i="11"/>
  <c r="E18" i="11"/>
  <c r="AH70" i="11"/>
  <c r="AN148" i="11"/>
  <c r="R31" i="11"/>
  <c r="Y57" i="11"/>
  <c r="AX122" i="11"/>
  <c r="AU83" i="11"/>
  <c r="Z187" i="11"/>
  <c r="Y83" i="11"/>
  <c r="Z122" i="11"/>
  <c r="AS31" i="11"/>
  <c r="AS70" i="11"/>
  <c r="AF5" i="11"/>
  <c r="J31" i="11"/>
  <c r="AM135" i="11"/>
  <c r="AW44" i="11"/>
  <c r="AD122" i="11"/>
  <c r="AM5" i="11"/>
  <c r="M57" i="11"/>
  <c r="AV200" i="11"/>
  <c r="S83" i="11"/>
  <c r="AC96" i="11"/>
  <c r="H148" i="11"/>
  <c r="AG187" i="11"/>
  <c r="AL187" i="11"/>
  <c r="X109" i="11"/>
  <c r="P44" i="11"/>
  <c r="Q122" i="11"/>
  <c r="AQ174" i="11"/>
  <c r="P83" i="11"/>
  <c r="AL200" i="11"/>
  <c r="AJ200" i="11"/>
  <c r="G187" i="11"/>
  <c r="D122" i="11"/>
  <c r="Y70" i="11"/>
  <c r="AF135" i="11"/>
  <c r="M135" i="11"/>
  <c r="AQ44" i="11"/>
  <c r="AR96" i="11"/>
  <c r="AR70" i="11"/>
  <c r="AF70" i="11"/>
  <c r="AP44" i="11"/>
  <c r="AB96" i="11"/>
  <c r="R57" i="11"/>
  <c r="X148" i="11"/>
  <c r="AG174" i="11"/>
  <c r="AQ187" i="11"/>
  <c r="V122" i="11"/>
  <c r="AG109" i="11"/>
  <c r="K83" i="11"/>
  <c r="AJ109" i="11"/>
  <c r="AF174" i="11"/>
  <c r="AD31" i="11"/>
  <c r="AH18" i="11"/>
  <c r="AB148" i="11"/>
  <c r="O57" i="11"/>
  <c r="U122" i="11"/>
  <c r="Y200" i="11"/>
  <c r="AN161" i="11"/>
  <c r="F109" i="11"/>
  <c r="F135" i="11"/>
  <c r="AV174" i="11"/>
  <c r="AV161" i="11"/>
  <c r="W44" i="11"/>
  <c r="H135" i="11"/>
  <c r="J161" i="11"/>
  <c r="AN5" i="11"/>
  <c r="AM57" i="11"/>
  <c r="C161" i="11"/>
  <c r="R135" i="11"/>
  <c r="R70" i="11"/>
  <c r="Y161" i="11"/>
  <c r="AJ18" i="11"/>
  <c r="AG44" i="11"/>
  <c r="AQ135" i="11"/>
  <c r="AX5" i="11"/>
  <c r="AM96" i="11"/>
  <c r="O83" i="11"/>
  <c r="U161" i="11"/>
  <c r="H109" i="11"/>
  <c r="AN18" i="11"/>
  <c r="AL135" i="11"/>
  <c r="AL96" i="11"/>
  <c r="S161" i="11"/>
  <c r="AL70" i="11"/>
  <c r="J122" i="11"/>
  <c r="C83" i="11"/>
  <c r="AT57" i="11"/>
  <c r="K44" i="11"/>
  <c r="Y96" i="11"/>
  <c r="AK148" i="11"/>
  <c r="AP109" i="11"/>
  <c r="AO70" i="11"/>
  <c r="I148" i="11"/>
  <c r="AU161" i="11"/>
  <c r="L96" i="11"/>
  <c r="AB174" i="11"/>
  <c r="J18" i="11"/>
  <c r="L161" i="11"/>
  <c r="AW122" i="11"/>
  <c r="P57" i="11"/>
  <c r="AD135" i="11"/>
  <c r="AI174" i="11"/>
  <c r="P161" i="11"/>
  <c r="V96" i="11"/>
  <c r="AE44" i="11"/>
  <c r="W96" i="11"/>
  <c r="O5" i="11"/>
  <c r="X161" i="11"/>
  <c r="AW174" i="11"/>
  <c r="AP174" i="11"/>
  <c r="AD18" i="11"/>
  <c r="AG57" i="11"/>
  <c r="W187" i="11"/>
  <c r="M161" i="11"/>
  <c r="AP70" i="11"/>
  <c r="AH109" i="11"/>
  <c r="AX96" i="11"/>
  <c r="K31" i="11"/>
  <c r="V161" i="11"/>
  <c r="T135" i="11"/>
  <c r="V5" i="11"/>
  <c r="D135" i="11"/>
  <c r="Q135" i="11"/>
  <c r="V44" i="11"/>
  <c r="AO187" i="11"/>
  <c r="L70" i="11"/>
  <c r="M70" i="11"/>
  <c r="D44" i="11"/>
  <c r="U109" i="11"/>
  <c r="N187" i="11"/>
  <c r="S148" i="11"/>
  <c r="V57" i="11"/>
  <c r="AH161" i="11"/>
  <c r="AR122" i="11"/>
  <c r="AQ122" i="11"/>
  <c r="N122" i="11"/>
  <c r="AC135" i="11"/>
  <c r="V148" i="11"/>
  <c r="AD44" i="11"/>
  <c r="AO161" i="11"/>
  <c r="J57" i="11"/>
  <c r="Q70" i="11"/>
  <c r="N44" i="11"/>
  <c r="G174" i="11"/>
  <c r="E99" i="6"/>
  <c r="AA135" i="11"/>
  <c r="Z174" i="11"/>
  <c r="L135" i="11"/>
  <c r="F5" i="11"/>
  <c r="F96" i="11"/>
  <c r="N31" i="11"/>
  <c r="E148" i="11"/>
  <c r="S31" i="11"/>
  <c r="P200" i="11"/>
  <c r="AH122" i="11"/>
  <c r="AC122" i="11"/>
  <c r="AH148" i="11"/>
  <c r="AM122" i="11"/>
  <c r="N109" i="11"/>
  <c r="AA83" i="11"/>
  <c r="AU122" i="11"/>
  <c r="U57" i="11"/>
  <c r="AQ161" i="11"/>
  <c r="AS109" i="11"/>
  <c r="AG5" i="11"/>
  <c r="H70" i="11"/>
  <c r="G148" i="11"/>
  <c r="U96" i="11"/>
  <c r="AW187" i="11"/>
  <c r="AT135" i="11"/>
  <c r="K148" i="11"/>
  <c r="G18" i="11"/>
  <c r="F122" i="11"/>
  <c r="AP31" i="11"/>
  <c r="AS44" i="11"/>
  <c r="AE83" i="11"/>
  <c r="C18" i="11"/>
  <c r="AT83" i="11"/>
  <c r="AT44" i="11"/>
  <c r="AX18" i="11"/>
  <c r="AL174" i="11"/>
  <c r="AV109" i="11"/>
  <c r="J109" i="11"/>
  <c r="AK135" i="11"/>
  <c r="AE200" i="11"/>
  <c r="S187" i="11"/>
  <c r="P18" i="11"/>
  <c r="L83" i="11"/>
  <c r="N57" i="11"/>
  <c r="AN44" i="11"/>
  <c r="AK44" i="11"/>
  <c r="X57" i="11"/>
  <c r="AA200" i="11"/>
  <c r="W200" i="11"/>
  <c r="AI5" i="11"/>
  <c r="AC5" i="11"/>
  <c r="W122" i="11"/>
  <c r="X31" i="11"/>
  <c r="AA44" i="11"/>
  <c r="AK96" i="11"/>
  <c r="E5" i="11"/>
  <c r="Z18" i="11"/>
  <c r="T122" i="11"/>
  <c r="AM200" i="11"/>
  <c r="AJ148" i="11"/>
  <c r="U148" i="11"/>
  <c r="T109" i="11"/>
  <c r="E135" i="11"/>
  <c r="M5" i="11"/>
  <c r="AW135" i="11"/>
  <c r="AW161" i="11"/>
  <c r="AD174" i="11"/>
  <c r="AE174" i="11"/>
  <c r="AF57" i="11"/>
  <c r="F31" i="11"/>
  <c r="AL161" i="11"/>
  <c r="AT148" i="11"/>
  <c r="AI122" i="11"/>
  <c r="W18" i="11"/>
  <c r="AD70" i="11"/>
  <c r="AV96" i="11"/>
  <c r="L187" i="11"/>
  <c r="AF31" i="11"/>
  <c r="V70" i="11"/>
  <c r="AI96" i="11"/>
  <c r="M44" i="11"/>
  <c r="N83" i="11"/>
  <c r="AS122" i="11"/>
  <c r="AR135" i="11"/>
  <c r="D187" i="11"/>
  <c r="F70" i="11"/>
  <c r="AU135" i="11"/>
  <c r="C109" i="11"/>
  <c r="AX70" i="11"/>
  <c r="E31" i="11"/>
  <c r="H83" i="11"/>
  <c r="AG122" i="11"/>
  <c r="S109" i="11"/>
  <c r="O148" i="11"/>
  <c r="K122" i="11"/>
  <c r="O174" i="11"/>
  <c r="AK122" i="11"/>
  <c r="R44" i="11"/>
  <c r="K96" i="11"/>
  <c r="AX31" i="11"/>
  <c r="R122" i="11"/>
  <c r="W5" i="11"/>
  <c r="AN96" i="11"/>
  <c r="E44" i="11"/>
  <c r="Q174" i="11"/>
  <c r="G57" i="11"/>
  <c r="AR5" i="11"/>
  <c r="R109" i="11"/>
  <c r="O70" i="11"/>
  <c r="E122" i="11"/>
  <c r="AB135" i="11"/>
  <c r="Q109" i="11"/>
  <c r="AV187" i="11"/>
  <c r="AO57" i="11"/>
  <c r="R148" i="11"/>
  <c r="J174" i="11"/>
  <c r="D5" i="11"/>
  <c r="AP5" i="11"/>
  <c r="K57" i="11"/>
  <c r="AD187" i="11"/>
  <c r="N200" i="11"/>
  <c r="K174" i="11"/>
  <c r="Y122" i="11"/>
  <c r="S122" i="11"/>
  <c r="AV44" i="11"/>
  <c r="C70" i="11"/>
  <c r="AK174" i="11"/>
  <c r="D31" i="11"/>
  <c r="W70" i="11"/>
  <c r="AU109" i="11"/>
  <c r="Z161" i="11"/>
  <c r="C174" i="11"/>
  <c r="AB70" i="11"/>
  <c r="AN70" i="11"/>
  <c r="AW70" i="11"/>
  <c r="J70" i="11"/>
  <c r="Y109" i="11"/>
  <c r="AQ57" i="11"/>
  <c r="AB31" i="11"/>
  <c r="AA174" i="11"/>
  <c r="Y148" i="11"/>
  <c r="AL148" i="11"/>
  <c r="AM18" i="11"/>
  <c r="N148" i="11"/>
  <c r="E161" i="11"/>
  <c r="H31" i="11"/>
  <c r="X83" i="11"/>
  <c r="U187" i="11"/>
  <c r="AH5" i="11"/>
  <c r="AV83" i="11"/>
  <c r="D96" i="11"/>
  <c r="AX187" i="11"/>
  <c r="AT31" i="11"/>
  <c r="AF83" i="11"/>
  <c r="U200" i="11"/>
  <c r="Y174" i="11"/>
  <c r="Z5" i="11"/>
  <c r="AV148" i="11"/>
  <c r="AO31" i="11"/>
  <c r="AS96" i="11"/>
  <c r="AR57" i="11"/>
  <c r="X96" i="11"/>
  <c r="I109" i="11"/>
  <c r="AF122" i="11"/>
  <c r="AI109" i="11"/>
  <c r="M31" i="11"/>
  <c r="W31" i="11"/>
  <c r="J200" i="11"/>
  <c r="AT161" i="11"/>
  <c r="R200" i="11"/>
  <c r="Q44" i="11"/>
  <c r="AW18" i="11"/>
  <c r="AH44" i="11"/>
  <c r="X18" i="11"/>
  <c r="V109" i="11"/>
  <c r="AP96" i="11"/>
  <c r="M187" i="11"/>
  <c r="W135" i="11"/>
  <c r="G161" i="11"/>
  <c r="T5" i="11"/>
  <c r="AA122" i="11"/>
  <c r="F161" i="11"/>
  <c r="T57" i="11"/>
  <c r="AF148" i="11"/>
  <c r="AV122" i="11"/>
  <c r="C135" i="11"/>
  <c r="AL5" i="11"/>
  <c r="AC83" i="11"/>
  <c r="AF161" i="11"/>
  <c r="L57" i="11"/>
  <c r="AS148" i="11"/>
  <c r="AN135" i="11"/>
  <c r="AO109" i="11"/>
  <c r="AG161" i="11"/>
  <c r="F148" i="11"/>
  <c r="AI57" i="11"/>
  <c r="AW57" i="11"/>
  <c r="AN31" i="11"/>
  <c r="AV70" i="11"/>
  <c r="AE135" i="11"/>
  <c r="AP200" i="11"/>
  <c r="AT70" i="11"/>
  <c r="AF18" i="11"/>
  <c r="AP122" i="11"/>
  <c r="AX174" i="11"/>
  <c r="E96" i="11"/>
  <c r="F57" i="11"/>
  <c r="X135" i="11"/>
  <c r="X200" i="11"/>
  <c r="Q96" i="11"/>
  <c r="I18" i="11"/>
  <c r="P70" i="11"/>
  <c r="AX148" i="11"/>
  <c r="AK5" i="11"/>
  <c r="Q187" i="11"/>
  <c r="AH57" i="11"/>
  <c r="AG83" i="11"/>
  <c r="AJ57" i="11"/>
  <c r="H18" i="11"/>
  <c r="AL44" i="11"/>
  <c r="C57" i="11"/>
  <c r="AS57" i="11"/>
  <c r="AO44" i="11"/>
  <c r="AQ31" i="11"/>
  <c r="AR161" i="11"/>
  <c r="AS18" i="11"/>
  <c r="G96" i="11"/>
  <c r="I96" i="11"/>
  <c r="X5" i="11"/>
  <c r="W174" i="11"/>
  <c r="AI83" i="11"/>
  <c r="H174" i="11"/>
  <c r="O31" i="11"/>
  <c r="F83" i="11"/>
  <c r="AU44" i="11"/>
  <c r="AS200" i="11"/>
  <c r="N18" i="11"/>
  <c r="R174" i="11"/>
  <c r="L18" i="11"/>
  <c r="D109" i="11"/>
  <c r="I83" i="11"/>
  <c r="S5" i="11"/>
  <c r="G109" i="11"/>
  <c r="H122" i="11"/>
  <c r="AI18" i="11"/>
  <c r="AF187" i="11"/>
  <c r="V18" i="11"/>
  <c r="AW109" i="11"/>
  <c r="L122" i="11"/>
  <c r="P109" i="11"/>
  <c r="AT187" i="11"/>
  <c r="T187" i="11"/>
  <c r="G135" i="11"/>
  <c r="T31" i="11"/>
  <c r="Z96" i="11"/>
  <c r="Z148" i="11"/>
  <c r="AP161" i="11"/>
  <c r="AE148" i="11"/>
  <c r="AJ5" i="11"/>
  <c r="AC31" i="11"/>
  <c r="I70" i="11"/>
  <c r="AQ109" i="11"/>
  <c r="AE18" i="11"/>
  <c r="AE70" i="11"/>
  <c r="Y187" i="11"/>
  <c r="AN109" i="11"/>
  <c r="Q5" i="11"/>
  <c r="AO5" i="11"/>
  <c r="AD161" i="11"/>
  <c r="AW200" i="11"/>
  <c r="Q83" i="11"/>
  <c r="H5" i="11"/>
  <c r="AR148" i="11"/>
  <c r="N161" i="11"/>
  <c r="AM83" i="11"/>
  <c r="AN200" i="11"/>
  <c r="AJ70" i="11"/>
  <c r="J5" i="11"/>
  <c r="AD109" i="11"/>
  <c r="AO200" i="11"/>
  <c r="U83" i="11"/>
  <c r="I122" i="11"/>
  <c r="AT96" i="11"/>
  <c r="AD57" i="11"/>
  <c r="D18" i="11"/>
  <c r="AR83" i="11"/>
  <c r="AQ70" i="11"/>
  <c r="AM148" i="11"/>
  <c r="AW148" i="11"/>
  <c r="AR18" i="11"/>
  <c r="S200" i="11"/>
  <c r="L200" i="11"/>
  <c r="AU200" i="11"/>
  <c r="AB44" i="11"/>
  <c r="N96" i="11"/>
  <c r="AX57" i="11"/>
  <c r="K200" i="11"/>
  <c r="AJ135" i="11"/>
  <c r="AI200" i="11"/>
  <c r="AH96" i="11"/>
  <c r="E187" i="11"/>
  <c r="AH31" i="11"/>
  <c r="V174" i="11"/>
  <c r="AA70" i="11"/>
  <c r="AJ83" i="11"/>
  <c r="K135" i="11"/>
  <c r="V200" i="11"/>
  <c r="Y135" i="11"/>
  <c r="AT18" i="11"/>
  <c r="AP135" i="11"/>
  <c r="AR174" i="11"/>
  <c r="T200" i="11"/>
  <c r="AE109" i="11"/>
  <c r="I44" i="11"/>
  <c r="AS5" i="11"/>
  <c r="O122" i="11"/>
  <c r="R187" i="11"/>
  <c r="AJ174" i="11"/>
  <c r="P148" i="11"/>
  <c r="AW5" i="11"/>
  <c r="AE5" i="11"/>
  <c r="P96" i="11"/>
  <c r="W148" i="11"/>
  <c r="AA18" i="11"/>
  <c r="AA148" i="11"/>
  <c r="C148" i="11"/>
  <c r="AL83" i="11"/>
  <c r="J44" i="11"/>
  <c r="AM109" i="11"/>
  <c r="D200" i="11"/>
  <c r="F187" i="11"/>
  <c r="K109" i="11"/>
  <c r="AU18" i="11"/>
  <c r="AG31" i="11"/>
  <c r="Y31" i="11"/>
  <c r="O161" i="11"/>
  <c r="AG200" i="11"/>
  <c r="AJ187" i="11"/>
  <c r="AE31" i="11"/>
  <c r="AG148" i="11"/>
  <c r="T44" i="11"/>
  <c r="AU70" i="11"/>
  <c r="AR200" i="11"/>
  <c r="U70" i="11"/>
  <c r="E83" i="11"/>
  <c r="AV18" i="11"/>
  <c r="J187" i="11"/>
  <c r="AG70" i="11"/>
  <c r="V135" i="11"/>
  <c r="R96" i="11"/>
  <c r="Q161" i="11"/>
  <c r="AA5" i="11"/>
  <c r="L44" i="11"/>
  <c r="AU96" i="11"/>
  <c r="E57" i="11"/>
  <c r="I135" i="11"/>
  <c r="AK161" i="11"/>
  <c r="AQ200" i="11"/>
  <c r="AA109" i="11"/>
  <c r="AU57" i="11"/>
  <c r="M200" i="11"/>
  <c r="AP148" i="11"/>
  <c r="AJ44" i="11"/>
  <c r="AB200" i="11"/>
  <c r="V31" i="11"/>
  <c r="Z135" i="11"/>
  <c r="AX44" i="11"/>
  <c r="Z70" i="11"/>
  <c r="L5" i="11"/>
  <c r="AS187" i="11"/>
  <c r="AE187" i="11"/>
  <c r="AK18" i="11"/>
  <c r="AI148" i="11"/>
  <c r="D57" i="11"/>
  <c r="P122" i="11"/>
  <c r="D174" i="11"/>
  <c r="E174" i="11"/>
  <c r="AK200" i="11"/>
  <c r="AH83" i="11"/>
  <c r="AE161" i="11"/>
  <c r="AN174" i="11"/>
  <c r="S44" i="11"/>
  <c r="P187" i="11"/>
  <c r="C122" i="11"/>
  <c r="Z44" i="11"/>
  <c r="AB18" i="11"/>
  <c r="AC70" i="11"/>
  <c r="AG96" i="11"/>
  <c r="Y44" i="11"/>
  <c r="AE122" i="11"/>
  <c r="X44" i="11"/>
  <c r="AP187" i="11"/>
  <c r="AS135" i="11"/>
  <c r="O96" i="11"/>
  <c r="T70" i="11"/>
  <c r="F18" i="11"/>
  <c r="AG135" i="11"/>
  <c r="L174" i="11"/>
  <c r="AA96" i="11"/>
  <c r="AI135" i="11"/>
  <c r="L31" i="11"/>
  <c r="AI70" i="11"/>
  <c r="AP57" i="11"/>
  <c r="E109" i="11"/>
  <c r="AU148" i="11"/>
  <c r="O44" i="11"/>
  <c r="AC161" i="11"/>
  <c r="H200" i="11"/>
  <c r="D161" i="11"/>
  <c r="AK109" i="11"/>
  <c r="AI187" i="11"/>
  <c r="I57" i="11"/>
  <c r="V187" i="11"/>
  <c r="W57" i="11"/>
  <c r="AO18" i="11"/>
  <c r="Q148" i="11"/>
  <c r="C96" i="11"/>
  <c r="I187" i="11"/>
  <c r="D83" i="11"/>
  <c r="J148" i="11"/>
  <c r="AB187" i="11"/>
  <c r="G122" i="11"/>
  <c r="AM70" i="11"/>
  <c r="M122" i="11"/>
  <c r="T161" i="11"/>
  <c r="V83" i="11"/>
  <c r="W161" i="11"/>
  <c r="AV135" i="11"/>
  <c r="AF109" i="11"/>
  <c r="L148" i="11"/>
  <c r="AG18" i="11"/>
  <c r="G44" i="11"/>
  <c r="E200" i="11"/>
  <c r="AE57" i="11"/>
  <c r="AE96" i="11"/>
  <c r="G31" i="11"/>
  <c r="AD83" i="11"/>
  <c r="Z109" i="11"/>
  <c r="AX200" i="11"/>
  <c r="AM161" i="11"/>
  <c r="AF200" i="11"/>
  <c r="AM187" i="11"/>
  <c r="AM31" i="11"/>
  <c r="Q200" i="11"/>
  <c r="AC109" i="11"/>
  <c r="AD5" i="11"/>
  <c r="G83" i="11"/>
  <c r="F44" i="11"/>
  <c r="AT200" i="11"/>
  <c r="N135" i="11"/>
  <c r="J96" i="11"/>
  <c r="F200" i="11"/>
  <c r="AU187" i="11"/>
  <c r="AU31" i="11"/>
  <c r="Q31" i="11"/>
  <c r="AR109" i="11"/>
  <c r="X174" i="11"/>
  <c r="AA57" i="11"/>
  <c r="AL109" i="11"/>
  <c r="AI161" i="11"/>
  <c r="K161" i="11"/>
  <c r="AB109" i="11"/>
  <c r="AQ148" i="11"/>
  <c r="AH135" i="11"/>
  <c r="O200" i="11"/>
  <c r="AO174" i="11"/>
  <c r="Y18" i="11"/>
  <c r="AB5" i="11"/>
  <c r="O187" i="11"/>
  <c r="AC148" i="11"/>
  <c r="AC174" i="11"/>
  <c r="C31" i="11"/>
  <c r="U174" i="11"/>
  <c r="AX109" i="11"/>
  <c r="AP83" i="11"/>
  <c r="L109" i="11"/>
  <c r="X187" i="11"/>
  <c r="AD96" i="11"/>
  <c r="W109" i="11"/>
  <c r="J83" i="11"/>
  <c r="AR31" i="11"/>
  <c r="S96" i="11"/>
  <c r="N174" i="11"/>
  <c r="R18" i="11"/>
  <c r="M83" i="11"/>
  <c r="AN83" i="11"/>
  <c r="Z83" i="11"/>
  <c r="AV5" i="11"/>
  <c r="G70" i="11"/>
  <c r="I174" i="11"/>
  <c r="AB83" i="11"/>
  <c r="AM174" i="11"/>
  <c r="AO135" i="11"/>
  <c r="AX83" i="11"/>
  <c r="AF44" i="11"/>
  <c r="M174" i="11"/>
  <c r="D148" i="11"/>
  <c r="AR44" i="11"/>
  <c r="T148" i="11"/>
  <c r="P5" i="11"/>
  <c r="AW96" i="11"/>
  <c r="AW31" i="11"/>
  <c r="AH200" i="11"/>
  <c r="M96" i="11"/>
  <c r="AX161" i="11"/>
  <c r="AB161" i="11"/>
  <c r="M148" i="11"/>
  <c r="AB122" i="11"/>
  <c r="P174" i="11"/>
  <c r="Z31" i="11"/>
  <c r="S70" i="11"/>
  <c r="H187" i="11"/>
  <c r="C5" i="11"/>
  <c r="W83" i="11"/>
  <c r="U31" i="11"/>
  <c r="X70" i="11"/>
  <c r="AN57" i="11"/>
  <c r="AC44" i="11"/>
  <c r="K18" i="11"/>
  <c r="AO148" i="11"/>
  <c r="O109" i="11"/>
  <c r="I200" i="11"/>
  <c r="AP18" i="11"/>
  <c r="H99" i="5"/>
  <c r="D43" i="6"/>
  <c r="D52" i="5"/>
  <c r="AA99" i="5"/>
  <c r="D67" i="5"/>
  <c r="J99" i="5"/>
  <c r="D61" i="6"/>
  <c r="AF99" i="5"/>
  <c r="D61" i="5"/>
  <c r="D82" i="6"/>
  <c r="AR99" i="5"/>
  <c r="T26" i="11" l="1"/>
  <c r="T27" i="11" s="1"/>
  <c r="I169" i="11"/>
  <c r="I170" i="11" s="1"/>
  <c r="C101" i="5"/>
  <c r="D101" i="5" s="1"/>
  <c r="D100" i="5"/>
  <c r="D99" i="5"/>
  <c r="C99" i="5"/>
  <c r="J54" i="1" s="1"/>
  <c r="X117" i="11"/>
  <c r="X118" i="11" s="1"/>
  <c r="F13" i="11"/>
  <c r="F14" i="11" s="1"/>
  <c r="AX78" i="11"/>
  <c r="AX79" i="11" s="1"/>
  <c r="L169" i="11"/>
  <c r="L170" i="11" s="1"/>
  <c r="Y39" i="11"/>
  <c r="Y40" i="11" s="1"/>
  <c r="AC91" i="11"/>
  <c r="AC92" i="11" s="1"/>
  <c r="AX39" i="11"/>
  <c r="AX40" i="11" s="1"/>
  <c r="P117" i="11"/>
  <c r="P118" i="11" s="1"/>
  <c r="AX208" i="11"/>
  <c r="AX209" i="11" s="1"/>
  <c r="E104" i="11"/>
  <c r="E105" i="11" s="1"/>
  <c r="O169" i="11"/>
  <c r="O170" i="11" s="1"/>
  <c r="AN65" i="11"/>
  <c r="AN66" i="11" s="1"/>
  <c r="L65" i="11"/>
  <c r="L66" i="11" s="1"/>
  <c r="AT104" i="11"/>
  <c r="AT105" i="11" s="1"/>
  <c r="AD52" i="11"/>
  <c r="AD53" i="11" s="1"/>
  <c r="AL91" i="11"/>
  <c r="AL92" i="11" s="1"/>
  <c r="J208" i="11"/>
  <c r="J209" i="11" s="1"/>
  <c r="W65" i="11"/>
  <c r="W66" i="11" s="1"/>
  <c r="J182" i="11"/>
  <c r="J183" i="11" s="1"/>
  <c r="E65" i="11"/>
  <c r="E66" i="11" s="1"/>
  <c r="AD143" i="11"/>
  <c r="AD144" i="11" s="1"/>
  <c r="S208" i="11"/>
  <c r="S209" i="11" s="1"/>
  <c r="AL26" i="11"/>
  <c r="AL27" i="11" s="1"/>
  <c r="AA169" i="11"/>
  <c r="AA170" i="11" s="1"/>
  <c r="G182" i="11"/>
  <c r="G183" i="11" s="1"/>
  <c r="L156" i="11"/>
  <c r="L157" i="11" s="1"/>
  <c r="AU104" i="11"/>
  <c r="AU105" i="11" s="1"/>
  <c r="H130" i="11"/>
  <c r="H131" i="11" s="1"/>
  <c r="R182" i="11"/>
  <c r="R183" i="11" s="1"/>
  <c r="AB195" i="11"/>
  <c r="AB196" i="11" s="1"/>
  <c r="AN26" i="11"/>
  <c r="AN27" i="11" s="1"/>
  <c r="M52" i="11"/>
  <c r="M53" i="11" s="1"/>
  <c r="AP208" i="11"/>
  <c r="AP209" i="11" s="1"/>
  <c r="W117" i="11"/>
  <c r="W118" i="11" s="1"/>
  <c r="AG52" i="11"/>
  <c r="AG53" i="11" s="1"/>
  <c r="Z195" i="11"/>
  <c r="Z196" i="11" s="1"/>
  <c r="K52" i="11"/>
  <c r="K53" i="11" s="1"/>
  <c r="C39" i="11"/>
  <c r="C40" i="11" s="1"/>
  <c r="AB104" i="11"/>
  <c r="AB105" i="11" s="1"/>
  <c r="AR91" i="11"/>
  <c r="AR92" i="11" s="1"/>
  <c r="AJ195" i="11"/>
  <c r="AJ196" i="11" s="1"/>
  <c r="AJ117" i="11"/>
  <c r="AJ118" i="11" s="1"/>
  <c r="P104" i="11"/>
  <c r="P105" i="11" s="1"/>
  <c r="M156" i="11"/>
  <c r="M157" i="11" s="1"/>
  <c r="AA26" i="11"/>
  <c r="AA27" i="11" s="1"/>
  <c r="V208" i="11"/>
  <c r="V209" i="11" s="1"/>
  <c r="F182" i="11"/>
  <c r="F183" i="11" s="1"/>
  <c r="N104" i="11"/>
  <c r="N105" i="11" s="1"/>
  <c r="AG78" i="11"/>
  <c r="AG79" i="11" s="1"/>
  <c r="AI208" i="11"/>
  <c r="AI209" i="11" s="1"/>
  <c r="Q169" i="11"/>
  <c r="Q170" i="11" s="1"/>
  <c r="K78" i="11"/>
  <c r="K79" i="11" s="1"/>
  <c r="AQ195" i="11"/>
  <c r="AQ196" i="11" s="1"/>
  <c r="AE78" i="11"/>
  <c r="AE79" i="11" s="1"/>
  <c r="AH195" i="11"/>
  <c r="AH196" i="11" s="1"/>
  <c r="AK13" i="11"/>
  <c r="AK14" i="11" s="1"/>
  <c r="AQ13" i="11"/>
  <c r="AQ14" i="11" s="1"/>
  <c r="AU13" i="11"/>
  <c r="AU14" i="11" s="1"/>
  <c r="AX52" i="11"/>
  <c r="AX53" i="11" s="1"/>
  <c r="P169" i="11"/>
  <c r="P170" i="11" s="1"/>
  <c r="AE130" i="11"/>
  <c r="AE131" i="11" s="1"/>
  <c r="R143" i="11"/>
  <c r="R144" i="11" s="1"/>
  <c r="AG195" i="11"/>
  <c r="AG196" i="11" s="1"/>
  <c r="AL78" i="11"/>
  <c r="AL79" i="11" s="1"/>
  <c r="AK143" i="11"/>
  <c r="AK144" i="11" s="1"/>
  <c r="AB78" i="11"/>
  <c r="AB79" i="11" s="1"/>
  <c r="AI195" i="11"/>
  <c r="AI196" i="11" s="1"/>
  <c r="X143" i="11"/>
  <c r="X144" i="11" s="1"/>
  <c r="AI78" i="11"/>
  <c r="AI79" i="11" s="1"/>
  <c r="AN182" i="11"/>
  <c r="AN183" i="11" s="1"/>
  <c r="AK156" i="11"/>
  <c r="AK157" i="11" s="1"/>
  <c r="AV26" i="11"/>
  <c r="AV27" i="11" s="1"/>
  <c r="AE104" i="11"/>
  <c r="AE105" i="11" s="1"/>
  <c r="E130" i="11"/>
  <c r="E131" i="11" s="1"/>
  <c r="AM208" i="11"/>
  <c r="AM209" i="11" s="1"/>
  <c r="AI13" i="11"/>
  <c r="AI14" i="11" s="1"/>
  <c r="AI117" i="11"/>
  <c r="AI118" i="11" s="1"/>
  <c r="AJ52" i="11"/>
  <c r="AJ53" i="11" s="1"/>
  <c r="AS52" i="11"/>
  <c r="AS53" i="11" s="1"/>
  <c r="K39" i="11"/>
  <c r="K40" i="11" s="1"/>
  <c r="AK117" i="11"/>
  <c r="AK118" i="11" s="1"/>
  <c r="P39" i="11"/>
  <c r="P40" i="11" s="1"/>
  <c r="U195" i="11"/>
  <c r="U196" i="11" s="1"/>
  <c r="AX130" i="11"/>
  <c r="AX131" i="11" s="1"/>
  <c r="AS182" i="11"/>
  <c r="AS183" i="11" s="1"/>
  <c r="L117" i="11"/>
  <c r="L118" i="11" s="1"/>
  <c r="N26" i="11"/>
  <c r="N27" i="11" s="1"/>
  <c r="K26" i="11"/>
  <c r="K27" i="11" s="1"/>
  <c r="AG156" i="11"/>
  <c r="AG157" i="11" s="1"/>
  <c r="N130" i="11"/>
  <c r="N131" i="11" s="1"/>
  <c r="AV130" i="11"/>
  <c r="AV131" i="11" s="1"/>
  <c r="AJ156" i="11"/>
  <c r="AJ157" i="11" s="1"/>
  <c r="AW117" i="11"/>
  <c r="AW118" i="11" s="1"/>
  <c r="AV91" i="11"/>
  <c r="AV92" i="11" s="1"/>
  <c r="AE117" i="11"/>
  <c r="AE118" i="11" s="1"/>
  <c r="L208" i="11"/>
  <c r="L209" i="11" s="1"/>
  <c r="AC182" i="11"/>
  <c r="AC183" i="11" s="1"/>
  <c r="AB65" i="11"/>
  <c r="AB66" i="11" s="1"/>
  <c r="AS195" i="11"/>
  <c r="AS196" i="11" s="1"/>
  <c r="T104" i="11"/>
  <c r="T105" i="11" s="1"/>
  <c r="AG65" i="11"/>
  <c r="AG66" i="11" s="1"/>
  <c r="AR104" i="11"/>
  <c r="AR105" i="11" s="1"/>
  <c r="AV208" i="11"/>
  <c r="AV209" i="11" s="1"/>
  <c r="G156" i="11"/>
  <c r="G157" i="11" s="1"/>
  <c r="Z26" i="11"/>
  <c r="Z27" i="11" s="1"/>
  <c r="AR182" i="11"/>
  <c r="AR183" i="11" s="1"/>
  <c r="AH91" i="11"/>
  <c r="AH92" i="11" s="1"/>
  <c r="AB130" i="11"/>
  <c r="AB131" i="11" s="1"/>
  <c r="AU143" i="11"/>
  <c r="AU144" i="11" s="1"/>
  <c r="S156" i="11"/>
  <c r="S157" i="11" s="1"/>
  <c r="AF13" i="11"/>
  <c r="AF14" i="11" s="1"/>
  <c r="N65" i="11"/>
  <c r="N66" i="11" s="1"/>
  <c r="T78" i="11"/>
  <c r="T79" i="11" s="1"/>
  <c r="H208" i="11"/>
  <c r="H209" i="11" s="1"/>
  <c r="X104" i="11"/>
  <c r="X105" i="11" s="1"/>
  <c r="AT78" i="11"/>
  <c r="AT79" i="11" s="1"/>
  <c r="P78" i="11"/>
  <c r="P79" i="11" s="1"/>
  <c r="Y91" i="11"/>
  <c r="Y92" i="11" s="1"/>
  <c r="F117" i="11"/>
  <c r="F118" i="11" s="1"/>
  <c r="U26" i="11"/>
  <c r="U27" i="11" s="1"/>
  <c r="AO130" i="11"/>
  <c r="AO131" i="11" s="1"/>
  <c r="Z169" i="11"/>
  <c r="Z170" i="11" s="1"/>
  <c r="Z52" i="11"/>
  <c r="Z53" i="11" s="1"/>
  <c r="H39" i="11"/>
  <c r="H40" i="11" s="1"/>
  <c r="AG91" i="11"/>
  <c r="AG92" i="11" s="1"/>
  <c r="AS78" i="11"/>
  <c r="AS79" i="11" s="1"/>
  <c r="AP91" i="11"/>
  <c r="AP92" i="11" s="1"/>
  <c r="D104" i="11"/>
  <c r="D105" i="11" s="1"/>
  <c r="F91" i="11"/>
  <c r="F92" i="11" s="1"/>
  <c r="AM130" i="11"/>
  <c r="AM131" i="11" s="1"/>
  <c r="O13" i="11"/>
  <c r="O14" i="11" s="1"/>
  <c r="AL182" i="11"/>
  <c r="AL183" i="11" s="1"/>
  <c r="C195" i="11"/>
  <c r="C196" i="11" s="1"/>
  <c r="AE39" i="11"/>
  <c r="AE40" i="11" s="1"/>
  <c r="C78" i="11"/>
  <c r="C79" i="11" s="1"/>
  <c r="Z13" i="11"/>
  <c r="Z14" i="11" s="1"/>
  <c r="D169" i="11"/>
  <c r="D170" i="11" s="1"/>
  <c r="Z39" i="11"/>
  <c r="Z40" i="11" s="1"/>
  <c r="AU65" i="11"/>
  <c r="AU66" i="11" s="1"/>
  <c r="H182" i="11"/>
  <c r="H183" i="11" s="1"/>
  <c r="AP78" i="11"/>
  <c r="AP79" i="11" s="1"/>
  <c r="AT182" i="11"/>
  <c r="AT183" i="11" s="1"/>
  <c r="V143" i="11"/>
  <c r="V144" i="11" s="1"/>
  <c r="M26" i="11"/>
  <c r="M27" i="11" s="1"/>
  <c r="AE143" i="11"/>
  <c r="AE144" i="11" s="1"/>
  <c r="E13" i="11"/>
  <c r="E14" i="11" s="1"/>
  <c r="AU91" i="11"/>
  <c r="AU92" i="11" s="1"/>
  <c r="M91" i="11"/>
  <c r="M92" i="11" s="1"/>
  <c r="E91" i="11"/>
  <c r="E92" i="11" s="1"/>
  <c r="AO13" i="11"/>
  <c r="AO14" i="11" s="1"/>
  <c r="W130" i="11"/>
  <c r="W131" i="11" s="1"/>
  <c r="AL130" i="11"/>
  <c r="AL131" i="11" s="1"/>
  <c r="L78" i="11"/>
  <c r="L79" i="11" s="1"/>
  <c r="AK65" i="11"/>
  <c r="AK66" i="11" s="1"/>
  <c r="F208" i="11"/>
  <c r="F209" i="11" s="1"/>
  <c r="AC195" i="11"/>
  <c r="AC196" i="11" s="1"/>
  <c r="AJ208" i="11"/>
  <c r="AJ209" i="11" s="1"/>
  <c r="AT26" i="11"/>
  <c r="AT27" i="11" s="1"/>
  <c r="AQ156" i="11"/>
  <c r="AQ157" i="11" s="1"/>
  <c r="E78" i="11"/>
  <c r="E79" i="11" s="1"/>
  <c r="AI91" i="11"/>
  <c r="AI92" i="11" s="1"/>
  <c r="D13" i="11"/>
  <c r="D14" i="11" s="1"/>
  <c r="X130" i="11"/>
  <c r="X131" i="11" s="1"/>
  <c r="V169" i="11"/>
  <c r="V170" i="11" s="1"/>
  <c r="AI39" i="11"/>
  <c r="AI40" i="11" s="1"/>
  <c r="AS208" i="11"/>
  <c r="AS209" i="11" s="1"/>
  <c r="S39" i="11"/>
  <c r="S40" i="11" s="1"/>
  <c r="H104" i="11"/>
  <c r="H105" i="11" s="1"/>
  <c r="AH65" i="11"/>
  <c r="AH66" i="11" s="1"/>
  <c r="AO91" i="11"/>
  <c r="AO92" i="11" s="1"/>
  <c r="K13" i="11"/>
  <c r="K14" i="11" s="1"/>
  <c r="Q208" i="11"/>
  <c r="Q209" i="11" s="1"/>
  <c r="AW39" i="11"/>
  <c r="AW40" i="11" s="1"/>
  <c r="N52" i="11"/>
  <c r="N53" i="11" s="1"/>
  <c r="AS91" i="11"/>
  <c r="AS92" i="11" s="1"/>
  <c r="W104" i="11"/>
  <c r="W105" i="11" s="1"/>
  <c r="R156" i="11"/>
  <c r="R157" i="11" s="1"/>
  <c r="Y117" i="11"/>
  <c r="Y118" i="11" s="1"/>
  <c r="Y143" i="11"/>
  <c r="Y144" i="11" s="1"/>
  <c r="Y78" i="11"/>
  <c r="Y79" i="11" s="1"/>
  <c r="I104" i="11"/>
  <c r="I105" i="11" s="1"/>
  <c r="S26" i="11"/>
  <c r="S27" i="11" s="1"/>
  <c r="AU52" i="11"/>
  <c r="AU53" i="11" s="1"/>
  <c r="AA39" i="11"/>
  <c r="AA40" i="11" s="1"/>
  <c r="AS65" i="11"/>
  <c r="AS66" i="11" s="1"/>
  <c r="Y208" i="11"/>
  <c r="Y209" i="11" s="1"/>
  <c r="I182" i="11"/>
  <c r="I183" i="11" s="1"/>
  <c r="AP13" i="11"/>
  <c r="AP14" i="11" s="1"/>
  <c r="J65" i="11"/>
  <c r="J66" i="11" s="1"/>
  <c r="G39" i="11"/>
  <c r="G40" i="11" s="1"/>
  <c r="AL65" i="11"/>
  <c r="AL66" i="11" s="1"/>
  <c r="D99" i="6"/>
  <c r="D100" i="6"/>
  <c r="C101" i="6"/>
  <c r="D101" i="6" s="1"/>
  <c r="AO78" i="11"/>
  <c r="AO79" i="11" s="1"/>
  <c r="AV169" i="11"/>
  <c r="AV170" i="11" s="1"/>
  <c r="K208" i="11"/>
  <c r="K209" i="11" s="1"/>
  <c r="J78" i="11"/>
  <c r="J79" i="11" s="1"/>
  <c r="T39" i="11"/>
  <c r="T40" i="11" s="1"/>
  <c r="AK182" i="11"/>
  <c r="AK183" i="11" s="1"/>
  <c r="S104" i="11"/>
  <c r="S105" i="11" s="1"/>
  <c r="H91" i="11"/>
  <c r="H92" i="11" s="1"/>
  <c r="AC26" i="11"/>
  <c r="AC27" i="11" s="1"/>
  <c r="AD156" i="11"/>
  <c r="AD157" i="11" s="1"/>
  <c r="Q130" i="11"/>
  <c r="Q131" i="11" s="1"/>
  <c r="D208" i="11"/>
  <c r="D209" i="11" s="1"/>
  <c r="D39" i="11"/>
  <c r="D40" i="11" s="1"/>
  <c r="AO39" i="11"/>
  <c r="AO40" i="11" s="1"/>
  <c r="AH13" i="11"/>
  <c r="AH14" i="11" s="1"/>
  <c r="U143" i="11"/>
  <c r="U144" i="11" s="1"/>
  <c r="AD195" i="11"/>
  <c r="AD196" i="11" s="1"/>
  <c r="M65" i="11"/>
  <c r="M66" i="11" s="1"/>
  <c r="H26" i="11"/>
  <c r="H27" i="11" s="1"/>
  <c r="AC117" i="11"/>
  <c r="AC118" i="11" s="1"/>
  <c r="AT208" i="11"/>
  <c r="AT209" i="11" s="1"/>
  <c r="Z78" i="11"/>
  <c r="Z79" i="11" s="1"/>
  <c r="U117" i="11"/>
  <c r="U118" i="11" s="1"/>
  <c r="T195" i="11"/>
  <c r="T196" i="11" s="1"/>
  <c r="AN52" i="11"/>
  <c r="AN53" i="11" s="1"/>
  <c r="AB52" i="11"/>
  <c r="AB53" i="11" s="1"/>
  <c r="AM182" i="11"/>
  <c r="AM183" i="11" s="1"/>
  <c r="G65" i="11"/>
  <c r="G66" i="11" s="1"/>
  <c r="AV13" i="11"/>
  <c r="AV14" i="11" s="1"/>
  <c r="Z156" i="11"/>
  <c r="Z157" i="11" s="1"/>
  <c r="U130" i="11"/>
  <c r="U131" i="11" s="1"/>
  <c r="AP130" i="11"/>
  <c r="AP131" i="11" s="1"/>
  <c r="AS130" i="11"/>
  <c r="AS131" i="11" s="1"/>
  <c r="AX195" i="11"/>
  <c r="AX196" i="11" s="1"/>
  <c r="I117" i="11"/>
  <c r="I118" i="11" s="1"/>
  <c r="AH182" i="11"/>
  <c r="AH183" i="11" s="1"/>
  <c r="Q143" i="11"/>
  <c r="Q144" i="11" s="1"/>
  <c r="K130" i="11"/>
  <c r="K131" i="11" s="1"/>
  <c r="AQ208" i="11"/>
  <c r="AQ209" i="11" s="1"/>
  <c r="AV104" i="11"/>
  <c r="AV105" i="11" s="1"/>
  <c r="D195" i="11"/>
  <c r="D196" i="11" s="1"/>
  <c r="L143" i="11"/>
  <c r="L144" i="11" s="1"/>
  <c r="AH104" i="11"/>
  <c r="AH105" i="11" s="1"/>
  <c r="AI65" i="11"/>
  <c r="AI66" i="11" s="1"/>
  <c r="AH169" i="11"/>
  <c r="AH170" i="11" s="1"/>
  <c r="AO26" i="11"/>
  <c r="AO27" i="11" s="1"/>
  <c r="O78" i="11"/>
  <c r="O79" i="11" s="1"/>
  <c r="AL195" i="11"/>
  <c r="AL196" i="11" s="1"/>
  <c r="W182" i="11"/>
  <c r="W183" i="11" s="1"/>
  <c r="D52" i="11"/>
  <c r="D53" i="11" s="1"/>
  <c r="AB91" i="11"/>
  <c r="AB92" i="11" s="1"/>
  <c r="K182" i="11"/>
  <c r="K183" i="11" s="1"/>
  <c r="I26" i="11"/>
  <c r="I27" i="11" s="1"/>
  <c r="AA156" i="11"/>
  <c r="AA157" i="11" s="1"/>
  <c r="AD130" i="11"/>
  <c r="AD131" i="11" s="1"/>
  <c r="R195" i="11"/>
  <c r="R196" i="11" s="1"/>
  <c r="AX156" i="11"/>
  <c r="AX157" i="11" s="1"/>
  <c r="AC143" i="11"/>
  <c r="AC144" i="11" s="1"/>
  <c r="AO208" i="11"/>
  <c r="AO209" i="11" s="1"/>
  <c r="AV156" i="11"/>
  <c r="AV157" i="11" s="1"/>
  <c r="AL52" i="11"/>
  <c r="AL53" i="11" s="1"/>
  <c r="AT13" i="11"/>
  <c r="AT14" i="11" s="1"/>
  <c r="AI26" i="11"/>
  <c r="AI27" i="11" s="1"/>
  <c r="J39" i="11"/>
  <c r="J40" i="11" s="1"/>
  <c r="E208" i="11"/>
  <c r="E209" i="11" s="1"/>
  <c r="AK91" i="11"/>
  <c r="AK92" i="11" s="1"/>
  <c r="J169" i="11"/>
  <c r="J170" i="11" s="1"/>
  <c r="AN104" i="11"/>
  <c r="AN105" i="11" s="1"/>
  <c r="AV195" i="11"/>
  <c r="AV196" i="11" s="1"/>
  <c r="T156" i="11"/>
  <c r="T157" i="11" s="1"/>
  <c r="AX13" i="11"/>
  <c r="AX14" i="11" s="1"/>
  <c r="AH26" i="11"/>
  <c r="AH27" i="11" s="1"/>
  <c r="T91" i="11"/>
  <c r="T92" i="11" s="1"/>
  <c r="J13" i="11"/>
  <c r="J14" i="11" s="1"/>
  <c r="AV117" i="11"/>
  <c r="AV118" i="11" s="1"/>
  <c r="F169" i="11"/>
  <c r="F170" i="11" s="1"/>
  <c r="J26" i="11"/>
  <c r="J27" i="11" s="1"/>
  <c r="AU195" i="11"/>
  <c r="AU196" i="11" s="1"/>
  <c r="AN156" i="11"/>
  <c r="AN157" i="11" s="1"/>
  <c r="AE13" i="11"/>
  <c r="AE14" i="11" s="1"/>
  <c r="H143" i="11"/>
  <c r="H144" i="11" s="1"/>
  <c r="AA143" i="11"/>
  <c r="AA144" i="11" s="1"/>
  <c r="AJ26" i="11"/>
  <c r="AJ27" i="11" s="1"/>
  <c r="D156" i="11"/>
  <c r="D157" i="11" s="1"/>
  <c r="AD91" i="11"/>
  <c r="AD92" i="11" s="1"/>
  <c r="U78" i="11"/>
  <c r="U79" i="11" s="1"/>
  <c r="P195" i="11"/>
  <c r="P196" i="11" s="1"/>
  <c r="AP26" i="11"/>
  <c r="AP27" i="11" s="1"/>
  <c r="AG39" i="11"/>
  <c r="AG40" i="11" s="1"/>
  <c r="U104" i="11"/>
  <c r="U105" i="11" s="1"/>
  <c r="AG130" i="11"/>
  <c r="AG131" i="11" s="1"/>
  <c r="D78" i="11"/>
  <c r="D79" i="11" s="1"/>
  <c r="AR13" i="11"/>
  <c r="AR14" i="11" s="1"/>
  <c r="I78" i="11"/>
  <c r="I79" i="11" s="1"/>
  <c r="F78" i="11"/>
  <c r="F79" i="11" s="1"/>
  <c r="E39" i="11"/>
  <c r="E40" i="11" s="1"/>
  <c r="H117" i="11"/>
  <c r="H118" i="11" s="1"/>
  <c r="AF130" i="11"/>
  <c r="AF131" i="11" s="1"/>
  <c r="AJ39" i="11"/>
  <c r="AJ40" i="11" s="1"/>
  <c r="L52" i="11"/>
  <c r="L53" i="11" s="1"/>
  <c r="AW104" i="11"/>
  <c r="AW105" i="11" s="1"/>
  <c r="E117" i="11"/>
  <c r="E118" i="11" s="1"/>
  <c r="I13" i="11"/>
  <c r="I14" i="11" s="1"/>
  <c r="AU26" i="11"/>
  <c r="AU27" i="11" s="1"/>
  <c r="AP156" i="11"/>
  <c r="AP157" i="11" s="1"/>
  <c r="AC13" i="11"/>
  <c r="AC14" i="11" s="1"/>
  <c r="P208" i="11"/>
  <c r="P209" i="11" s="1"/>
  <c r="AE156" i="11"/>
  <c r="AE157" i="11" s="1"/>
  <c r="AU78" i="11"/>
  <c r="AU79" i="11" s="1"/>
  <c r="AD169" i="11"/>
  <c r="AD170" i="11" s="1"/>
  <c r="Z143" i="11"/>
  <c r="Z144" i="11" s="1"/>
  <c r="Z91" i="11"/>
  <c r="Z92" i="11" s="1"/>
  <c r="O130" i="11"/>
  <c r="O131" i="11" s="1"/>
  <c r="AQ182" i="11"/>
  <c r="AQ183" i="11" s="1"/>
  <c r="AV52" i="11"/>
  <c r="AV53" i="11" s="1"/>
  <c r="M130" i="11"/>
  <c r="M131" i="11" s="1"/>
  <c r="AQ52" i="11"/>
  <c r="AQ53" i="11" s="1"/>
  <c r="L26" i="11"/>
  <c r="L27" i="11" s="1"/>
  <c r="AI169" i="11"/>
  <c r="AI170" i="11" s="1"/>
  <c r="AG143" i="11"/>
  <c r="AG144" i="11" s="1"/>
  <c r="AI156" i="11"/>
  <c r="AI157" i="11" s="1"/>
  <c r="AH52" i="11"/>
  <c r="AH53" i="11" s="1"/>
  <c r="M169" i="11"/>
  <c r="M170" i="11" s="1"/>
  <c r="AT39" i="11"/>
  <c r="AT40" i="11" s="1"/>
  <c r="C182" i="11"/>
  <c r="C183" i="11" s="1"/>
  <c r="AF117" i="11"/>
  <c r="AF118" i="11" s="1"/>
  <c r="X52" i="11"/>
  <c r="X53" i="11" s="1"/>
  <c r="E169" i="11"/>
  <c r="E170" i="11" s="1"/>
  <c r="K195" i="11"/>
  <c r="K196" i="11" s="1"/>
  <c r="M182" i="11"/>
  <c r="M183" i="11" s="1"/>
  <c r="H195" i="11"/>
  <c r="H196" i="11" s="1"/>
  <c r="S117" i="11"/>
  <c r="S118" i="11" s="1"/>
  <c r="AV65" i="11"/>
  <c r="AV66" i="11" s="1"/>
  <c r="X208" i="11"/>
  <c r="X209" i="11" s="1"/>
  <c r="L104" i="11"/>
  <c r="L105" i="11" s="1"/>
  <c r="K117" i="11"/>
  <c r="K118" i="11" s="1"/>
  <c r="AW169" i="11"/>
  <c r="AW170" i="11" s="1"/>
  <c r="AP117" i="11"/>
  <c r="AP118" i="11" s="1"/>
  <c r="AB39" i="11"/>
  <c r="AB40" i="11" s="1"/>
  <c r="G78" i="11"/>
  <c r="G79" i="11" s="1"/>
  <c r="AC65" i="11"/>
  <c r="AC66" i="11" s="1"/>
  <c r="S182" i="11"/>
  <c r="S183" i="11" s="1"/>
  <c r="U39" i="11"/>
  <c r="U40" i="11" s="1"/>
  <c r="R117" i="11"/>
  <c r="R118" i="11" s="1"/>
  <c r="AQ169" i="11"/>
  <c r="AQ170" i="11" s="1"/>
  <c r="AE91" i="11"/>
  <c r="AE92" i="11" s="1"/>
  <c r="AB117" i="11"/>
  <c r="AB118" i="11" s="1"/>
  <c r="J195" i="11"/>
  <c r="J196" i="11" s="1"/>
  <c r="O143" i="11"/>
  <c r="O144" i="11" s="1"/>
  <c r="AW13" i="11"/>
  <c r="AW14" i="11" s="1"/>
  <c r="Y195" i="11"/>
  <c r="Y196" i="11" s="1"/>
  <c r="N169" i="11"/>
  <c r="N170" i="11" s="1"/>
  <c r="AV143" i="11"/>
  <c r="AV144" i="11" s="1"/>
  <c r="AM78" i="11"/>
  <c r="AM79" i="11" s="1"/>
  <c r="AQ26" i="11"/>
  <c r="AQ27" i="11" s="1"/>
  <c r="P13" i="11"/>
  <c r="P14" i="11" s="1"/>
  <c r="P65" i="11"/>
  <c r="P66" i="11" s="1"/>
  <c r="V182" i="11"/>
  <c r="V183" i="11" s="1"/>
  <c r="AW65" i="11"/>
  <c r="AW66" i="11" s="1"/>
  <c r="AG26" i="11"/>
  <c r="AG27" i="11" s="1"/>
  <c r="AC39" i="11"/>
  <c r="AC40" i="11" s="1"/>
  <c r="AU208" i="11"/>
  <c r="AU209" i="11" s="1"/>
  <c r="AE169" i="11"/>
  <c r="AE170" i="11" s="1"/>
  <c r="AD182" i="11"/>
  <c r="AD183" i="11" s="1"/>
  <c r="Q13" i="11"/>
  <c r="Q14" i="11" s="1"/>
  <c r="G169" i="11"/>
  <c r="G170" i="11" s="1"/>
  <c r="J52" i="11"/>
  <c r="J53" i="11" s="1"/>
  <c r="AX91" i="11"/>
  <c r="AX92" i="11" s="1"/>
  <c r="AF195" i="11"/>
  <c r="AF196" i="11" s="1"/>
  <c r="AJ130" i="11"/>
  <c r="AJ131" i="11" s="1"/>
  <c r="AA65" i="11"/>
  <c r="AA66" i="11" s="1"/>
  <c r="AV78" i="11"/>
  <c r="AV79" i="11" s="1"/>
  <c r="V91" i="11"/>
  <c r="V92" i="11" s="1"/>
  <c r="AK130" i="11"/>
  <c r="AK131" i="11" s="1"/>
  <c r="U182" i="11"/>
  <c r="U183" i="11" s="1"/>
  <c r="C104" i="11"/>
  <c r="C105" i="11" s="1"/>
  <c r="E52" i="11"/>
  <c r="E53" i="11" s="1"/>
  <c r="K169" i="11"/>
  <c r="K170" i="11" s="1"/>
  <c r="P52" i="11"/>
  <c r="P53" i="11" s="1"/>
  <c r="Z182" i="11"/>
  <c r="Z183" i="11" s="1"/>
  <c r="V26" i="11"/>
  <c r="V27" i="11" s="1"/>
  <c r="T65" i="11"/>
  <c r="T66" i="11" s="1"/>
  <c r="AC104" i="11"/>
  <c r="AC105" i="11" s="1"/>
  <c r="W26" i="11"/>
  <c r="W27" i="11" s="1"/>
  <c r="AT169" i="11"/>
  <c r="AT170" i="11" s="1"/>
  <c r="AE195" i="11"/>
  <c r="AE196" i="11" s="1"/>
  <c r="M117" i="11"/>
  <c r="M118" i="11" s="1"/>
  <c r="F39" i="11"/>
  <c r="F40" i="11" s="1"/>
  <c r="M143" i="11"/>
  <c r="M144" i="11" s="1"/>
  <c r="I208" i="11"/>
  <c r="I209" i="11" s="1"/>
  <c r="AG182" i="11"/>
  <c r="AG183" i="11" s="1"/>
  <c r="AH39" i="11"/>
  <c r="AH40" i="11" s="1"/>
  <c r="AQ39" i="11"/>
  <c r="AQ40" i="11" s="1"/>
  <c r="R65" i="11"/>
  <c r="R66" i="11" s="1"/>
  <c r="AB143" i="11"/>
  <c r="AB144" i="11" s="1"/>
  <c r="K143" i="11"/>
  <c r="K144" i="11" s="1"/>
  <c r="S52" i="11"/>
  <c r="S53" i="11" s="1"/>
  <c r="D130" i="11"/>
  <c r="D131" i="11" s="1"/>
  <c r="AO65" i="11"/>
  <c r="AO66" i="11" s="1"/>
  <c r="AH156" i="11"/>
  <c r="AH157" i="11" s="1"/>
  <c r="AU130" i="11"/>
  <c r="AU131" i="11" s="1"/>
  <c r="AM143" i="11"/>
  <c r="AM144" i="11" s="1"/>
  <c r="AW91" i="11"/>
  <c r="AW92" i="11" s="1"/>
  <c r="AA13" i="11"/>
  <c r="AA14" i="11" s="1"/>
  <c r="C130" i="11"/>
  <c r="C131" i="11" s="1"/>
  <c r="AH208" i="11"/>
  <c r="AH209" i="11" s="1"/>
  <c r="R130" i="11"/>
  <c r="R131" i="11" s="1"/>
  <c r="AP104" i="11"/>
  <c r="AP105" i="11" s="1"/>
  <c r="AR52" i="11"/>
  <c r="AR53" i="11" s="1"/>
  <c r="P182" i="11"/>
  <c r="P183" i="11" s="1"/>
  <c r="AM26" i="11"/>
  <c r="AM27" i="11" s="1"/>
  <c r="O104" i="11"/>
  <c r="O105" i="11" s="1"/>
  <c r="AT117" i="11"/>
  <c r="AT118" i="11" s="1"/>
  <c r="P91" i="11"/>
  <c r="P92" i="11" s="1"/>
  <c r="AX117" i="11"/>
  <c r="AX118" i="11" s="1"/>
  <c r="W208" i="11"/>
  <c r="W209" i="11" s="1"/>
  <c r="R169" i="11"/>
  <c r="R170" i="11" s="1"/>
  <c r="D65" i="11"/>
  <c r="D66" i="11" s="1"/>
  <c r="AX182" i="11"/>
  <c r="AX183" i="11" s="1"/>
  <c r="AB182" i="11"/>
  <c r="AB183" i="11" s="1"/>
  <c r="S13" i="11"/>
  <c r="S14" i="11" s="1"/>
  <c r="AF65" i="11"/>
  <c r="AF66" i="11" s="1"/>
  <c r="O117" i="11"/>
  <c r="O118" i="11" s="1"/>
  <c r="I52" i="11"/>
  <c r="I53" i="11" s="1"/>
  <c r="L91" i="11"/>
  <c r="L92" i="11" s="1"/>
  <c r="F26" i="11"/>
  <c r="F27" i="11" s="1"/>
  <c r="N78" i="11"/>
  <c r="N79" i="11" s="1"/>
  <c r="C208" i="11"/>
  <c r="C209" i="11" s="1"/>
  <c r="AI182" i="11"/>
  <c r="AI183" i="11" s="1"/>
  <c r="Q182" i="11"/>
  <c r="Q183" i="11" s="1"/>
  <c r="V39" i="11"/>
  <c r="V40" i="11" s="1"/>
  <c r="L195" i="11"/>
  <c r="L196" i="11" s="1"/>
  <c r="AJ182" i="11"/>
  <c r="AJ183" i="11" s="1"/>
  <c r="AU169" i="11"/>
  <c r="AU170" i="11" s="1"/>
  <c r="AS156" i="11"/>
  <c r="AS157" i="11" s="1"/>
  <c r="AL156" i="11"/>
  <c r="AL157" i="11" s="1"/>
  <c r="I143" i="11"/>
  <c r="I144" i="11" s="1"/>
  <c r="AX26" i="11"/>
  <c r="AX27" i="11" s="1"/>
  <c r="AU156" i="11"/>
  <c r="AU157" i="11" s="1"/>
  <c r="AM195" i="11"/>
  <c r="AM196" i="11" s="1"/>
  <c r="AN169" i="11"/>
  <c r="AN170" i="11" s="1"/>
  <c r="T182" i="11"/>
  <c r="T183" i="11" s="1"/>
  <c r="S130" i="11"/>
  <c r="S131" i="11" s="1"/>
  <c r="AF26" i="11"/>
  <c r="AF27" i="11" s="1"/>
  <c r="AQ143" i="11"/>
  <c r="AQ144" i="11" s="1"/>
  <c r="AC169" i="11"/>
  <c r="AC170" i="11" s="1"/>
  <c r="S195" i="11"/>
  <c r="S196" i="11" s="1"/>
  <c r="V130" i="11"/>
  <c r="V131" i="11" s="1"/>
  <c r="AB208" i="11"/>
  <c r="AB209" i="11" s="1"/>
  <c r="AA91" i="11"/>
  <c r="AA92" i="11" s="1"/>
  <c r="Y130" i="11"/>
  <c r="Y131" i="11" s="1"/>
  <c r="I91" i="11"/>
  <c r="I92" i="11" s="1"/>
  <c r="AK208" i="11"/>
  <c r="AK209" i="11" s="1"/>
  <c r="AH78" i="11"/>
  <c r="AH79" i="11" s="1"/>
  <c r="AJ13" i="11"/>
  <c r="AJ14" i="11" s="1"/>
  <c r="C52" i="11"/>
  <c r="C53" i="11" s="1"/>
  <c r="F65" i="11"/>
  <c r="F66" i="11" s="1"/>
  <c r="G195" i="11"/>
  <c r="G196" i="11" s="1"/>
  <c r="AP65" i="11"/>
  <c r="AP66" i="11" s="1"/>
  <c r="Y52" i="11"/>
  <c r="Y53" i="11" s="1"/>
  <c r="O182" i="11"/>
  <c r="O183" i="11" s="1"/>
  <c r="AS143" i="11"/>
  <c r="AS144" i="11" s="1"/>
  <c r="AW26" i="11"/>
  <c r="AW27" i="11" s="1"/>
  <c r="L182" i="11"/>
  <c r="L183" i="11" s="1"/>
  <c r="AO169" i="11"/>
  <c r="AO170" i="11" s="1"/>
  <c r="AM104" i="11"/>
  <c r="AM105" i="11" s="1"/>
  <c r="AS169" i="11"/>
  <c r="AS170" i="11" s="1"/>
  <c r="AG104" i="11"/>
  <c r="AG105" i="11" s="1"/>
  <c r="W156" i="11"/>
  <c r="W157" i="11" s="1"/>
  <c r="AF156" i="11"/>
  <c r="AF157" i="11" s="1"/>
  <c r="U52" i="11"/>
  <c r="U53" i="11" s="1"/>
  <c r="Z65" i="11"/>
  <c r="Z66" i="11" s="1"/>
  <c r="P26" i="11"/>
  <c r="P27" i="11" s="1"/>
  <c r="AT130" i="11"/>
  <c r="AT131" i="11" s="1"/>
  <c r="V156" i="11"/>
  <c r="V157" i="11" s="1"/>
  <c r="AL39" i="11"/>
  <c r="AL40" i="11" s="1"/>
  <c r="X13" i="11"/>
  <c r="X14" i="11" s="1"/>
  <c r="R208" i="11"/>
  <c r="R209" i="11" s="1"/>
  <c r="AO104" i="11"/>
  <c r="AO105" i="11" s="1"/>
  <c r="N91" i="11"/>
  <c r="N92" i="11" s="1"/>
  <c r="O208" i="11"/>
  <c r="O209" i="11" s="1"/>
  <c r="AS13" i="11"/>
  <c r="AS14" i="11" s="1"/>
  <c r="AM117" i="11"/>
  <c r="AM118" i="11" s="1"/>
  <c r="T130" i="11"/>
  <c r="T131" i="11" s="1"/>
  <c r="I65" i="11"/>
  <c r="I66" i="11" s="1"/>
  <c r="AF208" i="11"/>
  <c r="AF209" i="11" s="1"/>
  <c r="U91" i="11"/>
  <c r="U92" i="11" s="1"/>
  <c r="AK26" i="11"/>
  <c r="AK27" i="11" s="1"/>
  <c r="AT156" i="11"/>
  <c r="AT157" i="11" s="1"/>
  <c r="X26" i="11"/>
  <c r="X27" i="11" s="1"/>
  <c r="AR156" i="11"/>
  <c r="AR157" i="11" s="1"/>
  <c r="AN78" i="11"/>
  <c r="AN79" i="11" s="1"/>
  <c r="AF91" i="11"/>
  <c r="AF92" i="11" s="1"/>
  <c r="AV39" i="11"/>
  <c r="AV40" i="11" s="1"/>
  <c r="E195" i="11"/>
  <c r="E196" i="11" s="1"/>
  <c r="AG13" i="11"/>
  <c r="AG14" i="11" s="1"/>
  <c r="S78" i="11"/>
  <c r="S79" i="11" s="1"/>
  <c r="AA104" i="11"/>
  <c r="AA105" i="11" s="1"/>
  <c r="I39" i="11"/>
  <c r="I40" i="11" s="1"/>
  <c r="U208" i="11"/>
  <c r="U209" i="11" s="1"/>
  <c r="G104" i="11"/>
  <c r="G105" i="11" s="1"/>
  <c r="AW195" i="11"/>
  <c r="AW196" i="11" s="1"/>
  <c r="Q91" i="11"/>
  <c r="Q92" i="11" s="1"/>
  <c r="AC78" i="11"/>
  <c r="AC79" i="11" s="1"/>
  <c r="AS104" i="11"/>
  <c r="AS105" i="11" s="1"/>
  <c r="R26" i="11"/>
  <c r="R27" i="11" s="1"/>
  <c r="O52" i="11"/>
  <c r="O53" i="11" s="1"/>
  <c r="M195" i="11"/>
  <c r="M196" i="11" s="1"/>
  <c r="AT91" i="11"/>
  <c r="AT92" i="11" s="1"/>
  <c r="AW143" i="11"/>
  <c r="AW144" i="11" s="1"/>
  <c r="R13" i="11"/>
  <c r="R14" i="11" s="1"/>
  <c r="H13" i="11"/>
  <c r="H14" i="11" s="1"/>
  <c r="C13" i="11"/>
  <c r="C14" i="11" s="1"/>
  <c r="M39" i="11"/>
  <c r="M40" i="11" s="1"/>
  <c r="O39" i="11"/>
  <c r="O40" i="11" s="1"/>
  <c r="AN195" i="11"/>
  <c r="AN196" i="11" s="1"/>
  <c r="AQ65" i="11"/>
  <c r="AQ66" i="11" s="1"/>
  <c r="D26" i="11"/>
  <c r="D27" i="11" s="1"/>
  <c r="AQ78" i="11"/>
  <c r="AQ79" i="11" s="1"/>
  <c r="C143" i="11"/>
  <c r="C144" i="11" s="1"/>
  <c r="X39" i="11"/>
  <c r="X40" i="11" s="1"/>
  <c r="AO182" i="11"/>
  <c r="AO183" i="11" s="1"/>
  <c r="G208" i="11"/>
  <c r="G209" i="11" s="1"/>
  <c r="AI104" i="11"/>
  <c r="AI105" i="11" s="1"/>
  <c r="AW130" i="11"/>
  <c r="AW131" i="11" s="1"/>
  <c r="Q104" i="11"/>
  <c r="Q105" i="11" s="1"/>
  <c r="Q78" i="11"/>
  <c r="Q79" i="11" s="1"/>
  <c r="C26" i="11"/>
  <c r="C27" i="11" s="1"/>
  <c r="O91" i="11"/>
  <c r="O92" i="11" s="1"/>
  <c r="V104" i="11"/>
  <c r="V105" i="11" s="1"/>
  <c r="AL208" i="11"/>
  <c r="AL209" i="11" s="1"/>
  <c r="C65" i="11"/>
  <c r="C66" i="11" s="1"/>
  <c r="P130" i="11"/>
  <c r="P131" i="11" s="1"/>
  <c r="Y104" i="11"/>
  <c r="Y105" i="11" s="1"/>
  <c r="Y26" i="11"/>
  <c r="Y27" i="11" s="1"/>
  <c r="S91" i="11"/>
  <c r="S92" i="11" s="1"/>
  <c r="AO143" i="11"/>
  <c r="AO144" i="11" s="1"/>
  <c r="AK195" i="11"/>
  <c r="AK196" i="11" s="1"/>
  <c r="AQ117" i="11"/>
  <c r="AQ118" i="11" s="1"/>
  <c r="T208" i="11"/>
  <c r="T209" i="11" s="1"/>
  <c r="X195" i="11"/>
  <c r="X196" i="11" s="1"/>
  <c r="AL143" i="11"/>
  <c r="AL144" i="11" s="1"/>
  <c r="E156" i="11"/>
  <c r="E157" i="11" s="1"/>
  <c r="AR39" i="11"/>
  <c r="AR40" i="11" s="1"/>
  <c r="AP182" i="11"/>
  <c r="AP183" i="11" s="1"/>
  <c r="J130" i="11"/>
  <c r="J131" i="11" s="1"/>
  <c r="AA52" i="11"/>
  <c r="AA53" i="11" s="1"/>
  <c r="M104" i="11"/>
  <c r="M105" i="11" s="1"/>
  <c r="S169" i="11"/>
  <c r="S170" i="11" s="1"/>
  <c r="Q52" i="11"/>
  <c r="Q53" i="11" s="1"/>
  <c r="W13" i="11"/>
  <c r="W14" i="11" s="1"/>
  <c r="I195" i="11"/>
  <c r="I196" i="11" s="1"/>
  <c r="N182" i="11"/>
  <c r="N183" i="11" s="1"/>
  <c r="O156" i="11"/>
  <c r="O157" i="11" s="1"/>
  <c r="AA130" i="11"/>
  <c r="AA131" i="11" s="1"/>
  <c r="Y13" i="11"/>
  <c r="Y14" i="11" s="1"/>
  <c r="AG117" i="11"/>
  <c r="AG118" i="11" s="1"/>
  <c r="AD65" i="11"/>
  <c r="AD66" i="11" s="1"/>
  <c r="F130" i="11"/>
  <c r="F131" i="11" s="1"/>
  <c r="Y182" i="11"/>
  <c r="Y183" i="11" s="1"/>
  <c r="AU39" i="11"/>
  <c r="AU40" i="11" s="1"/>
  <c r="AF78" i="11"/>
  <c r="AF79" i="11" s="1"/>
  <c r="Y156" i="11"/>
  <c r="Y157" i="11" s="1"/>
  <c r="R52" i="11"/>
  <c r="R53" i="11" s="1"/>
  <c r="N156" i="11"/>
  <c r="N157" i="11" s="1"/>
  <c r="AJ91" i="11"/>
  <c r="AJ92" i="11" s="1"/>
  <c r="AL104" i="11"/>
  <c r="AL105" i="11" s="1"/>
  <c r="V52" i="11"/>
  <c r="V53" i="11" s="1"/>
  <c r="AC156" i="11"/>
  <c r="AC157" i="11" s="1"/>
  <c r="AF169" i="11"/>
  <c r="AF170" i="11" s="1"/>
  <c r="E143" i="11"/>
  <c r="E144" i="11" s="1"/>
  <c r="N195" i="11"/>
  <c r="N196" i="11" s="1"/>
  <c r="X65" i="11"/>
  <c r="X66" i="11" s="1"/>
  <c r="W143" i="11"/>
  <c r="W144" i="11" s="1"/>
  <c r="AX104" i="11"/>
  <c r="AX105" i="11" s="1"/>
  <c r="AM13" i="11"/>
  <c r="AM14" i="11" s="1"/>
  <c r="F52" i="11"/>
  <c r="F53" i="11" s="1"/>
  <c r="J156" i="11"/>
  <c r="J157" i="11" s="1"/>
  <c r="AG208" i="11"/>
  <c r="AG209" i="11" s="1"/>
  <c r="L39" i="11"/>
  <c r="L40" i="11" s="1"/>
  <c r="F143" i="11"/>
  <c r="F144" i="11" s="1"/>
  <c r="C117" i="11"/>
  <c r="C118" i="11" s="1"/>
  <c r="W195" i="11"/>
  <c r="W196" i="11" s="1"/>
  <c r="AS26" i="11"/>
  <c r="AS27" i="11" s="1"/>
  <c r="N117" i="11"/>
  <c r="N118" i="11" s="1"/>
  <c r="AM91" i="11"/>
  <c r="AM92" i="11" s="1"/>
  <c r="AR117" i="11"/>
  <c r="AR118" i="11" s="1"/>
  <c r="X169" i="11"/>
  <c r="X170" i="11" s="1"/>
  <c r="G143" i="11"/>
  <c r="G144" i="11" s="1"/>
  <c r="AK169" i="11"/>
  <c r="AK170" i="11" s="1"/>
  <c r="U65" i="11"/>
  <c r="U66" i="11" s="1"/>
  <c r="AL13" i="11"/>
  <c r="AL14" i="11" s="1"/>
  <c r="AC208" i="11"/>
  <c r="AC209" i="11" s="1"/>
  <c r="L13" i="11"/>
  <c r="L14" i="11" s="1"/>
  <c r="AD39" i="11"/>
  <c r="AD40" i="11" s="1"/>
  <c r="AB13" i="11"/>
  <c r="AB14" i="11" s="1"/>
  <c r="AR143" i="11"/>
  <c r="AR144" i="11" s="1"/>
  <c r="C169" i="11"/>
  <c r="C170" i="11" s="1"/>
  <c r="AO52" i="11"/>
  <c r="AO53" i="11" s="1"/>
  <c r="AJ78" i="11"/>
  <c r="AJ79" i="11" s="1"/>
  <c r="T143" i="11"/>
  <c r="T144" i="11" s="1"/>
  <c r="AE65" i="11"/>
  <c r="AE66" i="11" s="1"/>
  <c r="W91" i="11"/>
  <c r="W92" i="11" s="1"/>
  <c r="G117" i="11"/>
  <c r="G118" i="11" s="1"/>
  <c r="P156" i="11"/>
  <c r="P157" i="11" s="1"/>
  <c r="Z117" i="11"/>
  <c r="Z118" i="11" s="1"/>
  <c r="AW52" i="11"/>
  <c r="AW53" i="11" s="1"/>
  <c r="U13" i="11"/>
  <c r="U14" i="11" s="1"/>
  <c r="Q39" i="11"/>
  <c r="Q40" i="11" s="1"/>
  <c r="J117" i="11"/>
  <c r="J118" i="11" s="1"/>
  <c r="AX169" i="11"/>
  <c r="AX170" i="11" s="1"/>
  <c r="AN208" i="11"/>
  <c r="AN209" i="11" s="1"/>
  <c r="AE26" i="11"/>
  <c r="AE27" i="11" s="1"/>
  <c r="C91" i="11"/>
  <c r="C92" i="11" s="1"/>
  <c r="AG169" i="11"/>
  <c r="AG170" i="11" s="1"/>
  <c r="AE208" i="11"/>
  <c r="AE209" i="11" s="1"/>
  <c r="AM65" i="11"/>
  <c r="AM66" i="11" s="1"/>
  <c r="AW182" i="11"/>
  <c r="AW183" i="11" s="1"/>
  <c r="AL117" i="11"/>
  <c r="AL118" i="11" s="1"/>
  <c r="I156" i="11"/>
  <c r="I157" i="11" s="1"/>
  <c r="AA117" i="11"/>
  <c r="AA118" i="11" s="1"/>
  <c r="AO195" i="11"/>
  <c r="AO196" i="11" s="1"/>
  <c r="H52" i="11"/>
  <c r="H53" i="11" s="1"/>
  <c r="O26" i="11"/>
  <c r="O27" i="11" s="1"/>
  <c r="AR26" i="11"/>
  <c r="AR27" i="11" s="1"/>
  <c r="F156" i="11"/>
  <c r="F157" i="11" s="1"/>
  <c r="Z130" i="11"/>
  <c r="Z131" i="11" s="1"/>
  <c r="AU117" i="11"/>
  <c r="AU118" i="11" s="1"/>
  <c r="F195" i="11"/>
  <c r="F196" i="11" s="1"/>
  <c r="AB169" i="11"/>
  <c r="AB170" i="11" s="1"/>
  <c r="H156" i="11"/>
  <c r="H157" i="11" s="1"/>
  <c r="T117" i="11"/>
  <c r="T118" i="11" s="1"/>
  <c r="G26" i="11"/>
  <c r="G27" i="11" s="1"/>
  <c r="AF104" i="11"/>
  <c r="AF105" i="11" s="1"/>
  <c r="S65" i="11"/>
  <c r="S66" i="11" s="1"/>
  <c r="AR78" i="11"/>
  <c r="AR79" i="11" s="1"/>
  <c r="T52" i="11"/>
  <c r="T53" i="11" s="1"/>
  <c r="D117" i="11"/>
  <c r="D118" i="11" s="1"/>
  <c r="Z208" i="11"/>
  <c r="Z209" i="11" s="1"/>
  <c r="D143" i="11"/>
  <c r="D144" i="11" s="1"/>
  <c r="P143" i="11"/>
  <c r="P144" i="11" s="1"/>
  <c r="U156" i="11"/>
  <c r="U157" i="11" s="1"/>
  <c r="AJ143" i="11"/>
  <c r="AJ144" i="11" s="1"/>
  <c r="K156" i="11"/>
  <c r="K157" i="11" s="1"/>
  <c r="R91" i="11"/>
  <c r="R92" i="11" s="1"/>
  <c r="AF39" i="11"/>
  <c r="AF40" i="11" s="1"/>
  <c r="AI52" i="11"/>
  <c r="AI53" i="11" s="1"/>
  <c r="AK52" i="11"/>
  <c r="AK53" i="11" s="1"/>
  <c r="AQ91" i="11"/>
  <c r="AQ92" i="11" s="1"/>
  <c r="AE52" i="11"/>
  <c r="AE53" i="11" s="1"/>
  <c r="E182" i="11"/>
  <c r="E183" i="11" s="1"/>
  <c r="R78" i="11"/>
  <c r="R79" i="11" s="1"/>
  <c r="AO117" i="11"/>
  <c r="AO118" i="11" s="1"/>
  <c r="AJ169" i="11"/>
  <c r="AJ170" i="11" s="1"/>
  <c r="N13" i="11"/>
  <c r="N14" i="11" s="1"/>
  <c r="Y169" i="11"/>
  <c r="Y170" i="11" s="1"/>
  <c r="AQ104" i="11"/>
  <c r="AQ105" i="11" s="1"/>
  <c r="AE182" i="11"/>
  <c r="AE183" i="11" s="1"/>
  <c r="AP169" i="11"/>
  <c r="AP170" i="11" s="1"/>
  <c r="X182" i="11"/>
  <c r="X183" i="11" s="1"/>
  <c r="AM52" i="11"/>
  <c r="AM53" i="11" s="1"/>
  <c r="AH130" i="11"/>
  <c r="AH131" i="11" s="1"/>
  <c r="T169" i="11"/>
  <c r="T170" i="11" s="1"/>
  <c r="AF182" i="11"/>
  <c r="AF183" i="11" s="1"/>
  <c r="AD117" i="11"/>
  <c r="AD118" i="11" s="1"/>
  <c r="AA195" i="11"/>
  <c r="AA196" i="11" s="1"/>
  <c r="O195" i="11"/>
  <c r="O196" i="11" s="1"/>
  <c r="Q117" i="11"/>
  <c r="Q118" i="11" s="1"/>
  <c r="W78" i="11"/>
  <c r="W79" i="11" s="1"/>
  <c r="AI143" i="11"/>
  <c r="AI144" i="11" s="1"/>
  <c r="AD78" i="11"/>
  <c r="AD79" i="11" s="1"/>
  <c r="J104" i="11"/>
  <c r="J105" i="11" s="1"/>
  <c r="I130" i="11"/>
  <c r="I131" i="11" s="1"/>
  <c r="M78" i="11"/>
  <c r="M79" i="11" s="1"/>
  <c r="AH117" i="11"/>
  <c r="AH118" i="11" s="1"/>
  <c r="R104" i="11"/>
  <c r="R105" i="11" s="1"/>
  <c r="V13" i="11"/>
  <c r="V14" i="11" s="1"/>
  <c r="AQ130" i="11"/>
  <c r="AQ131" i="11" s="1"/>
  <c r="S143" i="11"/>
  <c r="S144" i="11" s="1"/>
  <c r="Q156" i="11"/>
  <c r="Q157" i="11" s="1"/>
  <c r="L130" i="11"/>
  <c r="L131" i="11" s="1"/>
  <c r="H78" i="11"/>
  <c r="H79" i="11" s="1"/>
  <c r="N39" i="11"/>
  <c r="N40" i="11" s="1"/>
  <c r="M13" i="11"/>
  <c r="M14" i="11" s="1"/>
  <c r="AN117" i="11"/>
  <c r="AN118" i="11" s="1"/>
  <c r="H65" i="11"/>
  <c r="H66" i="11" s="1"/>
  <c r="X78" i="11"/>
  <c r="X79" i="11" s="1"/>
  <c r="AP52" i="11"/>
  <c r="AP53" i="11" s="1"/>
  <c r="F104" i="11"/>
  <c r="F105" i="11" s="1"/>
  <c r="V78" i="11"/>
  <c r="V79" i="11" s="1"/>
  <c r="AT143" i="11"/>
  <c r="AT144" i="11" s="1"/>
  <c r="AL169" i="11"/>
  <c r="AL170" i="11" s="1"/>
  <c r="AB156" i="11"/>
  <c r="AB157" i="11" s="1"/>
  <c r="G13" i="11"/>
  <c r="G14" i="11" s="1"/>
  <c r="AT52" i="11"/>
  <c r="AT53" i="11" s="1"/>
  <c r="R39" i="11"/>
  <c r="R40" i="11" s="1"/>
  <c r="J91" i="11"/>
  <c r="J92" i="11" s="1"/>
  <c r="AD26" i="11"/>
  <c r="AD27" i="11" s="1"/>
  <c r="H169" i="11"/>
  <c r="H170" i="11" s="1"/>
  <c r="C156" i="11"/>
  <c r="C157" i="11" s="1"/>
  <c r="M208" i="11"/>
  <c r="M209" i="11" s="1"/>
  <c r="G130" i="11"/>
  <c r="G131" i="11" s="1"/>
  <c r="O65" i="11"/>
  <c r="O66" i="11" s="1"/>
  <c r="N208" i="11"/>
  <c r="N209" i="11" s="1"/>
  <c r="AR65" i="11"/>
  <c r="AR66" i="11" s="1"/>
  <c r="E26" i="11"/>
  <c r="E27" i="11" s="1"/>
  <c r="AX143" i="11"/>
  <c r="AX144" i="11" s="1"/>
  <c r="K91" i="11"/>
  <c r="K92" i="11" s="1"/>
  <c r="AT195" i="11"/>
  <c r="AT196" i="11" s="1"/>
  <c r="AO156" i="11"/>
  <c r="AO157" i="11" s="1"/>
  <c r="AK104" i="11"/>
  <c r="AK105" i="11" s="1"/>
  <c r="AX65" i="11"/>
  <c r="AX66" i="11" s="1"/>
  <c r="AN39" i="11"/>
  <c r="AN40" i="11" s="1"/>
  <c r="AW156" i="11"/>
  <c r="AW157" i="11" s="1"/>
  <c r="U169" i="11"/>
  <c r="U170" i="11" s="1"/>
  <c r="AM156" i="11"/>
  <c r="AM157" i="11" s="1"/>
  <c r="W169" i="11"/>
  <c r="W170" i="11" s="1"/>
  <c r="AV182" i="11"/>
  <c r="AV183" i="11" s="1"/>
  <c r="AT65" i="11"/>
  <c r="AT66" i="11" s="1"/>
  <c r="AK78" i="11"/>
  <c r="AK79" i="11" s="1"/>
  <c r="D182" i="11"/>
  <c r="D183" i="11" s="1"/>
  <c r="V117" i="11"/>
  <c r="V118" i="11" s="1"/>
  <c r="AR130" i="11"/>
  <c r="AR131" i="11" s="1"/>
  <c r="AC130" i="11"/>
  <c r="AC131" i="11" s="1"/>
  <c r="V195" i="11"/>
  <c r="V196" i="11" s="1"/>
  <c r="AA208" i="11"/>
  <c r="AA209" i="11" s="1"/>
  <c r="G52" i="11"/>
  <c r="G53" i="11" s="1"/>
  <c r="X156" i="11"/>
  <c r="X157" i="11" s="1"/>
  <c r="AS117" i="11"/>
  <c r="AS118" i="11" s="1"/>
  <c r="D91" i="11"/>
  <c r="D92" i="11" s="1"/>
  <c r="AP39" i="11"/>
  <c r="AP40" i="11" s="1"/>
  <c r="AD208" i="11"/>
  <c r="AD209" i="11" s="1"/>
  <c r="AN13" i="11"/>
  <c r="AN14" i="11" s="1"/>
  <c r="AW78" i="11"/>
  <c r="AW79" i="11" s="1"/>
  <c r="AW208" i="11"/>
  <c r="AW209" i="11" s="1"/>
  <c r="AP195" i="11"/>
  <c r="AP196" i="11" s="1"/>
  <c r="W39" i="11"/>
  <c r="W40" i="11" s="1"/>
  <c r="AM39" i="11"/>
  <c r="AM40" i="11" s="1"/>
  <c r="G91" i="11"/>
  <c r="G92" i="11" s="1"/>
  <c r="AM169" i="11"/>
  <c r="AM170" i="11" s="1"/>
  <c r="Y65" i="11"/>
  <c r="Y66" i="11" s="1"/>
  <c r="AN91" i="11"/>
  <c r="AN92" i="11" s="1"/>
  <c r="AR195" i="11"/>
  <c r="AR196" i="11" s="1"/>
  <c r="AD13" i="11"/>
  <c r="AD14" i="11" s="1"/>
  <c r="V65" i="11"/>
  <c r="V66" i="11" s="1"/>
  <c r="X91" i="11"/>
  <c r="X92" i="11" s="1"/>
  <c r="AU182" i="11"/>
  <c r="AU183" i="11" s="1"/>
  <c r="AJ65" i="11"/>
  <c r="AJ66" i="11" s="1"/>
  <c r="AF143" i="11"/>
  <c r="AF144" i="11" s="1"/>
  <c r="AH143" i="11"/>
  <c r="AH144" i="11" s="1"/>
  <c r="Q195" i="11"/>
  <c r="Q196" i="11" s="1"/>
  <c r="K104" i="11"/>
  <c r="K105" i="11" s="1"/>
  <c r="AB26" i="11"/>
  <c r="AB27" i="11" s="1"/>
  <c r="AR208" i="11"/>
  <c r="AR209" i="11" s="1"/>
  <c r="Z104" i="11"/>
  <c r="Z105" i="11" s="1"/>
  <c r="AP143" i="11"/>
  <c r="AP144" i="11" s="1"/>
  <c r="Q26" i="11"/>
  <c r="Q27" i="11" s="1"/>
  <c r="AN143" i="11"/>
  <c r="AN144" i="11" s="1"/>
  <c r="AD104" i="11"/>
  <c r="AD105" i="11" s="1"/>
  <c r="AA182" i="11"/>
  <c r="AA183" i="11" s="1"/>
  <c r="T13" i="11"/>
  <c r="T14" i="11" s="1"/>
  <c r="K65" i="11"/>
  <c r="K66" i="11" s="1"/>
  <c r="AJ104" i="11"/>
  <c r="AJ105" i="11" s="1"/>
  <c r="AS39" i="11"/>
  <c r="AS40" i="11" s="1"/>
  <c r="N143" i="11"/>
  <c r="N144" i="11" s="1"/>
  <c r="AI130" i="11"/>
  <c r="AI131" i="11" s="1"/>
  <c r="AK39" i="11"/>
  <c r="AK40" i="11" s="1"/>
  <c r="W52" i="11"/>
  <c r="W53" i="11" s="1"/>
  <c r="AC52" i="11"/>
  <c r="AC53" i="11" s="1"/>
  <c r="J143" i="11"/>
  <c r="J144" i="11" s="1"/>
  <c r="AR169" i="11"/>
  <c r="AR170" i="11" s="1"/>
  <c r="AA78" i="11"/>
  <c r="AA79" i="11" s="1"/>
  <c r="Q65" i="11"/>
  <c r="Q66" i="11" s="1"/>
  <c r="AN130" i="11"/>
  <c r="AN131" i="11" s="1"/>
  <c r="AF52" i="11"/>
  <c r="AF53" i="11" s="1"/>
  <c r="AD214" i="11" l="1"/>
  <c r="V31" i="1" s="1"/>
  <c r="E31" i="1" s="1"/>
  <c r="X31" i="1" s="1"/>
  <c r="M214" i="11"/>
  <c r="V14" i="1" s="1"/>
  <c r="E14" i="1" s="1"/>
  <c r="X14" i="1" s="1"/>
  <c r="C99" i="6"/>
  <c r="K54" i="1" s="1"/>
  <c r="K55" i="1" s="1"/>
  <c r="C103" i="6"/>
  <c r="U214" i="11"/>
  <c r="V22" i="1" s="1"/>
  <c r="E22" i="1" s="1"/>
  <c r="X22" i="1" s="1"/>
  <c r="AB214" i="11"/>
  <c r="V29" i="1" s="1"/>
  <c r="E29" i="1" s="1"/>
  <c r="X29" i="1" s="1"/>
  <c r="H214" i="11"/>
  <c r="V9" i="1" s="1"/>
  <c r="E9" i="1" s="1"/>
  <c r="X9" i="1" s="1"/>
  <c r="AG214" i="11"/>
  <c r="V34" i="1" s="1"/>
  <c r="E34" i="1" s="1"/>
  <c r="X34" i="1" s="1"/>
  <c r="T214" i="11"/>
  <c r="V21" i="1" s="1"/>
  <c r="E21" i="1" s="1"/>
  <c r="X21" i="1" s="1"/>
  <c r="AN214" i="11"/>
  <c r="V214" i="11"/>
  <c r="V23" i="1" s="1"/>
  <c r="E23" i="1" s="1"/>
  <c r="X23" i="1" s="1"/>
  <c r="C214" i="11"/>
  <c r="X214" i="11"/>
  <c r="V25" i="1" s="1"/>
  <c r="E25" i="1" s="1"/>
  <c r="X25" i="1" s="1"/>
  <c r="S214" i="11"/>
  <c r="V20" i="1" s="1"/>
  <c r="E20" i="1" s="1"/>
  <c r="X20" i="1" s="1"/>
  <c r="Q214" i="11"/>
  <c r="V18" i="1" s="1"/>
  <c r="E18" i="1" s="1"/>
  <c r="X18" i="1" s="1"/>
  <c r="AR214" i="11"/>
  <c r="AV214" i="11"/>
  <c r="AP214" i="11"/>
  <c r="Z214" i="11"/>
  <c r="V27" i="1" s="1"/>
  <c r="E27" i="1" s="1"/>
  <c r="X27" i="1" s="1"/>
  <c r="AI214" i="11"/>
  <c r="V36" i="1" s="1"/>
  <c r="E36" i="1" s="1"/>
  <c r="X36" i="1" s="1"/>
  <c r="AK214" i="11"/>
  <c r="V38" i="1" s="1"/>
  <c r="E38" i="1" s="1"/>
  <c r="X38" i="1" s="1"/>
  <c r="J55" i="1"/>
  <c r="D54" i="1"/>
  <c r="D55" i="1" s="1"/>
  <c r="AL214" i="11"/>
  <c r="AA214" i="11"/>
  <c r="V28" i="1" s="1"/>
  <c r="E28" i="1" s="1"/>
  <c r="X28" i="1" s="1"/>
  <c r="P214" i="11"/>
  <c r="V17" i="1" s="1"/>
  <c r="E17" i="1" s="1"/>
  <c r="X17" i="1" s="1"/>
  <c r="AE214" i="11"/>
  <c r="V32" i="1" s="1"/>
  <c r="E32" i="1" s="1"/>
  <c r="X32" i="1" s="1"/>
  <c r="K214" i="11"/>
  <c r="V12" i="1" s="1"/>
  <c r="E12" i="1" s="1"/>
  <c r="X12" i="1" s="1"/>
  <c r="O214" i="11"/>
  <c r="V16" i="1" s="1"/>
  <c r="E16" i="1" s="1"/>
  <c r="X16" i="1" s="1"/>
  <c r="AF214" i="11"/>
  <c r="V33" i="1" s="1"/>
  <c r="E33" i="1" s="1"/>
  <c r="X33" i="1" s="1"/>
  <c r="Y214" i="11"/>
  <c r="V26" i="1" s="1"/>
  <c r="E26" i="1" s="1"/>
  <c r="X26" i="1" s="1"/>
  <c r="N214" i="11"/>
  <c r="V15" i="1" s="1"/>
  <c r="E15" i="1" s="1"/>
  <c r="X15" i="1" s="1"/>
  <c r="W214" i="11"/>
  <c r="V24" i="1" s="1"/>
  <c r="E24" i="1" s="1"/>
  <c r="X24" i="1" s="1"/>
  <c r="R214" i="11"/>
  <c r="V19" i="1" s="1"/>
  <c r="E19" i="1" s="1"/>
  <c r="X19" i="1" s="1"/>
  <c r="AJ214" i="11"/>
  <c r="V37" i="1" s="1"/>
  <c r="E37" i="1" s="1"/>
  <c r="X37" i="1" s="1"/>
  <c r="I214" i="11"/>
  <c r="V10" i="1" s="1"/>
  <c r="E10" i="1" s="1"/>
  <c r="X10" i="1" s="1"/>
  <c r="AX214" i="11"/>
  <c r="AH214" i="11"/>
  <c r="V35" i="1" s="1"/>
  <c r="E35" i="1" s="1"/>
  <c r="X35" i="1" s="1"/>
  <c r="D214" i="11"/>
  <c r="V5" i="1" s="1"/>
  <c r="E5" i="1" s="1"/>
  <c r="X5" i="1" s="1"/>
  <c r="AO214" i="11"/>
  <c r="E214" i="11"/>
  <c r="V6" i="1" s="1"/>
  <c r="E6" i="1" s="1"/>
  <c r="X6" i="1" s="1"/>
  <c r="AU214" i="11"/>
  <c r="F214" i="11"/>
  <c r="V7" i="1" s="1"/>
  <c r="E7" i="1" s="1"/>
  <c r="X7" i="1" s="1"/>
  <c r="C103" i="5"/>
  <c r="AM214" i="11"/>
  <c r="G214" i="11"/>
  <c r="V8" i="1" s="1"/>
  <c r="E8" i="1" s="1"/>
  <c r="X8" i="1" s="1"/>
  <c r="L214" i="11"/>
  <c r="V13" i="1" s="1"/>
  <c r="E13" i="1" s="1"/>
  <c r="X13" i="1" s="1"/>
  <c r="AS214" i="11"/>
  <c r="AW214" i="11"/>
  <c r="AC214" i="11"/>
  <c r="V30" i="1" s="1"/>
  <c r="E30" i="1" s="1"/>
  <c r="X30" i="1" s="1"/>
  <c r="J214" i="11"/>
  <c r="V11" i="1" s="1"/>
  <c r="E11" i="1" s="1"/>
  <c r="X11" i="1" s="1"/>
  <c r="AT214" i="11"/>
  <c r="AQ214" i="11"/>
  <c r="V40" i="1" l="1"/>
  <c r="E40" i="1" s="1"/>
  <c r="X40" i="1" s="1"/>
  <c r="V43" i="1"/>
  <c r="E43" i="1" s="1"/>
  <c r="X43" i="1" s="1"/>
  <c r="V45" i="1"/>
  <c r="E45" i="1" s="1"/>
  <c r="X45" i="1" s="1"/>
  <c r="V47" i="1"/>
  <c r="E47" i="1" s="1"/>
  <c r="X47" i="1" s="1"/>
  <c r="V46" i="1"/>
  <c r="E46" i="1" s="1"/>
  <c r="X46" i="1" s="1"/>
  <c r="V49" i="1"/>
  <c r="E49" i="1" s="1"/>
  <c r="X49" i="1" s="1"/>
  <c r="V44" i="1"/>
  <c r="E44" i="1" s="1"/>
  <c r="X44" i="1" s="1"/>
  <c r="V50" i="1"/>
  <c r="E50" i="1" s="1"/>
  <c r="X50" i="1" s="1"/>
  <c r="V48" i="1"/>
  <c r="E48" i="1" s="1"/>
  <c r="X48" i="1" s="1"/>
  <c r="V41" i="1"/>
  <c r="E41" i="1" s="1"/>
  <c r="X41" i="1" s="1"/>
  <c r="V39" i="1"/>
  <c r="E39" i="1" s="1"/>
  <c r="X39" i="1" s="1"/>
  <c r="V51" i="1"/>
  <c r="E51" i="1" s="1"/>
  <c r="X51" i="1" s="1"/>
  <c r="V42" i="1"/>
  <c r="E42" i="1" s="1"/>
  <c r="X42" i="1" s="1"/>
  <c r="B214" i="11"/>
  <c r="V54" i="1" s="1"/>
  <c r="E54" i="1" s="1"/>
  <c r="V4" i="1"/>
  <c r="E4" i="1" l="1"/>
  <c r="V52" i="1"/>
  <c r="V55" i="1" s="1"/>
  <c r="X4" i="1" l="1"/>
  <c r="X52" i="1" s="1"/>
  <c r="E52" i="1"/>
  <c r="E58" i="1" l="1"/>
  <c r="E55" i="1"/>
  <c r="X55" i="1" s="1"/>
  <c r="B60" i="1"/>
  <c r="B61" i="1" s="1"/>
  <c r="G58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7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<sst xmlns="http://schemas.openxmlformats.org/spreadsheetml/2006/main" count="2197" uniqueCount="241">
  <si>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</si>
  <si>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</si>
  <si>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</si>
  <si>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</si>
  <si>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</si>
  <si>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</si>
  <si>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</si>
  <si>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</si>
  <si>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</si>
  <si>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</si>
  <si>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</si>
  <si>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</si>
  <si>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</si>
  <si>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</si>
  <si>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</si>
  <si>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</si>
  <si>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</si>
  <si>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</si>
  <si>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</si>
  <si>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</si>
  <si>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</si>
  <si>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</si>
  <si>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</si>
  <si>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</si>
  <si>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</si>
  <si>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</si>
  <si>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</si>
  <si>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</si>
  <si>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</si>
  <si>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</si>
  <si>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</si>
  <si>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</si>
  <si>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</si>
  <si>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</si>
  <si>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</si>
  <si>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</si>
  <si>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</si>
  <si>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</si>
  <si>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</si>
  <si>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</si>
  <si>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</si>
  <si>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</si>
  <si>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</si>
  <si>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</si>
  <si>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</si>
  <si>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</si>
  <si>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</si>
  <si>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</si>
  <si>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</si>
  <si>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</si>
  <si>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</si>
  <si>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</si>
  <si>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</si>
  <si>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</si>
  <si>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</si>
  <si>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</si>
  <si>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</si>
  <si>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</si>
  <si>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</si>
  <si>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</si>
  <si>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</si>
  <si>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</si>
  <si>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</si>
  <si>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</si>
  <si>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</si>
  <si>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</si>
  <si>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</si>
  <si>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</si>
  <si>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</si>
  <si>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</si>
  <si>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</si>
  <si>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</si>
  <si>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</si>
  <si>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</si>
  <si>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</si>
  <si>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</si>
  <si>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</si>
  <si>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</si>
  <si>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</si>
  <si>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</si>
  <si>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</si>
  <si>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</si>
  <si>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</si>
  <si>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</si>
  <si>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</si>
  <si>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</si>
  <si>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</si>
  <si>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</si>
  <si>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</si>
  <si>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</si>
  <si>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</si>
  <si>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</si>
  <si>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</si>
  <si>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</si>
  <si>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</si>
  <si>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</si>
  <si>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</si>
  <si>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</si>
  <si>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</si>
  <si>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</si>
  <si>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</si>
  <si>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</si>
  <si>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</si>
  <si>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</si>
  <si>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</si>
  <si>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</si>
  <si>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</si>
  <si>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</si>
  <si>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</si>
  <si>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</si>
  <si>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</si>
  <si>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</si>
  <si>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</si>
  <si>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</si>
  <si>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</si>
  <si>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</si>
  <si>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</si>
  <si>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</si>
  <si>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</si>
  <si>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</si>
  <si>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</si>
  <si>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</si>
  <si>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</si>
  <si>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</si>
  <si>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</si>
  <si>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</si>
  <si>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</si>
  <si>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</si>
  <si>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</si>
  <si>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</si>
  <si>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</si>
  <si>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</si>
  <si>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</si>
  <si>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</si>
  <si>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</si>
  <si>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</si>
  <si>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</si>
  <si>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</si>
  <si>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</si>
  <si>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</si>
  <si>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</si>
  <si>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</si>
  <si>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</si>
  <si>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</si>
  <si>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</si>
  <si>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</si>
  <si>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Dieffenbacher, Benjamin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</si>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</sst>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5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35"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123642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19050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121920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140970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106680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Z51"/>
    </sheetView>
  </sheetViews>
  <sheetFormatPr defaultColWidth="16.6640625" defaultRowHeight="10.199999999999999" x14ac:dyDescent="0.2"/>
  <cols>
    <col min="1" max="1" width="18" style="99" bestFit="1" customWidth="1"/>
    <col min="2" max="2" width="8.6640625" style="378" bestFit="1" customWidth="1"/>
    <col min="3" max="3" width="8.5546875" style="378" bestFit="1" customWidth="1"/>
    <col min="4" max="4" width="8.88671875" style="233" bestFit="1" customWidth="1"/>
    <col min="5" max="5" width="7.44140625" style="95" bestFit="1" customWidth="1"/>
    <col min="6" max="6" width="6.5546875" style="95" bestFit="1" customWidth="1"/>
    <col min="7" max="7" width="8.6640625" style="233" bestFit="1" customWidth="1"/>
    <col min="8" max="8" width="6.5546875" style="377" bestFit="1" customWidth="1"/>
    <col min="9" max="9" width="4" style="377" bestFit="1" customWidth="1"/>
    <col min="10" max="10" width="4" style="226" bestFit="1" customWidth="1"/>
    <col min="11" max="11" width="4.33203125" style="226" bestFit="1" customWidth="1"/>
    <col min="12" max="12" width="5.6640625" style="226" bestFit="1" customWidth="1"/>
    <col min="13" max="13" width="5.6640625" style="233" bestFit="1" customWidth="1"/>
    <col min="14" max="14" width="6.5546875" style="233" bestFit="1" customWidth="1"/>
    <col min="15" max="16" width="5.6640625" style="233" bestFit="1" customWidth="1"/>
    <col min="17" max="17" width="9.6640625" style="95" bestFit="1" customWidth="1"/>
    <col min="18" max="18" width="7.44140625" style="95" bestFit="1" customWidth="1"/>
    <col min="19" max="19" width="6.44140625" style="95" bestFit="1" customWidth="1"/>
    <col min="20" max="20" width="6.88671875" style="95" bestFit="1" customWidth="1"/>
    <col min="21" max="21" width="6.5546875" style="95" bestFit="1" customWidth="1"/>
    <col min="22" max="22" width="7.44140625" style="95" bestFit="1" customWidth="1"/>
    <col min="23" max="23" width="5.44140625" style="378" bestFit="1" customWidth="1"/>
    <col min="24" max="24" width="8.6640625" style="95" bestFit="1" customWidth="1"/>
    <col min="25" max="25" width="8.33203125" style="62" bestFit="1" customWidth="1"/>
    <col min="26" max="26" width="12.5546875" style="62" bestFit="1" customWidth="1"/>
    <col min="27" max="27" width="1.44140625" style="62" bestFit="1" customWidth="1"/>
    <col min="28" max="28" width="16.6640625" style="62"/>
    <col min="29" max="29" width="1.44140625" style="62" bestFit="1" customWidth="1"/>
    <col min="30" max="16384" width="16.664062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155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3" si="0">SUM(G2:P2)</f>
        <v>0</v>
      </c>
      <c r="E2" s="476">
        <f t="shared" ref="E2:E3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3" si="2">(D2*B2)+E2+F2</f>
        <v>0</v>
      </c>
      <c r="Y2" s="486"/>
      <c r="Z2" s="486" t="str">
        <f t="shared" ref="Z2:Z3" si="3">IFERROR(LEFT(A2,SEARCH(",",A2)-1)&amp;MID(A2,SEARCH(" ",A2),3)," ")</f>
        <v>Bauer Br</v>
      </c>
    </row>
    <row r="3" spans="1:29" x14ac:dyDescent="0.2">
      <c r="A3" s="633" t="s">
        <v>105</v>
      </c>
      <c r="B3" s="526">
        <v>0</v>
      </c>
      <c r="C3" s="526">
        <v>0</v>
      </c>
      <c r="D3" s="487">
        <f t="shared" si="0"/>
        <v>0</v>
      </c>
      <c r="E3" s="488">
        <f t="shared" si="1"/>
        <v>0</v>
      </c>
      <c r="F3" s="489">
        <f>SUMIF(PP!$1:$1,$Z3,PP!$86:$86)+SUMIF(PC!$1:$1,$Z3,PC!$87:$87)</f>
        <v>0</v>
      </c>
      <c r="G3" s="490">
        <f>SUMIF(Driver!$1:$1,$Z3,Driver!$18:$18)</f>
        <v>0</v>
      </c>
      <c r="H3" s="491">
        <f>SUMIF(PP!$1:$1,$Z3,PP!$84:$84)</f>
        <v>0</v>
      </c>
      <c r="I3" s="492">
        <f>SUMIF(PC!$1:$1,$Z3,PC!$85:$85)</f>
        <v>0</v>
      </c>
      <c r="J3" s="490">
        <f>SUMIF(FH!$1:$1,$Z3,FH!$99:$99)</f>
        <v>0</v>
      </c>
      <c r="K3" s="493">
        <f>SUMIF('T22'!$1:$1,$Z3,'T22'!$99:$99)</f>
        <v>0</v>
      </c>
      <c r="L3" s="490">
        <f>SUMIF(RF!$1:$1,$Z3,RF!$18:$18)</f>
        <v>0</v>
      </c>
      <c r="M3" s="490">
        <f>SUMIF(SC!$1:$1,$Z3,IF(DAY(PayDay1)=1,SC!$17:$17,SC!$35:$35))</f>
        <v>0</v>
      </c>
      <c r="N3" s="490">
        <f>SUMIF('RC'!$1:$1,$Z3,'RC'!$18:$18)</f>
        <v>0</v>
      </c>
      <c r="O3" s="490">
        <f>SUMIF(HoO!$1:$1,$Z3,IF(DAY(PayDay1)=1,HoO!$17:$17,HoO!$34:$34))</f>
        <v>0</v>
      </c>
      <c r="P3" s="494">
        <f>SUMIF(TM!$1:$1,$Z3,TM!$18:$18)</f>
        <v>0</v>
      </c>
      <c r="Q3" s="495">
        <f>SUMIF(Driver!$1:$1,$Z3,Driver!$19:$19)</f>
        <v>0</v>
      </c>
      <c r="R3" s="495">
        <f>SUMIF(PP!$1:$1,$Z3,PP!$85:$85)</f>
        <v>0</v>
      </c>
      <c r="S3" s="495">
        <f>SUMIF(PC!$1:$1,$Z3,PC!$86:$86)</f>
        <v>0</v>
      </c>
      <c r="T3" s="495">
        <f>SUMIF(RF!$1:$1,$Z3,RF!$22:$22)</f>
        <v>0</v>
      </c>
      <c r="U3" s="490">
        <f>SUMIF(SC!$1:$1,$Z3,IF(DAY(PayDay1)=1,SC!$18:$18,SC!$36:$36))</f>
        <v>0</v>
      </c>
      <c r="V3" s="496">
        <f>SUMIF(OT!$1:$1,$Z3,OT!$214:$214)</f>
        <v>0</v>
      </c>
      <c r="W3" s="555"/>
      <c r="X3" s="497">
        <f t="shared" si="2"/>
        <v>0</v>
      </c>
      <c r="Y3" s="498"/>
      <c r="Z3" s="498" t="str">
        <f t="shared" si="3"/>
        <v>Bauer St</v>
      </c>
    </row>
    <row r="4" spans="1:29" x14ac:dyDescent="0.2">
      <c r="A4" s="634" t="s">
        <v>144</v>
      </c>
      <c r="B4" s="569">
        <v>10</v>
      </c>
      <c r="C4" s="569">
        <v>13.5</v>
      </c>
      <c r="D4" s="322">
        <f t="shared" ref="D4:D51" si="4">SUM(G4:P4)</f>
        <v>10</v>
      </c>
      <c r="E4" s="323">
        <f t="shared" ref="E4:E51" si="5">SUM(Q4:W4)</f>
        <v>0</v>
      </c>
      <c r="F4" s="324">
        <f>SUMIF(PP!$1:$1,$Z4,PP!$86:$86)+SUMIF(PC!$1:$1,$Z4,PC!$87:$87)</f>
        <v>0</v>
      </c>
      <c r="G4" s="325">
        <f>SUMIF(Driver!$1:$1,$Z4,Driver!$18:$18)</f>
        <v>0</v>
      </c>
      <c r="H4" s="326">
        <f>SUMIF(PP!$1:$1,$Z4,PP!$84:$84)</f>
        <v>10</v>
      </c>
      <c r="I4" s="327">
        <f>SUMIF(PC!$1:$1,$Z4,PC!$85:$85)</f>
        <v>0</v>
      </c>
      <c r="J4" s="325">
        <f>SUMIF(FH!$1:$1,$Z4,FH!$99:$99)</f>
        <v>0</v>
      </c>
      <c r="K4" s="328">
        <f>SUMIF('T22'!$1:$1,$Z4,'T22'!$99:$99)</f>
        <v>0</v>
      </c>
      <c r="L4" s="325">
        <f>SUMIF(RF!$1:$1,$Z4,RF!$18:$18)</f>
        <v>0</v>
      </c>
      <c r="M4" s="325">
        <f>SUMIF(SC!$1:$1,$Z4,IF(DAY(PayDay1)=1,SC!$17:$17,SC!$35:$35))</f>
        <v>0</v>
      </c>
      <c r="N4" s="325">
        <f>SUMIF('RC'!$1:$1,$Z4,'RC'!$18:$18)</f>
        <v>0</v>
      </c>
      <c r="O4" s="325">
        <f>SUMIF(HoO!$1:$1,$Z4,IF(DAY(PayDay1)=1,HoO!$17:$17,HoO!$34:$34))</f>
        <v>0</v>
      </c>
      <c r="P4" s="329">
        <f>SUMIF(TM!$1:$1,$Z4,TM!$18:$18)</f>
        <v>0</v>
      </c>
      <c r="Q4" s="196">
        <f>SUMIF(Driver!$1:$1,$Z4,Driver!$19:$19)</f>
        <v>0</v>
      </c>
      <c r="R4" s="196">
        <f>SUMIF(PP!$1:$1,$Z4,PP!$85:$85)</f>
        <v>0</v>
      </c>
      <c r="S4" s="196">
        <f>SUMIF(PC!$1:$1,$Z4,PC!$86:$86)</f>
        <v>0</v>
      </c>
      <c r="T4" s="196">
        <f>SUMIF(RF!$1:$1,$Z4,RF!$22:$22)</f>
        <v>0</v>
      </c>
      <c r="U4" s="325">
        <f>SUMIF(SC!$1:$1,$Z4,IF(DAY(PayDay1)=1,SC!$18:$18,SC!$36:$36))</f>
        <v>0</v>
      </c>
      <c r="V4" s="330">
        <f>SUMIF(OT!$1:$1,$Z4,OT!$214:$214)</f>
        <v>0</v>
      </c>
      <c r="W4" s="556"/>
      <c r="X4" s="331">
        <f t="shared" ref="X4:X51" si="6">(D4*B4)+E4+F4</f>
        <v>100</v>
      </c>
      <c r="Y4" s="321"/>
      <c r="Z4" s="321" t="str">
        <f t="shared" ref="Z4:Z51" si="7">IFERROR(LEFT(A4,SEARCH(",",A4)-1)&amp;MID(A4,SEARCH(" ",A4),3)," ")</f>
        <v>Anderson Jo</v>
      </c>
    </row>
    <row r="5" spans="1:29" x14ac:dyDescent="0.2">
      <c r="A5" s="634" t="s">
        <v>194</v>
      </c>
      <c r="B5" s="569">
        <v>10</v>
      </c>
      <c r="C5" s="569">
        <v>13.5</v>
      </c>
      <c r="D5" s="322">
        <f t="shared" si="4"/>
        <v>56.5</v>
      </c>
      <c r="E5" s="323">
        <f t="shared" si="5"/>
        <v>107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18.25</v>
      </c>
      <c r="I5" s="327">
        <f>SUMIF(PC!$1:$1,$Z5,PC!$85:$85)</f>
        <v>0</v>
      </c>
      <c r="J5" s="325">
        <f>SUMIF(FH!$1:$1,$Z5,FH!$99:$99)</f>
        <v>0</v>
      </c>
      <c r="K5" s="328">
        <f>SUMIF('T22'!$1:$1,$Z5,'T22'!$99:$99)</f>
        <v>0</v>
      </c>
      <c r="L5" s="325">
        <f>SUMIF(RF!$1:$1,$Z5,RF!$18:$18)</f>
        <v>33.5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4.75</v>
      </c>
      <c r="Q5" s="196">
        <f>SUMIF(Driver!$1:$1,$Z5,Driver!$19:$19)</f>
        <v>0</v>
      </c>
      <c r="R5" s="196">
        <f>SUMIF(PP!$1:$1,$Z5,PP!$85:$85)</f>
        <v>40</v>
      </c>
      <c r="S5" s="196">
        <f>SUMIF(PC!$1:$1,$Z5,PC!$86:$86)</f>
        <v>0</v>
      </c>
      <c r="T5" s="196">
        <f>SUMIF(RF!$1:$1,$Z5,RF!$22:$22)</f>
        <v>67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 t="shared" si="6"/>
        <v>672</v>
      </c>
      <c r="Y5" s="321"/>
      <c r="Z5" s="321" t="str">
        <f t="shared" si="7"/>
        <v>Arroyo Ty</v>
      </c>
    </row>
    <row r="6" spans="1:29" x14ac:dyDescent="0.2">
      <c r="A6" s="634" t="s">
        <v>102</v>
      </c>
      <c r="B6" s="569">
        <v>10</v>
      </c>
      <c r="C6" s="569">
        <v>13.5</v>
      </c>
      <c r="D6" s="322">
        <f t="shared" si="4"/>
        <v>35.25</v>
      </c>
      <c r="E6" s="323">
        <f t="shared" si="5"/>
        <v>32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9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0</v>
      </c>
      <c r="L6" s="325">
        <f>SUMIF(RF!$1:$1,$Z6,RF!$18:$18)</f>
        <v>26.25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0</v>
      </c>
      <c r="Q6" s="196">
        <f>SUMIF(Driver!$1:$1,$Z6,Driver!$19:$19)</f>
        <v>0</v>
      </c>
      <c r="R6" s="196">
        <f>SUMIF(PP!$1:$1,$Z6,PP!$85:$85)</f>
        <v>0</v>
      </c>
      <c r="S6" s="196">
        <f>SUMIF(PC!$1:$1,$Z6,PC!$86:$86)</f>
        <v>0</v>
      </c>
      <c r="T6" s="196">
        <f>SUMIF(RF!$1:$1,$Z6,RF!$22:$22)</f>
        <v>32</v>
      </c>
      <c r="U6" s="325">
        <f>SUMIF(SC!$1:$1,$Z6,IF(DAY(PayDay1)=1,SC!$18:$18,SC!$36:$36))</f>
        <v>0</v>
      </c>
      <c r="V6" s="330">
        <f>SUMIF(OT!$1:$1,$Z6,OT!$214:$214)</f>
        <v>0</v>
      </c>
      <c r="W6" s="556"/>
      <c r="X6" s="331">
        <f t="shared" si="6"/>
        <v>384.5</v>
      </c>
      <c r="Y6" s="321"/>
      <c r="Z6" s="321" t="str">
        <f t="shared" si="7"/>
        <v>Barnyak Al</v>
      </c>
    </row>
    <row r="7" spans="1:29" s="332" customFormat="1" x14ac:dyDescent="0.2">
      <c r="A7" s="634" t="s">
        <v>136</v>
      </c>
      <c r="B7" s="569">
        <v>10</v>
      </c>
      <c r="C7" s="569">
        <v>13.5</v>
      </c>
      <c r="D7" s="322">
        <f t="shared" si="4"/>
        <v>12.25</v>
      </c>
      <c r="E7" s="323">
        <f t="shared" si="5"/>
        <v>0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12.25</v>
      </c>
      <c r="I7" s="327">
        <f>SUMIF(PC!$1:$1,$Z7,PC!$85:$85)</f>
        <v>0</v>
      </c>
      <c r="J7" s="325">
        <f>SUMIF(FH!$1:$1,$Z7,FH!$99:$99)</f>
        <v>0</v>
      </c>
      <c r="K7" s="328">
        <f>SUMIF('T22'!$1:$1,$Z7,'T22'!$99:$99)</f>
        <v>0</v>
      </c>
      <c r="L7" s="325">
        <f>SUMIF(RF!$1:$1,$Z7,RF!$18:$18)</f>
        <v>0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0</v>
      </c>
      <c r="U7" s="325">
        <f>SUMIF(SC!$1:$1,$Z7,IF(DAY(PayDay1)=1,SC!$18:$18,SC!$36:$36))</f>
        <v>0</v>
      </c>
      <c r="V7" s="330">
        <f>SUMIF(OT!$1:$1,$Z7,OT!$214:$214)</f>
        <v>0</v>
      </c>
      <c r="W7" s="556"/>
      <c r="X7" s="331">
        <f t="shared" si="6"/>
        <v>122.5</v>
      </c>
      <c r="Y7" s="321"/>
      <c r="Z7" s="321" t="str">
        <f t="shared" si="7"/>
        <v>Brewer Be</v>
      </c>
    </row>
    <row r="8" spans="1:29" x14ac:dyDescent="0.2">
      <c r="A8" s="634" t="s">
        <v>125</v>
      </c>
      <c r="B8" s="569">
        <v>10</v>
      </c>
      <c r="C8" s="569">
        <v>13.5</v>
      </c>
      <c r="D8" s="322">
        <f t="shared" si="4"/>
        <v>15.75</v>
      </c>
      <c r="E8" s="323">
        <f t="shared" si="5"/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15.75</v>
      </c>
      <c r="I8" s="327">
        <f>SUMIF(PC!$1:$1,$Z8,PC!$85:$85)</f>
        <v>0</v>
      </c>
      <c r="J8" s="325">
        <f>SUMIF(FH!$1:$1,$Z8,FH!$99:$99)</f>
        <v>0</v>
      </c>
      <c r="K8" s="328">
        <f>SUMIF('T22'!$1:$1,$Z8,'T22'!$99:$99)</f>
        <v>0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 t="shared" si="6"/>
        <v>157.5</v>
      </c>
      <c r="Y8" s="321"/>
      <c r="Z8" s="321" t="str">
        <f t="shared" si="7"/>
        <v>Bringgold Ch</v>
      </c>
    </row>
    <row r="9" spans="1:29" s="332" customFormat="1" x14ac:dyDescent="0.2">
      <c r="A9" s="634" t="s">
        <v>103</v>
      </c>
      <c r="B9" s="569">
        <v>10</v>
      </c>
      <c r="C9" s="569">
        <v>13.5</v>
      </c>
      <c r="D9" s="322">
        <f t="shared" si="4"/>
        <v>13.5</v>
      </c>
      <c r="E9" s="323">
        <f t="shared" si="5"/>
        <v>0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4.75</v>
      </c>
      <c r="I9" s="327">
        <f>SUMIF(PC!$1:$1,$Z9,PC!$85:$85)</f>
        <v>0</v>
      </c>
      <c r="J9" s="325">
        <f>SUMIF(FH!$1:$1,$Z9,FH!$99:$99)</f>
        <v>0</v>
      </c>
      <c r="K9" s="328">
        <f>SUMIF('T22'!$1:$1,$Z9,'T22'!$99:$99)</f>
        <v>0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8.75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0</v>
      </c>
      <c r="W9" s="556"/>
      <c r="X9" s="331">
        <f t="shared" si="6"/>
        <v>135</v>
      </c>
      <c r="Y9" s="321"/>
      <c r="Z9" s="321" t="str">
        <f t="shared" si="7"/>
        <v>Cannon Da</v>
      </c>
    </row>
    <row r="10" spans="1:29" x14ac:dyDescent="0.2">
      <c r="A10" s="634" t="s">
        <v>172</v>
      </c>
      <c r="B10" s="569">
        <v>10</v>
      </c>
      <c r="C10" s="569">
        <v>13.5</v>
      </c>
      <c r="D10" s="322">
        <f t="shared" si="4"/>
        <v>6.5</v>
      </c>
      <c r="E10" s="323">
        <f t="shared" si="5"/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6.5</v>
      </c>
      <c r="I10" s="327">
        <f>SUMIF(PC!$1:$1,$Z10,PC!$85:$85)</f>
        <v>0</v>
      </c>
      <c r="J10" s="325">
        <f>SUMIF(FH!$1:$1,$Z10,FH!$99:$99)</f>
        <v>0</v>
      </c>
      <c r="K10" s="328">
        <f>SUMIF('T22'!$1:$1,$Z10,'T22'!$99:$99)</f>
        <v>0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0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 t="shared" si="6"/>
        <v>65</v>
      </c>
      <c r="Y10" s="321"/>
      <c r="Z10" s="321" t="str">
        <f t="shared" si="7"/>
        <v>Cardelli Ma</v>
      </c>
    </row>
    <row r="11" spans="1:29" s="332" customFormat="1" x14ac:dyDescent="0.2">
      <c r="A11" s="634" t="s">
        <v>135</v>
      </c>
      <c r="B11" s="569">
        <v>10</v>
      </c>
      <c r="C11" s="569">
        <v>13.5</v>
      </c>
      <c r="D11" s="322">
        <f t="shared" si="4"/>
        <v>27.25</v>
      </c>
      <c r="E11" s="323">
        <f t="shared" si="5"/>
        <v>21.25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27.25</v>
      </c>
      <c r="I11" s="327">
        <f>SUMIF(PC!$1:$1,$Z11,PC!$85:$85)</f>
        <v>0</v>
      </c>
      <c r="J11" s="325">
        <f>SUMIF(FH!$1:$1,$Z11,FH!$99:$99)</f>
        <v>0</v>
      </c>
      <c r="K11" s="328">
        <f>SUMIF('T22'!$1:$1,$Z11,'T22'!$99:$99)</f>
        <v>0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21.25</v>
      </c>
      <c r="W11" s="556"/>
      <c r="X11" s="331">
        <f t="shared" si="6"/>
        <v>293.75</v>
      </c>
      <c r="Y11" s="321"/>
      <c r="Z11" s="321" t="str">
        <f t="shared" si="7"/>
        <v>Carmenita Ja</v>
      </c>
      <c r="AC11" s="332" t="s">
        <v>116</v>
      </c>
    </row>
    <row r="12" spans="1:29" s="332" customFormat="1" x14ac:dyDescent="0.2">
      <c r="A12" s="634" t="s">
        <v>146</v>
      </c>
      <c r="B12" s="569">
        <v>10</v>
      </c>
      <c r="C12" s="569">
        <v>13.5</v>
      </c>
      <c r="D12" s="322">
        <f t="shared" si="4"/>
        <v>5.25</v>
      </c>
      <c r="E12" s="323">
        <f t="shared" si="5"/>
        <v>0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0</v>
      </c>
      <c r="I12" s="327">
        <f>SUMIF(PC!$1:$1,$Z12,PC!$85:$85)</f>
        <v>0</v>
      </c>
      <c r="J12" s="325">
        <f>SUMIF(FH!$1:$1,$Z12,FH!$99:$99)</f>
        <v>0</v>
      </c>
      <c r="K12" s="328">
        <f>SUMIF('T22'!$1:$1,$Z12,'T22'!$99:$99)</f>
        <v>0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5.25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0</v>
      </c>
      <c r="W12" s="556"/>
      <c r="X12" s="331">
        <f t="shared" si="6"/>
        <v>52.5</v>
      </c>
      <c r="Y12" s="321"/>
      <c r="Z12" s="321" t="str">
        <f t="shared" si="7"/>
        <v>Dieffenbacher Be</v>
      </c>
    </row>
    <row r="13" spans="1:29" s="332" customFormat="1" x14ac:dyDescent="0.2">
      <c r="A13" s="634" t="s">
        <v>205</v>
      </c>
      <c r="B13" s="569">
        <v>10</v>
      </c>
      <c r="C13" s="569">
        <v>13.5</v>
      </c>
      <c r="D13" s="322">
        <f t="shared" si="4"/>
        <v>12.25</v>
      </c>
      <c r="E13" s="323">
        <f t="shared" si="5"/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 t="shared" si="6"/>
        <v>122.5</v>
      </c>
      <c r="Y13" s="321"/>
      <c r="Z13" s="321" t="str">
        <f t="shared" si="7"/>
        <v>Ellescas Ad</v>
      </c>
    </row>
    <row r="14" spans="1:29" s="332" customFormat="1" x14ac:dyDescent="0.2">
      <c r="A14" s="634" t="s">
        <v>235</v>
      </c>
      <c r="B14" s="569"/>
      <c r="C14" s="569"/>
      <c r="D14" s="322">
        <f t="shared" si="4"/>
        <v>15.17</v>
      </c>
      <c r="E14" s="323">
        <f t="shared" si="5"/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0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 t="shared" si="6"/>
        <v>0</v>
      </c>
      <c r="Y14" s="321"/>
      <c r="Z14" s="321" t="str">
        <f t="shared" si="7"/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 t="shared" si="4"/>
        <v>67.960000000000008</v>
      </c>
      <c r="E15" s="323">
        <f t="shared" si="5"/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0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 t="shared" si="6"/>
        <v>701.90000000000009</v>
      </c>
      <c r="Y15" s="321"/>
      <c r="Z15" s="321" t="str">
        <f t="shared" si="7"/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 t="shared" si="4"/>
        <v>9.5</v>
      </c>
      <c r="E16" s="323">
        <f t="shared" si="5"/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 t="shared" si="6"/>
        <v>95</v>
      </c>
      <c r="Y16" s="321"/>
      <c r="Z16" s="321" t="str">
        <f t="shared" si="7"/>
        <v>Grecin An</v>
      </c>
    </row>
    <row r="17" spans="1:26" s="332" customFormat="1" x14ac:dyDescent="0.2">
      <c r="A17" s="634" t="s">
        <v>204</v>
      </c>
      <c r="B17" s="569">
        <v>10</v>
      </c>
      <c r="C17" s="569">
        <v>13.5</v>
      </c>
      <c r="D17" s="322">
        <f t="shared" si="4"/>
        <v>13.75</v>
      </c>
      <c r="E17" s="323">
        <f t="shared" si="5"/>
        <v>1.25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0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1.25</v>
      </c>
      <c r="W17" s="556"/>
      <c r="X17" s="331">
        <f t="shared" si="6"/>
        <v>138.75</v>
      </c>
      <c r="Y17" s="321"/>
      <c r="Z17" s="321" t="str">
        <f t="shared" si="7"/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 t="shared" si="4"/>
        <v>22.25</v>
      </c>
      <c r="E18" s="323">
        <f t="shared" si="5"/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0</v>
      </c>
      <c r="K18" s="328">
        <f>SUMIF('T22'!$1:$1,$Z18,'T22'!$99:$99)</f>
        <v>0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 t="shared" si="6"/>
        <v>222.5</v>
      </c>
      <c r="Y18" s="321"/>
      <c r="Z18" s="321" t="str">
        <f t="shared" si="7"/>
        <v>Kane Ro</v>
      </c>
    </row>
    <row r="19" spans="1:26" s="332" customFormat="1" x14ac:dyDescent="0.2">
      <c r="A19" s="634" t="s">
        <v>200</v>
      </c>
      <c r="B19" s="569">
        <v>10</v>
      </c>
      <c r="C19" s="569">
        <v>13.5</v>
      </c>
      <c r="D19" s="322">
        <f t="shared" si="4"/>
        <v>12</v>
      </c>
      <c r="E19" s="323">
        <f t="shared" si="5"/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0</v>
      </c>
      <c r="K19" s="328">
        <f>SUMIF('T22'!$1:$1,$Z19,'T22'!$99:$99)</f>
        <v>0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 t="shared" si="6"/>
        <v>120</v>
      </c>
      <c r="Y19" s="321"/>
      <c r="Z19" s="321" t="str">
        <f t="shared" si="7"/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 t="shared" si="4"/>
        <v>13.25</v>
      </c>
      <c r="E20" s="323">
        <f t="shared" si="5"/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0</v>
      </c>
      <c r="K20" s="328">
        <f>SUMIF('T22'!$1:$1,$Z20,'T22'!$99:$99)</f>
        <v>0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 t="shared" si="6"/>
        <v>132.5</v>
      </c>
      <c r="Y20" s="321"/>
      <c r="Z20" s="321" t="str">
        <f t="shared" si="7"/>
        <v>Knight Al</v>
      </c>
    </row>
    <row r="21" spans="1:26" s="332" customFormat="1" x14ac:dyDescent="0.2">
      <c r="A21" s="634" t="s">
        <v>230</v>
      </c>
      <c r="B21" s="569">
        <v>10</v>
      </c>
      <c r="C21" s="569">
        <v>13.5</v>
      </c>
      <c r="D21" s="322">
        <f t="shared" si="4"/>
        <v>3.25</v>
      </c>
      <c r="E21" s="323">
        <f t="shared" si="5"/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0</v>
      </c>
      <c r="K21" s="328">
        <f>SUMIF('T22'!$1:$1,$Z21,'T22'!$99:$99)</f>
        <v>0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 t="shared" si="6"/>
        <v>32.5</v>
      </c>
      <c r="Y21" s="321"/>
      <c r="Z21" s="321" t="str">
        <f t="shared" si="7"/>
        <v>Levesque Qu</v>
      </c>
    </row>
    <row r="22" spans="1:26" s="332" customFormat="1" x14ac:dyDescent="0.2">
      <c r="A22" s="634" t="s">
        <v>237</v>
      </c>
      <c r="B22" s="569"/>
      <c r="C22" s="569"/>
      <c r="D22" s="322">
        <f t="shared" si="4"/>
        <v>19.7</v>
      </c>
      <c r="E22" s="323">
        <f t="shared" si="5"/>
        <v>0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0</v>
      </c>
      <c r="W22" s="556"/>
      <c r="X22" s="331">
        <f t="shared" si="6"/>
        <v>0</v>
      </c>
      <c r="Y22" s="321"/>
      <c r="Z22" s="321" t="str">
        <f t="shared" si="7"/>
        <v>Madkins Ty</v>
      </c>
    </row>
    <row r="23" spans="1:26" s="332" customFormat="1" x14ac:dyDescent="0.2">
      <c r="A23" s="634" t="s">
        <v>202</v>
      </c>
      <c r="B23" s="569">
        <v>10</v>
      </c>
      <c r="C23" s="569">
        <v>13.5</v>
      </c>
      <c r="D23" s="322">
        <f t="shared" si="4"/>
        <v>7.5</v>
      </c>
      <c r="E23" s="323">
        <f t="shared" si="5"/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0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 t="shared" si="6"/>
        <v>75</v>
      </c>
      <c r="Y23" s="321"/>
      <c r="Z23" s="321" t="str">
        <f t="shared" si="7"/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 t="shared" si="4"/>
        <v>47.75</v>
      </c>
      <c r="E24" s="323">
        <f t="shared" si="5"/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0</v>
      </c>
      <c r="K24" s="328">
        <f>SUMIF('T22'!$1:$1,$Z24,'T22'!$99:$99)</f>
        <v>0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 t="shared" si="6"/>
        <v>595</v>
      </c>
      <c r="Y24" s="321"/>
      <c r="Z24" s="321" t="str">
        <f t="shared" si="7"/>
        <v>McLaughlin Da</v>
      </c>
    </row>
    <row r="25" spans="1:26" s="332" customFormat="1" x14ac:dyDescent="0.2">
      <c r="A25" s="634" t="s">
        <v>231</v>
      </c>
      <c r="B25" s="569">
        <v>10</v>
      </c>
      <c r="C25" s="569">
        <v>13.5</v>
      </c>
      <c r="D25" s="322">
        <f t="shared" si="4"/>
        <v>3</v>
      </c>
      <c r="E25" s="323">
        <f t="shared" si="5"/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3</v>
      </c>
      <c r="I25" s="327">
        <f>SUMIF(PC!$1:$1,$Z25,PC!$85:$85)</f>
        <v>0</v>
      </c>
      <c r="J25" s="325">
        <f>SUMIF(FH!$1:$1,$Z25,FH!$99:$99)</f>
        <v>0</v>
      </c>
      <c r="K25" s="328">
        <f>SUMIF('T22'!$1:$1,$Z25,'T22'!$99:$99)</f>
        <v>0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 t="shared" si="6"/>
        <v>30</v>
      </c>
      <c r="Y25" s="321"/>
      <c r="Z25" s="321" t="str">
        <f t="shared" si="7"/>
        <v>Ocampo-Mora Ce</v>
      </c>
    </row>
    <row r="26" spans="1:26" s="332" customFormat="1" x14ac:dyDescent="0.2">
      <c r="A26" s="634" t="s">
        <v>228</v>
      </c>
      <c r="B26" s="569">
        <v>10</v>
      </c>
      <c r="C26" s="569">
        <v>13.5</v>
      </c>
      <c r="D26" s="322">
        <f t="shared" si="4"/>
        <v>1.75</v>
      </c>
      <c r="E26" s="323">
        <f t="shared" si="5"/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 t="shared" si="6"/>
        <v>17.5</v>
      </c>
      <c r="Y26" s="321"/>
      <c r="Z26" s="321" t="str">
        <f t="shared" si="7"/>
        <v>Pribilo Ch</v>
      </c>
    </row>
    <row r="27" spans="1:26" s="332" customFormat="1" x14ac:dyDescent="0.2">
      <c r="A27" s="634" t="s">
        <v>207</v>
      </c>
      <c r="B27" s="569">
        <v>10</v>
      </c>
      <c r="C27" s="569">
        <v>13.5</v>
      </c>
      <c r="D27" s="322">
        <f t="shared" si="4"/>
        <v>19.75</v>
      </c>
      <c r="E27" s="323">
        <f t="shared" si="5"/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0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 t="shared" si="6"/>
        <v>200</v>
      </c>
      <c r="Y27" s="321"/>
      <c r="Z27" s="321" t="str">
        <f t="shared" si="7"/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 t="shared" si="4"/>
        <v>13.5</v>
      </c>
      <c r="E28" s="323">
        <f t="shared" si="5"/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 t="shared" si="6"/>
        <v>135</v>
      </c>
      <c r="Y28" s="321"/>
      <c r="Z28" s="321" t="str">
        <f t="shared" si="7"/>
        <v>Rochester Da</v>
      </c>
    </row>
    <row r="29" spans="1:26" s="332" customFormat="1" x14ac:dyDescent="0.2">
      <c r="A29" s="634" t="s">
        <v>236</v>
      </c>
      <c r="B29" s="569"/>
      <c r="C29" s="569"/>
      <c r="D29" s="322">
        <f t="shared" si="4"/>
        <v>15.25</v>
      </c>
      <c r="E29" s="323">
        <f t="shared" si="5"/>
        <v>0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15.25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0</v>
      </c>
      <c r="W29" s="556"/>
      <c r="X29" s="331">
        <f t="shared" si="6"/>
        <v>0</v>
      </c>
      <c r="Y29" s="321"/>
      <c r="Z29" s="321" t="str">
        <f t="shared" si="7"/>
        <v>Rodriguez Be</v>
      </c>
    </row>
    <row r="30" spans="1:26" s="332" customFormat="1" x14ac:dyDescent="0.2">
      <c r="A30" s="634" t="s">
        <v>195</v>
      </c>
      <c r="B30" s="569">
        <v>10</v>
      </c>
      <c r="C30" s="569">
        <v>13.5</v>
      </c>
      <c r="D30" s="322">
        <f t="shared" si="4"/>
        <v>60</v>
      </c>
      <c r="E30" s="323">
        <f t="shared" si="5"/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 t="shared" si="6"/>
        <v>718.86153943377144</v>
      </c>
      <c r="Y30" s="321"/>
      <c r="Z30" s="321" t="str">
        <f t="shared" si="7"/>
        <v>Semeryuk Ti</v>
      </c>
    </row>
    <row r="31" spans="1:26" s="332" customFormat="1" x14ac:dyDescent="0.2">
      <c r="A31" s="634" t="s">
        <v>201</v>
      </c>
      <c r="B31" s="569">
        <v>10</v>
      </c>
      <c r="C31" s="569">
        <v>13.5</v>
      </c>
      <c r="D31" s="322">
        <f t="shared" si="4"/>
        <v>4.75</v>
      </c>
      <c r="E31" s="323">
        <f t="shared" si="5"/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 t="shared" si="6"/>
        <v>47.5</v>
      </c>
      <c r="Y31" s="321"/>
      <c r="Z31" s="321" t="str">
        <f t="shared" si="7"/>
        <v>Simmons Br</v>
      </c>
    </row>
    <row r="32" spans="1:26" s="332" customFormat="1" x14ac:dyDescent="0.2">
      <c r="A32" s="634" t="s">
        <v>100</v>
      </c>
      <c r="B32" s="569">
        <v>10</v>
      </c>
      <c r="C32" s="569">
        <v>13.5</v>
      </c>
      <c r="D32" s="322">
        <f t="shared" si="4"/>
        <v>39.049999999999997</v>
      </c>
      <c r="E32" s="323">
        <f t="shared" si="5"/>
        <v>106.5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0</v>
      </c>
      <c r="K32" s="328">
        <f>SUMIF('T22'!$1:$1,$Z32,'T22'!$99:$99)</f>
        <v>0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26.500000000000004</v>
      </c>
      <c r="W32" s="556"/>
      <c r="X32" s="331">
        <f t="shared" si="6"/>
        <v>497</v>
      </c>
      <c r="Y32" s="321"/>
      <c r="Z32" s="321" t="str">
        <f t="shared" si="7"/>
        <v>Skogberg Ma</v>
      </c>
    </row>
    <row r="33" spans="1:26" s="332" customFormat="1" x14ac:dyDescent="0.2">
      <c r="A33" s="634" t="s">
        <v>198</v>
      </c>
      <c r="B33" s="569">
        <v>10</v>
      </c>
      <c r="C33" s="569">
        <v>13.5</v>
      </c>
      <c r="D33" s="322">
        <f t="shared" si="4"/>
        <v>4.75</v>
      </c>
      <c r="E33" s="323">
        <f t="shared" si="5"/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 t="shared" si="6"/>
        <v>47.5</v>
      </c>
      <c r="Y33" s="321"/>
      <c r="Z33" s="321" t="str">
        <f t="shared" si="7"/>
        <v>Snow Ky</v>
      </c>
    </row>
    <row r="34" spans="1:26" x14ac:dyDescent="0.2">
      <c r="A34" s="634" t="s">
        <v>153</v>
      </c>
      <c r="B34" s="569">
        <v>10</v>
      </c>
      <c r="C34" s="569">
        <v>13.5</v>
      </c>
      <c r="D34" s="322">
        <f t="shared" si="4"/>
        <v>15</v>
      </c>
      <c r="E34" s="323">
        <f t="shared" si="5"/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0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 t="shared" si="6"/>
        <v>150</v>
      </c>
      <c r="Y34" s="321"/>
      <c r="Z34" s="321" t="str">
        <f t="shared" si="7"/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 t="shared" si="4"/>
        <v>14.75</v>
      </c>
      <c r="E35" s="323">
        <f t="shared" si="5"/>
        <v>2.5</v>
      </c>
      <c r="F35" s="324">
        <f>SUMIF(PP!$1:$1,$Z35,PP!$86:$86)+SUMIF(PC!$1:$1,$Z35,PC!$87:$87)</f>
        <v>39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0</v>
      </c>
      <c r="K35" s="328">
        <f>SUMIF('T22'!$1:$1,$Z35,'T22'!$99:$99)</f>
        <v>0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2.5</v>
      </c>
      <c r="W35" s="556"/>
      <c r="X35" s="331">
        <f t="shared" si="6"/>
        <v>189</v>
      </c>
      <c r="Y35" s="321"/>
      <c r="Z35" s="321" t="str">
        <f t="shared" si="7"/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 t="shared" si="4"/>
        <v>7.5</v>
      </c>
      <c r="E36" s="323">
        <f t="shared" si="5"/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0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 t="shared" si="6"/>
        <v>75</v>
      </c>
      <c r="Y36" s="321"/>
      <c r="Z36" s="321" t="str">
        <f t="shared" si="7"/>
        <v>Torres Vi</v>
      </c>
    </row>
    <row r="37" spans="1:26" s="332" customFormat="1" x14ac:dyDescent="0.2">
      <c r="A37" s="634" t="s">
        <v>232</v>
      </c>
      <c r="B37" s="569">
        <v>10</v>
      </c>
      <c r="C37" s="569">
        <v>13.5</v>
      </c>
      <c r="D37" s="322">
        <f t="shared" si="4"/>
        <v>0</v>
      </c>
      <c r="E37" s="323">
        <f t="shared" si="5"/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0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 t="shared" si="6"/>
        <v>0</v>
      </c>
      <c r="Y37" s="321"/>
      <c r="Z37" s="321" t="str">
        <f t="shared" si="7"/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 t="shared" si="4"/>
        <v>23.25</v>
      </c>
      <c r="E38" s="323">
        <f t="shared" si="5"/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0</v>
      </c>
      <c r="K38" s="328">
        <f>SUMIF('T22'!$1:$1,$Z38,'T22'!$99:$99)</f>
        <v>0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 t="shared" si="6"/>
        <v>232.5</v>
      </c>
      <c r="Y38" s="321"/>
      <c r="Z38" s="321" t="str">
        <f t="shared" si="7"/>
        <v>Wedman Ke</v>
      </c>
    </row>
    <row r="39" spans="1:26" s="332" customFormat="1" x14ac:dyDescent="0.2">
      <c r="A39" s="634"/>
      <c r="B39" s="569"/>
      <c r="C39" s="569"/>
      <c r="D39" s="322">
        <f t="shared" si="4"/>
        <v>0</v>
      </c>
      <c r="E39" s="323">
        <f t="shared" si="5"/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 t="shared" si="6"/>
        <v>0</v>
      </c>
      <c r="Y39" s="321"/>
      <c r="Z39" s="321" t="str">
        <f t="shared" si="7"/>
        <v xml:space="preserve"> </v>
      </c>
    </row>
    <row r="40" spans="1:26" s="332" customFormat="1" x14ac:dyDescent="0.2">
      <c r="A40" s="634"/>
      <c r="B40" s="569"/>
      <c r="C40" s="569"/>
      <c r="D40" s="322">
        <f t="shared" si="4"/>
        <v>0</v>
      </c>
      <c r="E40" s="323">
        <f t="shared" si="5"/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 t="shared" si="6"/>
        <v>0</v>
      </c>
      <c r="Y40" s="321"/>
      <c r="Z40" s="321" t="str">
        <f t="shared" si="7"/>
        <v xml:space="preserve"> </v>
      </c>
    </row>
    <row r="41" spans="1:26" s="332" customFormat="1" x14ac:dyDescent="0.2">
      <c r="A41" s="634"/>
      <c r="B41" s="569"/>
      <c r="C41" s="569"/>
      <c r="D41" s="322">
        <f t="shared" si="4"/>
        <v>0</v>
      </c>
      <c r="E41" s="323">
        <f t="shared" si="5"/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 t="shared" si="6"/>
        <v>0</v>
      </c>
      <c r="Y41" s="321"/>
      <c r="Z41" s="321" t="str">
        <f t="shared" si="7"/>
        <v xml:space="preserve"> </v>
      </c>
    </row>
    <row r="42" spans="1:26" s="332" customFormat="1" x14ac:dyDescent="0.2">
      <c r="A42" s="634"/>
      <c r="B42" s="569"/>
      <c r="C42" s="569"/>
      <c r="D42" s="322">
        <f t="shared" si="4"/>
        <v>0</v>
      </c>
      <c r="E42" s="323">
        <f t="shared" si="5"/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 t="shared" si="6"/>
        <v>0</v>
      </c>
      <c r="Y42" s="321"/>
      <c r="Z42" s="321" t="str">
        <f t="shared" si="7"/>
        <v xml:space="preserve"> </v>
      </c>
    </row>
    <row r="43" spans="1:26" s="332" customFormat="1" x14ac:dyDescent="0.2">
      <c r="A43" s="634"/>
      <c r="B43" s="569"/>
      <c r="C43" s="569"/>
      <c r="D43" s="322">
        <f t="shared" si="4"/>
        <v>0</v>
      </c>
      <c r="E43" s="323">
        <f t="shared" si="5"/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 t="shared" si="6"/>
        <v>0</v>
      </c>
      <c r="Y43" s="321"/>
      <c r="Z43" s="321" t="str">
        <f t="shared" si="7"/>
        <v xml:space="preserve"> </v>
      </c>
    </row>
    <row r="44" spans="1:26" s="332" customFormat="1" x14ac:dyDescent="0.2">
      <c r="A44" s="634"/>
      <c r="B44" s="569"/>
      <c r="C44" s="569"/>
      <c r="D44" s="322">
        <f t="shared" si="4"/>
        <v>0</v>
      </c>
      <c r="E44" s="323">
        <f t="shared" si="5"/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 t="shared" si="6"/>
        <v>0</v>
      </c>
      <c r="Y44" s="321"/>
      <c r="Z44" s="321" t="str">
        <f t="shared" si="7"/>
        <v xml:space="preserve"> </v>
      </c>
    </row>
    <row r="45" spans="1:26" s="332" customFormat="1" x14ac:dyDescent="0.2">
      <c r="A45" s="634"/>
      <c r="B45" s="569"/>
      <c r="C45" s="569"/>
      <c r="D45" s="322">
        <f t="shared" si="4"/>
        <v>0</v>
      </c>
      <c r="E45" s="323">
        <f t="shared" si="5"/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 t="shared" si="6"/>
        <v>0</v>
      </c>
      <c r="Y45" s="321"/>
      <c r="Z45" s="321" t="str">
        <f t="shared" si="7"/>
        <v xml:space="preserve"> </v>
      </c>
    </row>
    <row r="46" spans="1:26" s="332" customFormat="1" x14ac:dyDescent="0.2">
      <c r="A46" s="634"/>
      <c r="B46" s="569"/>
      <c r="C46" s="569"/>
      <c r="D46" s="322">
        <f t="shared" si="4"/>
        <v>0</v>
      </c>
      <c r="E46" s="323">
        <f t="shared" si="5"/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 t="shared" si="6"/>
        <v>0</v>
      </c>
      <c r="Y46" s="321"/>
      <c r="Z46" s="321" t="str">
        <f t="shared" si="7"/>
        <v xml:space="preserve"> </v>
      </c>
    </row>
    <row r="47" spans="1:26" s="332" customFormat="1" x14ac:dyDescent="0.2">
      <c r="A47" s="634"/>
      <c r="B47" s="569"/>
      <c r="C47" s="569"/>
      <c r="D47" s="322">
        <f t="shared" si="4"/>
        <v>0</v>
      </c>
      <c r="E47" s="323">
        <f t="shared" si="5"/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 t="shared" si="6"/>
        <v>0</v>
      </c>
      <c r="Y47" s="321"/>
      <c r="Z47" s="321" t="str">
        <f t="shared" si="7"/>
        <v xml:space="preserve"> </v>
      </c>
    </row>
    <row r="48" spans="1:26" s="332" customFormat="1" x14ac:dyDescent="0.2">
      <c r="A48" s="634"/>
      <c r="B48" s="569"/>
      <c r="C48" s="569"/>
      <c r="D48" s="322">
        <f t="shared" si="4"/>
        <v>0</v>
      </c>
      <c r="E48" s="323">
        <f t="shared" si="5"/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 t="shared" si="6"/>
        <v>0</v>
      </c>
      <c r="Y48" s="321"/>
      <c r="Z48" s="321" t="str">
        <f t="shared" si="7"/>
        <v xml:space="preserve"> </v>
      </c>
    </row>
    <row r="49" spans="1:26" s="332" customFormat="1" x14ac:dyDescent="0.2">
      <c r="A49" s="634"/>
      <c r="B49" s="569"/>
      <c r="C49" s="569"/>
      <c r="D49" s="322">
        <f t="shared" si="4"/>
        <v>0</v>
      </c>
      <c r="E49" s="323">
        <f t="shared" si="5"/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 t="shared" si="6"/>
        <v>0</v>
      </c>
      <c r="Y49" s="321"/>
      <c r="Z49" s="321" t="str">
        <f t="shared" si="7"/>
        <v xml:space="preserve"> </v>
      </c>
    </row>
    <row r="50" spans="1:26" s="332" customFormat="1" x14ac:dyDescent="0.2">
      <c r="A50" s="634"/>
      <c r="B50" s="569"/>
      <c r="C50" s="569"/>
      <c r="D50" s="322">
        <f t="shared" si="4"/>
        <v>0</v>
      </c>
      <c r="E50" s="323">
        <f t="shared" si="5"/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 t="shared" si="6"/>
        <v>0</v>
      </c>
      <c r="Y50" s="321"/>
      <c r="Z50" s="321" t="str">
        <f t="shared" si="7"/>
        <v xml:space="preserve"> </v>
      </c>
    </row>
    <row r="51" spans="1:26" s="332" customFormat="1" ht="10.8" thickBot="1" x14ac:dyDescent="0.25">
      <c r="A51" s="634"/>
      <c r="B51" s="569"/>
      <c r="C51" s="569"/>
      <c r="D51" s="322">
        <f t="shared" si="4"/>
        <v>0</v>
      </c>
      <c r="E51" s="323">
        <f t="shared" si="5"/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 t="shared" si="6"/>
        <v>0</v>
      </c>
      <c r="Y51" s="321"/>
      <c r="Z51" s="321" t="str">
        <f t="shared" si="7"/>
        <v xml:space="preserve"> </v>
      </c>
    </row>
    <row r="52" spans="1:26" s="332" customFormat="1" ht="10.8" thickBot="1" x14ac:dyDescent="0.25">
      <c r="A52" s="333" t="s">
        <v>3</v>
      </c>
      <c r="B52" s="334"/>
      <c r="C52" s="465"/>
      <c r="D52" s="335">
        <f t="shared" ref="D52:X52" si="8">SUM(D2:D51)</f>
        <v>648.87999999999988</v>
      </c>
      <c r="E52" s="336">
        <f t="shared" si="8"/>
        <v>531.66153943377151</v>
      </c>
      <c r="F52" s="334">
        <f t="shared" si="8"/>
        <v>39</v>
      </c>
      <c r="G52" s="337">
        <f t="shared" si="8"/>
        <v>33.200000000000003</v>
      </c>
      <c r="H52" s="338">
        <f t="shared" si="8"/>
        <v>366.46999999999997</v>
      </c>
      <c r="I52" s="339">
        <f t="shared" si="8"/>
        <v>0</v>
      </c>
      <c r="J52" s="337">
        <f t="shared" si="8"/>
        <v>0</v>
      </c>
      <c r="K52" s="340">
        <f t="shared" si="8"/>
        <v>0</v>
      </c>
      <c r="L52" s="337">
        <f t="shared" si="8"/>
        <v>73.75</v>
      </c>
      <c r="M52" s="337">
        <f t="shared" si="8"/>
        <v>32.75</v>
      </c>
      <c r="N52" s="337">
        <f t="shared" si="8"/>
        <v>106.46000000000001</v>
      </c>
      <c r="O52" s="337">
        <f t="shared" si="8"/>
        <v>19.75</v>
      </c>
      <c r="P52" s="341">
        <f t="shared" si="8"/>
        <v>16.5</v>
      </c>
      <c r="Q52" s="334">
        <f t="shared" si="8"/>
        <v>0</v>
      </c>
      <c r="R52" s="334">
        <f t="shared" si="8"/>
        <v>220</v>
      </c>
      <c r="S52" s="334">
        <f t="shared" si="8"/>
        <v>0</v>
      </c>
      <c r="T52" s="334">
        <f t="shared" si="8"/>
        <v>99</v>
      </c>
      <c r="U52" s="334">
        <f t="shared" si="8"/>
        <v>65.5</v>
      </c>
      <c r="V52" s="334">
        <f t="shared" si="8"/>
        <v>147.16153943377151</v>
      </c>
      <c r="W52" s="461">
        <f t="shared" si="8"/>
        <v>0</v>
      </c>
      <c r="X52" s="342">
        <f t="shared" si="8"/>
        <v>6558.2615394337708</v>
      </c>
      <c r="Y52" s="457"/>
      <c r="Z52" s="457"/>
    </row>
    <row r="53" spans="1:26" s="332" customFormat="1" ht="10.8" thickBot="1" x14ac:dyDescent="0.25">
      <c r="A53" s="343"/>
      <c r="B53" s="344"/>
      <c r="C53" s="344"/>
      <c r="D53" s="345"/>
      <c r="E53" s="346"/>
      <c r="F53" s="347"/>
      <c r="G53" s="94"/>
      <c r="H53" s="348"/>
      <c r="I53" s="349"/>
      <c r="J53" s="94"/>
      <c r="K53" s="350"/>
      <c r="L53" s="94"/>
      <c r="M53" s="94"/>
      <c r="N53" s="94"/>
      <c r="O53" s="94"/>
      <c r="P53" s="351"/>
      <c r="Q53" s="344"/>
      <c r="R53" s="344"/>
      <c r="S53" s="344"/>
      <c r="T53" s="344"/>
      <c r="U53" s="344"/>
      <c r="V53" s="352"/>
      <c r="W53" s="462"/>
      <c r="X53" s="458"/>
      <c r="Y53" s="208"/>
      <c r="Z53" s="208"/>
    </row>
    <row r="54" spans="1:26" s="332" customFormat="1" x14ac:dyDescent="0.2">
      <c r="A54" s="353" t="s">
        <v>13</v>
      </c>
      <c r="B54" s="354"/>
      <c r="C54" s="354"/>
      <c r="D54" s="355">
        <f>SUM(G54:P54)</f>
        <v>648.88</v>
      </c>
      <c r="E54" s="356">
        <f>SUM(Q54:W54)</f>
        <v>531.66153943377151</v>
      </c>
      <c r="F54" s="357">
        <f>PP!C86+PC!C87</f>
        <v>39</v>
      </c>
      <c r="G54" s="358">
        <f>Driver!B18</f>
        <v>33.200000000000003</v>
      </c>
      <c r="H54" s="359">
        <f>PP!C84</f>
        <v>366.46999999999997</v>
      </c>
      <c r="I54" s="360">
        <f>PC!C85</f>
        <v>0</v>
      </c>
      <c r="J54" s="358">
        <f>FH!C99</f>
        <v>0</v>
      </c>
      <c r="K54" s="361">
        <f>'T22'!C99</f>
        <v>0</v>
      </c>
      <c r="L54" s="358">
        <f>RF!C18</f>
        <v>73.75</v>
      </c>
      <c r="M54" s="358">
        <f>IF(DAY(PayDay1)=1,SC!B17,SC!B35)</f>
        <v>32.75</v>
      </c>
      <c r="N54" s="358">
        <f>'RC'!C18</f>
        <v>106.46000000000001</v>
      </c>
      <c r="O54" s="358">
        <f>IF(DAY(PayDay1)=1,HoO!B17,HoO!B34)</f>
        <v>19.75</v>
      </c>
      <c r="P54" s="362">
        <f>TM!C18</f>
        <v>16.5</v>
      </c>
      <c r="Q54" s="354">
        <f>Driver!B19</f>
        <v>0</v>
      </c>
      <c r="R54" s="354">
        <f>PP!C85</f>
        <v>220</v>
      </c>
      <c r="S54" s="354">
        <f>PC!C86</f>
        <v>0</v>
      </c>
      <c r="T54" s="354">
        <f>SUM(RF!H22:AO22)</f>
        <v>99</v>
      </c>
      <c r="U54" s="354">
        <f>IF(DAY(PayDay1)=1,SC!C18,SC!C36)</f>
        <v>65.5</v>
      </c>
      <c r="V54" s="363">
        <f>OT!B214</f>
        <v>147.16153943377151</v>
      </c>
      <c r="W54" s="463">
        <f>W52</f>
        <v>0</v>
      </c>
      <c r="X54" s="459"/>
      <c r="Y54" s="218"/>
      <c r="Z54" s="99"/>
    </row>
    <row r="55" spans="1:26" s="332" customFormat="1" ht="10.8" thickBot="1" x14ac:dyDescent="0.25">
      <c r="A55" s="364" t="s">
        <v>12</v>
      </c>
      <c r="B55" s="365"/>
      <c r="C55" s="365"/>
      <c r="D55" s="366">
        <f>D52-D54</f>
        <v>0</v>
      </c>
      <c r="E55" s="367">
        <f>E52-E54</f>
        <v>0</v>
      </c>
      <c r="F55" s="368">
        <f t="shared" ref="F55:W55" si="9">F52-F54</f>
        <v>0</v>
      </c>
      <c r="G55" s="369">
        <f t="shared" si="9"/>
        <v>0</v>
      </c>
      <c r="H55" s="370">
        <f t="shared" si="9"/>
        <v>0</v>
      </c>
      <c r="I55" s="371">
        <f t="shared" si="9"/>
        <v>0</v>
      </c>
      <c r="J55" s="369">
        <f t="shared" si="9"/>
        <v>0</v>
      </c>
      <c r="K55" s="372">
        <f t="shared" si="9"/>
        <v>0</v>
      </c>
      <c r="L55" s="369">
        <f t="shared" si="9"/>
        <v>0</v>
      </c>
      <c r="M55" s="369">
        <f t="shared" si="9"/>
        <v>0</v>
      </c>
      <c r="N55" s="369">
        <f>N52-N54</f>
        <v>0</v>
      </c>
      <c r="O55" s="369"/>
      <c r="P55" s="373">
        <f t="shared" si="9"/>
        <v>0</v>
      </c>
      <c r="Q55" s="365">
        <f t="shared" si="9"/>
        <v>0</v>
      </c>
      <c r="R55" s="365">
        <f t="shared" si="9"/>
        <v>0</v>
      </c>
      <c r="S55" s="365">
        <f t="shared" si="9"/>
        <v>0</v>
      </c>
      <c r="T55" s="365">
        <f t="shared" si="9"/>
        <v>0</v>
      </c>
      <c r="U55" s="365">
        <f>U52-U54</f>
        <v>0</v>
      </c>
      <c r="V55" s="374">
        <f t="shared" si="9"/>
        <v>0</v>
      </c>
      <c r="W55" s="464">
        <f t="shared" si="9"/>
        <v>0</v>
      </c>
      <c r="X55" s="460">
        <f>SUM(D55:G55)</f>
        <v>0</v>
      </c>
      <c r="Y55" s="62"/>
      <c r="Z55" s="62"/>
    </row>
    <row r="56" spans="1:26" s="332" customFormat="1" ht="10.8" thickBot="1" x14ac:dyDescent="0.25">
      <c r="A56" s="375"/>
      <c r="B56" s="376"/>
      <c r="C56" s="376"/>
      <c r="D56" s="325"/>
      <c r="E56" s="196"/>
      <c r="F56" s="95"/>
      <c r="G56" s="233"/>
      <c r="H56" s="377"/>
      <c r="I56" s="377"/>
      <c r="J56" s="233"/>
      <c r="K56" s="233"/>
      <c r="L56" s="233"/>
      <c r="M56" s="233"/>
      <c r="N56" s="233"/>
      <c r="O56" s="233"/>
      <c r="P56" s="233"/>
      <c r="Q56" s="95"/>
      <c r="R56" s="95"/>
      <c r="S56" s="95"/>
      <c r="T56" s="95"/>
      <c r="U56" s="95"/>
      <c r="V56" s="95"/>
      <c r="W56" s="378"/>
      <c r="X56" s="196"/>
      <c r="Y56" s="62"/>
      <c r="Z56" s="62"/>
    </row>
    <row r="57" spans="1:26" s="332" customFormat="1" ht="10.8" thickBot="1" x14ac:dyDescent="0.25">
      <c r="A57" s="379"/>
      <c r="B57" s="376"/>
      <c r="C57" s="376"/>
      <c r="D57" s="380" t="s">
        <v>19</v>
      </c>
      <c r="E57" s="381" t="s">
        <v>26</v>
      </c>
      <c r="F57" s="381" t="s">
        <v>32</v>
      </c>
      <c r="G57" s="382" t="s">
        <v>3</v>
      </c>
      <c r="H57" s="326"/>
      <c r="I57" s="326"/>
      <c r="J57" s="325"/>
      <c r="K57" s="325"/>
      <c r="L57" s="325"/>
      <c r="M57" s="233"/>
      <c r="N57" s="233"/>
      <c r="O57" s="233"/>
      <c r="P57" s="233"/>
      <c r="Q57" s="196"/>
      <c r="R57" s="196"/>
      <c r="S57" s="196"/>
      <c r="T57" s="196"/>
      <c r="U57" s="196"/>
      <c r="V57" s="196"/>
      <c r="W57" s="325"/>
      <c r="X57" s="325"/>
      <c r="Y57" s="62"/>
      <c r="Z57" s="62"/>
    </row>
    <row r="58" spans="1:26" s="332" customFormat="1" ht="10.8" thickBot="1" x14ac:dyDescent="0.25">
      <c r="A58" s="333" t="s">
        <v>48</v>
      </c>
      <c r="B58" s="334"/>
      <c r="C58" s="334"/>
      <c r="D58" s="337">
        <f>D52-SUM(D2:D3)</f>
        <v>648.87999999999988</v>
      </c>
      <c r="E58" s="334">
        <f>E52-SUM(E2:E3)</f>
        <v>531.66153943377151</v>
      </c>
      <c r="F58" s="334">
        <f>F52-SUM(F2:F3)</f>
        <v>39</v>
      </c>
      <c r="G58" s="342">
        <f>X52-SUM(X2:X3)</f>
        <v>6558.2615394337708</v>
      </c>
      <c r="H58" s="383"/>
      <c r="I58" s="383"/>
      <c r="J58" s="384"/>
      <c r="K58" s="384"/>
      <c r="L58" s="384"/>
      <c r="M58" s="208"/>
      <c r="N58" s="208"/>
      <c r="O58" s="208"/>
      <c r="P58" s="208"/>
      <c r="Q58" s="99"/>
      <c r="R58" s="99"/>
      <c r="S58" s="99"/>
      <c r="T58" s="218"/>
      <c r="U58" s="218"/>
      <c r="V58" s="218"/>
      <c r="W58" s="384"/>
      <c r="X58" s="99"/>
      <c r="Z58" s="62"/>
    </row>
    <row r="59" spans="1:26" s="332" customFormat="1" ht="10.8" thickBot="1" x14ac:dyDescent="0.25">
      <c r="A59" s="385"/>
      <c r="B59" s="378"/>
      <c r="C59" s="378"/>
      <c r="D59" s="233"/>
      <c r="E59" s="95"/>
      <c r="F59" s="95"/>
      <c r="G59" s="233"/>
      <c r="H59" s="99"/>
      <c r="I59" s="377"/>
      <c r="J59" s="233"/>
      <c r="K59" s="233"/>
      <c r="L59" s="233"/>
      <c r="M59" s="99"/>
      <c r="N59" s="99"/>
      <c r="O59" s="99"/>
      <c r="P59" s="99"/>
      <c r="Q59" s="95"/>
      <c r="R59" s="95"/>
      <c r="S59" s="95"/>
      <c r="T59" s="95"/>
      <c r="U59" s="95"/>
      <c r="V59" s="95"/>
      <c r="W59" s="233"/>
      <c r="X59" s="233"/>
      <c r="Y59" s="99"/>
      <c r="Z59" s="62"/>
    </row>
    <row r="60" spans="1:26" s="332" customFormat="1" x14ac:dyDescent="0.2">
      <c r="A60" s="386" t="s">
        <v>25</v>
      </c>
      <c r="B60" s="387">
        <f>X52</f>
        <v>6558.2615394337708</v>
      </c>
      <c r="C60" s="218"/>
      <c r="D60" s="233"/>
      <c r="E60" s="95"/>
      <c r="F60" s="95"/>
      <c r="G60" s="233"/>
      <c r="H60" s="377"/>
      <c r="I60" s="377"/>
      <c r="J60" s="233"/>
      <c r="K60" s="233"/>
      <c r="L60" s="233"/>
      <c r="M60" s="233"/>
      <c r="N60" s="233"/>
      <c r="O60" s="233"/>
      <c r="P60" s="233"/>
      <c r="Q60" s="95"/>
      <c r="R60" s="95"/>
      <c r="S60" s="95"/>
      <c r="T60" s="95"/>
      <c r="U60" s="95"/>
      <c r="V60" s="95"/>
      <c r="W60" s="233"/>
      <c r="X60" s="233"/>
      <c r="Y60" s="208"/>
    </row>
    <row r="61" spans="1:26" s="332" customFormat="1" ht="10.8" thickBot="1" x14ac:dyDescent="0.25">
      <c r="A61" s="388" t="s">
        <v>61</v>
      </c>
      <c r="B61" s="389">
        <f>(B60-F52)*0.26</f>
        <v>1695.0080002527804</v>
      </c>
      <c r="C61" s="95"/>
      <c r="D61" s="233"/>
      <c r="E61" s="95"/>
      <c r="F61" s="95"/>
      <c r="G61" s="233"/>
      <c r="H61" s="377"/>
      <c r="I61" s="377"/>
      <c r="J61" s="233"/>
      <c r="K61" s="233"/>
      <c r="L61" s="233"/>
      <c r="M61" s="233"/>
      <c r="N61" s="233"/>
      <c r="O61" s="233"/>
      <c r="P61" s="233"/>
      <c r="Q61" s="95"/>
      <c r="R61" s="95"/>
      <c r="S61" s="95"/>
      <c r="T61" s="95"/>
      <c r="U61" s="95"/>
      <c r="V61" s="95"/>
      <c r="W61" s="233"/>
      <c r="X61" s="233"/>
      <c r="Y61" s="105"/>
      <c r="Z61" s="99"/>
    </row>
    <row r="62" spans="1:26" s="332" customFormat="1" x14ac:dyDescent="0.2">
      <c r="A62" s="99"/>
      <c r="B62" s="378"/>
      <c r="C62" s="378"/>
      <c r="D62" s="233"/>
      <c r="E62" s="95"/>
      <c r="F62" s="95"/>
      <c r="G62" s="233"/>
      <c r="H62" s="377"/>
      <c r="I62" s="348"/>
      <c r="J62" s="233"/>
      <c r="K62" s="167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378"/>
      <c r="X62" s="95"/>
      <c r="Y62" s="167"/>
      <c r="Z62" s="62"/>
    </row>
    <row r="63" spans="1:26" s="332" customFormat="1" x14ac:dyDescent="0.2">
      <c r="A63" s="99"/>
      <c r="B63" s="378"/>
      <c r="C63" s="378"/>
      <c r="D63" s="233"/>
      <c r="E63" s="95"/>
      <c r="F63" s="95"/>
      <c r="G63" s="233"/>
      <c r="H63" s="377"/>
      <c r="I63" s="348"/>
      <c r="J63" s="233"/>
      <c r="K63" s="94"/>
      <c r="L63" s="233"/>
      <c r="M63" s="233"/>
      <c r="N63" s="233"/>
      <c r="O63" s="233"/>
      <c r="P63" s="233"/>
      <c r="Q63" s="218"/>
      <c r="R63" s="95"/>
      <c r="S63" s="95"/>
      <c r="T63" s="95"/>
      <c r="U63" s="95"/>
      <c r="V63" s="95"/>
      <c r="W63" s="378"/>
      <c r="X63" s="95"/>
      <c r="Y63" s="167"/>
      <c r="Z63" s="62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94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384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77"/>
      <c r="J65" s="233"/>
      <c r="K65" s="233"/>
      <c r="L65" s="233"/>
      <c r="M65" s="233"/>
      <c r="N65" s="233"/>
      <c r="O65" s="233"/>
      <c r="P65" s="233"/>
      <c r="Q65" s="95"/>
      <c r="R65" s="95"/>
      <c r="S65" s="95"/>
      <c r="T65" s="95"/>
      <c r="U65" s="95"/>
      <c r="V65" s="95"/>
      <c r="W65" s="378"/>
      <c r="X65" s="95"/>
      <c r="Y65" s="94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77"/>
      <c r="J66" s="233"/>
      <c r="K66" s="233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9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9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A70" s="385"/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A71" s="188"/>
      <c r="J71" s="233"/>
      <c r="K71" s="233"/>
      <c r="L71" s="233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J72" s="233"/>
      <c r="K72" s="233"/>
      <c r="L72" s="233"/>
    </row>
    <row r="73" spans="1:73" x14ac:dyDescent="0.2"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A80" s="385"/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A90" s="385"/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A98" s="385"/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</sheetData>
  <sheetProtection algorithmName="SHA-512" hashValue="ej2P5bIYh2uG8ZAkef8/QXHWPrs8wZzt+gyI8at4drXcAlIjFK2HLoUOpLKLFxRvRqYlJ0U3x9AUC6kcAly10w==" saltValue="N76WqQGf83JJ9bdI7jvuCA==" spinCount="100000" sheet="1" objects="1" scenarios="1"/>
  <sortState ref="A4:Z51">
    <sortCondition ref="A4:A51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5">
    <cfRule type="cellIs" dxfId="34" priority="10" operator="greaterThan">
      <formula>0</formula>
    </cfRule>
  </conditionalFormatting>
  <conditionalFormatting sqref="Z1:Z49 Y2:Y49 Y50:Z53">
    <cfRule type="containsBlanks" priority="7" stopIfTrue="1">
      <formula>LEN(TRIM(Y1))=0</formula>
    </cfRule>
  </conditionalFormatting>
  <conditionalFormatting sqref="B4:B51">
    <cfRule type="expression" dxfId="33" priority="3">
      <formula>AND(B4="",A4&lt;&gt;"")</formula>
    </cfRule>
  </conditionalFormatting>
  <conditionalFormatting sqref="C4:C51">
    <cfRule type="expression" dxfId="32" priority="2">
      <formula>AND(C4="",A4&lt;&gt;"")</formula>
    </cfRule>
  </conditionalFormatting>
  <conditionalFormatting sqref="Z4:Z51 A4:X51">
    <cfRule type="expression" dxfId="31" priority="1">
      <formula>MOD(ROW(),2)=1</formula>
    </cfRule>
  </conditionalFormatting>
  <conditionalFormatting sqref="Y2:Z53">
    <cfRule type="duplicateValues" dxfId="30" priority="2267"/>
  </conditionalFormatting>
  <conditionalFormatting sqref="A2:A51">
    <cfRule type="duplicateValues" dxfId="29" priority="2269"/>
  </conditionalFormatting>
  <dataValidations count="1">
    <dataValidation type="custom" allowBlank="1" showInputMessage="1" showErrorMessage="1" errorTitle="Invalid Entry" error="Please input new employees in the format: &quot;Lastname, Firstname&quot;" sqref="A2:A51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8671875" defaultRowHeight="10.199999999999999" x14ac:dyDescent="0.2"/>
  <cols>
    <col min="1" max="1" width="19.33203125" style="241" bestFit="1" customWidth="1"/>
    <col min="2" max="2" width="9.109375" style="241" bestFit="1" customWidth="1"/>
    <col min="3" max="3" width="8.6640625" style="299" bestFit="1" customWidth="1"/>
    <col min="4" max="4" width="10.441406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8671875" style="241"/>
  </cols>
  <sheetData>
    <row r="1" spans="1:22" s="299" customFormat="1" ht="10.8" thickBot="1" x14ac:dyDescent="0.25">
      <c r="A1" s="390" t="s">
        <v>77</v>
      </c>
      <c r="B1" s="391" t="s">
        <v>40</v>
      </c>
      <c r="C1" s="529" t="s">
        <v>240</v>
      </c>
      <c r="D1" s="529" t="s">
        <v>190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0.8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0.8" thickBot="1" x14ac:dyDescent="0.25">
      <c r="A18" s="213" t="s">
        <v>3</v>
      </c>
      <c r="B18" s="393">
        <f t="shared" ref="B18" si="1">SUM(B2:B17)</f>
        <v>33.200000000000003</v>
      </c>
      <c r="C18" s="102">
        <f t="shared" ref="C18:V18" si="2">SUM(C2:C17)</f>
        <v>19.7</v>
      </c>
      <c r="D18" s="102">
        <f t="shared" si="2"/>
        <v>13.5</v>
      </c>
      <c r="E18" s="102">
        <f t="shared" si="2"/>
        <v>0</v>
      </c>
      <c r="F18" s="102">
        <f t="shared" si="2"/>
        <v>0</v>
      </c>
      <c r="G18" s="102">
        <f t="shared" si="2"/>
        <v>0</v>
      </c>
      <c r="H18" s="102">
        <f t="shared" si="2"/>
        <v>0</v>
      </c>
      <c r="I18" s="102">
        <f t="shared" si="2"/>
        <v>0</v>
      </c>
      <c r="J18" s="102">
        <f t="shared" si="2"/>
        <v>0</v>
      </c>
      <c r="K18" s="102">
        <f t="shared" si="2"/>
        <v>0</v>
      </c>
      <c r="L18" s="102">
        <f t="shared" si="2"/>
        <v>0</v>
      </c>
      <c r="M18" s="102">
        <f t="shared" si="2"/>
        <v>0</v>
      </c>
      <c r="N18" s="102">
        <f t="shared" si="2"/>
        <v>0</v>
      </c>
      <c r="O18" s="102">
        <f t="shared" si="2"/>
        <v>0</v>
      </c>
      <c r="P18" s="102">
        <f t="shared" si="2"/>
        <v>0</v>
      </c>
      <c r="Q18" s="102">
        <f t="shared" si="2"/>
        <v>0</v>
      </c>
      <c r="R18" s="102">
        <f t="shared" si="2"/>
        <v>0</v>
      </c>
      <c r="S18" s="102">
        <f t="shared" si="2"/>
        <v>0</v>
      </c>
      <c r="T18" s="102">
        <f t="shared" si="2"/>
        <v>0</v>
      </c>
      <c r="U18" s="102">
        <f t="shared" si="2"/>
        <v>0</v>
      </c>
      <c r="V18" s="104">
        <f t="shared" si="2"/>
        <v>0</v>
      </c>
    </row>
    <row r="19" spans="1:22" s="397" customFormat="1" ht="10.8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/bLxbNPJX7FJQVEcPvHA43fl3UB9U1MlYvuFPo1rwxweBQ5Uz+7qK6LtTrDzz/xesRG4jm2c7m/4xuACFwX7HA==" saltValue="BdDXj7uoU2fCVe0LbQkL8A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28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33203125" defaultRowHeight="10.199999999999999" x14ac:dyDescent="0.2"/>
  <cols>
    <col min="1" max="1" width="26.88671875" style="33" bestFit="1" customWidth="1"/>
    <col min="2" max="2" width="17.44140625" style="41" bestFit="1" customWidth="1"/>
    <col min="3" max="3" width="10" style="53" bestFit="1" customWidth="1"/>
    <col min="4" max="4" width="9.109375" style="48" bestFit="1" customWidth="1"/>
    <col min="5" max="5" width="7.44140625" style="48" bestFit="1" customWidth="1"/>
    <col min="6" max="6" width="8" style="48" bestFit="1" customWidth="1"/>
    <col min="7" max="7" width="7.88671875" style="48" bestFit="1" customWidth="1"/>
    <col min="8" max="8" width="9.33203125" style="48" bestFit="1" customWidth="1"/>
    <col min="9" max="9" width="8.33203125" style="48" bestFit="1" customWidth="1"/>
    <col min="10" max="10" width="8.6640625" style="48" bestFit="1" customWidth="1"/>
    <col min="11" max="11" width="9.88671875" style="48" bestFit="1" customWidth="1"/>
    <col min="12" max="12" width="8.44140625" style="48" bestFit="1" customWidth="1"/>
    <col min="13" max="13" width="8.33203125" style="48" bestFit="1" customWidth="1"/>
    <col min="14" max="14" width="6.5546875" style="48" bestFit="1" customWidth="1"/>
    <col min="15" max="15" width="6.88671875" style="48" bestFit="1" customWidth="1"/>
    <col min="16" max="16" width="9.5546875" style="48" bestFit="1" customWidth="1"/>
    <col min="17" max="17" width="7.33203125" style="48" bestFit="1" customWidth="1"/>
    <col min="18" max="18" width="10.88671875" style="48" bestFit="1" customWidth="1"/>
    <col min="19" max="19" width="12.5546875" style="48" bestFit="1" customWidth="1"/>
    <col min="20" max="20" width="7.44140625" style="48" bestFit="1" customWidth="1"/>
    <col min="21" max="21" width="8.44140625" style="48" bestFit="1" customWidth="1"/>
    <col min="22" max="22" width="9.5546875" style="41" bestFit="1" customWidth="1"/>
    <col min="23" max="23" width="9" style="41" bestFit="1" customWidth="1"/>
    <col min="24" max="24" width="8.88671875" style="41" bestFit="1" customWidth="1"/>
    <col min="25" max="25" width="9.44140625" style="41" bestFit="1" customWidth="1"/>
    <col min="26" max="26" width="6.5546875" style="41" bestFit="1" customWidth="1"/>
    <col min="27" max="27" width="8.5546875" style="41" bestFit="1" customWidth="1"/>
    <col min="28" max="28" width="9" style="41" bestFit="1" customWidth="1"/>
    <col min="29" max="29" width="6.88671875" style="41" bestFit="1" customWidth="1"/>
    <col min="30" max="30" width="9.109375" style="41" bestFit="1" customWidth="1"/>
    <col min="31" max="56" width="4.88671875" style="41" bestFit="1" customWidth="1"/>
    <col min="57" max="16384" width="30.33203125" style="41"/>
  </cols>
  <sheetData>
    <row r="1" spans="1:56" s="33" customFormat="1" ht="10.8" thickBot="1" x14ac:dyDescent="0.25">
      <c r="A1" s="1" t="s">
        <v>118</v>
      </c>
      <c r="B1" s="2" t="s">
        <v>27</v>
      </c>
      <c r="C1" s="3" t="s">
        <v>3</v>
      </c>
      <c r="D1" s="560" t="s">
        <v>186</v>
      </c>
      <c r="E1" s="560" t="s">
        <v>208</v>
      </c>
      <c r="F1" s="560" t="s">
        <v>156</v>
      </c>
      <c r="G1" s="560" t="s">
        <v>189</v>
      </c>
      <c r="H1" s="560" t="s">
        <v>188</v>
      </c>
      <c r="I1" s="560" t="s">
        <v>178</v>
      </c>
      <c r="J1" s="560" t="s">
        <v>179</v>
      </c>
      <c r="K1" s="560" t="s">
        <v>184</v>
      </c>
      <c r="L1" s="560" t="s">
        <v>214</v>
      </c>
      <c r="M1" s="560" t="s">
        <v>234</v>
      </c>
      <c r="N1" s="560" t="s">
        <v>210</v>
      </c>
      <c r="O1" s="560" t="s">
        <v>185</v>
      </c>
      <c r="P1" s="560" t="s">
        <v>220</v>
      </c>
      <c r="Q1" s="560" t="s">
        <v>212</v>
      </c>
      <c r="R1" s="560" t="s">
        <v>180</v>
      </c>
      <c r="S1" s="560" t="s">
        <v>227</v>
      </c>
      <c r="T1" s="560" t="s">
        <v>233</v>
      </c>
      <c r="U1" s="560" t="s">
        <v>215</v>
      </c>
      <c r="V1" s="560" t="s">
        <v>239</v>
      </c>
      <c r="W1" s="560" t="s">
        <v>157</v>
      </c>
      <c r="X1" s="560" t="s">
        <v>211</v>
      </c>
      <c r="Y1" s="560" t="s">
        <v>187</v>
      </c>
      <c r="Z1" s="560" t="s">
        <v>209</v>
      </c>
      <c r="AA1" s="560" t="s">
        <v>158</v>
      </c>
      <c r="AB1" s="560" t="s">
        <v>182</v>
      </c>
      <c r="AC1" s="560" t="s">
        <v>192</v>
      </c>
      <c r="AD1" s="560" t="s">
        <v>183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0.8" thickBot="1" x14ac:dyDescent="0.25">
      <c r="A16" s="22" t="str">
        <f>IFERROR("Total Cost: $"&amp;ROUND((C16-0.46*C15)*1.26+(0.46*C15),2)&amp;" - "&amp;"Hourly: $"&amp;ROUND(((C16-0.46*C15)*1.26+(0.46*C15))/C12,2),0)</f>
        <v>Total Cost: $1103.91 - Hourly: $13.71</v>
      </c>
      <c r="B16" s="23" t="s">
        <v>93</v>
      </c>
      <c r="C16" s="23">
        <f>SUM(D16:BD16)</f>
        <v>884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52.5</v>
      </c>
      <c r="I16" s="23">
        <f t="shared" si="4"/>
        <v>47.5</v>
      </c>
      <c r="J16" s="23">
        <f t="shared" si="4"/>
        <v>0</v>
      </c>
      <c r="K16" s="23">
        <f t="shared" si="4"/>
        <v>117.5</v>
      </c>
      <c r="L16" s="23">
        <f t="shared" si="4"/>
        <v>0</v>
      </c>
      <c r="M16" s="23">
        <f t="shared" si="4"/>
        <v>0</v>
      </c>
      <c r="N16" s="23">
        <f t="shared" si="4"/>
        <v>47.5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135</v>
      </c>
      <c r="S16" s="23">
        <f t="shared" si="4"/>
        <v>0</v>
      </c>
      <c r="T16" s="23">
        <f t="shared" si="4"/>
        <v>17.5</v>
      </c>
      <c r="U16" s="23">
        <f t="shared" si="4"/>
        <v>0</v>
      </c>
      <c r="V16" s="23">
        <f t="shared" si="4"/>
        <v>0</v>
      </c>
      <c r="W16" s="23">
        <f t="shared" si="4"/>
        <v>117.5</v>
      </c>
      <c r="X16" s="23">
        <f t="shared" si="4"/>
        <v>47.5</v>
      </c>
      <c r="Y16" s="23">
        <f t="shared" si="4"/>
        <v>132.5</v>
      </c>
      <c r="Z16" s="23">
        <f t="shared" si="4"/>
        <v>47.5</v>
      </c>
      <c r="AA16" s="23">
        <f t="shared" si="4"/>
        <v>0</v>
      </c>
      <c r="AB16" s="23">
        <f t="shared" si="4"/>
        <v>74</v>
      </c>
      <c r="AC16" s="23">
        <f t="shared" si="4"/>
        <v>0</v>
      </c>
      <c r="AD16" s="23">
        <f t="shared" si="4"/>
        <v>47.5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12.25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3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0.8" thickBot="1" x14ac:dyDescent="0.25">
      <c r="A31" s="22" t="str">
        <f>IFERROR("Total Cost: $"&amp;ROUND((C31-0.46*C30)*1.26+(0.46*C30),2)&amp;" - "&amp;"Hourly: $"&amp;ROUND(((C31-0.46*C30)*1.26+(0.46*C30))/C27,2),0)</f>
        <v>Total Cost: $173.25 - Hourly: $14.14</v>
      </c>
      <c r="B31" s="23" t="s">
        <v>93</v>
      </c>
      <c r="C31" s="23">
        <f>SUM(D31:BD31)</f>
        <v>137.5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25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32.5</v>
      </c>
      <c r="Q31" s="23">
        <f t="shared" si="10"/>
        <v>0</v>
      </c>
      <c r="R31" s="23">
        <f t="shared" si="10"/>
        <v>50</v>
      </c>
      <c r="S31" s="23">
        <f t="shared" si="10"/>
        <v>30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0.8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 t="shared" ref="D36:AI36" si="12">((D32*D$82)+D33+(D34*D32)+ROUNDUP(D35*0.46,0))</f>
        <v>25</v>
      </c>
      <c r="E36" s="23">
        <f t="shared" si="12"/>
        <v>0</v>
      </c>
      <c r="F36" s="23">
        <f t="shared" si="12"/>
        <v>25</v>
      </c>
      <c r="G36" s="23">
        <f t="shared" si="12"/>
        <v>25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42.5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0.8" thickBot="1" x14ac:dyDescent="0.25">
      <c r="A41" s="22" t="str">
        <f>IFERROR("Total Cost: $"&amp;ROUND((C41-0.46*C40)*1.26+(0.46*C40),2)&amp;" - "&amp;"Hourly: $"&amp;ROUND(((C41-0.46*C40)*1.26+(0.46*C40))/C37,2),0)</f>
        <v>Total Cost: $935.55 - Hourly: $12.07</v>
      </c>
      <c r="B41" s="23" t="s">
        <v>93</v>
      </c>
      <c r="C41" s="23">
        <f>SUM(D41:BD41)</f>
        <v>742.5</v>
      </c>
      <c r="D41" s="24">
        <f t="shared" ref="D41:AI41" si="14">((D37*D$82)+D38+(D39*D37)+ROUNDUP(D40*0.46,0))</f>
        <v>45</v>
      </c>
      <c r="E41" s="23">
        <f t="shared" si="14"/>
        <v>75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72.5</v>
      </c>
      <c r="O41" s="23">
        <f t="shared" si="14"/>
        <v>42.5</v>
      </c>
      <c r="P41" s="23">
        <f t="shared" si="14"/>
        <v>0</v>
      </c>
      <c r="Q41" s="23">
        <f t="shared" si="14"/>
        <v>0</v>
      </c>
      <c r="R41" s="23">
        <f t="shared" si="14"/>
        <v>60</v>
      </c>
      <c r="S41" s="23">
        <f t="shared" si="14"/>
        <v>0</v>
      </c>
      <c r="T41" s="23">
        <f t="shared" si="14"/>
        <v>0</v>
      </c>
      <c r="U41" s="23">
        <f t="shared" si="14"/>
        <v>75</v>
      </c>
      <c r="V41" s="23">
        <f t="shared" si="14"/>
        <v>0</v>
      </c>
      <c r="W41" s="23">
        <f t="shared" si="14"/>
        <v>75</v>
      </c>
      <c r="X41" s="23">
        <f t="shared" si="14"/>
        <v>0</v>
      </c>
      <c r="Y41" s="23">
        <f t="shared" si="14"/>
        <v>102.5</v>
      </c>
      <c r="Z41" s="23">
        <f t="shared" si="14"/>
        <v>0</v>
      </c>
      <c r="AA41" s="23">
        <f t="shared" si="14"/>
        <v>45</v>
      </c>
      <c r="AB41" s="23">
        <f t="shared" si="14"/>
        <v>0</v>
      </c>
      <c r="AC41" s="23">
        <f t="shared" si="14"/>
        <v>75</v>
      </c>
      <c r="AD41" s="23">
        <f t="shared" si="14"/>
        <v>75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0.8" thickBot="1" x14ac:dyDescent="0.25">
      <c r="A46" s="22" t="str">
        <f>IFERROR("Total Cost: $"&amp;ROUND((C46-0.46*C45)*1.26+(0.46*C45),2)&amp;" - "&amp;"Hourly: $"&amp;ROUND(((C46-0.46*C45)*1.26+(0.46*C45))/C42,2),0)</f>
        <v>Total Cost: $1105.65 - Hourly: $12.36</v>
      </c>
      <c r="B46" s="23" t="s">
        <v>93</v>
      </c>
      <c r="C46" s="23">
        <f>SUM(D46:BD46)</f>
        <v>877.5</v>
      </c>
      <c r="D46" s="24">
        <f t="shared" ref="D46:AI46" si="16">((D42*D$82)+D43+(D44*D42)+ROUNDUP(D45*0.46,0))</f>
        <v>0</v>
      </c>
      <c r="E46" s="23">
        <f t="shared" si="16"/>
        <v>100</v>
      </c>
      <c r="F46" s="23">
        <f t="shared" si="16"/>
        <v>0</v>
      </c>
      <c r="G46" s="23">
        <f t="shared" si="16"/>
        <v>70</v>
      </c>
      <c r="H46" s="23">
        <f t="shared" si="16"/>
        <v>80</v>
      </c>
      <c r="I46" s="23">
        <f t="shared" si="16"/>
        <v>0</v>
      </c>
      <c r="J46" s="23">
        <f t="shared" si="16"/>
        <v>0</v>
      </c>
      <c r="K46" s="23">
        <f t="shared" si="16"/>
        <v>70</v>
      </c>
      <c r="L46" s="23">
        <f t="shared" si="16"/>
        <v>80</v>
      </c>
      <c r="M46" s="23">
        <f t="shared" si="16"/>
        <v>0</v>
      </c>
      <c r="N46" s="23">
        <f t="shared" si="16"/>
        <v>0</v>
      </c>
      <c r="O46" s="23">
        <f t="shared" si="16"/>
        <v>65</v>
      </c>
      <c r="P46" s="23">
        <f t="shared" si="16"/>
        <v>0</v>
      </c>
      <c r="Q46" s="23">
        <f t="shared" si="16"/>
        <v>75</v>
      </c>
      <c r="R46" s="23">
        <f t="shared" si="16"/>
        <v>80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80</v>
      </c>
      <c r="X46" s="23">
        <f t="shared" si="16"/>
        <v>0</v>
      </c>
      <c r="Y46" s="23">
        <f t="shared" si="16"/>
        <v>100</v>
      </c>
      <c r="Z46" s="23">
        <f t="shared" si="16"/>
        <v>0</v>
      </c>
      <c r="AA46" s="23">
        <f t="shared" si="16"/>
        <v>77.5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65.3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15.25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0.8" thickBot="1" x14ac:dyDescent="0.25">
      <c r="A51" s="22" t="str">
        <f>IFERROR("Total Cost: $"&amp;ROUND((C51-0.46*C50)*1.26+(0.46*C50),2)&amp;" - "&amp;"Hourly: $"&amp;ROUND(((C51-0.46*C50)*1.26+(0.46*C50))/C47,2),0)</f>
        <v>Total Cost: $668.43 - Hourly: $10.24</v>
      </c>
      <c r="B51" s="23" t="s">
        <v>93</v>
      </c>
      <c r="C51" s="23">
        <f>SUM(D51:BD51)</f>
        <v>530.5</v>
      </c>
      <c r="D51" s="24">
        <f t="shared" ref="D51:AI51" si="18">((D47*D$82)+D48+(D49*D47)+ROUNDUP(D50*0.46,0))</f>
        <v>0</v>
      </c>
      <c r="E51" s="23">
        <f t="shared" si="18"/>
        <v>47.5</v>
      </c>
      <c r="F51" s="23">
        <f t="shared" si="18"/>
        <v>37.5</v>
      </c>
      <c r="G51" s="23">
        <f t="shared" si="18"/>
        <v>27.5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85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25</v>
      </c>
      <c r="P51" s="23">
        <f t="shared" si="18"/>
        <v>0</v>
      </c>
      <c r="Q51" s="23">
        <f t="shared" si="18"/>
        <v>0</v>
      </c>
      <c r="R51" s="23">
        <f t="shared" si="18"/>
        <v>85</v>
      </c>
      <c r="S51" s="23">
        <f t="shared" si="18"/>
        <v>0</v>
      </c>
      <c r="T51" s="23">
        <f t="shared" si="18"/>
        <v>0</v>
      </c>
      <c r="U51" s="23">
        <f t="shared" si="18"/>
        <v>85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110.5</v>
      </c>
      <c r="Z51" s="23">
        <f t="shared" si="18"/>
        <v>0</v>
      </c>
      <c r="AA51" s="23">
        <f t="shared" si="18"/>
        <v>27.5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0.8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65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80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65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0.8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 t="shared" ref="D71:AI71" si="26">((D67*D$82)+D68+(D69*D67)+ROUNDUP(D70*0.46,0))</f>
        <v>30</v>
      </c>
      <c r="E71" s="23">
        <f t="shared" si="26"/>
        <v>0</v>
      </c>
      <c r="F71" s="23">
        <f t="shared" si="26"/>
        <v>27.5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30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45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10</v>
      </c>
      <c r="E82" s="5">
        <f t="shared" si="32"/>
        <v>10</v>
      </c>
      <c r="F82" s="5">
        <f t="shared" si="32"/>
        <v>10</v>
      </c>
      <c r="G82" s="5">
        <f t="shared" si="32"/>
        <v>10</v>
      </c>
      <c r="H82" s="5">
        <f t="shared" si="32"/>
        <v>10</v>
      </c>
      <c r="I82" s="6">
        <f t="shared" si="32"/>
        <v>10</v>
      </c>
      <c r="J82" s="5">
        <f t="shared" si="32"/>
        <v>10</v>
      </c>
      <c r="K82" s="5">
        <f t="shared" si="32"/>
        <v>10</v>
      </c>
      <c r="L82" s="5">
        <f t="shared" si="32"/>
        <v>10</v>
      </c>
      <c r="M82" s="5">
        <f t="shared" si="32"/>
        <v>0</v>
      </c>
      <c r="N82" s="5">
        <f t="shared" si="32"/>
        <v>10</v>
      </c>
      <c r="O82" s="5">
        <f t="shared" si="32"/>
        <v>10</v>
      </c>
      <c r="P82" s="5">
        <f t="shared" si="32"/>
        <v>10</v>
      </c>
      <c r="Q82" s="5">
        <f t="shared" si="32"/>
        <v>10</v>
      </c>
      <c r="R82" s="5">
        <f t="shared" si="32"/>
        <v>10</v>
      </c>
      <c r="S82" s="5">
        <f t="shared" si="32"/>
        <v>10</v>
      </c>
      <c r="T82" s="5">
        <f t="shared" si="32"/>
        <v>10</v>
      </c>
      <c r="U82" s="5">
        <f t="shared" si="32"/>
        <v>10</v>
      </c>
      <c r="V82" s="5">
        <f t="shared" si="32"/>
        <v>0</v>
      </c>
      <c r="W82" s="5">
        <f t="shared" si="32"/>
        <v>10</v>
      </c>
      <c r="X82" s="5">
        <f t="shared" si="32"/>
        <v>10</v>
      </c>
      <c r="Y82" s="5">
        <f t="shared" si="32"/>
        <v>10</v>
      </c>
      <c r="Z82" s="5">
        <f t="shared" si="32"/>
        <v>10</v>
      </c>
      <c r="AA82" s="5">
        <f t="shared" si="32"/>
        <v>10</v>
      </c>
      <c r="AB82" s="5">
        <f t="shared" si="32"/>
        <v>10</v>
      </c>
      <c r="AC82" s="5">
        <f t="shared" si="32"/>
        <v>10</v>
      </c>
      <c r="AD82" s="5">
        <f t="shared" si="32"/>
        <v>10</v>
      </c>
      <c r="AE82" s="5">
        <f t="shared" si="32"/>
        <v>0</v>
      </c>
      <c r="AF82" s="5">
        <f t="shared" si="32"/>
        <v>0</v>
      </c>
      <c r="AG82" s="5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0.8" thickBot="1" x14ac:dyDescent="0.25">
      <c r="B84" s="26" t="s">
        <v>9</v>
      </c>
      <c r="C84" s="27">
        <f>SUM(D84:BD84)</f>
        <v>366.46999999999997</v>
      </c>
      <c r="D84" s="8">
        <f t="shared" ref="D84:AI84" si="34">SUM(D2,D7,D12,D17,D22,D27,D32,D37,D42,D47,D52,D57,D62,D67,D72,D77)</f>
        <v>10</v>
      </c>
      <c r="E84" s="9">
        <f t="shared" si="34"/>
        <v>18.25</v>
      </c>
      <c r="F84" s="9">
        <f t="shared" si="34"/>
        <v>9</v>
      </c>
      <c r="G84" s="9">
        <f t="shared" si="34"/>
        <v>12.25</v>
      </c>
      <c r="H84" s="9">
        <f t="shared" si="34"/>
        <v>15.75</v>
      </c>
      <c r="I84" s="9">
        <f t="shared" si="34"/>
        <v>4.75</v>
      </c>
      <c r="J84" s="9">
        <f t="shared" si="34"/>
        <v>6.5</v>
      </c>
      <c r="K84" s="9">
        <f t="shared" si="34"/>
        <v>27.25</v>
      </c>
      <c r="L84" s="9">
        <f t="shared" si="34"/>
        <v>11</v>
      </c>
      <c r="M84" s="9">
        <f t="shared" si="34"/>
        <v>13.92</v>
      </c>
      <c r="N84" s="9">
        <f t="shared" si="34"/>
        <v>12</v>
      </c>
      <c r="O84" s="9">
        <f t="shared" si="34"/>
        <v>13.25</v>
      </c>
      <c r="P84" s="9">
        <f t="shared" si="34"/>
        <v>3.25</v>
      </c>
      <c r="Q84" s="9">
        <f t="shared" si="34"/>
        <v>7.5</v>
      </c>
      <c r="R84" s="9">
        <f t="shared" si="34"/>
        <v>47.75</v>
      </c>
      <c r="S84" s="9">
        <f t="shared" si="34"/>
        <v>3</v>
      </c>
      <c r="T84" s="9">
        <f t="shared" si="34"/>
        <v>1.75</v>
      </c>
      <c r="U84" s="9">
        <f t="shared" si="34"/>
        <v>16</v>
      </c>
      <c r="V84" s="9">
        <f t="shared" si="34"/>
        <v>15.25</v>
      </c>
      <c r="W84" s="9">
        <f t="shared" si="34"/>
        <v>27.25</v>
      </c>
      <c r="X84" s="9">
        <f t="shared" si="34"/>
        <v>4.75</v>
      </c>
      <c r="Y84" s="9">
        <f t="shared" si="34"/>
        <v>36.549999999999997</v>
      </c>
      <c r="Z84" s="9">
        <f t="shared" si="34"/>
        <v>4.75</v>
      </c>
      <c r="AA84" s="9">
        <f t="shared" si="34"/>
        <v>15</v>
      </c>
      <c r="AB84" s="9">
        <f t="shared" si="34"/>
        <v>3.5</v>
      </c>
      <c r="AC84" s="9">
        <f t="shared" si="34"/>
        <v>7.5</v>
      </c>
      <c r="AD84" s="9">
        <f t="shared" si="34"/>
        <v>18.75</v>
      </c>
      <c r="AE84" s="9">
        <f t="shared" si="34"/>
        <v>0</v>
      </c>
      <c r="AF84" s="9">
        <f t="shared" si="34"/>
        <v>0</v>
      </c>
      <c r="AG84" s="9">
        <f t="shared" si="34"/>
        <v>0</v>
      </c>
      <c r="AH84" s="9">
        <f t="shared" si="34"/>
        <v>0</v>
      </c>
      <c r="AI84" s="9">
        <f t="shared" si="34"/>
        <v>0</v>
      </c>
      <c r="AJ84" s="9">
        <f t="shared" ref="AJ84:BD84" si="35">SUM(AJ2,AJ7,AJ12,AJ17,AJ22,AJ27,AJ32,AJ37,AJ42,AJ47,AJ52,AJ57,AJ62,AJ67,AJ72,AJ77)</f>
        <v>0</v>
      </c>
      <c r="AK84" s="9">
        <f t="shared" si="35"/>
        <v>0</v>
      </c>
      <c r="AL84" s="9">
        <f t="shared" si="35"/>
        <v>0</v>
      </c>
      <c r="AM84" s="9">
        <f t="shared" si="35"/>
        <v>0</v>
      </c>
      <c r="AN84" s="9">
        <f t="shared" si="35"/>
        <v>0</v>
      </c>
      <c r="AO84" s="9">
        <f t="shared" si="35"/>
        <v>0</v>
      </c>
      <c r="AP84" s="9">
        <f t="shared" si="35"/>
        <v>0</v>
      </c>
      <c r="AQ84" s="9">
        <f t="shared" si="35"/>
        <v>0</v>
      </c>
      <c r="AR84" s="9">
        <f t="shared" si="35"/>
        <v>0</v>
      </c>
      <c r="AS84" s="9">
        <f t="shared" si="35"/>
        <v>0</v>
      </c>
      <c r="AT84" s="9">
        <f t="shared" si="35"/>
        <v>0</v>
      </c>
      <c r="AU84" s="9">
        <f t="shared" si="35"/>
        <v>0</v>
      </c>
      <c r="AV84" s="9">
        <f t="shared" si="35"/>
        <v>0</v>
      </c>
      <c r="AW84" s="9">
        <f t="shared" si="35"/>
        <v>0</v>
      </c>
      <c r="AX84" s="9">
        <f t="shared" si="35"/>
        <v>0</v>
      </c>
      <c r="AY84" s="9">
        <f t="shared" si="35"/>
        <v>0</v>
      </c>
      <c r="AZ84" s="9">
        <f t="shared" si="35"/>
        <v>0</v>
      </c>
      <c r="BA84" s="9">
        <f t="shared" si="35"/>
        <v>0</v>
      </c>
      <c r="BB84" s="9">
        <f t="shared" si="35"/>
        <v>0</v>
      </c>
      <c r="BC84" s="9">
        <f t="shared" si="35"/>
        <v>0</v>
      </c>
      <c r="BD84" s="10">
        <f t="shared" si="35"/>
        <v>0</v>
      </c>
    </row>
    <row r="85" spans="1:56" ht="10.8" thickBot="1" x14ac:dyDescent="0.25">
      <c r="B85" s="28" t="s">
        <v>94</v>
      </c>
      <c r="C85" s="29">
        <f>SUM(D85:BD85)</f>
        <v>220</v>
      </c>
      <c r="D85" s="11">
        <f t="shared" ref="D85:AI85" si="36">SUM(D6,D11,D16,D21,D26,D31,D36,D41,D46,D51,D56,D61,D66,D71,D76,D81,)-(D82*D84)-D86</f>
        <v>0</v>
      </c>
      <c r="E85" s="12">
        <f t="shared" si="36"/>
        <v>40</v>
      </c>
      <c r="F85" s="12">
        <f t="shared" si="36"/>
        <v>0</v>
      </c>
      <c r="G85" s="12">
        <f t="shared" si="36"/>
        <v>0</v>
      </c>
      <c r="H85" s="12">
        <f t="shared" si="36"/>
        <v>0</v>
      </c>
      <c r="I85" s="12">
        <f t="shared" si="36"/>
        <v>0</v>
      </c>
      <c r="J85" s="12">
        <f t="shared" si="36"/>
        <v>0</v>
      </c>
      <c r="K85" s="12">
        <f t="shared" si="36"/>
        <v>0</v>
      </c>
      <c r="L85" s="12">
        <f t="shared" si="36"/>
        <v>0</v>
      </c>
      <c r="M85" s="12">
        <f t="shared" si="36"/>
        <v>0</v>
      </c>
      <c r="N85" s="12">
        <f t="shared" si="36"/>
        <v>0</v>
      </c>
      <c r="O85" s="12">
        <f t="shared" si="36"/>
        <v>0</v>
      </c>
      <c r="P85" s="12">
        <f t="shared" si="36"/>
        <v>0</v>
      </c>
      <c r="Q85" s="12">
        <f t="shared" si="36"/>
        <v>0</v>
      </c>
      <c r="R85" s="12">
        <f t="shared" si="36"/>
        <v>100</v>
      </c>
      <c r="S85" s="12">
        <f t="shared" si="36"/>
        <v>0</v>
      </c>
      <c r="T85" s="12">
        <f t="shared" si="36"/>
        <v>0</v>
      </c>
      <c r="U85" s="12">
        <f t="shared" si="36"/>
        <v>0</v>
      </c>
      <c r="V85" s="12">
        <f t="shared" si="36"/>
        <v>0</v>
      </c>
      <c r="W85" s="12">
        <f t="shared" si="36"/>
        <v>0</v>
      </c>
      <c r="X85" s="12">
        <f t="shared" si="36"/>
        <v>0</v>
      </c>
      <c r="Y85" s="12">
        <f t="shared" si="36"/>
        <v>80</v>
      </c>
      <c r="Z85" s="12">
        <f t="shared" si="36"/>
        <v>0</v>
      </c>
      <c r="AA85" s="12">
        <f t="shared" si="36"/>
        <v>0</v>
      </c>
      <c r="AB85" s="12">
        <f t="shared" si="36"/>
        <v>0</v>
      </c>
      <c r="AC85" s="12">
        <f t="shared" si="36"/>
        <v>0</v>
      </c>
      <c r="AD85" s="12">
        <f t="shared" si="36"/>
        <v>0</v>
      </c>
      <c r="AE85" s="12">
        <f t="shared" si="36"/>
        <v>0</v>
      </c>
      <c r="AF85" s="12">
        <f t="shared" si="36"/>
        <v>0</v>
      </c>
      <c r="AG85" s="12">
        <f t="shared" si="36"/>
        <v>0</v>
      </c>
      <c r="AH85" s="12">
        <f t="shared" si="36"/>
        <v>0</v>
      </c>
      <c r="AI85" s="12">
        <f t="shared" si="36"/>
        <v>0</v>
      </c>
      <c r="AJ85" s="12">
        <f t="shared" ref="AJ85:BO85" si="37">SUM(AJ6,AJ11,AJ16,AJ21,AJ26,AJ31,AJ36,AJ41,AJ46,AJ51,AJ56,AJ61,AJ66,AJ71,AJ76,AJ81,)-(AJ82*AJ84)-AJ86</f>
        <v>0</v>
      </c>
      <c r="AK85" s="12">
        <f t="shared" si="37"/>
        <v>0</v>
      </c>
      <c r="AL85" s="12">
        <f t="shared" si="37"/>
        <v>0</v>
      </c>
      <c r="AM85" s="12">
        <f t="shared" si="37"/>
        <v>0</v>
      </c>
      <c r="AN85" s="12">
        <f t="shared" si="37"/>
        <v>0</v>
      </c>
      <c r="AO85" s="12">
        <f t="shared" si="37"/>
        <v>0</v>
      </c>
      <c r="AP85" s="12">
        <f t="shared" si="37"/>
        <v>0</v>
      </c>
      <c r="AQ85" s="12">
        <f t="shared" si="37"/>
        <v>0</v>
      </c>
      <c r="AR85" s="12">
        <f t="shared" si="37"/>
        <v>0</v>
      </c>
      <c r="AS85" s="12">
        <f t="shared" si="37"/>
        <v>0</v>
      </c>
      <c r="AT85" s="12">
        <f t="shared" si="37"/>
        <v>0</v>
      </c>
      <c r="AU85" s="12">
        <f t="shared" si="37"/>
        <v>0</v>
      </c>
      <c r="AV85" s="12">
        <f t="shared" si="37"/>
        <v>0</v>
      </c>
      <c r="AW85" s="12">
        <f t="shared" si="37"/>
        <v>0</v>
      </c>
      <c r="AX85" s="12">
        <f t="shared" si="37"/>
        <v>0</v>
      </c>
      <c r="AY85" s="12">
        <f t="shared" si="37"/>
        <v>0</v>
      </c>
      <c r="AZ85" s="12">
        <f t="shared" si="37"/>
        <v>0</v>
      </c>
      <c r="BA85" s="12">
        <f t="shared" si="37"/>
        <v>0</v>
      </c>
      <c r="BB85" s="12">
        <f t="shared" si="37"/>
        <v>0</v>
      </c>
      <c r="BC85" s="12">
        <f t="shared" si="37"/>
        <v>0</v>
      </c>
      <c r="BD85" s="13">
        <f t="shared" si="37"/>
        <v>0</v>
      </c>
    </row>
    <row r="86" spans="1:56" ht="10.8" thickBot="1" x14ac:dyDescent="0.25">
      <c r="A86" s="47"/>
      <c r="B86" s="28" t="s">
        <v>45</v>
      </c>
      <c r="C86" s="30">
        <f>SUM(D86:BD86)</f>
        <v>39</v>
      </c>
      <c r="D86" s="14">
        <f t="shared" ref="D86:AI86" si="38">ROUNDUP(SUM(D5,D10,D15,D20,D25,D30,D35,D40,D45,D50,D55,D60,D65,D70,D75,D80)*0.46,0)</f>
        <v>0</v>
      </c>
      <c r="E86" s="15">
        <f t="shared" si="38"/>
        <v>0</v>
      </c>
      <c r="F86" s="15">
        <f t="shared" si="38"/>
        <v>0</v>
      </c>
      <c r="G86" s="15">
        <f t="shared" si="38"/>
        <v>0</v>
      </c>
      <c r="H86" s="15">
        <f t="shared" si="38"/>
        <v>0</v>
      </c>
      <c r="I86" s="15">
        <f t="shared" si="38"/>
        <v>0</v>
      </c>
      <c r="J86" s="15">
        <f t="shared" si="38"/>
        <v>0</v>
      </c>
      <c r="K86" s="15">
        <f t="shared" si="38"/>
        <v>0</v>
      </c>
      <c r="L86" s="15">
        <f t="shared" si="38"/>
        <v>0</v>
      </c>
      <c r="M86" s="15">
        <f t="shared" si="38"/>
        <v>0</v>
      </c>
      <c r="N86" s="15">
        <f t="shared" si="38"/>
        <v>0</v>
      </c>
      <c r="O86" s="15">
        <f t="shared" si="38"/>
        <v>0</v>
      </c>
      <c r="P86" s="15">
        <f t="shared" si="38"/>
        <v>0</v>
      </c>
      <c r="Q86" s="15">
        <f t="shared" si="38"/>
        <v>0</v>
      </c>
      <c r="R86" s="15">
        <f t="shared" si="38"/>
        <v>0</v>
      </c>
      <c r="S86" s="15">
        <f t="shared" si="38"/>
        <v>0</v>
      </c>
      <c r="T86" s="15">
        <f t="shared" si="38"/>
        <v>0</v>
      </c>
      <c r="U86" s="15">
        <f t="shared" si="38"/>
        <v>0</v>
      </c>
      <c r="V86" s="15">
        <f t="shared" si="38"/>
        <v>0</v>
      </c>
      <c r="W86" s="15">
        <f t="shared" si="38"/>
        <v>0</v>
      </c>
      <c r="X86" s="15">
        <f t="shared" si="38"/>
        <v>0</v>
      </c>
      <c r="Y86" s="15">
        <f t="shared" si="38"/>
        <v>0</v>
      </c>
      <c r="Z86" s="15">
        <f t="shared" si="38"/>
        <v>0</v>
      </c>
      <c r="AA86" s="15">
        <f t="shared" si="38"/>
        <v>0</v>
      </c>
      <c r="AB86" s="15">
        <f t="shared" si="38"/>
        <v>39</v>
      </c>
      <c r="AC86" s="15">
        <f t="shared" si="38"/>
        <v>0</v>
      </c>
      <c r="AD86" s="15">
        <f t="shared" si="38"/>
        <v>0</v>
      </c>
      <c r="AE86" s="15">
        <f t="shared" si="38"/>
        <v>0</v>
      </c>
      <c r="AF86" s="15">
        <f t="shared" si="38"/>
        <v>0</v>
      </c>
      <c r="AG86" s="15">
        <f t="shared" si="38"/>
        <v>0</v>
      </c>
      <c r="AH86" s="15">
        <f t="shared" si="38"/>
        <v>0</v>
      </c>
      <c r="AI86" s="15">
        <f t="shared" si="38"/>
        <v>0</v>
      </c>
      <c r="AJ86" s="15">
        <f t="shared" ref="AJ86:BD86" si="39">ROUNDUP(SUM(AJ5,AJ10,AJ15,AJ20,AJ25,AJ30,AJ35,AJ40,AJ45,AJ50,AJ55,AJ60,AJ65,AJ70,AJ75,AJ80)*0.46,0)</f>
        <v>0</v>
      </c>
      <c r="AK86" s="15">
        <f t="shared" si="39"/>
        <v>0</v>
      </c>
      <c r="AL86" s="15">
        <f t="shared" si="39"/>
        <v>0</v>
      </c>
      <c r="AM86" s="15">
        <f t="shared" si="39"/>
        <v>0</v>
      </c>
      <c r="AN86" s="15">
        <f t="shared" si="39"/>
        <v>0</v>
      </c>
      <c r="AO86" s="15">
        <f t="shared" si="39"/>
        <v>0</v>
      </c>
      <c r="AP86" s="15">
        <f t="shared" si="39"/>
        <v>0</v>
      </c>
      <c r="AQ86" s="15">
        <f t="shared" si="39"/>
        <v>0</v>
      </c>
      <c r="AR86" s="15">
        <f t="shared" si="39"/>
        <v>0</v>
      </c>
      <c r="AS86" s="15">
        <f t="shared" si="39"/>
        <v>0</v>
      </c>
      <c r="AT86" s="15">
        <f t="shared" si="39"/>
        <v>0</v>
      </c>
      <c r="AU86" s="15">
        <f t="shared" si="39"/>
        <v>0</v>
      </c>
      <c r="AV86" s="15">
        <f t="shared" si="39"/>
        <v>0</v>
      </c>
      <c r="AW86" s="15">
        <f t="shared" si="39"/>
        <v>0</v>
      </c>
      <c r="AX86" s="15">
        <f t="shared" si="39"/>
        <v>0</v>
      </c>
      <c r="AY86" s="15">
        <f t="shared" si="39"/>
        <v>0</v>
      </c>
      <c r="AZ86" s="15">
        <f t="shared" si="39"/>
        <v>0</v>
      </c>
      <c r="BA86" s="15">
        <f t="shared" si="39"/>
        <v>0</v>
      </c>
      <c r="BB86" s="15">
        <f t="shared" si="39"/>
        <v>0</v>
      </c>
      <c r="BC86" s="15">
        <f t="shared" si="39"/>
        <v>0</v>
      </c>
      <c r="BD86" s="16">
        <f t="shared" si="39"/>
        <v>0</v>
      </c>
    </row>
    <row r="87" spans="1:56" ht="10.8" thickBot="1" x14ac:dyDescent="0.25">
      <c r="A87" s="22" t="str">
        <f>IFERROR("Total Cost: $"&amp;ROUND((C87-0.46*C86)*1.26+(0.46*C86),2)&amp;" - "&amp;"Hourly: $"&amp;ROUND(((C87-0.46*C86)*1.26+(0.46*C86))/C84,2),0)</f>
        <v>Total Cost: $4571.66 - Hourly: $12.47</v>
      </c>
      <c r="B87" s="31" t="s">
        <v>28</v>
      </c>
      <c r="C87" s="32">
        <f>SUM(C6,C11,C16,C21,C26,C31,C36,C41,C46,C51,C56,C61,C66,C71,C76,C8)</f>
        <v>3632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/DZCfWp/xQwSr0Dd/vlaYlHtIy3PQ3i4PEDDKZhioCziJSGl/BvAcO08zlR/F8HDlnpJss8uyo0EtooQCrqtZg==" saltValue="JAFBZ7X40UltpfX+cvnheQ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27" priority="13">
      <formula>LEN(TRIM(A30))&gt;0</formula>
    </cfRule>
  </conditionalFormatting>
  <conditionalFormatting sqref="D1:H1">
    <cfRule type="duplicateValues" dxfId="26" priority="10"/>
  </conditionalFormatting>
  <conditionalFormatting sqref="I1:BD1">
    <cfRule type="duplicateValues" dxfId="25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33203125" defaultRowHeight="10.199999999999999" x14ac:dyDescent="0.2"/>
  <cols>
    <col min="1" max="1" width="19.33203125" style="33" bestFit="1" customWidth="1"/>
    <col min="2" max="2" width="17.44140625" style="41" bestFit="1" customWidth="1"/>
    <col min="3" max="3" width="10" style="53" bestFit="1" customWidth="1"/>
    <col min="4" max="21" width="4.88671875" style="48" bestFit="1" customWidth="1"/>
    <col min="22" max="56" width="4.88671875" style="41" bestFit="1" customWidth="1"/>
    <col min="57" max="16384" width="30.33203125" style="41"/>
  </cols>
  <sheetData>
    <row r="1" spans="1:56" s="33" customFormat="1" ht="10.8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0.8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 t="shared" ref="D6:AI6" si="0">((D2*D$82)+D3+(D4*D2)+ROUNDUP(D5*0.46,0))</f>
        <v>0</v>
      </c>
      <c r="E6" s="23">
        <f t="shared" si="0"/>
        <v>0</v>
      </c>
      <c r="F6" s="23">
        <f t="shared" si="0"/>
        <v>0</v>
      </c>
      <c r="G6" s="23">
        <f t="shared" si="0"/>
        <v>0</v>
      </c>
      <c r="H6" s="23">
        <f t="shared" si="0"/>
        <v>0</v>
      </c>
      <c r="I6" s="23">
        <f t="shared" si="0"/>
        <v>0</v>
      </c>
      <c r="J6" s="23">
        <f t="shared" si="0"/>
        <v>0</v>
      </c>
      <c r="K6" s="23">
        <f t="shared" si="0"/>
        <v>0</v>
      </c>
      <c r="L6" s="23">
        <f t="shared" si="0"/>
        <v>0</v>
      </c>
      <c r="M6" s="23">
        <f t="shared" si="0"/>
        <v>0</v>
      </c>
      <c r="N6" s="23">
        <f t="shared" si="0"/>
        <v>0</v>
      </c>
      <c r="O6" s="23">
        <f t="shared" si="0"/>
        <v>0</v>
      </c>
      <c r="P6" s="23">
        <f t="shared" si="0"/>
        <v>0</v>
      </c>
      <c r="Q6" s="23">
        <f t="shared" si="0"/>
        <v>0</v>
      </c>
      <c r="R6" s="23">
        <f t="shared" si="0"/>
        <v>0</v>
      </c>
      <c r="S6" s="23">
        <f t="shared" si="0"/>
        <v>0</v>
      </c>
      <c r="T6" s="23">
        <f t="shared" si="0"/>
        <v>0</v>
      </c>
      <c r="U6" s="23">
        <f t="shared" si="0"/>
        <v>0</v>
      </c>
      <c r="V6" s="23">
        <f t="shared" si="0"/>
        <v>0</v>
      </c>
      <c r="W6" s="23">
        <f t="shared" si="0"/>
        <v>0</v>
      </c>
      <c r="X6" s="23">
        <f t="shared" si="0"/>
        <v>0</v>
      </c>
      <c r="Y6" s="23">
        <f t="shared" si="0"/>
        <v>0</v>
      </c>
      <c r="Z6" s="23">
        <f t="shared" si="0"/>
        <v>0</v>
      </c>
      <c r="AA6" s="23">
        <f t="shared" si="0"/>
        <v>0</v>
      </c>
      <c r="AB6" s="23">
        <f t="shared" si="0"/>
        <v>0</v>
      </c>
      <c r="AC6" s="23">
        <f t="shared" si="0"/>
        <v>0</v>
      </c>
      <c r="AD6" s="23">
        <f t="shared" si="0"/>
        <v>0</v>
      </c>
      <c r="AE6" s="23">
        <f t="shared" si="0"/>
        <v>0</v>
      </c>
      <c r="AF6" s="23">
        <f t="shared" si="0"/>
        <v>0</v>
      </c>
      <c r="AG6" s="23">
        <f t="shared" si="0"/>
        <v>0</v>
      </c>
      <c r="AH6" s="23">
        <f t="shared" si="0"/>
        <v>0</v>
      </c>
      <c r="AI6" s="23">
        <f t="shared" si="0"/>
        <v>0</v>
      </c>
      <c r="AJ6" s="23">
        <f t="shared" ref="AJ6:BO6" si="1">((AJ2*AJ$82)+AJ3+(AJ4*AJ2)+ROUNDUP(AJ5*0.46,0))</f>
        <v>0</v>
      </c>
      <c r="AK6" s="23">
        <f t="shared" si="1"/>
        <v>0</v>
      </c>
      <c r="AL6" s="23">
        <f t="shared" si="1"/>
        <v>0</v>
      </c>
      <c r="AM6" s="23">
        <f t="shared" si="1"/>
        <v>0</v>
      </c>
      <c r="AN6" s="23">
        <f t="shared" si="1"/>
        <v>0</v>
      </c>
      <c r="AO6" s="23">
        <f t="shared" si="1"/>
        <v>0</v>
      </c>
      <c r="AP6" s="23">
        <f t="shared" si="1"/>
        <v>0</v>
      </c>
      <c r="AQ6" s="23">
        <f t="shared" si="1"/>
        <v>0</v>
      </c>
      <c r="AR6" s="23">
        <f t="shared" si="1"/>
        <v>0</v>
      </c>
      <c r="AS6" s="23">
        <f t="shared" si="1"/>
        <v>0</v>
      </c>
      <c r="AT6" s="23">
        <f t="shared" si="1"/>
        <v>0</v>
      </c>
      <c r="AU6" s="23">
        <f t="shared" si="1"/>
        <v>0</v>
      </c>
      <c r="AV6" s="23">
        <f t="shared" si="1"/>
        <v>0</v>
      </c>
      <c r="AW6" s="23">
        <f t="shared" si="1"/>
        <v>0</v>
      </c>
      <c r="AX6" s="23">
        <f t="shared" si="1"/>
        <v>0</v>
      </c>
      <c r="AY6" s="23">
        <f t="shared" si="1"/>
        <v>0</v>
      </c>
      <c r="AZ6" s="23">
        <f t="shared" si="1"/>
        <v>0</v>
      </c>
      <c r="BA6" s="23">
        <f t="shared" si="1"/>
        <v>0</v>
      </c>
      <c r="BB6" s="23">
        <f t="shared" si="1"/>
        <v>0</v>
      </c>
      <c r="BC6" s="23">
        <f t="shared" si="1"/>
        <v>0</v>
      </c>
      <c r="BD6" s="25">
        <f t="shared" si="1"/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0.8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 t="shared" ref="D11:AI11" si="2">((D7*D$82)+D8+(D9*D7)+ROUNDUP(D10*0.46,0))</f>
        <v>0</v>
      </c>
      <c r="E11" s="23">
        <f t="shared" si="2"/>
        <v>0</v>
      </c>
      <c r="F11" s="23">
        <f t="shared" si="2"/>
        <v>0</v>
      </c>
      <c r="G11" s="23">
        <f t="shared" si="2"/>
        <v>0</v>
      </c>
      <c r="H11" s="23">
        <f t="shared" si="2"/>
        <v>0</v>
      </c>
      <c r="I11" s="23">
        <f t="shared" si="2"/>
        <v>0</v>
      </c>
      <c r="J11" s="23">
        <f t="shared" si="2"/>
        <v>0</v>
      </c>
      <c r="K11" s="23">
        <f t="shared" si="2"/>
        <v>0</v>
      </c>
      <c r="L11" s="23">
        <f t="shared" si="2"/>
        <v>0</v>
      </c>
      <c r="M11" s="23">
        <f t="shared" si="2"/>
        <v>0</v>
      </c>
      <c r="N11" s="23">
        <f t="shared" si="2"/>
        <v>0</v>
      </c>
      <c r="O11" s="23">
        <f t="shared" si="2"/>
        <v>0</v>
      </c>
      <c r="P11" s="23">
        <f t="shared" si="2"/>
        <v>0</v>
      </c>
      <c r="Q11" s="23">
        <f t="shared" si="2"/>
        <v>0</v>
      </c>
      <c r="R11" s="23">
        <f t="shared" si="2"/>
        <v>0</v>
      </c>
      <c r="S11" s="23">
        <f t="shared" si="2"/>
        <v>0</v>
      </c>
      <c r="T11" s="23">
        <f t="shared" si="2"/>
        <v>0</v>
      </c>
      <c r="U11" s="23">
        <f t="shared" si="2"/>
        <v>0</v>
      </c>
      <c r="V11" s="23">
        <f t="shared" si="2"/>
        <v>0</v>
      </c>
      <c r="W11" s="23">
        <f t="shared" si="2"/>
        <v>0</v>
      </c>
      <c r="X11" s="23">
        <f t="shared" si="2"/>
        <v>0</v>
      </c>
      <c r="Y11" s="23">
        <f t="shared" si="2"/>
        <v>0</v>
      </c>
      <c r="Z11" s="23">
        <f t="shared" si="2"/>
        <v>0</v>
      </c>
      <c r="AA11" s="23">
        <f t="shared" si="2"/>
        <v>0</v>
      </c>
      <c r="AB11" s="23">
        <f t="shared" si="2"/>
        <v>0</v>
      </c>
      <c r="AC11" s="23">
        <f t="shared" si="2"/>
        <v>0</v>
      </c>
      <c r="AD11" s="23">
        <f t="shared" si="2"/>
        <v>0</v>
      </c>
      <c r="AE11" s="23">
        <f t="shared" si="2"/>
        <v>0</v>
      </c>
      <c r="AF11" s="23">
        <f t="shared" si="2"/>
        <v>0</v>
      </c>
      <c r="AG11" s="23">
        <f t="shared" si="2"/>
        <v>0</v>
      </c>
      <c r="AH11" s="23">
        <f t="shared" si="2"/>
        <v>0</v>
      </c>
      <c r="AI11" s="23">
        <f t="shared" si="2"/>
        <v>0</v>
      </c>
      <c r="AJ11" s="23">
        <f t="shared" ref="AJ11:BO11" si="3">((AJ7*AJ$82)+AJ8+(AJ9*AJ7)+ROUNDUP(AJ10*0.46,0))</f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5">
        <f t="shared" si="3"/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0.8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 t="shared" ref="D16:AI16" si="4">((D12*D$82)+D13+(D14*D12)+ROUNDUP(D15*0.46,0))</f>
        <v>0</v>
      </c>
      <c r="E16" s="23">
        <f t="shared" si="4"/>
        <v>0</v>
      </c>
      <c r="F16" s="23">
        <f t="shared" si="4"/>
        <v>0</v>
      </c>
      <c r="G16" s="23">
        <f t="shared" si="4"/>
        <v>0</v>
      </c>
      <c r="H16" s="23">
        <f t="shared" si="4"/>
        <v>0</v>
      </c>
      <c r="I16" s="23">
        <f t="shared" si="4"/>
        <v>0</v>
      </c>
      <c r="J16" s="23">
        <f t="shared" si="4"/>
        <v>0</v>
      </c>
      <c r="K16" s="23">
        <f t="shared" si="4"/>
        <v>0</v>
      </c>
      <c r="L16" s="23">
        <f t="shared" si="4"/>
        <v>0</v>
      </c>
      <c r="M16" s="23">
        <f t="shared" si="4"/>
        <v>0</v>
      </c>
      <c r="N16" s="23">
        <f t="shared" si="4"/>
        <v>0</v>
      </c>
      <c r="O16" s="23">
        <f t="shared" si="4"/>
        <v>0</v>
      </c>
      <c r="P16" s="23">
        <f t="shared" si="4"/>
        <v>0</v>
      </c>
      <c r="Q16" s="23">
        <f t="shared" si="4"/>
        <v>0</v>
      </c>
      <c r="R16" s="23">
        <f t="shared" si="4"/>
        <v>0</v>
      </c>
      <c r="S16" s="23">
        <f t="shared" si="4"/>
        <v>0</v>
      </c>
      <c r="T16" s="23">
        <f t="shared" si="4"/>
        <v>0</v>
      </c>
      <c r="U16" s="23">
        <f t="shared" si="4"/>
        <v>0</v>
      </c>
      <c r="V16" s="23">
        <f t="shared" si="4"/>
        <v>0</v>
      </c>
      <c r="W16" s="23">
        <f t="shared" si="4"/>
        <v>0</v>
      </c>
      <c r="X16" s="23">
        <f t="shared" si="4"/>
        <v>0</v>
      </c>
      <c r="Y16" s="23">
        <f t="shared" si="4"/>
        <v>0</v>
      </c>
      <c r="Z16" s="23">
        <f t="shared" si="4"/>
        <v>0</v>
      </c>
      <c r="AA16" s="23">
        <f t="shared" si="4"/>
        <v>0</v>
      </c>
      <c r="AB16" s="23">
        <f t="shared" si="4"/>
        <v>0</v>
      </c>
      <c r="AC16" s="23">
        <f t="shared" si="4"/>
        <v>0</v>
      </c>
      <c r="AD16" s="23">
        <f t="shared" si="4"/>
        <v>0</v>
      </c>
      <c r="AE16" s="23">
        <f t="shared" si="4"/>
        <v>0</v>
      </c>
      <c r="AF16" s="23">
        <f t="shared" si="4"/>
        <v>0</v>
      </c>
      <c r="AG16" s="23">
        <f t="shared" si="4"/>
        <v>0</v>
      </c>
      <c r="AH16" s="23">
        <f t="shared" si="4"/>
        <v>0</v>
      </c>
      <c r="AI16" s="23">
        <f t="shared" si="4"/>
        <v>0</v>
      </c>
      <c r="AJ16" s="23">
        <f t="shared" ref="AJ16:BO16" si="5">((AJ12*AJ$82)+AJ13+(AJ14*AJ12)+ROUNDUP(AJ15*0.46,0))</f>
        <v>0</v>
      </c>
      <c r="AK16" s="23">
        <f t="shared" si="5"/>
        <v>0</v>
      </c>
      <c r="AL16" s="23">
        <f t="shared" si="5"/>
        <v>0</v>
      </c>
      <c r="AM16" s="23">
        <f t="shared" si="5"/>
        <v>0</v>
      </c>
      <c r="AN16" s="23">
        <f t="shared" si="5"/>
        <v>0</v>
      </c>
      <c r="AO16" s="23">
        <f t="shared" si="5"/>
        <v>0</v>
      </c>
      <c r="AP16" s="23">
        <f t="shared" si="5"/>
        <v>0</v>
      </c>
      <c r="AQ16" s="23">
        <f t="shared" si="5"/>
        <v>0</v>
      </c>
      <c r="AR16" s="23">
        <f t="shared" si="5"/>
        <v>0</v>
      </c>
      <c r="AS16" s="23">
        <f t="shared" si="5"/>
        <v>0</v>
      </c>
      <c r="AT16" s="23">
        <f t="shared" si="5"/>
        <v>0</v>
      </c>
      <c r="AU16" s="23">
        <f t="shared" si="5"/>
        <v>0</v>
      </c>
      <c r="AV16" s="23">
        <f t="shared" si="5"/>
        <v>0</v>
      </c>
      <c r="AW16" s="23">
        <f t="shared" si="5"/>
        <v>0</v>
      </c>
      <c r="AX16" s="23">
        <f t="shared" si="5"/>
        <v>0</v>
      </c>
      <c r="AY16" s="23">
        <f t="shared" si="5"/>
        <v>0</v>
      </c>
      <c r="AZ16" s="23">
        <f t="shared" si="5"/>
        <v>0</v>
      </c>
      <c r="BA16" s="23">
        <f t="shared" si="5"/>
        <v>0</v>
      </c>
      <c r="BB16" s="23">
        <f t="shared" si="5"/>
        <v>0</v>
      </c>
      <c r="BC16" s="23">
        <f t="shared" si="5"/>
        <v>0</v>
      </c>
      <c r="BD16" s="25">
        <f t="shared" si="5"/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0.8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 t="shared" ref="D21:AI21" si="6">((D17*D$82)+D18+(D19*D17)+ROUNDUP(D20*0.46,0))</f>
        <v>0</v>
      </c>
      <c r="E21" s="23">
        <f t="shared" si="6"/>
        <v>0</v>
      </c>
      <c r="F21" s="23">
        <f t="shared" si="6"/>
        <v>0</v>
      </c>
      <c r="G21" s="23">
        <f t="shared" si="6"/>
        <v>0</v>
      </c>
      <c r="H21" s="23">
        <f t="shared" si="6"/>
        <v>0</v>
      </c>
      <c r="I21" s="23">
        <f t="shared" si="6"/>
        <v>0</v>
      </c>
      <c r="J21" s="23">
        <f t="shared" si="6"/>
        <v>0</v>
      </c>
      <c r="K21" s="23">
        <f t="shared" si="6"/>
        <v>0</v>
      </c>
      <c r="L21" s="23">
        <f t="shared" si="6"/>
        <v>0</v>
      </c>
      <c r="M21" s="23">
        <f t="shared" si="6"/>
        <v>0</v>
      </c>
      <c r="N21" s="23">
        <f t="shared" si="6"/>
        <v>0</v>
      </c>
      <c r="O21" s="23">
        <f t="shared" si="6"/>
        <v>0</v>
      </c>
      <c r="P21" s="23">
        <f t="shared" si="6"/>
        <v>0</v>
      </c>
      <c r="Q21" s="23">
        <f t="shared" si="6"/>
        <v>0</v>
      </c>
      <c r="R21" s="23">
        <f t="shared" si="6"/>
        <v>0</v>
      </c>
      <c r="S21" s="23">
        <f t="shared" si="6"/>
        <v>0</v>
      </c>
      <c r="T21" s="23">
        <f t="shared" si="6"/>
        <v>0</v>
      </c>
      <c r="U21" s="23">
        <f t="shared" si="6"/>
        <v>0</v>
      </c>
      <c r="V21" s="23">
        <f t="shared" si="6"/>
        <v>0</v>
      </c>
      <c r="W21" s="23">
        <f t="shared" si="6"/>
        <v>0</v>
      </c>
      <c r="X21" s="23">
        <f t="shared" si="6"/>
        <v>0</v>
      </c>
      <c r="Y21" s="23">
        <f t="shared" si="6"/>
        <v>0</v>
      </c>
      <c r="Z21" s="23">
        <f t="shared" si="6"/>
        <v>0</v>
      </c>
      <c r="AA21" s="23">
        <f t="shared" si="6"/>
        <v>0</v>
      </c>
      <c r="AB21" s="23">
        <f t="shared" si="6"/>
        <v>0</v>
      </c>
      <c r="AC21" s="23">
        <f t="shared" si="6"/>
        <v>0</v>
      </c>
      <c r="AD21" s="23">
        <f t="shared" si="6"/>
        <v>0</v>
      </c>
      <c r="AE21" s="23">
        <f t="shared" si="6"/>
        <v>0</v>
      </c>
      <c r="AF21" s="23">
        <f t="shared" si="6"/>
        <v>0</v>
      </c>
      <c r="AG21" s="23">
        <f t="shared" si="6"/>
        <v>0</v>
      </c>
      <c r="AH21" s="23">
        <f t="shared" si="6"/>
        <v>0</v>
      </c>
      <c r="AI21" s="23">
        <f t="shared" si="6"/>
        <v>0</v>
      </c>
      <c r="AJ21" s="23">
        <f t="shared" ref="AJ21:BO21" si="7">((AJ17*AJ$82)+AJ18+(AJ19*AJ17)+ROUNDUP(AJ20*0.46,0))</f>
        <v>0</v>
      </c>
      <c r="AK21" s="23">
        <f t="shared" si="7"/>
        <v>0</v>
      </c>
      <c r="AL21" s="23">
        <f t="shared" si="7"/>
        <v>0</v>
      </c>
      <c r="AM21" s="23">
        <f t="shared" si="7"/>
        <v>0</v>
      </c>
      <c r="AN21" s="23">
        <f t="shared" si="7"/>
        <v>0</v>
      </c>
      <c r="AO21" s="23">
        <f t="shared" si="7"/>
        <v>0</v>
      </c>
      <c r="AP21" s="23">
        <f t="shared" si="7"/>
        <v>0</v>
      </c>
      <c r="AQ21" s="23">
        <f t="shared" si="7"/>
        <v>0</v>
      </c>
      <c r="AR21" s="23">
        <f t="shared" si="7"/>
        <v>0</v>
      </c>
      <c r="AS21" s="23">
        <f t="shared" si="7"/>
        <v>0</v>
      </c>
      <c r="AT21" s="23">
        <f t="shared" si="7"/>
        <v>0</v>
      </c>
      <c r="AU21" s="23">
        <f t="shared" si="7"/>
        <v>0</v>
      </c>
      <c r="AV21" s="23">
        <f t="shared" si="7"/>
        <v>0</v>
      </c>
      <c r="AW21" s="23">
        <f t="shared" si="7"/>
        <v>0</v>
      </c>
      <c r="AX21" s="23">
        <f t="shared" si="7"/>
        <v>0</v>
      </c>
      <c r="AY21" s="23">
        <f t="shared" si="7"/>
        <v>0</v>
      </c>
      <c r="AZ21" s="23">
        <f t="shared" si="7"/>
        <v>0</v>
      </c>
      <c r="BA21" s="23">
        <f t="shared" si="7"/>
        <v>0</v>
      </c>
      <c r="BB21" s="23">
        <f t="shared" si="7"/>
        <v>0</v>
      </c>
      <c r="BC21" s="23">
        <f t="shared" si="7"/>
        <v>0</v>
      </c>
      <c r="BD21" s="25">
        <f t="shared" si="7"/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0.8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 t="shared" ref="D26:AI26" si="8">((D22*D$82)+D23+(D24*D22)+ROUNDUP(D25*0.46,0))</f>
        <v>0</v>
      </c>
      <c r="E26" s="23">
        <f t="shared" si="8"/>
        <v>0</v>
      </c>
      <c r="F26" s="23">
        <f t="shared" si="8"/>
        <v>0</v>
      </c>
      <c r="G26" s="23">
        <f t="shared" si="8"/>
        <v>0</v>
      </c>
      <c r="H26" s="23">
        <f t="shared" si="8"/>
        <v>0</v>
      </c>
      <c r="I26" s="23">
        <f t="shared" si="8"/>
        <v>0</v>
      </c>
      <c r="J26" s="23">
        <f t="shared" si="8"/>
        <v>0</v>
      </c>
      <c r="K26" s="23">
        <f t="shared" si="8"/>
        <v>0</v>
      </c>
      <c r="L26" s="23">
        <f t="shared" si="8"/>
        <v>0</v>
      </c>
      <c r="M26" s="23">
        <f t="shared" si="8"/>
        <v>0</v>
      </c>
      <c r="N26" s="23">
        <f t="shared" si="8"/>
        <v>0</v>
      </c>
      <c r="O26" s="23">
        <f t="shared" si="8"/>
        <v>0</v>
      </c>
      <c r="P26" s="23">
        <f t="shared" si="8"/>
        <v>0</v>
      </c>
      <c r="Q26" s="23">
        <f t="shared" si="8"/>
        <v>0</v>
      </c>
      <c r="R26" s="23">
        <f t="shared" si="8"/>
        <v>0</v>
      </c>
      <c r="S26" s="23">
        <f t="shared" si="8"/>
        <v>0</v>
      </c>
      <c r="T26" s="23">
        <f t="shared" si="8"/>
        <v>0</v>
      </c>
      <c r="U26" s="23">
        <f t="shared" si="8"/>
        <v>0</v>
      </c>
      <c r="V26" s="23">
        <f t="shared" si="8"/>
        <v>0</v>
      </c>
      <c r="W26" s="23">
        <f t="shared" si="8"/>
        <v>0</v>
      </c>
      <c r="X26" s="23">
        <f t="shared" si="8"/>
        <v>0</v>
      </c>
      <c r="Y26" s="23">
        <f t="shared" si="8"/>
        <v>0</v>
      </c>
      <c r="Z26" s="23">
        <f t="shared" si="8"/>
        <v>0</v>
      </c>
      <c r="AA26" s="23">
        <f t="shared" si="8"/>
        <v>0</v>
      </c>
      <c r="AB26" s="23">
        <f t="shared" si="8"/>
        <v>0</v>
      </c>
      <c r="AC26" s="23">
        <f t="shared" si="8"/>
        <v>0</v>
      </c>
      <c r="AD26" s="23">
        <f t="shared" si="8"/>
        <v>0</v>
      </c>
      <c r="AE26" s="23">
        <f t="shared" si="8"/>
        <v>0</v>
      </c>
      <c r="AF26" s="23">
        <f t="shared" si="8"/>
        <v>0</v>
      </c>
      <c r="AG26" s="23">
        <f t="shared" si="8"/>
        <v>0</v>
      </c>
      <c r="AH26" s="23">
        <f t="shared" si="8"/>
        <v>0</v>
      </c>
      <c r="AI26" s="23">
        <f t="shared" si="8"/>
        <v>0</v>
      </c>
      <c r="AJ26" s="23">
        <f t="shared" ref="AJ26:BO26" si="9">((AJ22*AJ$82)+AJ23+(AJ24*AJ22)+ROUNDUP(AJ25*0.46,0))</f>
        <v>0</v>
      </c>
      <c r="AK26" s="23">
        <f t="shared" si="9"/>
        <v>0</v>
      </c>
      <c r="AL26" s="23">
        <f t="shared" si="9"/>
        <v>0</v>
      </c>
      <c r="AM26" s="23">
        <f t="shared" si="9"/>
        <v>0</v>
      </c>
      <c r="AN26" s="23">
        <f t="shared" si="9"/>
        <v>0</v>
      </c>
      <c r="AO26" s="23">
        <f t="shared" si="9"/>
        <v>0</v>
      </c>
      <c r="AP26" s="23">
        <f t="shared" si="9"/>
        <v>0</v>
      </c>
      <c r="AQ26" s="23">
        <f t="shared" si="9"/>
        <v>0</v>
      </c>
      <c r="AR26" s="23">
        <f t="shared" si="9"/>
        <v>0</v>
      </c>
      <c r="AS26" s="23">
        <f t="shared" si="9"/>
        <v>0</v>
      </c>
      <c r="AT26" s="23">
        <f t="shared" si="9"/>
        <v>0</v>
      </c>
      <c r="AU26" s="23">
        <f t="shared" si="9"/>
        <v>0</v>
      </c>
      <c r="AV26" s="23">
        <f t="shared" si="9"/>
        <v>0</v>
      </c>
      <c r="AW26" s="23">
        <f t="shared" si="9"/>
        <v>0</v>
      </c>
      <c r="AX26" s="23">
        <f t="shared" si="9"/>
        <v>0</v>
      </c>
      <c r="AY26" s="23">
        <f t="shared" si="9"/>
        <v>0</v>
      </c>
      <c r="AZ26" s="23">
        <f t="shared" si="9"/>
        <v>0</v>
      </c>
      <c r="BA26" s="23">
        <f t="shared" si="9"/>
        <v>0</v>
      </c>
      <c r="BB26" s="23">
        <f t="shared" si="9"/>
        <v>0</v>
      </c>
      <c r="BC26" s="23">
        <f t="shared" si="9"/>
        <v>0</v>
      </c>
      <c r="BD26" s="25">
        <f t="shared" si="9"/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0.8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 t="shared" ref="D31:AI31" si="10">((D27*D$82)+D28+(D29*D27)+ROUNDUP(D30*0.46,0))</f>
        <v>0</v>
      </c>
      <c r="E31" s="23">
        <f t="shared" si="10"/>
        <v>0</v>
      </c>
      <c r="F31" s="23">
        <f t="shared" si="10"/>
        <v>0</v>
      </c>
      <c r="G31" s="23">
        <f t="shared" si="10"/>
        <v>0</v>
      </c>
      <c r="H31" s="23">
        <f t="shared" si="10"/>
        <v>0</v>
      </c>
      <c r="I31" s="23">
        <f t="shared" si="10"/>
        <v>0</v>
      </c>
      <c r="J31" s="23">
        <f t="shared" si="10"/>
        <v>0</v>
      </c>
      <c r="K31" s="23">
        <f t="shared" si="10"/>
        <v>0</v>
      </c>
      <c r="L31" s="23">
        <f t="shared" si="10"/>
        <v>0</v>
      </c>
      <c r="M31" s="23">
        <f t="shared" si="10"/>
        <v>0</v>
      </c>
      <c r="N31" s="23">
        <f t="shared" si="10"/>
        <v>0</v>
      </c>
      <c r="O31" s="23">
        <f t="shared" si="10"/>
        <v>0</v>
      </c>
      <c r="P31" s="23">
        <f t="shared" si="10"/>
        <v>0</v>
      </c>
      <c r="Q31" s="23">
        <f t="shared" si="10"/>
        <v>0</v>
      </c>
      <c r="R31" s="23">
        <f t="shared" si="10"/>
        <v>0</v>
      </c>
      <c r="S31" s="23">
        <f t="shared" si="10"/>
        <v>0</v>
      </c>
      <c r="T31" s="23">
        <f t="shared" si="10"/>
        <v>0</v>
      </c>
      <c r="U31" s="23">
        <f t="shared" si="10"/>
        <v>0</v>
      </c>
      <c r="V31" s="23">
        <f t="shared" si="10"/>
        <v>0</v>
      </c>
      <c r="W31" s="23">
        <f t="shared" si="10"/>
        <v>0</v>
      </c>
      <c r="X31" s="23">
        <f t="shared" si="10"/>
        <v>0</v>
      </c>
      <c r="Y31" s="23">
        <f t="shared" si="10"/>
        <v>0</v>
      </c>
      <c r="Z31" s="23">
        <f t="shared" si="10"/>
        <v>0</v>
      </c>
      <c r="AA31" s="23">
        <f t="shared" si="10"/>
        <v>0</v>
      </c>
      <c r="AB31" s="23">
        <f t="shared" si="10"/>
        <v>0</v>
      </c>
      <c r="AC31" s="23">
        <f t="shared" si="10"/>
        <v>0</v>
      </c>
      <c r="AD31" s="23">
        <f t="shared" si="10"/>
        <v>0</v>
      </c>
      <c r="AE31" s="23">
        <f t="shared" si="10"/>
        <v>0</v>
      </c>
      <c r="AF31" s="23">
        <f t="shared" si="10"/>
        <v>0</v>
      </c>
      <c r="AG31" s="23">
        <f t="shared" si="10"/>
        <v>0</v>
      </c>
      <c r="AH31" s="23">
        <f t="shared" si="10"/>
        <v>0</v>
      </c>
      <c r="AI31" s="23">
        <f t="shared" si="10"/>
        <v>0</v>
      </c>
      <c r="AJ31" s="23">
        <f t="shared" ref="AJ31:BO31" si="11">((AJ27*AJ$82)+AJ28+(AJ29*AJ27)+ROUNDUP(AJ30*0.46,0))</f>
        <v>0</v>
      </c>
      <c r="AK31" s="23">
        <f t="shared" si="11"/>
        <v>0</v>
      </c>
      <c r="AL31" s="23">
        <f t="shared" si="11"/>
        <v>0</v>
      </c>
      <c r="AM31" s="23">
        <f t="shared" si="11"/>
        <v>0</v>
      </c>
      <c r="AN31" s="23">
        <f t="shared" si="11"/>
        <v>0</v>
      </c>
      <c r="AO31" s="23">
        <f t="shared" si="11"/>
        <v>0</v>
      </c>
      <c r="AP31" s="23">
        <f t="shared" si="11"/>
        <v>0</v>
      </c>
      <c r="AQ31" s="23">
        <f t="shared" si="11"/>
        <v>0</v>
      </c>
      <c r="AR31" s="23">
        <f t="shared" si="11"/>
        <v>0</v>
      </c>
      <c r="AS31" s="23">
        <f t="shared" si="11"/>
        <v>0</v>
      </c>
      <c r="AT31" s="23">
        <f t="shared" si="11"/>
        <v>0</v>
      </c>
      <c r="AU31" s="23">
        <f t="shared" si="11"/>
        <v>0</v>
      </c>
      <c r="AV31" s="23">
        <f t="shared" si="11"/>
        <v>0</v>
      </c>
      <c r="AW31" s="23">
        <f t="shared" si="11"/>
        <v>0</v>
      </c>
      <c r="AX31" s="23">
        <f t="shared" si="11"/>
        <v>0</v>
      </c>
      <c r="AY31" s="23">
        <f t="shared" si="11"/>
        <v>0</v>
      </c>
      <c r="AZ31" s="23">
        <f t="shared" si="11"/>
        <v>0</v>
      </c>
      <c r="BA31" s="23">
        <f t="shared" si="11"/>
        <v>0</v>
      </c>
      <c r="BB31" s="23">
        <f t="shared" si="11"/>
        <v>0</v>
      </c>
      <c r="BC31" s="23">
        <f t="shared" si="11"/>
        <v>0</v>
      </c>
      <c r="BD31" s="25">
        <f t="shared" si="11"/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0.8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 t="shared" ref="D36:AI36" si="12">((D32*D$82)+D33+(D34*D32)+ROUNDUP(D35*0.46,0))</f>
        <v>0</v>
      </c>
      <c r="E36" s="23">
        <f t="shared" si="12"/>
        <v>0</v>
      </c>
      <c r="F36" s="23">
        <f t="shared" si="12"/>
        <v>0</v>
      </c>
      <c r="G36" s="23">
        <f t="shared" si="12"/>
        <v>0</v>
      </c>
      <c r="H36" s="23">
        <f t="shared" si="12"/>
        <v>0</v>
      </c>
      <c r="I36" s="23">
        <f t="shared" si="12"/>
        <v>0</v>
      </c>
      <c r="J36" s="23">
        <f t="shared" si="12"/>
        <v>0</v>
      </c>
      <c r="K36" s="23">
        <f t="shared" si="12"/>
        <v>0</v>
      </c>
      <c r="L36" s="23">
        <f t="shared" si="12"/>
        <v>0</v>
      </c>
      <c r="M36" s="23">
        <f t="shared" si="12"/>
        <v>0</v>
      </c>
      <c r="N36" s="23">
        <f t="shared" si="12"/>
        <v>0</v>
      </c>
      <c r="O36" s="23">
        <f t="shared" si="12"/>
        <v>0</v>
      </c>
      <c r="P36" s="23">
        <f t="shared" si="12"/>
        <v>0</v>
      </c>
      <c r="Q36" s="23">
        <f t="shared" si="12"/>
        <v>0</v>
      </c>
      <c r="R36" s="23">
        <f t="shared" si="12"/>
        <v>0</v>
      </c>
      <c r="S36" s="23">
        <f t="shared" si="12"/>
        <v>0</v>
      </c>
      <c r="T36" s="23">
        <f t="shared" si="12"/>
        <v>0</v>
      </c>
      <c r="U36" s="23">
        <f t="shared" si="12"/>
        <v>0</v>
      </c>
      <c r="V36" s="23">
        <f t="shared" si="12"/>
        <v>0</v>
      </c>
      <c r="W36" s="23">
        <f t="shared" si="12"/>
        <v>0</v>
      </c>
      <c r="X36" s="23">
        <f t="shared" si="12"/>
        <v>0</v>
      </c>
      <c r="Y36" s="23">
        <f t="shared" si="12"/>
        <v>0</v>
      </c>
      <c r="Z36" s="23">
        <f t="shared" si="12"/>
        <v>0</v>
      </c>
      <c r="AA36" s="23">
        <f t="shared" si="12"/>
        <v>0</v>
      </c>
      <c r="AB36" s="23">
        <f t="shared" si="12"/>
        <v>0</v>
      </c>
      <c r="AC36" s="23">
        <f t="shared" si="12"/>
        <v>0</v>
      </c>
      <c r="AD36" s="23">
        <f t="shared" si="12"/>
        <v>0</v>
      </c>
      <c r="AE36" s="23">
        <f t="shared" si="12"/>
        <v>0</v>
      </c>
      <c r="AF36" s="23">
        <f t="shared" si="12"/>
        <v>0</v>
      </c>
      <c r="AG36" s="23">
        <f t="shared" si="12"/>
        <v>0</v>
      </c>
      <c r="AH36" s="23">
        <f t="shared" si="12"/>
        <v>0</v>
      </c>
      <c r="AI36" s="23">
        <f t="shared" si="12"/>
        <v>0</v>
      </c>
      <c r="AJ36" s="23">
        <f t="shared" ref="AJ36:BO36" si="13">((AJ32*AJ$82)+AJ33+(AJ34*AJ32)+ROUNDUP(AJ35*0.46,0))</f>
        <v>0</v>
      </c>
      <c r="AK36" s="23">
        <f t="shared" si="13"/>
        <v>0</v>
      </c>
      <c r="AL36" s="23">
        <f t="shared" si="13"/>
        <v>0</v>
      </c>
      <c r="AM36" s="23">
        <f t="shared" si="13"/>
        <v>0</v>
      </c>
      <c r="AN36" s="23">
        <f t="shared" si="13"/>
        <v>0</v>
      </c>
      <c r="AO36" s="23">
        <f t="shared" si="13"/>
        <v>0</v>
      </c>
      <c r="AP36" s="23">
        <f t="shared" si="13"/>
        <v>0</v>
      </c>
      <c r="AQ36" s="23">
        <f t="shared" si="13"/>
        <v>0</v>
      </c>
      <c r="AR36" s="23">
        <f t="shared" si="13"/>
        <v>0</v>
      </c>
      <c r="AS36" s="23">
        <f t="shared" si="13"/>
        <v>0</v>
      </c>
      <c r="AT36" s="23">
        <f t="shared" si="13"/>
        <v>0</v>
      </c>
      <c r="AU36" s="23">
        <f t="shared" si="13"/>
        <v>0</v>
      </c>
      <c r="AV36" s="23">
        <f t="shared" si="13"/>
        <v>0</v>
      </c>
      <c r="AW36" s="23">
        <f t="shared" si="13"/>
        <v>0</v>
      </c>
      <c r="AX36" s="23">
        <f t="shared" si="13"/>
        <v>0</v>
      </c>
      <c r="AY36" s="23">
        <f t="shared" si="13"/>
        <v>0</v>
      </c>
      <c r="AZ36" s="23">
        <f t="shared" si="13"/>
        <v>0</v>
      </c>
      <c r="BA36" s="23">
        <f t="shared" si="13"/>
        <v>0</v>
      </c>
      <c r="BB36" s="23">
        <f t="shared" si="13"/>
        <v>0</v>
      </c>
      <c r="BC36" s="23">
        <f t="shared" si="13"/>
        <v>0</v>
      </c>
      <c r="BD36" s="25">
        <f t="shared" si="13"/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0.8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 t="shared" ref="D41:AI41" si="14">((D37*D$82)+D38+(D39*D37)+ROUNDUP(D40*0.46,0))</f>
        <v>0</v>
      </c>
      <c r="E41" s="23">
        <f t="shared" si="14"/>
        <v>0</v>
      </c>
      <c r="F41" s="23">
        <f t="shared" si="14"/>
        <v>0</v>
      </c>
      <c r="G41" s="23">
        <f t="shared" si="14"/>
        <v>0</v>
      </c>
      <c r="H41" s="23">
        <f t="shared" si="14"/>
        <v>0</v>
      </c>
      <c r="I41" s="23">
        <f t="shared" si="14"/>
        <v>0</v>
      </c>
      <c r="J41" s="23">
        <f t="shared" si="14"/>
        <v>0</v>
      </c>
      <c r="K41" s="23">
        <f t="shared" si="14"/>
        <v>0</v>
      </c>
      <c r="L41" s="23">
        <f t="shared" si="14"/>
        <v>0</v>
      </c>
      <c r="M41" s="23">
        <f t="shared" si="14"/>
        <v>0</v>
      </c>
      <c r="N41" s="23">
        <f t="shared" si="14"/>
        <v>0</v>
      </c>
      <c r="O41" s="23">
        <f t="shared" si="14"/>
        <v>0</v>
      </c>
      <c r="P41" s="23">
        <f t="shared" si="14"/>
        <v>0</v>
      </c>
      <c r="Q41" s="23">
        <f t="shared" si="14"/>
        <v>0</v>
      </c>
      <c r="R41" s="23">
        <f t="shared" si="14"/>
        <v>0</v>
      </c>
      <c r="S41" s="23">
        <f t="shared" si="14"/>
        <v>0</v>
      </c>
      <c r="T41" s="23">
        <f t="shared" si="14"/>
        <v>0</v>
      </c>
      <c r="U41" s="23">
        <f t="shared" si="14"/>
        <v>0</v>
      </c>
      <c r="V41" s="23">
        <f t="shared" si="14"/>
        <v>0</v>
      </c>
      <c r="W41" s="23">
        <f t="shared" si="14"/>
        <v>0</v>
      </c>
      <c r="X41" s="23">
        <f t="shared" si="14"/>
        <v>0</v>
      </c>
      <c r="Y41" s="23">
        <f t="shared" si="14"/>
        <v>0</v>
      </c>
      <c r="Z41" s="23">
        <f t="shared" si="14"/>
        <v>0</v>
      </c>
      <c r="AA41" s="23">
        <f t="shared" si="14"/>
        <v>0</v>
      </c>
      <c r="AB41" s="23">
        <f t="shared" si="14"/>
        <v>0</v>
      </c>
      <c r="AC41" s="23">
        <f t="shared" si="14"/>
        <v>0</v>
      </c>
      <c r="AD41" s="23">
        <f t="shared" si="14"/>
        <v>0</v>
      </c>
      <c r="AE41" s="23">
        <f t="shared" si="14"/>
        <v>0</v>
      </c>
      <c r="AF41" s="23">
        <f t="shared" si="14"/>
        <v>0</v>
      </c>
      <c r="AG41" s="23">
        <f t="shared" si="14"/>
        <v>0</v>
      </c>
      <c r="AH41" s="23">
        <f t="shared" si="14"/>
        <v>0</v>
      </c>
      <c r="AI41" s="23">
        <f t="shared" si="14"/>
        <v>0</v>
      </c>
      <c r="AJ41" s="23">
        <f t="shared" ref="AJ41:BO41" si="15">((AJ37*AJ$82)+AJ38+(AJ39*AJ37)+ROUNDUP(AJ40*0.46,0))</f>
        <v>0</v>
      </c>
      <c r="AK41" s="23">
        <f t="shared" si="15"/>
        <v>0</v>
      </c>
      <c r="AL41" s="23">
        <f t="shared" si="15"/>
        <v>0</v>
      </c>
      <c r="AM41" s="23">
        <f t="shared" si="15"/>
        <v>0</v>
      </c>
      <c r="AN41" s="23">
        <f t="shared" si="15"/>
        <v>0</v>
      </c>
      <c r="AO41" s="23">
        <f t="shared" si="15"/>
        <v>0</v>
      </c>
      <c r="AP41" s="23">
        <f t="shared" si="15"/>
        <v>0</v>
      </c>
      <c r="AQ41" s="23">
        <f t="shared" si="15"/>
        <v>0</v>
      </c>
      <c r="AR41" s="23">
        <f t="shared" si="15"/>
        <v>0</v>
      </c>
      <c r="AS41" s="23">
        <f t="shared" si="15"/>
        <v>0</v>
      </c>
      <c r="AT41" s="23">
        <f t="shared" si="15"/>
        <v>0</v>
      </c>
      <c r="AU41" s="23">
        <f t="shared" si="15"/>
        <v>0</v>
      </c>
      <c r="AV41" s="23">
        <f t="shared" si="15"/>
        <v>0</v>
      </c>
      <c r="AW41" s="23">
        <f t="shared" si="15"/>
        <v>0</v>
      </c>
      <c r="AX41" s="23">
        <f t="shared" si="15"/>
        <v>0</v>
      </c>
      <c r="AY41" s="23">
        <f t="shared" si="15"/>
        <v>0</v>
      </c>
      <c r="AZ41" s="23">
        <f t="shared" si="15"/>
        <v>0</v>
      </c>
      <c r="BA41" s="23">
        <f t="shared" si="15"/>
        <v>0</v>
      </c>
      <c r="BB41" s="23">
        <f t="shared" si="15"/>
        <v>0</v>
      </c>
      <c r="BC41" s="23">
        <f t="shared" si="15"/>
        <v>0</v>
      </c>
      <c r="BD41" s="25">
        <f t="shared" si="15"/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0.8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 t="shared" ref="D46:AI46" si="16">((D42*D$82)+D43+(D44*D42)+ROUNDUP(D45*0.46,0))</f>
        <v>0</v>
      </c>
      <c r="E46" s="23">
        <f t="shared" si="16"/>
        <v>0</v>
      </c>
      <c r="F46" s="23">
        <f t="shared" si="16"/>
        <v>0</v>
      </c>
      <c r="G46" s="23">
        <f t="shared" si="16"/>
        <v>0</v>
      </c>
      <c r="H46" s="23">
        <f t="shared" si="16"/>
        <v>0</v>
      </c>
      <c r="I46" s="23">
        <f t="shared" si="16"/>
        <v>0</v>
      </c>
      <c r="J46" s="23">
        <f t="shared" si="16"/>
        <v>0</v>
      </c>
      <c r="K46" s="23">
        <f t="shared" si="16"/>
        <v>0</v>
      </c>
      <c r="L46" s="23">
        <f t="shared" si="16"/>
        <v>0</v>
      </c>
      <c r="M46" s="23">
        <f t="shared" si="16"/>
        <v>0</v>
      </c>
      <c r="N46" s="23">
        <f t="shared" si="16"/>
        <v>0</v>
      </c>
      <c r="O46" s="23">
        <f t="shared" si="16"/>
        <v>0</v>
      </c>
      <c r="P46" s="23">
        <f t="shared" si="16"/>
        <v>0</v>
      </c>
      <c r="Q46" s="23">
        <f t="shared" si="16"/>
        <v>0</v>
      </c>
      <c r="R46" s="23">
        <f t="shared" si="16"/>
        <v>0</v>
      </c>
      <c r="S46" s="23">
        <f t="shared" si="16"/>
        <v>0</v>
      </c>
      <c r="T46" s="23">
        <f t="shared" si="16"/>
        <v>0</v>
      </c>
      <c r="U46" s="23">
        <f t="shared" si="16"/>
        <v>0</v>
      </c>
      <c r="V46" s="23">
        <f t="shared" si="16"/>
        <v>0</v>
      </c>
      <c r="W46" s="23">
        <f t="shared" si="16"/>
        <v>0</v>
      </c>
      <c r="X46" s="23">
        <f t="shared" si="16"/>
        <v>0</v>
      </c>
      <c r="Y46" s="23">
        <f t="shared" si="16"/>
        <v>0</v>
      </c>
      <c r="Z46" s="23">
        <f t="shared" si="16"/>
        <v>0</v>
      </c>
      <c r="AA46" s="23">
        <f t="shared" si="16"/>
        <v>0</v>
      </c>
      <c r="AB46" s="23">
        <f t="shared" si="16"/>
        <v>0</v>
      </c>
      <c r="AC46" s="23">
        <f t="shared" si="16"/>
        <v>0</v>
      </c>
      <c r="AD46" s="23">
        <f t="shared" si="16"/>
        <v>0</v>
      </c>
      <c r="AE46" s="23">
        <f t="shared" si="16"/>
        <v>0</v>
      </c>
      <c r="AF46" s="23">
        <f t="shared" si="16"/>
        <v>0</v>
      </c>
      <c r="AG46" s="23">
        <f t="shared" si="16"/>
        <v>0</v>
      </c>
      <c r="AH46" s="23">
        <f t="shared" si="16"/>
        <v>0</v>
      </c>
      <c r="AI46" s="23">
        <f t="shared" si="16"/>
        <v>0</v>
      </c>
      <c r="AJ46" s="23">
        <f t="shared" ref="AJ46:BO46" si="17">((AJ42*AJ$82)+AJ43+(AJ44*AJ42)+ROUNDUP(AJ45*0.46,0))</f>
        <v>0</v>
      </c>
      <c r="AK46" s="23">
        <f t="shared" si="17"/>
        <v>0</v>
      </c>
      <c r="AL46" s="23">
        <f t="shared" si="17"/>
        <v>0</v>
      </c>
      <c r="AM46" s="23">
        <f t="shared" si="17"/>
        <v>0</v>
      </c>
      <c r="AN46" s="23">
        <f t="shared" si="17"/>
        <v>0</v>
      </c>
      <c r="AO46" s="23">
        <f t="shared" si="17"/>
        <v>0</v>
      </c>
      <c r="AP46" s="23">
        <f t="shared" si="17"/>
        <v>0</v>
      </c>
      <c r="AQ46" s="23">
        <f t="shared" si="17"/>
        <v>0</v>
      </c>
      <c r="AR46" s="23">
        <f t="shared" si="17"/>
        <v>0</v>
      </c>
      <c r="AS46" s="23">
        <f t="shared" si="17"/>
        <v>0</v>
      </c>
      <c r="AT46" s="23">
        <f t="shared" si="17"/>
        <v>0</v>
      </c>
      <c r="AU46" s="23">
        <f t="shared" si="17"/>
        <v>0</v>
      </c>
      <c r="AV46" s="23">
        <f t="shared" si="17"/>
        <v>0</v>
      </c>
      <c r="AW46" s="23">
        <f t="shared" si="17"/>
        <v>0</v>
      </c>
      <c r="AX46" s="23">
        <f t="shared" si="17"/>
        <v>0</v>
      </c>
      <c r="AY46" s="23">
        <f t="shared" si="17"/>
        <v>0</v>
      </c>
      <c r="AZ46" s="23">
        <f t="shared" si="17"/>
        <v>0</v>
      </c>
      <c r="BA46" s="23">
        <f t="shared" si="17"/>
        <v>0</v>
      </c>
      <c r="BB46" s="23">
        <f t="shared" si="17"/>
        <v>0</v>
      </c>
      <c r="BC46" s="23">
        <f t="shared" si="17"/>
        <v>0</v>
      </c>
      <c r="BD46" s="25">
        <f t="shared" si="17"/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0.8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 t="shared" ref="D51:AI51" si="18">((D47*D$82)+D48+(D49*D47)+ROUNDUP(D50*0.46,0))</f>
        <v>0</v>
      </c>
      <c r="E51" s="23">
        <f t="shared" si="18"/>
        <v>0</v>
      </c>
      <c r="F51" s="23">
        <f t="shared" si="18"/>
        <v>0</v>
      </c>
      <c r="G51" s="23">
        <f t="shared" si="18"/>
        <v>0</v>
      </c>
      <c r="H51" s="23">
        <f t="shared" si="18"/>
        <v>0</v>
      </c>
      <c r="I51" s="23">
        <f t="shared" si="18"/>
        <v>0</v>
      </c>
      <c r="J51" s="23">
        <f t="shared" si="18"/>
        <v>0</v>
      </c>
      <c r="K51" s="23">
        <f t="shared" si="18"/>
        <v>0</v>
      </c>
      <c r="L51" s="23">
        <f t="shared" si="18"/>
        <v>0</v>
      </c>
      <c r="M51" s="23">
        <f t="shared" si="18"/>
        <v>0</v>
      </c>
      <c r="N51" s="23">
        <f t="shared" si="18"/>
        <v>0</v>
      </c>
      <c r="O51" s="23">
        <f t="shared" si="18"/>
        <v>0</v>
      </c>
      <c r="P51" s="23">
        <f t="shared" si="18"/>
        <v>0</v>
      </c>
      <c r="Q51" s="23">
        <f t="shared" si="18"/>
        <v>0</v>
      </c>
      <c r="R51" s="23">
        <f t="shared" si="18"/>
        <v>0</v>
      </c>
      <c r="S51" s="23">
        <f t="shared" si="18"/>
        <v>0</v>
      </c>
      <c r="T51" s="23">
        <f t="shared" si="18"/>
        <v>0</v>
      </c>
      <c r="U51" s="23">
        <f t="shared" si="18"/>
        <v>0</v>
      </c>
      <c r="V51" s="23">
        <f t="shared" si="18"/>
        <v>0</v>
      </c>
      <c r="W51" s="23">
        <f t="shared" si="18"/>
        <v>0</v>
      </c>
      <c r="X51" s="23">
        <f t="shared" si="18"/>
        <v>0</v>
      </c>
      <c r="Y51" s="23">
        <f t="shared" si="18"/>
        <v>0</v>
      </c>
      <c r="Z51" s="23">
        <f t="shared" si="18"/>
        <v>0</v>
      </c>
      <c r="AA51" s="23">
        <f t="shared" si="18"/>
        <v>0</v>
      </c>
      <c r="AB51" s="23">
        <f t="shared" si="18"/>
        <v>0</v>
      </c>
      <c r="AC51" s="23">
        <f t="shared" si="18"/>
        <v>0</v>
      </c>
      <c r="AD51" s="23">
        <f t="shared" si="18"/>
        <v>0</v>
      </c>
      <c r="AE51" s="23">
        <f t="shared" si="18"/>
        <v>0</v>
      </c>
      <c r="AF51" s="23">
        <f t="shared" si="18"/>
        <v>0</v>
      </c>
      <c r="AG51" s="23">
        <f t="shared" si="18"/>
        <v>0</v>
      </c>
      <c r="AH51" s="23">
        <f t="shared" si="18"/>
        <v>0</v>
      </c>
      <c r="AI51" s="23">
        <f t="shared" si="18"/>
        <v>0</v>
      </c>
      <c r="AJ51" s="23">
        <f t="shared" ref="AJ51:BO51" si="19">((AJ47*AJ$82)+AJ48+(AJ49*AJ47)+ROUNDUP(AJ50*0.46,0))</f>
        <v>0</v>
      </c>
      <c r="AK51" s="23">
        <f t="shared" si="19"/>
        <v>0</v>
      </c>
      <c r="AL51" s="23">
        <f t="shared" si="19"/>
        <v>0</v>
      </c>
      <c r="AM51" s="23">
        <f t="shared" si="19"/>
        <v>0</v>
      </c>
      <c r="AN51" s="23">
        <f t="shared" si="19"/>
        <v>0</v>
      </c>
      <c r="AO51" s="23">
        <f t="shared" si="19"/>
        <v>0</v>
      </c>
      <c r="AP51" s="23">
        <f t="shared" si="19"/>
        <v>0</v>
      </c>
      <c r="AQ51" s="23">
        <f t="shared" si="19"/>
        <v>0</v>
      </c>
      <c r="AR51" s="23">
        <f t="shared" si="19"/>
        <v>0</v>
      </c>
      <c r="AS51" s="23">
        <f t="shared" si="19"/>
        <v>0</v>
      </c>
      <c r="AT51" s="23">
        <f t="shared" si="19"/>
        <v>0</v>
      </c>
      <c r="AU51" s="23">
        <f t="shared" si="19"/>
        <v>0</v>
      </c>
      <c r="AV51" s="23">
        <f t="shared" si="19"/>
        <v>0</v>
      </c>
      <c r="AW51" s="23">
        <f t="shared" si="19"/>
        <v>0</v>
      </c>
      <c r="AX51" s="23">
        <f t="shared" si="19"/>
        <v>0</v>
      </c>
      <c r="AY51" s="23">
        <f t="shared" si="19"/>
        <v>0</v>
      </c>
      <c r="AZ51" s="23">
        <f t="shared" si="19"/>
        <v>0</v>
      </c>
      <c r="BA51" s="23">
        <f t="shared" si="19"/>
        <v>0</v>
      </c>
      <c r="BB51" s="23">
        <f t="shared" si="19"/>
        <v>0</v>
      </c>
      <c r="BC51" s="23">
        <f t="shared" si="19"/>
        <v>0</v>
      </c>
      <c r="BD51" s="25">
        <f t="shared" si="19"/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0.8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 t="shared" ref="D56:AI56" si="20">((D52*D$82)+D53+(D54*D52)+ROUNDUP(D55*0.46,0))</f>
        <v>0</v>
      </c>
      <c r="E56" s="23">
        <f t="shared" si="20"/>
        <v>0</v>
      </c>
      <c r="F56" s="23">
        <f t="shared" si="20"/>
        <v>0</v>
      </c>
      <c r="G56" s="23">
        <f t="shared" si="20"/>
        <v>0</v>
      </c>
      <c r="H56" s="23">
        <f t="shared" si="20"/>
        <v>0</v>
      </c>
      <c r="I56" s="23">
        <f t="shared" si="20"/>
        <v>0</v>
      </c>
      <c r="J56" s="23">
        <f t="shared" si="20"/>
        <v>0</v>
      </c>
      <c r="K56" s="23">
        <f t="shared" si="20"/>
        <v>0</v>
      </c>
      <c r="L56" s="23">
        <f t="shared" si="20"/>
        <v>0</v>
      </c>
      <c r="M56" s="23">
        <f t="shared" si="20"/>
        <v>0</v>
      </c>
      <c r="N56" s="23">
        <f t="shared" si="20"/>
        <v>0</v>
      </c>
      <c r="O56" s="23">
        <f t="shared" si="20"/>
        <v>0</v>
      </c>
      <c r="P56" s="23">
        <f t="shared" si="20"/>
        <v>0</v>
      </c>
      <c r="Q56" s="23">
        <f t="shared" si="20"/>
        <v>0</v>
      </c>
      <c r="R56" s="23">
        <f t="shared" si="20"/>
        <v>0</v>
      </c>
      <c r="S56" s="23">
        <f t="shared" si="20"/>
        <v>0</v>
      </c>
      <c r="T56" s="23">
        <f t="shared" si="20"/>
        <v>0</v>
      </c>
      <c r="U56" s="23">
        <f t="shared" si="20"/>
        <v>0</v>
      </c>
      <c r="V56" s="23">
        <f t="shared" si="20"/>
        <v>0</v>
      </c>
      <c r="W56" s="23">
        <f t="shared" si="20"/>
        <v>0</v>
      </c>
      <c r="X56" s="23">
        <f t="shared" si="20"/>
        <v>0</v>
      </c>
      <c r="Y56" s="23">
        <f t="shared" si="20"/>
        <v>0</v>
      </c>
      <c r="Z56" s="23">
        <f t="shared" si="20"/>
        <v>0</v>
      </c>
      <c r="AA56" s="23">
        <f t="shared" si="20"/>
        <v>0</v>
      </c>
      <c r="AB56" s="23">
        <f t="shared" si="20"/>
        <v>0</v>
      </c>
      <c r="AC56" s="23">
        <f t="shared" si="20"/>
        <v>0</v>
      </c>
      <c r="AD56" s="23">
        <f t="shared" si="20"/>
        <v>0</v>
      </c>
      <c r="AE56" s="23">
        <f t="shared" si="20"/>
        <v>0</v>
      </c>
      <c r="AF56" s="23">
        <f t="shared" si="20"/>
        <v>0</v>
      </c>
      <c r="AG56" s="23">
        <f t="shared" si="20"/>
        <v>0</v>
      </c>
      <c r="AH56" s="23">
        <f t="shared" si="20"/>
        <v>0</v>
      </c>
      <c r="AI56" s="23">
        <f t="shared" si="20"/>
        <v>0</v>
      </c>
      <c r="AJ56" s="23">
        <f t="shared" ref="AJ56:BO56" si="21">((AJ52*AJ$82)+AJ53+(AJ54*AJ52)+ROUNDUP(AJ55*0.46,0))</f>
        <v>0</v>
      </c>
      <c r="AK56" s="23">
        <f t="shared" si="21"/>
        <v>0</v>
      </c>
      <c r="AL56" s="23">
        <f t="shared" si="21"/>
        <v>0</v>
      </c>
      <c r="AM56" s="23">
        <f t="shared" si="21"/>
        <v>0</v>
      </c>
      <c r="AN56" s="23">
        <f t="shared" si="21"/>
        <v>0</v>
      </c>
      <c r="AO56" s="23">
        <f t="shared" si="21"/>
        <v>0</v>
      </c>
      <c r="AP56" s="23">
        <f t="shared" si="21"/>
        <v>0</v>
      </c>
      <c r="AQ56" s="23">
        <f t="shared" si="21"/>
        <v>0</v>
      </c>
      <c r="AR56" s="23">
        <f t="shared" si="21"/>
        <v>0</v>
      </c>
      <c r="AS56" s="23">
        <f t="shared" si="21"/>
        <v>0</v>
      </c>
      <c r="AT56" s="23">
        <f t="shared" si="21"/>
        <v>0</v>
      </c>
      <c r="AU56" s="23">
        <f t="shared" si="21"/>
        <v>0</v>
      </c>
      <c r="AV56" s="23">
        <f t="shared" si="21"/>
        <v>0</v>
      </c>
      <c r="AW56" s="23">
        <f t="shared" si="21"/>
        <v>0</v>
      </c>
      <c r="AX56" s="23">
        <f t="shared" si="21"/>
        <v>0</v>
      </c>
      <c r="AY56" s="23">
        <f t="shared" si="21"/>
        <v>0</v>
      </c>
      <c r="AZ56" s="23">
        <f t="shared" si="21"/>
        <v>0</v>
      </c>
      <c r="BA56" s="23">
        <f t="shared" si="21"/>
        <v>0</v>
      </c>
      <c r="BB56" s="23">
        <f t="shared" si="21"/>
        <v>0</v>
      </c>
      <c r="BC56" s="23">
        <f t="shared" si="21"/>
        <v>0</v>
      </c>
      <c r="BD56" s="25">
        <f t="shared" si="21"/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0.8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 t="shared" ref="D61:AI61" si="22">((D57*D$82)+D58+(D59*D57)+ROUNDUP(D60*0.46,0))</f>
        <v>0</v>
      </c>
      <c r="E61" s="23">
        <f t="shared" si="22"/>
        <v>0</v>
      </c>
      <c r="F61" s="23">
        <f t="shared" si="22"/>
        <v>0</v>
      </c>
      <c r="G61" s="23">
        <f t="shared" si="22"/>
        <v>0</v>
      </c>
      <c r="H61" s="23">
        <f t="shared" si="22"/>
        <v>0</v>
      </c>
      <c r="I61" s="23">
        <f t="shared" si="22"/>
        <v>0</v>
      </c>
      <c r="J61" s="23">
        <f t="shared" si="22"/>
        <v>0</v>
      </c>
      <c r="K61" s="23">
        <f t="shared" si="22"/>
        <v>0</v>
      </c>
      <c r="L61" s="23">
        <f t="shared" si="22"/>
        <v>0</v>
      </c>
      <c r="M61" s="23">
        <f t="shared" si="22"/>
        <v>0</v>
      </c>
      <c r="N61" s="23">
        <f t="shared" si="22"/>
        <v>0</v>
      </c>
      <c r="O61" s="23">
        <f t="shared" si="22"/>
        <v>0</v>
      </c>
      <c r="P61" s="23">
        <f t="shared" si="22"/>
        <v>0</v>
      </c>
      <c r="Q61" s="23">
        <f t="shared" si="22"/>
        <v>0</v>
      </c>
      <c r="R61" s="23">
        <f t="shared" si="22"/>
        <v>0</v>
      </c>
      <c r="S61" s="23">
        <f t="shared" si="22"/>
        <v>0</v>
      </c>
      <c r="T61" s="23">
        <f t="shared" si="22"/>
        <v>0</v>
      </c>
      <c r="U61" s="23">
        <f t="shared" si="22"/>
        <v>0</v>
      </c>
      <c r="V61" s="23">
        <f t="shared" si="22"/>
        <v>0</v>
      </c>
      <c r="W61" s="23">
        <f t="shared" si="22"/>
        <v>0</v>
      </c>
      <c r="X61" s="23">
        <f t="shared" si="22"/>
        <v>0</v>
      </c>
      <c r="Y61" s="23">
        <f t="shared" si="22"/>
        <v>0</v>
      </c>
      <c r="Z61" s="23">
        <f t="shared" si="22"/>
        <v>0</v>
      </c>
      <c r="AA61" s="23">
        <f t="shared" si="22"/>
        <v>0</v>
      </c>
      <c r="AB61" s="23">
        <f t="shared" si="22"/>
        <v>0</v>
      </c>
      <c r="AC61" s="23">
        <f t="shared" si="22"/>
        <v>0</v>
      </c>
      <c r="AD61" s="23">
        <f t="shared" si="22"/>
        <v>0</v>
      </c>
      <c r="AE61" s="23">
        <f t="shared" si="22"/>
        <v>0</v>
      </c>
      <c r="AF61" s="23">
        <f t="shared" si="22"/>
        <v>0</v>
      </c>
      <c r="AG61" s="23">
        <f t="shared" si="22"/>
        <v>0</v>
      </c>
      <c r="AH61" s="23">
        <f t="shared" si="22"/>
        <v>0</v>
      </c>
      <c r="AI61" s="23">
        <f t="shared" si="22"/>
        <v>0</v>
      </c>
      <c r="AJ61" s="23">
        <f t="shared" ref="AJ61:BO61" si="23">((AJ57*AJ$82)+AJ58+(AJ59*AJ57)+ROUNDUP(AJ60*0.46,0))</f>
        <v>0</v>
      </c>
      <c r="AK61" s="23">
        <f t="shared" si="23"/>
        <v>0</v>
      </c>
      <c r="AL61" s="23">
        <f t="shared" si="23"/>
        <v>0</v>
      </c>
      <c r="AM61" s="23">
        <f t="shared" si="23"/>
        <v>0</v>
      </c>
      <c r="AN61" s="23">
        <f t="shared" si="23"/>
        <v>0</v>
      </c>
      <c r="AO61" s="23">
        <f t="shared" si="23"/>
        <v>0</v>
      </c>
      <c r="AP61" s="23">
        <f t="shared" si="23"/>
        <v>0</v>
      </c>
      <c r="AQ61" s="23">
        <f t="shared" si="23"/>
        <v>0</v>
      </c>
      <c r="AR61" s="23">
        <f t="shared" si="23"/>
        <v>0</v>
      </c>
      <c r="AS61" s="23">
        <f t="shared" si="23"/>
        <v>0</v>
      </c>
      <c r="AT61" s="23">
        <f t="shared" si="23"/>
        <v>0</v>
      </c>
      <c r="AU61" s="23">
        <f t="shared" si="23"/>
        <v>0</v>
      </c>
      <c r="AV61" s="23">
        <f t="shared" si="23"/>
        <v>0</v>
      </c>
      <c r="AW61" s="23">
        <f t="shared" si="23"/>
        <v>0</v>
      </c>
      <c r="AX61" s="23">
        <f t="shared" si="23"/>
        <v>0</v>
      </c>
      <c r="AY61" s="23">
        <f t="shared" si="23"/>
        <v>0</v>
      </c>
      <c r="AZ61" s="23">
        <f t="shared" si="23"/>
        <v>0</v>
      </c>
      <c r="BA61" s="23">
        <f t="shared" si="23"/>
        <v>0</v>
      </c>
      <c r="BB61" s="23">
        <f t="shared" si="23"/>
        <v>0</v>
      </c>
      <c r="BC61" s="23">
        <f t="shared" si="23"/>
        <v>0</v>
      </c>
      <c r="BD61" s="25">
        <f t="shared" si="23"/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0.8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 t="shared" ref="D66:AI66" si="24">((D62*D$82)+D63+(D64*D62)+ROUNDUP(D65*0.46,0))</f>
        <v>0</v>
      </c>
      <c r="E66" s="23">
        <f t="shared" si="24"/>
        <v>0</v>
      </c>
      <c r="F66" s="23">
        <f t="shared" si="24"/>
        <v>0</v>
      </c>
      <c r="G66" s="23">
        <f t="shared" si="24"/>
        <v>0</v>
      </c>
      <c r="H66" s="23">
        <f t="shared" si="24"/>
        <v>0</v>
      </c>
      <c r="I66" s="23">
        <f t="shared" si="24"/>
        <v>0</v>
      </c>
      <c r="J66" s="23">
        <f t="shared" si="24"/>
        <v>0</v>
      </c>
      <c r="K66" s="23">
        <f t="shared" si="24"/>
        <v>0</v>
      </c>
      <c r="L66" s="23">
        <f t="shared" si="24"/>
        <v>0</v>
      </c>
      <c r="M66" s="23">
        <f t="shared" si="24"/>
        <v>0</v>
      </c>
      <c r="N66" s="23">
        <f t="shared" si="24"/>
        <v>0</v>
      </c>
      <c r="O66" s="23">
        <f t="shared" si="24"/>
        <v>0</v>
      </c>
      <c r="P66" s="23">
        <f t="shared" si="24"/>
        <v>0</v>
      </c>
      <c r="Q66" s="23">
        <f t="shared" si="24"/>
        <v>0</v>
      </c>
      <c r="R66" s="23">
        <f t="shared" si="24"/>
        <v>0</v>
      </c>
      <c r="S66" s="23">
        <f t="shared" si="24"/>
        <v>0</v>
      </c>
      <c r="T66" s="23">
        <f t="shared" si="24"/>
        <v>0</v>
      </c>
      <c r="U66" s="23">
        <f t="shared" si="24"/>
        <v>0</v>
      </c>
      <c r="V66" s="23">
        <f t="shared" si="24"/>
        <v>0</v>
      </c>
      <c r="W66" s="23">
        <f t="shared" si="24"/>
        <v>0</v>
      </c>
      <c r="X66" s="23">
        <f t="shared" si="24"/>
        <v>0</v>
      </c>
      <c r="Y66" s="23">
        <f t="shared" si="24"/>
        <v>0</v>
      </c>
      <c r="Z66" s="23">
        <f t="shared" si="24"/>
        <v>0</v>
      </c>
      <c r="AA66" s="23">
        <f t="shared" si="24"/>
        <v>0</v>
      </c>
      <c r="AB66" s="23">
        <f t="shared" si="24"/>
        <v>0</v>
      </c>
      <c r="AC66" s="23">
        <f t="shared" si="24"/>
        <v>0</v>
      </c>
      <c r="AD66" s="23">
        <f t="shared" si="24"/>
        <v>0</v>
      </c>
      <c r="AE66" s="23">
        <f t="shared" si="24"/>
        <v>0</v>
      </c>
      <c r="AF66" s="23">
        <f t="shared" si="24"/>
        <v>0</v>
      </c>
      <c r="AG66" s="23">
        <f t="shared" si="24"/>
        <v>0</v>
      </c>
      <c r="AH66" s="23">
        <f t="shared" si="24"/>
        <v>0</v>
      </c>
      <c r="AI66" s="23">
        <f t="shared" si="24"/>
        <v>0</v>
      </c>
      <c r="AJ66" s="23">
        <f t="shared" ref="AJ66:BO66" si="25">((AJ62*AJ$82)+AJ63+(AJ64*AJ62)+ROUNDUP(AJ65*0.46,0))</f>
        <v>0</v>
      </c>
      <c r="AK66" s="23">
        <f t="shared" si="25"/>
        <v>0</v>
      </c>
      <c r="AL66" s="23">
        <f t="shared" si="25"/>
        <v>0</v>
      </c>
      <c r="AM66" s="23">
        <f t="shared" si="25"/>
        <v>0</v>
      </c>
      <c r="AN66" s="23">
        <f t="shared" si="25"/>
        <v>0</v>
      </c>
      <c r="AO66" s="23">
        <f t="shared" si="25"/>
        <v>0</v>
      </c>
      <c r="AP66" s="23">
        <f t="shared" si="25"/>
        <v>0</v>
      </c>
      <c r="AQ66" s="23">
        <f t="shared" si="25"/>
        <v>0</v>
      </c>
      <c r="AR66" s="23">
        <f t="shared" si="25"/>
        <v>0</v>
      </c>
      <c r="AS66" s="23">
        <f t="shared" si="25"/>
        <v>0</v>
      </c>
      <c r="AT66" s="23">
        <f t="shared" si="25"/>
        <v>0</v>
      </c>
      <c r="AU66" s="23">
        <f t="shared" si="25"/>
        <v>0</v>
      </c>
      <c r="AV66" s="23">
        <f t="shared" si="25"/>
        <v>0</v>
      </c>
      <c r="AW66" s="23">
        <f t="shared" si="25"/>
        <v>0</v>
      </c>
      <c r="AX66" s="23">
        <f t="shared" si="25"/>
        <v>0</v>
      </c>
      <c r="AY66" s="23">
        <f t="shared" si="25"/>
        <v>0</v>
      </c>
      <c r="AZ66" s="23">
        <f t="shared" si="25"/>
        <v>0</v>
      </c>
      <c r="BA66" s="23">
        <f t="shared" si="25"/>
        <v>0</v>
      </c>
      <c r="BB66" s="23">
        <f t="shared" si="25"/>
        <v>0</v>
      </c>
      <c r="BC66" s="23">
        <f t="shared" si="25"/>
        <v>0</v>
      </c>
      <c r="BD66" s="25">
        <f t="shared" si="25"/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0.8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 t="shared" ref="D71:AI71" si="26">((D67*D$82)+D68+(D69*D67)+ROUNDUP(D70*0.46,0))</f>
        <v>0</v>
      </c>
      <c r="E71" s="23">
        <f t="shared" si="26"/>
        <v>0</v>
      </c>
      <c r="F71" s="23">
        <f t="shared" si="26"/>
        <v>0</v>
      </c>
      <c r="G71" s="23">
        <f t="shared" si="26"/>
        <v>0</v>
      </c>
      <c r="H71" s="23">
        <f t="shared" si="26"/>
        <v>0</v>
      </c>
      <c r="I71" s="23">
        <f t="shared" si="26"/>
        <v>0</v>
      </c>
      <c r="J71" s="23">
        <f t="shared" si="26"/>
        <v>0</v>
      </c>
      <c r="K71" s="23">
        <f t="shared" si="26"/>
        <v>0</v>
      </c>
      <c r="L71" s="23">
        <f t="shared" si="26"/>
        <v>0</v>
      </c>
      <c r="M71" s="23">
        <f t="shared" si="26"/>
        <v>0</v>
      </c>
      <c r="N71" s="23">
        <f t="shared" si="26"/>
        <v>0</v>
      </c>
      <c r="O71" s="23">
        <f t="shared" si="26"/>
        <v>0</v>
      </c>
      <c r="P71" s="23">
        <f t="shared" si="26"/>
        <v>0</v>
      </c>
      <c r="Q71" s="23">
        <f t="shared" si="26"/>
        <v>0</v>
      </c>
      <c r="R71" s="23">
        <f t="shared" si="26"/>
        <v>0</v>
      </c>
      <c r="S71" s="23">
        <f t="shared" si="26"/>
        <v>0</v>
      </c>
      <c r="T71" s="23">
        <f t="shared" si="26"/>
        <v>0</v>
      </c>
      <c r="U71" s="23">
        <f t="shared" si="26"/>
        <v>0</v>
      </c>
      <c r="V71" s="23">
        <f t="shared" si="26"/>
        <v>0</v>
      </c>
      <c r="W71" s="23">
        <f t="shared" si="26"/>
        <v>0</v>
      </c>
      <c r="X71" s="23">
        <f t="shared" si="26"/>
        <v>0</v>
      </c>
      <c r="Y71" s="23">
        <f t="shared" si="26"/>
        <v>0</v>
      </c>
      <c r="Z71" s="23">
        <f t="shared" si="26"/>
        <v>0</v>
      </c>
      <c r="AA71" s="23">
        <f t="shared" si="26"/>
        <v>0</v>
      </c>
      <c r="AB71" s="23">
        <f t="shared" si="26"/>
        <v>0</v>
      </c>
      <c r="AC71" s="23">
        <f t="shared" si="26"/>
        <v>0</v>
      </c>
      <c r="AD71" s="23">
        <f t="shared" si="26"/>
        <v>0</v>
      </c>
      <c r="AE71" s="23">
        <f t="shared" si="26"/>
        <v>0</v>
      </c>
      <c r="AF71" s="23">
        <f t="shared" si="26"/>
        <v>0</v>
      </c>
      <c r="AG71" s="23">
        <f t="shared" si="26"/>
        <v>0</v>
      </c>
      <c r="AH71" s="23">
        <f t="shared" si="26"/>
        <v>0</v>
      </c>
      <c r="AI71" s="23">
        <f t="shared" si="26"/>
        <v>0</v>
      </c>
      <c r="AJ71" s="23">
        <f t="shared" ref="AJ71:BO71" si="27">((AJ67*AJ$82)+AJ68+(AJ69*AJ67)+ROUNDUP(AJ70*0.46,0))</f>
        <v>0</v>
      </c>
      <c r="AK71" s="23">
        <f t="shared" si="27"/>
        <v>0</v>
      </c>
      <c r="AL71" s="23">
        <f t="shared" si="27"/>
        <v>0</v>
      </c>
      <c r="AM71" s="23">
        <f t="shared" si="27"/>
        <v>0</v>
      </c>
      <c r="AN71" s="23">
        <f t="shared" si="27"/>
        <v>0</v>
      </c>
      <c r="AO71" s="23">
        <f t="shared" si="27"/>
        <v>0</v>
      </c>
      <c r="AP71" s="23">
        <f t="shared" si="27"/>
        <v>0</v>
      </c>
      <c r="AQ71" s="23">
        <f t="shared" si="27"/>
        <v>0</v>
      </c>
      <c r="AR71" s="23">
        <f t="shared" si="27"/>
        <v>0</v>
      </c>
      <c r="AS71" s="23">
        <f t="shared" si="27"/>
        <v>0</v>
      </c>
      <c r="AT71" s="23">
        <f t="shared" si="27"/>
        <v>0</v>
      </c>
      <c r="AU71" s="23">
        <f t="shared" si="27"/>
        <v>0</v>
      </c>
      <c r="AV71" s="23">
        <f t="shared" si="27"/>
        <v>0</v>
      </c>
      <c r="AW71" s="23">
        <f t="shared" si="27"/>
        <v>0</v>
      </c>
      <c r="AX71" s="23">
        <f t="shared" si="27"/>
        <v>0</v>
      </c>
      <c r="AY71" s="23">
        <f t="shared" si="27"/>
        <v>0</v>
      </c>
      <c r="AZ71" s="23">
        <f t="shared" si="27"/>
        <v>0</v>
      </c>
      <c r="BA71" s="23">
        <f t="shared" si="27"/>
        <v>0</v>
      </c>
      <c r="BB71" s="23">
        <f t="shared" si="27"/>
        <v>0</v>
      </c>
      <c r="BC71" s="23">
        <f t="shared" si="27"/>
        <v>0</v>
      </c>
      <c r="BD71" s="25">
        <f t="shared" si="27"/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0.8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 t="shared" ref="D76:AI76" si="28">((D72*D$82)+D73+(D74*D72)+ROUNDUP(D75*0.46,0))</f>
        <v>0</v>
      </c>
      <c r="E76" s="23">
        <f t="shared" si="28"/>
        <v>0</v>
      </c>
      <c r="F76" s="23">
        <f t="shared" si="28"/>
        <v>0</v>
      </c>
      <c r="G76" s="23">
        <f t="shared" si="28"/>
        <v>0</v>
      </c>
      <c r="H76" s="23">
        <f t="shared" si="28"/>
        <v>0</v>
      </c>
      <c r="I76" s="23">
        <f t="shared" si="28"/>
        <v>0</v>
      </c>
      <c r="J76" s="23">
        <f t="shared" si="28"/>
        <v>0</v>
      </c>
      <c r="K76" s="23">
        <f t="shared" si="28"/>
        <v>0</v>
      </c>
      <c r="L76" s="23">
        <f t="shared" si="28"/>
        <v>0</v>
      </c>
      <c r="M76" s="23">
        <f t="shared" si="28"/>
        <v>0</v>
      </c>
      <c r="N76" s="23">
        <f t="shared" si="28"/>
        <v>0</v>
      </c>
      <c r="O76" s="23">
        <f t="shared" si="28"/>
        <v>0</v>
      </c>
      <c r="P76" s="23">
        <f t="shared" si="28"/>
        <v>0</v>
      </c>
      <c r="Q76" s="23">
        <f t="shared" si="28"/>
        <v>0</v>
      </c>
      <c r="R76" s="23">
        <f t="shared" si="28"/>
        <v>0</v>
      </c>
      <c r="S76" s="23">
        <f t="shared" si="28"/>
        <v>0</v>
      </c>
      <c r="T76" s="23">
        <f t="shared" si="28"/>
        <v>0</v>
      </c>
      <c r="U76" s="23">
        <f t="shared" si="28"/>
        <v>0</v>
      </c>
      <c r="V76" s="23">
        <f t="shared" si="28"/>
        <v>0</v>
      </c>
      <c r="W76" s="23">
        <f t="shared" si="28"/>
        <v>0</v>
      </c>
      <c r="X76" s="23">
        <f t="shared" si="28"/>
        <v>0</v>
      </c>
      <c r="Y76" s="23">
        <f t="shared" si="28"/>
        <v>0</v>
      </c>
      <c r="Z76" s="23">
        <f t="shared" si="28"/>
        <v>0</v>
      </c>
      <c r="AA76" s="23">
        <f t="shared" si="28"/>
        <v>0</v>
      </c>
      <c r="AB76" s="23">
        <f t="shared" si="28"/>
        <v>0</v>
      </c>
      <c r="AC76" s="23">
        <f t="shared" si="28"/>
        <v>0</v>
      </c>
      <c r="AD76" s="23">
        <f t="shared" si="28"/>
        <v>0</v>
      </c>
      <c r="AE76" s="23">
        <f t="shared" si="28"/>
        <v>0</v>
      </c>
      <c r="AF76" s="23">
        <f t="shared" si="28"/>
        <v>0</v>
      </c>
      <c r="AG76" s="23">
        <f t="shared" si="28"/>
        <v>0</v>
      </c>
      <c r="AH76" s="23">
        <f t="shared" si="28"/>
        <v>0</v>
      </c>
      <c r="AI76" s="23">
        <f t="shared" si="28"/>
        <v>0</v>
      </c>
      <c r="AJ76" s="23">
        <f t="shared" ref="AJ76:BO76" si="29">((AJ72*AJ$82)+AJ73+(AJ74*AJ72)+ROUNDUP(AJ75*0.46,0))</f>
        <v>0</v>
      </c>
      <c r="AK76" s="23">
        <f t="shared" si="29"/>
        <v>0</v>
      </c>
      <c r="AL76" s="23">
        <f t="shared" si="29"/>
        <v>0</v>
      </c>
      <c r="AM76" s="23">
        <f t="shared" si="29"/>
        <v>0</v>
      </c>
      <c r="AN76" s="23">
        <f t="shared" si="29"/>
        <v>0</v>
      </c>
      <c r="AO76" s="23">
        <f t="shared" si="29"/>
        <v>0</v>
      </c>
      <c r="AP76" s="23">
        <f t="shared" si="29"/>
        <v>0</v>
      </c>
      <c r="AQ76" s="23">
        <f t="shared" si="29"/>
        <v>0</v>
      </c>
      <c r="AR76" s="23">
        <f t="shared" si="29"/>
        <v>0</v>
      </c>
      <c r="AS76" s="23">
        <f t="shared" si="29"/>
        <v>0</v>
      </c>
      <c r="AT76" s="23">
        <f t="shared" si="29"/>
        <v>0</v>
      </c>
      <c r="AU76" s="23">
        <f t="shared" si="29"/>
        <v>0</v>
      </c>
      <c r="AV76" s="23">
        <f t="shared" si="29"/>
        <v>0</v>
      </c>
      <c r="AW76" s="23">
        <f t="shared" si="29"/>
        <v>0</v>
      </c>
      <c r="AX76" s="23">
        <f t="shared" si="29"/>
        <v>0</v>
      </c>
      <c r="AY76" s="23">
        <f t="shared" si="29"/>
        <v>0</v>
      </c>
      <c r="AZ76" s="23">
        <f t="shared" si="29"/>
        <v>0</v>
      </c>
      <c r="BA76" s="23">
        <f t="shared" si="29"/>
        <v>0</v>
      </c>
      <c r="BB76" s="23">
        <f t="shared" si="29"/>
        <v>0</v>
      </c>
      <c r="BC76" s="23">
        <f t="shared" si="29"/>
        <v>0</v>
      </c>
      <c r="BD76" s="25">
        <f t="shared" si="29"/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0.8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 t="shared" ref="D81:AI81" si="30">((D77*D$82)+D78+(D79*D77)+ROUNDUP(D80*0.46,0))</f>
        <v>0</v>
      </c>
      <c r="E81" s="23">
        <f t="shared" si="30"/>
        <v>0</v>
      </c>
      <c r="F81" s="23">
        <f t="shared" si="30"/>
        <v>0</v>
      </c>
      <c r="G81" s="23">
        <f t="shared" si="30"/>
        <v>0</v>
      </c>
      <c r="H81" s="23">
        <f t="shared" si="30"/>
        <v>0</v>
      </c>
      <c r="I81" s="23">
        <f t="shared" si="30"/>
        <v>0</v>
      </c>
      <c r="J81" s="23">
        <f t="shared" si="30"/>
        <v>0</v>
      </c>
      <c r="K81" s="23">
        <f t="shared" si="30"/>
        <v>0</v>
      </c>
      <c r="L81" s="23">
        <f t="shared" si="30"/>
        <v>0</v>
      </c>
      <c r="M81" s="23">
        <f t="shared" si="30"/>
        <v>0</v>
      </c>
      <c r="N81" s="23">
        <f t="shared" si="30"/>
        <v>0</v>
      </c>
      <c r="O81" s="23">
        <f t="shared" si="30"/>
        <v>0</v>
      </c>
      <c r="P81" s="23">
        <f t="shared" si="30"/>
        <v>0</v>
      </c>
      <c r="Q81" s="23">
        <f t="shared" si="30"/>
        <v>0</v>
      </c>
      <c r="R81" s="23">
        <f t="shared" si="30"/>
        <v>0</v>
      </c>
      <c r="S81" s="23">
        <f t="shared" si="30"/>
        <v>0</v>
      </c>
      <c r="T81" s="23">
        <f t="shared" si="30"/>
        <v>0</v>
      </c>
      <c r="U81" s="23">
        <f t="shared" si="30"/>
        <v>0</v>
      </c>
      <c r="V81" s="23">
        <f t="shared" si="30"/>
        <v>0</v>
      </c>
      <c r="W81" s="23">
        <f t="shared" si="30"/>
        <v>0</v>
      </c>
      <c r="X81" s="23">
        <f t="shared" si="30"/>
        <v>0</v>
      </c>
      <c r="Y81" s="23">
        <f t="shared" si="30"/>
        <v>0</v>
      </c>
      <c r="Z81" s="23">
        <f t="shared" si="30"/>
        <v>0</v>
      </c>
      <c r="AA81" s="23">
        <f t="shared" si="30"/>
        <v>0</v>
      </c>
      <c r="AB81" s="23">
        <f t="shared" si="30"/>
        <v>0</v>
      </c>
      <c r="AC81" s="23">
        <f t="shared" si="30"/>
        <v>0</v>
      </c>
      <c r="AD81" s="23">
        <f t="shared" si="30"/>
        <v>0</v>
      </c>
      <c r="AE81" s="23">
        <f t="shared" si="30"/>
        <v>0</v>
      </c>
      <c r="AF81" s="23">
        <f t="shared" si="30"/>
        <v>0</v>
      </c>
      <c r="AG81" s="23">
        <f t="shared" si="30"/>
        <v>0</v>
      </c>
      <c r="AH81" s="23">
        <f t="shared" si="30"/>
        <v>0</v>
      </c>
      <c r="AI81" s="23">
        <f t="shared" si="30"/>
        <v>0</v>
      </c>
      <c r="AJ81" s="23">
        <f t="shared" ref="AJ81:BO81" si="31">((AJ77*AJ$82)+AJ78+(AJ79*AJ77)+ROUNDUP(AJ80*0.46,0))</f>
        <v>0</v>
      </c>
      <c r="AK81" s="23">
        <f t="shared" si="31"/>
        <v>0</v>
      </c>
      <c r="AL81" s="23">
        <f t="shared" si="31"/>
        <v>0</v>
      </c>
      <c r="AM81" s="23">
        <f t="shared" si="31"/>
        <v>0</v>
      </c>
      <c r="AN81" s="23">
        <f t="shared" si="31"/>
        <v>0</v>
      </c>
      <c r="AO81" s="23">
        <f t="shared" si="31"/>
        <v>0</v>
      </c>
      <c r="AP81" s="23">
        <f t="shared" si="31"/>
        <v>0</v>
      </c>
      <c r="AQ81" s="23">
        <f t="shared" si="31"/>
        <v>0</v>
      </c>
      <c r="AR81" s="23">
        <f t="shared" si="31"/>
        <v>0</v>
      </c>
      <c r="AS81" s="23">
        <f t="shared" si="31"/>
        <v>0</v>
      </c>
      <c r="AT81" s="23">
        <f t="shared" si="31"/>
        <v>0</v>
      </c>
      <c r="AU81" s="23">
        <f t="shared" si="31"/>
        <v>0</v>
      </c>
      <c r="AV81" s="23">
        <f t="shared" si="31"/>
        <v>0</v>
      </c>
      <c r="AW81" s="23">
        <f t="shared" si="31"/>
        <v>0</v>
      </c>
      <c r="AX81" s="23">
        <f t="shared" si="31"/>
        <v>0</v>
      </c>
      <c r="AY81" s="23">
        <f t="shared" si="31"/>
        <v>0</v>
      </c>
      <c r="AZ81" s="23">
        <f t="shared" si="31"/>
        <v>0</v>
      </c>
      <c r="BA81" s="23">
        <f t="shared" si="31"/>
        <v>0</v>
      </c>
      <c r="BB81" s="23">
        <f t="shared" si="31"/>
        <v>0</v>
      </c>
      <c r="BC81" s="23">
        <f t="shared" si="31"/>
        <v>0</v>
      </c>
      <c r="BD81" s="25">
        <f t="shared" si="31"/>
        <v>0</v>
      </c>
    </row>
    <row r="82" spans="1:56" s="37" customFormat="1" ht="10.8" thickBot="1" x14ac:dyDescent="0.25">
      <c r="A82" s="38"/>
      <c r="B82" s="39"/>
      <c r="C82" s="17" t="s">
        <v>35</v>
      </c>
      <c r="D82" s="4">
        <f t="shared" ref="D82:AI82" si="32">SUMIF(EmployeeList,D$1,TotalRegWage)</f>
        <v>0</v>
      </c>
      <c r="E82" s="5">
        <f t="shared" si="32"/>
        <v>0</v>
      </c>
      <c r="F82" s="5">
        <f t="shared" si="32"/>
        <v>0</v>
      </c>
      <c r="G82" s="5">
        <f t="shared" si="32"/>
        <v>0</v>
      </c>
      <c r="H82" s="5">
        <f t="shared" si="32"/>
        <v>0</v>
      </c>
      <c r="I82" s="5">
        <f t="shared" si="32"/>
        <v>0</v>
      </c>
      <c r="J82" s="5">
        <f t="shared" si="32"/>
        <v>0</v>
      </c>
      <c r="K82" s="5">
        <f t="shared" si="32"/>
        <v>0</v>
      </c>
      <c r="L82" s="5">
        <f t="shared" si="32"/>
        <v>0</v>
      </c>
      <c r="M82" s="5">
        <f t="shared" si="32"/>
        <v>0</v>
      </c>
      <c r="N82" s="5">
        <f t="shared" si="32"/>
        <v>0</v>
      </c>
      <c r="O82" s="5">
        <f t="shared" si="32"/>
        <v>0</v>
      </c>
      <c r="P82" s="5">
        <f t="shared" si="32"/>
        <v>0</v>
      </c>
      <c r="Q82" s="5">
        <f t="shared" si="32"/>
        <v>0</v>
      </c>
      <c r="R82" s="5">
        <f t="shared" si="32"/>
        <v>0</v>
      </c>
      <c r="S82" s="5">
        <f t="shared" si="32"/>
        <v>0</v>
      </c>
      <c r="T82" s="5">
        <f t="shared" si="32"/>
        <v>0</v>
      </c>
      <c r="U82" s="5">
        <f t="shared" si="32"/>
        <v>0</v>
      </c>
      <c r="V82" s="5">
        <f t="shared" si="32"/>
        <v>0</v>
      </c>
      <c r="W82" s="5">
        <f t="shared" si="32"/>
        <v>0</v>
      </c>
      <c r="X82" s="5">
        <f t="shared" si="32"/>
        <v>0</v>
      </c>
      <c r="Y82" s="5">
        <f t="shared" si="32"/>
        <v>0</v>
      </c>
      <c r="Z82" s="5">
        <f t="shared" si="32"/>
        <v>0</v>
      </c>
      <c r="AA82" s="5">
        <f t="shared" si="32"/>
        <v>0</v>
      </c>
      <c r="AB82" s="5">
        <f t="shared" si="32"/>
        <v>0</v>
      </c>
      <c r="AC82" s="5">
        <f t="shared" si="32"/>
        <v>0</v>
      </c>
      <c r="AD82" s="5">
        <f t="shared" si="32"/>
        <v>0</v>
      </c>
      <c r="AE82" s="5">
        <f t="shared" si="32"/>
        <v>0</v>
      </c>
      <c r="AF82" s="5">
        <f t="shared" si="32"/>
        <v>0</v>
      </c>
      <c r="AG82" s="6">
        <f t="shared" si="32"/>
        <v>0</v>
      </c>
      <c r="AH82" s="5">
        <f t="shared" si="32"/>
        <v>0</v>
      </c>
      <c r="AI82" s="5">
        <f t="shared" si="32"/>
        <v>0</v>
      </c>
      <c r="AJ82" s="5">
        <f t="shared" ref="AJ82:BD82" si="33">SUMIF(EmployeeList,AJ$1,TotalRegWage)</f>
        <v>0</v>
      </c>
      <c r="AK82" s="5">
        <f t="shared" si="33"/>
        <v>0</v>
      </c>
      <c r="AL82" s="5">
        <f t="shared" si="33"/>
        <v>0</v>
      </c>
      <c r="AM82" s="5">
        <f t="shared" si="33"/>
        <v>0</v>
      </c>
      <c r="AN82" s="5">
        <f t="shared" si="33"/>
        <v>0</v>
      </c>
      <c r="AO82" s="5">
        <f t="shared" si="33"/>
        <v>0</v>
      </c>
      <c r="AP82" s="5">
        <f t="shared" si="33"/>
        <v>0</v>
      </c>
      <c r="AQ82" s="5">
        <f t="shared" si="33"/>
        <v>0</v>
      </c>
      <c r="AR82" s="5">
        <f t="shared" si="33"/>
        <v>0</v>
      </c>
      <c r="AS82" s="5">
        <f t="shared" si="33"/>
        <v>0</v>
      </c>
      <c r="AT82" s="5">
        <f t="shared" si="33"/>
        <v>0</v>
      </c>
      <c r="AU82" s="5">
        <f t="shared" si="33"/>
        <v>0</v>
      </c>
      <c r="AV82" s="5">
        <f t="shared" si="33"/>
        <v>0</v>
      </c>
      <c r="AW82" s="5">
        <f t="shared" si="33"/>
        <v>0</v>
      </c>
      <c r="AX82" s="5">
        <f t="shared" si="33"/>
        <v>0</v>
      </c>
      <c r="AY82" s="5">
        <f t="shared" si="33"/>
        <v>0</v>
      </c>
      <c r="AZ82" s="5">
        <f t="shared" si="33"/>
        <v>0</v>
      </c>
      <c r="BA82" s="5">
        <f t="shared" si="33"/>
        <v>0</v>
      </c>
      <c r="BB82" s="5">
        <f t="shared" si="33"/>
        <v>0</v>
      </c>
      <c r="BC82" s="5">
        <f t="shared" si="33"/>
        <v>0</v>
      </c>
      <c r="BD82" s="7">
        <f t="shared" si="33"/>
        <v>0</v>
      </c>
    </row>
    <row r="83" spans="1:56" s="46" customFormat="1" ht="10.8" thickBot="1" x14ac:dyDescent="0.25">
      <c r="A83" s="446"/>
      <c r="B83" s="41"/>
      <c r="C83" s="17" t="s">
        <v>80</v>
      </c>
      <c r="D83" s="447">
        <f t="shared" ref="D83:AI83" si="34">SUMIF(EmployeeList,D$1,TotalSecWage)</f>
        <v>0</v>
      </c>
      <c r="E83" s="448">
        <f t="shared" si="34"/>
        <v>0</v>
      </c>
      <c r="F83" s="448">
        <f t="shared" si="34"/>
        <v>0</v>
      </c>
      <c r="G83" s="448">
        <f t="shared" si="34"/>
        <v>0</v>
      </c>
      <c r="H83" s="448">
        <f t="shared" si="34"/>
        <v>0</v>
      </c>
      <c r="I83" s="448">
        <f t="shared" si="34"/>
        <v>0</v>
      </c>
      <c r="J83" s="448">
        <f t="shared" si="34"/>
        <v>0</v>
      </c>
      <c r="K83" s="448">
        <f t="shared" si="34"/>
        <v>0</v>
      </c>
      <c r="L83" s="448">
        <f t="shared" si="34"/>
        <v>0</v>
      </c>
      <c r="M83" s="448">
        <f t="shared" si="34"/>
        <v>0</v>
      </c>
      <c r="N83" s="448">
        <f t="shared" si="34"/>
        <v>0</v>
      </c>
      <c r="O83" s="448">
        <f t="shared" si="34"/>
        <v>0</v>
      </c>
      <c r="P83" s="448">
        <f t="shared" si="34"/>
        <v>0</v>
      </c>
      <c r="Q83" s="448">
        <f t="shared" si="34"/>
        <v>0</v>
      </c>
      <c r="R83" s="448">
        <f t="shared" si="34"/>
        <v>0</v>
      </c>
      <c r="S83" s="448">
        <f t="shared" si="34"/>
        <v>0</v>
      </c>
      <c r="T83" s="448">
        <f t="shared" si="34"/>
        <v>0</v>
      </c>
      <c r="U83" s="448">
        <f t="shared" si="34"/>
        <v>0</v>
      </c>
      <c r="V83" s="448">
        <f t="shared" si="34"/>
        <v>0</v>
      </c>
      <c r="W83" s="448">
        <f t="shared" si="34"/>
        <v>0</v>
      </c>
      <c r="X83" s="448">
        <f t="shared" si="34"/>
        <v>0</v>
      </c>
      <c r="Y83" s="448">
        <f t="shared" si="34"/>
        <v>0</v>
      </c>
      <c r="Z83" s="448">
        <f t="shared" si="34"/>
        <v>0</v>
      </c>
      <c r="AA83" s="448">
        <f t="shared" si="34"/>
        <v>0</v>
      </c>
      <c r="AB83" s="448">
        <f t="shared" si="34"/>
        <v>0</v>
      </c>
      <c r="AC83" s="448">
        <f t="shared" si="34"/>
        <v>0</v>
      </c>
      <c r="AD83" s="448">
        <f t="shared" si="34"/>
        <v>0</v>
      </c>
      <c r="AE83" s="448">
        <f t="shared" si="34"/>
        <v>0</v>
      </c>
      <c r="AF83" s="448">
        <f t="shared" si="34"/>
        <v>0</v>
      </c>
      <c r="AG83" s="448">
        <f t="shared" si="34"/>
        <v>0</v>
      </c>
      <c r="AH83" s="448">
        <f t="shared" si="34"/>
        <v>0</v>
      </c>
      <c r="AI83" s="449">
        <f t="shared" si="34"/>
        <v>0</v>
      </c>
      <c r="AJ83" s="448">
        <f t="shared" ref="AJ83:BD83" si="35">SUMIF(EmployeeList,AJ$1,TotalSecWage)</f>
        <v>0</v>
      </c>
      <c r="AK83" s="448">
        <f t="shared" si="35"/>
        <v>0</v>
      </c>
      <c r="AL83" s="448">
        <f t="shared" si="35"/>
        <v>0</v>
      </c>
      <c r="AM83" s="448">
        <f t="shared" si="35"/>
        <v>0</v>
      </c>
      <c r="AN83" s="448">
        <f t="shared" si="35"/>
        <v>0</v>
      </c>
      <c r="AO83" s="448">
        <f t="shared" si="35"/>
        <v>0</v>
      </c>
      <c r="AP83" s="448">
        <f t="shared" si="35"/>
        <v>0</v>
      </c>
      <c r="AQ83" s="448">
        <f t="shared" si="35"/>
        <v>0</v>
      </c>
      <c r="AR83" s="448">
        <f t="shared" si="35"/>
        <v>0</v>
      </c>
      <c r="AS83" s="448">
        <f t="shared" si="35"/>
        <v>0</v>
      </c>
      <c r="AT83" s="448">
        <f t="shared" si="35"/>
        <v>0</v>
      </c>
      <c r="AU83" s="448">
        <f t="shared" si="35"/>
        <v>0</v>
      </c>
      <c r="AV83" s="448">
        <f t="shared" si="35"/>
        <v>0</v>
      </c>
      <c r="AW83" s="448">
        <f t="shared" si="35"/>
        <v>0</v>
      </c>
      <c r="AX83" s="448">
        <f t="shared" si="35"/>
        <v>0</v>
      </c>
      <c r="AY83" s="448">
        <f t="shared" si="35"/>
        <v>0</v>
      </c>
      <c r="AZ83" s="448">
        <f t="shared" si="35"/>
        <v>0</v>
      </c>
      <c r="BA83" s="448">
        <f t="shared" si="35"/>
        <v>0</v>
      </c>
      <c r="BB83" s="448">
        <f t="shared" si="35"/>
        <v>0</v>
      </c>
      <c r="BC83" s="448">
        <f t="shared" si="35"/>
        <v>0</v>
      </c>
      <c r="BD83" s="450">
        <f t="shared" si="35"/>
        <v>0</v>
      </c>
    </row>
    <row r="84" spans="1:56" s="46" customFormat="1" ht="10.8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0.8" thickBot="1" x14ac:dyDescent="0.25">
      <c r="A85" s="46"/>
      <c r="B85" s="26" t="s">
        <v>9</v>
      </c>
      <c r="C85" s="27">
        <f>SUM(D85:BD85)</f>
        <v>0</v>
      </c>
      <c r="D85" s="8">
        <f t="shared" ref="D85:AI85" si="36">SUM(D2,D7,D12,D17,D22,D27,D32,D37,D42,D47,D52,D57,D62,D67,D72,D77)</f>
        <v>0</v>
      </c>
      <c r="E85" s="9">
        <f t="shared" si="36"/>
        <v>0</v>
      </c>
      <c r="F85" s="9">
        <f t="shared" si="36"/>
        <v>0</v>
      </c>
      <c r="G85" s="9">
        <f t="shared" si="36"/>
        <v>0</v>
      </c>
      <c r="H85" s="9">
        <f t="shared" si="36"/>
        <v>0</v>
      </c>
      <c r="I85" s="9">
        <f t="shared" si="36"/>
        <v>0</v>
      </c>
      <c r="J85" s="9">
        <f t="shared" si="36"/>
        <v>0</v>
      </c>
      <c r="K85" s="9">
        <f t="shared" si="36"/>
        <v>0</v>
      </c>
      <c r="L85" s="9">
        <f t="shared" si="36"/>
        <v>0</v>
      </c>
      <c r="M85" s="9">
        <f t="shared" si="36"/>
        <v>0</v>
      </c>
      <c r="N85" s="9">
        <f t="shared" si="36"/>
        <v>0</v>
      </c>
      <c r="O85" s="9">
        <f t="shared" si="36"/>
        <v>0</v>
      </c>
      <c r="P85" s="9">
        <f t="shared" si="36"/>
        <v>0</v>
      </c>
      <c r="Q85" s="9">
        <f t="shared" si="36"/>
        <v>0</v>
      </c>
      <c r="R85" s="9">
        <f t="shared" si="36"/>
        <v>0</v>
      </c>
      <c r="S85" s="9">
        <f t="shared" si="36"/>
        <v>0</v>
      </c>
      <c r="T85" s="9">
        <f t="shared" si="36"/>
        <v>0</v>
      </c>
      <c r="U85" s="9">
        <f t="shared" si="36"/>
        <v>0</v>
      </c>
      <c r="V85" s="9">
        <f t="shared" si="36"/>
        <v>0</v>
      </c>
      <c r="W85" s="9">
        <f t="shared" si="36"/>
        <v>0</v>
      </c>
      <c r="X85" s="9">
        <f t="shared" si="36"/>
        <v>0</v>
      </c>
      <c r="Y85" s="9">
        <f t="shared" si="36"/>
        <v>0</v>
      </c>
      <c r="Z85" s="9">
        <f t="shared" si="36"/>
        <v>0</v>
      </c>
      <c r="AA85" s="9">
        <f t="shared" si="36"/>
        <v>0</v>
      </c>
      <c r="AB85" s="9">
        <f t="shared" si="36"/>
        <v>0</v>
      </c>
      <c r="AC85" s="9">
        <f t="shared" si="36"/>
        <v>0</v>
      </c>
      <c r="AD85" s="9">
        <f t="shared" si="36"/>
        <v>0</v>
      </c>
      <c r="AE85" s="9">
        <f t="shared" si="36"/>
        <v>0</v>
      </c>
      <c r="AF85" s="9">
        <f t="shared" si="36"/>
        <v>0</v>
      </c>
      <c r="AG85" s="9">
        <f t="shared" si="36"/>
        <v>0</v>
      </c>
      <c r="AH85" s="9">
        <f t="shared" si="36"/>
        <v>0</v>
      </c>
      <c r="AI85" s="9">
        <f t="shared" si="36"/>
        <v>0</v>
      </c>
      <c r="AJ85" s="9">
        <f t="shared" ref="AJ85:BD85" si="37">SUM(AJ2,AJ7,AJ12,AJ17,AJ22,AJ27,AJ32,AJ37,AJ42,AJ47,AJ52,AJ57,AJ62,AJ67,AJ72,AJ77)</f>
        <v>0</v>
      </c>
      <c r="AK85" s="9">
        <f t="shared" si="37"/>
        <v>0</v>
      </c>
      <c r="AL85" s="9">
        <f t="shared" si="37"/>
        <v>0</v>
      </c>
      <c r="AM85" s="9">
        <f t="shared" si="37"/>
        <v>0</v>
      </c>
      <c r="AN85" s="9">
        <f t="shared" si="37"/>
        <v>0</v>
      </c>
      <c r="AO85" s="9">
        <f t="shared" si="37"/>
        <v>0</v>
      </c>
      <c r="AP85" s="9">
        <f t="shared" si="37"/>
        <v>0</v>
      </c>
      <c r="AQ85" s="9">
        <f t="shared" si="37"/>
        <v>0</v>
      </c>
      <c r="AR85" s="9">
        <f t="shared" si="37"/>
        <v>0</v>
      </c>
      <c r="AS85" s="9">
        <f t="shared" si="37"/>
        <v>0</v>
      </c>
      <c r="AT85" s="9">
        <f t="shared" si="37"/>
        <v>0</v>
      </c>
      <c r="AU85" s="9">
        <f t="shared" si="37"/>
        <v>0</v>
      </c>
      <c r="AV85" s="9">
        <f t="shared" si="37"/>
        <v>0</v>
      </c>
      <c r="AW85" s="9">
        <f t="shared" si="37"/>
        <v>0</v>
      </c>
      <c r="AX85" s="9">
        <f t="shared" si="37"/>
        <v>0</v>
      </c>
      <c r="AY85" s="9">
        <f t="shared" si="37"/>
        <v>0</v>
      </c>
      <c r="AZ85" s="9">
        <f t="shared" si="37"/>
        <v>0</v>
      </c>
      <c r="BA85" s="9">
        <f t="shared" si="37"/>
        <v>0</v>
      </c>
      <c r="BB85" s="9">
        <f t="shared" si="37"/>
        <v>0</v>
      </c>
      <c r="BC85" s="9">
        <f t="shared" si="37"/>
        <v>0</v>
      </c>
      <c r="BD85" s="10">
        <f t="shared" si="37"/>
        <v>0</v>
      </c>
    </row>
    <row r="86" spans="1:56" ht="10.8" thickBot="1" x14ac:dyDescent="0.25">
      <c r="B86" s="28" t="s">
        <v>94</v>
      </c>
      <c r="C86" s="29">
        <f>SUM(D86:BD86)</f>
        <v>0</v>
      </c>
      <c r="D86" s="451">
        <f t="shared" ref="D86:AI86" si="38">SUM(D6,D11,D16,D21,D26,D31,D36,D41,D46,D51,D56,D61,D66,D71,D76,D81,)-(D82*D85)+((D83-D82)*D85)-D87</f>
        <v>0</v>
      </c>
      <c r="E86" s="452">
        <f t="shared" si="38"/>
        <v>0</v>
      </c>
      <c r="F86" s="452">
        <f t="shared" si="38"/>
        <v>0</v>
      </c>
      <c r="G86" s="452">
        <f t="shared" si="38"/>
        <v>0</v>
      </c>
      <c r="H86" s="452">
        <f t="shared" si="38"/>
        <v>0</v>
      </c>
      <c r="I86" s="452">
        <f t="shared" si="38"/>
        <v>0</v>
      </c>
      <c r="J86" s="452">
        <f t="shared" si="38"/>
        <v>0</v>
      </c>
      <c r="K86" s="452">
        <f t="shared" si="38"/>
        <v>0</v>
      </c>
      <c r="L86" s="452">
        <f t="shared" si="38"/>
        <v>0</v>
      </c>
      <c r="M86" s="452">
        <f t="shared" si="38"/>
        <v>0</v>
      </c>
      <c r="N86" s="452">
        <f t="shared" si="38"/>
        <v>0</v>
      </c>
      <c r="O86" s="452">
        <f t="shared" si="38"/>
        <v>0</v>
      </c>
      <c r="P86" s="452">
        <f t="shared" si="38"/>
        <v>0</v>
      </c>
      <c r="Q86" s="452">
        <f t="shared" si="38"/>
        <v>0</v>
      </c>
      <c r="R86" s="452">
        <f t="shared" si="38"/>
        <v>0</v>
      </c>
      <c r="S86" s="452">
        <f t="shared" si="38"/>
        <v>0</v>
      </c>
      <c r="T86" s="452">
        <f t="shared" si="38"/>
        <v>0</v>
      </c>
      <c r="U86" s="452">
        <f t="shared" si="38"/>
        <v>0</v>
      </c>
      <c r="V86" s="452">
        <f t="shared" si="38"/>
        <v>0</v>
      </c>
      <c r="W86" s="452">
        <f t="shared" si="38"/>
        <v>0</v>
      </c>
      <c r="X86" s="452">
        <f t="shared" si="38"/>
        <v>0</v>
      </c>
      <c r="Y86" s="452">
        <f t="shared" si="38"/>
        <v>0</v>
      </c>
      <c r="Z86" s="452">
        <f t="shared" si="38"/>
        <v>0</v>
      </c>
      <c r="AA86" s="452">
        <f t="shared" si="38"/>
        <v>0</v>
      </c>
      <c r="AB86" s="452">
        <f t="shared" si="38"/>
        <v>0</v>
      </c>
      <c r="AC86" s="452">
        <f t="shared" si="38"/>
        <v>0</v>
      </c>
      <c r="AD86" s="452">
        <f t="shared" si="38"/>
        <v>0</v>
      </c>
      <c r="AE86" s="452">
        <f t="shared" si="38"/>
        <v>0</v>
      </c>
      <c r="AF86" s="452">
        <f t="shared" si="38"/>
        <v>0</v>
      </c>
      <c r="AG86" s="452">
        <f t="shared" si="38"/>
        <v>0</v>
      </c>
      <c r="AH86" s="452">
        <f t="shared" si="38"/>
        <v>0</v>
      </c>
      <c r="AI86" s="452">
        <f t="shared" si="38"/>
        <v>0</v>
      </c>
      <c r="AJ86" s="452">
        <f t="shared" ref="AJ86:BO86" si="39">SUM(AJ6,AJ11,AJ16,AJ21,AJ26,AJ31,AJ36,AJ41,AJ46,AJ51,AJ56,AJ61,AJ66,AJ71,AJ76,AJ81,)-(AJ82*AJ85)+((AJ83-AJ82)*AJ85)-AJ87</f>
        <v>0</v>
      </c>
      <c r="AK86" s="452">
        <f t="shared" si="39"/>
        <v>0</v>
      </c>
      <c r="AL86" s="452">
        <f t="shared" si="39"/>
        <v>0</v>
      </c>
      <c r="AM86" s="452">
        <f t="shared" si="39"/>
        <v>0</v>
      </c>
      <c r="AN86" s="452">
        <f t="shared" si="39"/>
        <v>0</v>
      </c>
      <c r="AO86" s="452">
        <f t="shared" si="39"/>
        <v>0</v>
      </c>
      <c r="AP86" s="452">
        <f t="shared" si="39"/>
        <v>0</v>
      </c>
      <c r="AQ86" s="452">
        <f t="shared" si="39"/>
        <v>0</v>
      </c>
      <c r="AR86" s="452">
        <f t="shared" si="39"/>
        <v>0</v>
      </c>
      <c r="AS86" s="452">
        <f t="shared" si="39"/>
        <v>0</v>
      </c>
      <c r="AT86" s="452">
        <f t="shared" si="39"/>
        <v>0</v>
      </c>
      <c r="AU86" s="452">
        <f t="shared" si="39"/>
        <v>0</v>
      </c>
      <c r="AV86" s="452">
        <f t="shared" si="39"/>
        <v>0</v>
      </c>
      <c r="AW86" s="452">
        <f t="shared" si="39"/>
        <v>0</v>
      </c>
      <c r="AX86" s="452">
        <f t="shared" si="39"/>
        <v>0</v>
      </c>
      <c r="AY86" s="452">
        <f t="shared" si="39"/>
        <v>0</v>
      </c>
      <c r="AZ86" s="452">
        <f t="shared" si="39"/>
        <v>0</v>
      </c>
      <c r="BA86" s="452">
        <f t="shared" si="39"/>
        <v>0</v>
      </c>
      <c r="BB86" s="452">
        <f t="shared" si="39"/>
        <v>0</v>
      </c>
      <c r="BC86" s="452">
        <f t="shared" si="39"/>
        <v>0</v>
      </c>
      <c r="BD86" s="453">
        <f t="shared" si="39"/>
        <v>0</v>
      </c>
    </row>
    <row r="87" spans="1:56" ht="10.8" thickBot="1" x14ac:dyDescent="0.25">
      <c r="A87" s="47"/>
      <c r="B87" s="28" t="s">
        <v>45</v>
      </c>
      <c r="C87" s="30">
        <f>SUM(D87:BD87)</f>
        <v>0</v>
      </c>
      <c r="D87" s="14">
        <f t="shared" ref="D87:AI87" si="40">ROUNDUP(SUM(D5,D10,D15,D20,D25,D30,D35,D40,D45,D50,D55,D60,D65,D70,D75,D80)*0.46,0)</f>
        <v>0</v>
      </c>
      <c r="E87" s="15">
        <f t="shared" si="40"/>
        <v>0</v>
      </c>
      <c r="F87" s="15">
        <f t="shared" si="40"/>
        <v>0</v>
      </c>
      <c r="G87" s="15">
        <f t="shared" si="40"/>
        <v>0</v>
      </c>
      <c r="H87" s="15">
        <f t="shared" si="40"/>
        <v>0</v>
      </c>
      <c r="I87" s="15">
        <f t="shared" si="40"/>
        <v>0</v>
      </c>
      <c r="J87" s="15">
        <f t="shared" si="40"/>
        <v>0</v>
      </c>
      <c r="K87" s="15">
        <f t="shared" si="40"/>
        <v>0</v>
      </c>
      <c r="L87" s="15">
        <f t="shared" si="40"/>
        <v>0</v>
      </c>
      <c r="M87" s="15">
        <f t="shared" si="40"/>
        <v>0</v>
      </c>
      <c r="N87" s="15">
        <f t="shared" si="40"/>
        <v>0</v>
      </c>
      <c r="O87" s="15">
        <f t="shared" si="40"/>
        <v>0</v>
      </c>
      <c r="P87" s="15">
        <f t="shared" si="40"/>
        <v>0</v>
      </c>
      <c r="Q87" s="15">
        <f t="shared" si="40"/>
        <v>0</v>
      </c>
      <c r="R87" s="15">
        <f t="shared" si="40"/>
        <v>0</v>
      </c>
      <c r="S87" s="15">
        <f t="shared" si="40"/>
        <v>0</v>
      </c>
      <c r="T87" s="15">
        <f t="shared" si="40"/>
        <v>0</v>
      </c>
      <c r="U87" s="15">
        <f t="shared" si="40"/>
        <v>0</v>
      </c>
      <c r="V87" s="15">
        <f t="shared" si="40"/>
        <v>0</v>
      </c>
      <c r="W87" s="15">
        <f t="shared" si="40"/>
        <v>0</v>
      </c>
      <c r="X87" s="15">
        <f t="shared" si="40"/>
        <v>0</v>
      </c>
      <c r="Y87" s="15">
        <f t="shared" si="40"/>
        <v>0</v>
      </c>
      <c r="Z87" s="15">
        <f t="shared" si="40"/>
        <v>0</v>
      </c>
      <c r="AA87" s="15">
        <f t="shared" si="40"/>
        <v>0</v>
      </c>
      <c r="AB87" s="15">
        <f t="shared" si="40"/>
        <v>0</v>
      </c>
      <c r="AC87" s="15">
        <f t="shared" si="40"/>
        <v>0</v>
      </c>
      <c r="AD87" s="15">
        <f t="shared" si="40"/>
        <v>0</v>
      </c>
      <c r="AE87" s="15">
        <f t="shared" si="40"/>
        <v>0</v>
      </c>
      <c r="AF87" s="15">
        <f t="shared" si="40"/>
        <v>0</v>
      </c>
      <c r="AG87" s="15">
        <f t="shared" si="40"/>
        <v>0</v>
      </c>
      <c r="AH87" s="15">
        <f t="shared" si="40"/>
        <v>0</v>
      </c>
      <c r="AI87" s="15">
        <f t="shared" si="40"/>
        <v>0</v>
      </c>
      <c r="AJ87" s="15">
        <f t="shared" ref="AJ87:BD87" si="41">ROUNDUP(SUM(AJ5,AJ10,AJ15,AJ20,AJ25,AJ30,AJ35,AJ40,AJ45,AJ50,AJ55,AJ60,AJ65,AJ70,AJ75,AJ80)*0.46,0)</f>
        <v>0</v>
      </c>
      <c r="AK87" s="15">
        <f t="shared" si="41"/>
        <v>0</v>
      </c>
      <c r="AL87" s="15">
        <f t="shared" si="41"/>
        <v>0</v>
      </c>
      <c r="AM87" s="15">
        <f t="shared" si="41"/>
        <v>0</v>
      </c>
      <c r="AN87" s="15">
        <f t="shared" si="41"/>
        <v>0</v>
      </c>
      <c r="AO87" s="15">
        <f t="shared" si="41"/>
        <v>0</v>
      </c>
      <c r="AP87" s="15">
        <f t="shared" si="41"/>
        <v>0</v>
      </c>
      <c r="AQ87" s="15">
        <f t="shared" si="41"/>
        <v>0</v>
      </c>
      <c r="AR87" s="15">
        <f t="shared" si="41"/>
        <v>0</v>
      </c>
      <c r="AS87" s="15">
        <f t="shared" si="41"/>
        <v>0</v>
      </c>
      <c r="AT87" s="15">
        <f t="shared" si="41"/>
        <v>0</v>
      </c>
      <c r="AU87" s="15">
        <f t="shared" si="41"/>
        <v>0</v>
      </c>
      <c r="AV87" s="15">
        <f t="shared" si="41"/>
        <v>0</v>
      </c>
      <c r="AW87" s="15">
        <f t="shared" si="41"/>
        <v>0</v>
      </c>
      <c r="AX87" s="15">
        <f t="shared" si="41"/>
        <v>0</v>
      </c>
      <c r="AY87" s="15">
        <f t="shared" si="41"/>
        <v>0</v>
      </c>
      <c r="AZ87" s="15">
        <f t="shared" si="41"/>
        <v>0</v>
      </c>
      <c r="BA87" s="15">
        <f t="shared" si="41"/>
        <v>0</v>
      </c>
      <c r="BB87" s="15">
        <f t="shared" si="41"/>
        <v>0</v>
      </c>
      <c r="BC87" s="15">
        <f t="shared" si="41"/>
        <v>0</v>
      </c>
      <c r="BD87" s="16">
        <f t="shared" si="41"/>
        <v>0</v>
      </c>
    </row>
    <row r="88" spans="1:56" ht="10.8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0fEHcLGd4jiqOtGMteHlO6RvSyu19zLdI0W6OjG4SlQkH7lARvpIdcvNp+jIYtfsLHa8eALRuT4f6/JfYwFOFg==" saltValue="lID6NU2NWaWrrfCE35XOZQ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24" priority="7"/>
  </conditionalFormatting>
  <conditionalFormatting sqref="D1:H1">
    <cfRule type="duplicateValues" dxfId="23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="115" zoomScaleNormal="115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546875" defaultRowHeight="10.199999999999999" x14ac:dyDescent="0.2"/>
  <cols>
    <col min="1" max="1" width="10.33203125" style="127" bestFit="1" customWidth="1"/>
    <col min="2" max="2" width="11.5546875" style="62" bestFit="1" customWidth="1"/>
    <col min="3" max="3" width="9.88671875" style="88" bestFit="1" customWidth="1"/>
    <col min="4" max="4" width="6.44140625" style="121" bestFit="1" customWidth="1"/>
    <col min="5" max="5" width="4.44140625" style="128" bestFit="1" customWidth="1"/>
    <col min="6" max="6" width="4.44140625" style="89" bestFit="1" customWidth="1"/>
    <col min="7" max="10" width="4.44140625" style="110" bestFit="1" customWidth="1"/>
    <col min="11" max="12" width="4.44140625" style="89" bestFit="1" customWidth="1"/>
    <col min="13" max="26" width="4.44140625" style="110" bestFit="1" customWidth="1"/>
    <col min="27" max="52" width="4.44140625" style="62" bestFit="1" customWidth="1"/>
    <col min="53" max="16384" width="12.5546875" style="62"/>
  </cols>
  <sheetData>
    <row r="1" spans="1:54" ht="10.8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/>
      <c r="F1" s="59"/>
      <c r="G1" s="60"/>
      <c r="H1" s="59"/>
      <c r="I1" s="59"/>
      <c r="J1" s="59"/>
      <c r="K1" s="59"/>
      <c r="L1" s="60"/>
      <c r="M1" s="59"/>
      <c r="N1" s="60"/>
      <c r="O1" s="59"/>
      <c r="P1" s="59"/>
      <c r="Q1" s="59"/>
      <c r="R1" s="59"/>
      <c r="S1" s="60"/>
      <c r="T1" s="59"/>
      <c r="U1" s="59"/>
      <c r="V1" s="59"/>
      <c r="W1" s="59"/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0 Valets</v>
      </c>
      <c r="B2" s="64" t="s">
        <v>20</v>
      </c>
      <c r="C2" s="65"/>
      <c r="D2" s="66"/>
      <c r="E2" s="67"/>
      <c r="F2" s="68"/>
      <c r="G2" s="69"/>
      <c r="H2" s="68"/>
      <c r="I2" s="68"/>
      <c r="J2" s="68"/>
      <c r="K2" s="68"/>
      <c r="L2" s="69"/>
      <c r="M2" s="68"/>
      <c r="N2" s="69"/>
      <c r="O2" s="68"/>
      <c r="P2" s="68"/>
      <c r="Q2" s="68"/>
      <c r="R2" s="68"/>
      <c r="S2" s="69"/>
      <c r="T2" s="68"/>
      <c r="U2" s="68"/>
      <c r="V2" s="68"/>
      <c r="W2" s="69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6"/>
      <c r="T3" s="75"/>
      <c r="U3" s="75"/>
      <c r="V3" s="75"/>
      <c r="W3" s="76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0.8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0</v>
      </c>
      <c r="D4" s="8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4" s="71" customFormat="1" x14ac:dyDescent="0.2">
      <c r="A5" s="63" t="str">
        <f>IF(COUNTA(E5:AZ5)=1,"1 Valet",COUNTA(E5:AZ5)&amp;" Valets")</f>
        <v>0 Valets</v>
      </c>
      <c r="B5" s="64" t="s">
        <v>22</v>
      </c>
      <c r="C5" s="65"/>
      <c r="D5" s="66"/>
      <c r="E5" s="67"/>
      <c r="F5" s="68"/>
      <c r="G5" s="69"/>
      <c r="H5" s="68"/>
      <c r="I5" s="68"/>
      <c r="J5" s="68"/>
      <c r="K5" s="68"/>
      <c r="L5" s="69"/>
      <c r="M5" s="68"/>
      <c r="N5" s="69"/>
      <c r="O5" s="68"/>
      <c r="P5" s="68"/>
      <c r="Q5" s="68"/>
      <c r="R5" s="68"/>
      <c r="S5" s="69"/>
      <c r="T5" s="68"/>
      <c r="U5" s="68"/>
      <c r="V5" s="68"/>
      <c r="W5" s="69"/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6"/>
      <c r="T6" s="75"/>
      <c r="U6" s="75"/>
      <c r="V6" s="75"/>
      <c r="W6" s="76"/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0.8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04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4" x14ac:dyDescent="0.2">
      <c r="A8" s="63" t="str">
        <f>IF(COUNTA(E8:AZ8)=1,"1 Valet",COUNTA(E8:AZ8)&amp;" Valets")</f>
        <v>0 Valets</v>
      </c>
      <c r="B8" s="64" t="s">
        <v>20</v>
      </c>
      <c r="C8" s="65"/>
      <c r="D8" s="66"/>
      <c r="E8" s="67"/>
      <c r="F8" s="68"/>
      <c r="G8" s="69"/>
      <c r="H8" s="68"/>
      <c r="I8" s="68"/>
      <c r="J8" s="68"/>
      <c r="K8" s="68"/>
      <c r="L8" s="69"/>
      <c r="M8" s="68"/>
      <c r="N8" s="69"/>
      <c r="O8" s="68"/>
      <c r="P8" s="68"/>
      <c r="Q8" s="68"/>
      <c r="R8" s="68"/>
      <c r="S8" s="69"/>
      <c r="T8" s="68"/>
      <c r="U8" s="68"/>
      <c r="V8" s="68"/>
      <c r="W8" s="69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6"/>
      <c r="T9" s="75"/>
      <c r="U9" s="75"/>
      <c r="V9" s="75"/>
      <c r="W9" s="76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0.8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0</v>
      </c>
      <c r="D10" s="8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4" x14ac:dyDescent="0.2">
      <c r="A11" s="63" t="str">
        <f>IF(COUNTA(E11:AZ11)=1,"1 Valet",COUNTA(E11:AZ11)&amp;" Valets")</f>
        <v>0 Valets</v>
      </c>
      <c r="B11" s="64" t="s">
        <v>22</v>
      </c>
      <c r="C11" s="65"/>
      <c r="D11" s="66"/>
      <c r="E11" s="67"/>
      <c r="F11" s="68"/>
      <c r="G11" s="69"/>
      <c r="H11" s="68"/>
      <c r="I11" s="68"/>
      <c r="J11" s="68"/>
      <c r="K11" s="68"/>
      <c r="L11" s="69"/>
      <c r="M11" s="68"/>
      <c r="N11" s="69"/>
      <c r="O11" s="68"/>
      <c r="P11" s="68"/>
      <c r="Q11" s="68"/>
      <c r="R11" s="68"/>
      <c r="S11" s="69"/>
      <c r="T11" s="68"/>
      <c r="U11" s="68"/>
      <c r="V11" s="68"/>
      <c r="W11" s="69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6"/>
      <c r="T12" s="75"/>
      <c r="U12" s="75"/>
      <c r="V12" s="75"/>
      <c r="W12" s="76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0.8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04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8"/>
      <c r="G14" s="69"/>
      <c r="H14" s="68"/>
      <c r="I14" s="68"/>
      <c r="J14" s="68"/>
      <c r="K14" s="68"/>
      <c r="L14" s="69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9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6"/>
      <c r="T15" s="75"/>
      <c r="U15" s="75"/>
      <c r="V15" s="75"/>
      <c r="W15" s="76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0.8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65"/>
      <c r="D17" s="66"/>
      <c r="E17" s="67"/>
      <c r="F17" s="68"/>
      <c r="G17" s="69"/>
      <c r="H17" s="68"/>
      <c r="I17" s="68"/>
      <c r="J17" s="68"/>
      <c r="K17" s="68"/>
      <c r="L17" s="69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9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6"/>
      <c r="T18" s="75"/>
      <c r="U18" s="75"/>
      <c r="V18" s="75"/>
      <c r="W18" s="76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04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8"/>
      <c r="G20" s="68"/>
      <c r="H20" s="68"/>
      <c r="I20" s="68"/>
      <c r="J20" s="68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/>
      <c r="W20" s="69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6"/>
      <c r="O21" s="75"/>
      <c r="P21" s="75"/>
      <c r="Q21" s="75"/>
      <c r="R21" s="75"/>
      <c r="S21" s="76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65"/>
      <c r="D23" s="66"/>
      <c r="E23" s="67"/>
      <c r="F23" s="68"/>
      <c r="G23" s="68"/>
      <c r="H23" s="68"/>
      <c r="I23" s="68"/>
      <c r="J23" s="68"/>
      <c r="K23" s="69"/>
      <c r="L23" s="68"/>
      <c r="M23" s="68"/>
      <c r="N23" s="69"/>
      <c r="O23" s="68"/>
      <c r="P23" s="68"/>
      <c r="Q23" s="68"/>
      <c r="R23" s="68"/>
      <c r="S23" s="69"/>
      <c r="T23" s="68"/>
      <c r="U23" s="68"/>
      <c r="V23" s="68"/>
      <c r="W23" s="69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6"/>
      <c r="O24" s="75"/>
      <c r="P24" s="75"/>
      <c r="Q24" s="75"/>
      <c r="R24" s="75"/>
      <c r="S24" s="76"/>
      <c r="T24" s="75"/>
      <c r="U24" s="75"/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04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65"/>
      <c r="D26" s="66"/>
      <c r="E26" s="67"/>
      <c r="F26" s="68"/>
      <c r="G26" s="68"/>
      <c r="H26" s="68"/>
      <c r="I26" s="68"/>
      <c r="J26" s="68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9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6"/>
      <c r="O27" s="75"/>
      <c r="P27" s="75"/>
      <c r="Q27" s="75"/>
      <c r="R27" s="75"/>
      <c r="S27" s="76"/>
      <c r="T27" s="75"/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0</v>
      </c>
      <c r="D28" s="8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65"/>
      <c r="D29" s="66"/>
      <c r="E29" s="67"/>
      <c r="F29" s="68"/>
      <c r="G29" s="68"/>
      <c r="H29" s="68"/>
      <c r="I29" s="68"/>
      <c r="J29" s="68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9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6"/>
      <c r="O30" s="75"/>
      <c r="P30" s="75"/>
      <c r="Q30" s="75"/>
      <c r="R30" s="75"/>
      <c r="S30" s="76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04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65"/>
      <c r="D32" s="66"/>
      <c r="E32" s="67"/>
      <c r="F32" s="68"/>
      <c r="G32" s="68"/>
      <c r="H32" s="68"/>
      <c r="I32" s="68"/>
      <c r="J32" s="68"/>
      <c r="K32" s="69"/>
      <c r="L32" s="68"/>
      <c r="M32" s="68"/>
      <c r="N32" s="69"/>
      <c r="O32" s="68"/>
      <c r="P32" s="68"/>
      <c r="Q32" s="68"/>
      <c r="R32" s="68"/>
      <c r="S32" s="69"/>
      <c r="T32" s="68"/>
      <c r="U32" s="68"/>
      <c r="V32" s="68"/>
      <c r="W32" s="69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6"/>
      <c r="O33" s="75"/>
      <c r="P33" s="75"/>
      <c r="Q33" s="75"/>
      <c r="R33" s="75"/>
      <c r="S33" s="76"/>
      <c r="T33" s="75"/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0.8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0</v>
      </c>
      <c r="D34" s="8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2" x14ac:dyDescent="0.2">
      <c r="A35" s="63" t="str">
        <f>IF(COUNTA(E35:AZ35)=1,"1 Valet",COUNTA(E35:AZ35)&amp;" Valets")</f>
        <v>0 Valets</v>
      </c>
      <c r="B35" s="64" t="s">
        <v>22</v>
      </c>
      <c r="C35" s="65"/>
      <c r="D35" s="66"/>
      <c r="E35" s="67"/>
      <c r="F35" s="68"/>
      <c r="G35" s="68"/>
      <c r="H35" s="68"/>
      <c r="I35" s="68"/>
      <c r="J35" s="68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/>
      <c r="V35" s="68"/>
      <c r="W35" s="69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6"/>
      <c r="O36" s="75"/>
      <c r="P36" s="75"/>
      <c r="Q36" s="75"/>
      <c r="R36" s="75"/>
      <c r="S36" s="76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0.8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04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2" x14ac:dyDescent="0.2">
      <c r="A38" s="63" t="str">
        <f>IF(COUNTA(E38:AZ38)=1,"1 Valet",COUNTA(E38:AZ38)&amp;" Valets")</f>
        <v>0 Valets</v>
      </c>
      <c r="B38" s="64" t="s">
        <v>20</v>
      </c>
      <c r="C38" s="65"/>
      <c r="D38" s="66"/>
      <c r="E38" s="67"/>
      <c r="F38" s="68"/>
      <c r="G38" s="68"/>
      <c r="H38" s="68"/>
      <c r="I38" s="68"/>
      <c r="J38" s="68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/>
      <c r="W38" s="69"/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6"/>
      <c r="O39" s="75"/>
      <c r="P39" s="75"/>
      <c r="Q39" s="75"/>
      <c r="R39" s="75"/>
      <c r="S39" s="76"/>
      <c r="T39" s="75"/>
      <c r="U39" s="75"/>
      <c r="V39" s="75"/>
      <c r="W39" s="75"/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0.8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0</v>
      </c>
      <c r="D40" s="8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2" x14ac:dyDescent="0.2">
      <c r="A41" s="63" t="str">
        <f>IF(COUNTA(E41:AZ41)=1,"1 Valet",COUNTA(E41:AZ41)&amp;" Valets")</f>
        <v>0 Valets</v>
      </c>
      <c r="B41" s="64" t="s">
        <v>22</v>
      </c>
      <c r="C41" s="65"/>
      <c r="D41" s="66"/>
      <c r="E41" s="67"/>
      <c r="F41" s="68"/>
      <c r="G41" s="68"/>
      <c r="H41" s="68"/>
      <c r="I41" s="68"/>
      <c r="J41" s="68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9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6"/>
      <c r="O42" s="75"/>
      <c r="P42" s="75"/>
      <c r="Q42" s="75"/>
      <c r="R42" s="75"/>
      <c r="S42" s="76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0.8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04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2" x14ac:dyDescent="0.2">
      <c r="A44" s="63" t="str">
        <f>IF(COUNTA(E44:AZ44)=1,"1 Valet",COUNTA(E44:AZ44)&amp;" Valets")</f>
        <v>0 Valets</v>
      </c>
      <c r="B44" s="64" t="s">
        <v>20</v>
      </c>
      <c r="C44" s="65"/>
      <c r="D44" s="66"/>
      <c r="E44" s="67"/>
      <c r="F44" s="68"/>
      <c r="G44" s="68"/>
      <c r="H44" s="68"/>
      <c r="I44" s="68"/>
      <c r="J44" s="68"/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9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6"/>
      <c r="O45" s="75"/>
      <c r="P45" s="75"/>
      <c r="Q45" s="75"/>
      <c r="R45" s="75"/>
      <c r="S45" s="76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0.8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0</v>
      </c>
      <c r="D46" s="8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2" x14ac:dyDescent="0.2">
      <c r="A47" s="63" t="str">
        <f>IF(COUNTA(E47:AZ47)=1,"1 Valet",COUNTA(E47:AZ47)&amp;" Valets")</f>
        <v>0 Valets</v>
      </c>
      <c r="B47" s="64" t="s">
        <v>22</v>
      </c>
      <c r="C47" s="65"/>
      <c r="D47" s="66"/>
      <c r="E47" s="67"/>
      <c r="F47" s="68"/>
      <c r="G47" s="68"/>
      <c r="H47" s="68"/>
      <c r="I47" s="68"/>
      <c r="J47" s="68"/>
      <c r="K47" s="69"/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9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6"/>
      <c r="O48" s="75"/>
      <c r="P48" s="75"/>
      <c r="Q48" s="75"/>
      <c r="R48" s="75"/>
      <c r="S48" s="76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04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65"/>
      <c r="D50" s="66"/>
      <c r="E50" s="67"/>
      <c r="F50" s="68"/>
      <c r="G50" s="68"/>
      <c r="H50" s="68"/>
      <c r="I50" s="68"/>
      <c r="J50" s="68"/>
      <c r="K50" s="69"/>
      <c r="L50" s="68"/>
      <c r="M50" s="68"/>
      <c r="N50" s="69"/>
      <c r="O50" s="68"/>
      <c r="P50" s="68"/>
      <c r="Q50" s="68"/>
      <c r="R50" s="68"/>
      <c r="S50" s="69"/>
      <c r="T50" s="68"/>
      <c r="U50" s="68"/>
      <c r="V50" s="68"/>
      <c r="W50" s="69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6"/>
      <c r="O51" s="75"/>
      <c r="P51" s="75"/>
      <c r="Q51" s="75"/>
      <c r="R51" s="75"/>
      <c r="S51" s="76"/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0</v>
      </c>
      <c r="D52" s="8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65"/>
      <c r="D53" s="66"/>
      <c r="E53" s="67"/>
      <c r="F53" s="68"/>
      <c r="G53" s="68"/>
      <c r="H53" s="68"/>
      <c r="I53" s="68"/>
      <c r="J53" s="68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9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6"/>
      <c r="O54" s="75"/>
      <c r="P54" s="75"/>
      <c r="Q54" s="75"/>
      <c r="R54" s="75"/>
      <c r="S54" s="76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04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8"/>
      <c r="G56" s="68"/>
      <c r="H56" s="68"/>
      <c r="I56" s="68"/>
      <c r="J56" s="68"/>
      <c r="K56" s="69"/>
      <c r="L56" s="68"/>
      <c r="M56" s="68"/>
      <c r="N56" s="69"/>
      <c r="O56" s="68"/>
      <c r="P56" s="68"/>
      <c r="Q56" s="68"/>
      <c r="R56" s="68"/>
      <c r="S56" s="69"/>
      <c r="T56" s="68"/>
      <c r="U56" s="68"/>
      <c r="V56" s="68"/>
      <c r="W56" s="69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6"/>
      <c r="O57" s="75"/>
      <c r="P57" s="75"/>
      <c r="Q57" s="75"/>
      <c r="R57" s="75"/>
      <c r="S57" s="76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65"/>
      <c r="D59" s="66"/>
      <c r="E59" s="67"/>
      <c r="F59" s="68"/>
      <c r="G59" s="68"/>
      <c r="H59" s="68"/>
      <c r="I59" s="68"/>
      <c r="J59" s="68"/>
      <c r="K59" s="69"/>
      <c r="L59" s="68"/>
      <c r="M59" s="68"/>
      <c r="N59" s="69"/>
      <c r="O59" s="68"/>
      <c r="P59" s="68"/>
      <c r="Q59" s="68"/>
      <c r="R59" s="68"/>
      <c r="S59" s="69"/>
      <c r="T59" s="68"/>
      <c r="U59" s="68"/>
      <c r="V59" s="68"/>
      <c r="W59" s="69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6"/>
      <c r="O60" s="75"/>
      <c r="P60" s="75"/>
      <c r="Q60" s="75"/>
      <c r="R60" s="75"/>
      <c r="S60" s="76"/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04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8"/>
      <c r="G62" s="68"/>
      <c r="H62" s="68"/>
      <c r="I62" s="68"/>
      <c r="J62" s="68"/>
      <c r="K62" s="69"/>
      <c r="L62" s="68"/>
      <c r="M62" s="68"/>
      <c r="N62" s="69"/>
      <c r="O62" s="68"/>
      <c r="P62" s="68"/>
      <c r="Q62" s="68"/>
      <c r="R62" s="68"/>
      <c r="S62" s="69"/>
      <c r="T62" s="68"/>
      <c r="U62" s="68"/>
      <c r="V62" s="68"/>
      <c r="W62" s="69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6"/>
      <c r="O63" s="75"/>
      <c r="P63" s="75"/>
      <c r="Q63" s="75"/>
      <c r="R63" s="75"/>
      <c r="S63" s="76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4" x14ac:dyDescent="0.2">
      <c r="A65" s="63" t="str">
        <f>IF(COUNTA(E65:AZ65)=1,"1 Valet",COUNTA(E65:AZ65)&amp;" Valets")</f>
        <v>0 Valets</v>
      </c>
      <c r="B65" s="64" t="s">
        <v>22</v>
      </c>
      <c r="C65" s="65"/>
      <c r="D65" s="66"/>
      <c r="E65" s="67"/>
      <c r="F65" s="68"/>
      <c r="G65" s="68"/>
      <c r="H65" s="68"/>
      <c r="I65" s="68"/>
      <c r="J65" s="68"/>
      <c r="K65" s="69"/>
      <c r="L65" s="68"/>
      <c r="M65" s="68"/>
      <c r="N65" s="69"/>
      <c r="O65" s="68"/>
      <c r="P65" s="68"/>
      <c r="Q65" s="68"/>
      <c r="R65" s="68"/>
      <c r="S65" s="69"/>
      <c r="T65" s="68"/>
      <c r="U65" s="68"/>
      <c r="V65" s="68"/>
      <c r="W65" s="69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6"/>
      <c r="O66" s="75"/>
      <c r="P66" s="75"/>
      <c r="Q66" s="75"/>
      <c r="R66" s="75"/>
      <c r="S66" s="76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0.8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04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4" x14ac:dyDescent="0.2">
      <c r="A68" s="63" t="str">
        <f>IF(COUNTA(E68:AZ68)=1,"1 Valet",COUNTA(E68:AZ68)&amp;" Valets")</f>
        <v>0 Valets</v>
      </c>
      <c r="B68" s="64" t="s">
        <v>20</v>
      </c>
      <c r="C68" s="65"/>
      <c r="D68" s="66"/>
      <c r="E68" s="67"/>
      <c r="F68" s="68"/>
      <c r="G68" s="68"/>
      <c r="H68" s="68"/>
      <c r="I68" s="68"/>
      <c r="J68" s="68"/>
      <c r="K68" s="69"/>
      <c r="L68" s="68"/>
      <c r="M68" s="68"/>
      <c r="N68" s="69"/>
      <c r="O68" s="68"/>
      <c r="P68" s="68"/>
      <c r="Q68" s="68"/>
      <c r="R68" s="68"/>
      <c r="S68" s="69"/>
      <c r="T68" s="68"/>
      <c r="U68" s="68"/>
      <c r="V68" s="68"/>
      <c r="W68" s="69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6"/>
      <c r="O69" s="75"/>
      <c r="P69" s="75"/>
      <c r="Q69" s="75"/>
      <c r="R69" s="75"/>
      <c r="S69" s="76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0.8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0</v>
      </c>
      <c r="D70" s="8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4" x14ac:dyDescent="0.2">
      <c r="A71" s="63" t="str">
        <f>IF(COUNTA(E71:AZ71)=1,"1 Valet",COUNTA(E71:AZ71)&amp;" Valets")</f>
        <v>0 Valets</v>
      </c>
      <c r="B71" s="64" t="s">
        <v>22</v>
      </c>
      <c r="C71" s="65"/>
      <c r="D71" s="66"/>
      <c r="E71" s="67"/>
      <c r="F71" s="68"/>
      <c r="G71" s="68"/>
      <c r="H71" s="68"/>
      <c r="I71" s="68"/>
      <c r="J71" s="68"/>
      <c r="K71" s="69"/>
      <c r="L71" s="68"/>
      <c r="M71" s="68"/>
      <c r="N71" s="69"/>
      <c r="O71" s="68"/>
      <c r="P71" s="68"/>
      <c r="Q71" s="68"/>
      <c r="R71" s="68"/>
      <c r="S71" s="69"/>
      <c r="T71" s="68"/>
      <c r="U71" s="68"/>
      <c r="V71" s="68"/>
      <c r="W71" s="69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6"/>
      <c r="O72" s="75"/>
      <c r="P72" s="75"/>
      <c r="Q72" s="75"/>
      <c r="R72" s="75"/>
      <c r="S72" s="76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0.8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04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  <c r="BA73" s="402"/>
      <c r="BB73" s="402"/>
    </row>
    <row r="74" spans="1:54" x14ac:dyDescent="0.2">
      <c r="A74" s="63" t="str">
        <f>IF(COUNTA(E74:AZ74)=1,"1 Valet",COUNTA(E74:AZ74)&amp;" Valets")</f>
        <v>0 Valets</v>
      </c>
      <c r="B74" s="64" t="s">
        <v>20</v>
      </c>
      <c r="C74" s="65"/>
      <c r="D74" s="66"/>
      <c r="E74" s="67"/>
      <c r="F74" s="68"/>
      <c r="G74" s="68"/>
      <c r="H74" s="68"/>
      <c r="I74" s="68"/>
      <c r="J74" s="68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9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6"/>
      <c r="O75" s="75"/>
      <c r="P75" s="75"/>
      <c r="Q75" s="75"/>
      <c r="R75" s="75"/>
      <c r="S75" s="76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0.8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0</v>
      </c>
      <c r="D76" s="8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  <c r="BA76" s="402"/>
      <c r="BB76" s="402"/>
    </row>
    <row r="77" spans="1:54" x14ac:dyDescent="0.2">
      <c r="A77" s="63" t="str">
        <f>IF(COUNTA(E77:AZ77)=1,"1 Valet",COUNTA(E77:AZ77)&amp;" Valets")</f>
        <v>0 Valets</v>
      </c>
      <c r="B77" s="64" t="s">
        <v>22</v>
      </c>
      <c r="C77" s="65"/>
      <c r="D77" s="66"/>
      <c r="E77" s="67"/>
      <c r="F77" s="68"/>
      <c r="G77" s="68"/>
      <c r="H77" s="68"/>
      <c r="I77" s="68"/>
      <c r="J77" s="68"/>
      <c r="K77" s="69"/>
      <c r="L77" s="68"/>
      <c r="M77" s="68"/>
      <c r="N77" s="69"/>
      <c r="O77" s="68"/>
      <c r="P77" s="68"/>
      <c r="Q77" s="68"/>
      <c r="R77" s="68"/>
      <c r="S77" s="69"/>
      <c r="T77" s="68"/>
      <c r="U77" s="68"/>
      <c r="V77" s="68"/>
      <c r="W77" s="69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6"/>
      <c r="O78" s="75"/>
      <c r="P78" s="75"/>
      <c r="Q78" s="75"/>
      <c r="R78" s="75"/>
      <c r="S78" s="76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0.8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04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4" x14ac:dyDescent="0.2">
      <c r="A80" s="63" t="str">
        <f>IF(COUNTA(E80:AZ80)=1,"1 Valet",COUNTA(E80:AZ80)&amp;" Valets")</f>
        <v>0 Valets</v>
      </c>
      <c r="B80" s="64" t="s">
        <v>20</v>
      </c>
      <c r="C80" s="65"/>
      <c r="D80" s="66"/>
      <c r="E80" s="67"/>
      <c r="F80" s="68"/>
      <c r="G80" s="68"/>
      <c r="H80" s="68"/>
      <c r="I80" s="68"/>
      <c r="J80" s="68"/>
      <c r="K80" s="69"/>
      <c r="L80" s="68"/>
      <c r="M80" s="68"/>
      <c r="N80" s="69"/>
      <c r="O80" s="68"/>
      <c r="P80" s="68"/>
      <c r="Q80" s="68"/>
      <c r="R80" s="68"/>
      <c r="S80" s="69"/>
      <c r="T80" s="68"/>
      <c r="U80" s="68"/>
      <c r="V80" s="68"/>
      <c r="W80" s="69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6"/>
      <c r="O81" s="75"/>
      <c r="P81" s="75"/>
      <c r="Q81" s="75"/>
      <c r="R81" s="75"/>
      <c r="S81" s="76"/>
      <c r="T81" s="75"/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0</v>
      </c>
      <c r="D82" s="8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65"/>
      <c r="D83" s="66"/>
      <c r="E83" s="67"/>
      <c r="F83" s="68"/>
      <c r="G83" s="68"/>
      <c r="H83" s="68"/>
      <c r="I83" s="68"/>
      <c r="J83" s="68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9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6"/>
      <c r="O84" s="75"/>
      <c r="P84" s="75"/>
      <c r="Q84" s="75"/>
      <c r="R84" s="75"/>
      <c r="S84" s="76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04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65"/>
      <c r="D86" s="66"/>
      <c r="E86" s="67"/>
      <c r="F86" s="68"/>
      <c r="G86" s="68"/>
      <c r="H86" s="68"/>
      <c r="I86" s="68"/>
      <c r="J86" s="68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9"/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6"/>
      <c r="O87" s="75"/>
      <c r="P87" s="75"/>
      <c r="Q87" s="75"/>
      <c r="R87" s="75"/>
      <c r="S87" s="76"/>
      <c r="T87" s="75"/>
      <c r="U87" s="75"/>
      <c r="V87" s="75"/>
      <c r="W87" s="75"/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0</v>
      </c>
      <c r="D88" s="8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65"/>
      <c r="D89" s="66"/>
      <c r="E89" s="67"/>
      <c r="F89" s="68"/>
      <c r="G89" s="68"/>
      <c r="H89" s="68"/>
      <c r="I89" s="68"/>
      <c r="J89" s="68"/>
      <c r="K89" s="69"/>
      <c r="L89" s="68"/>
      <c r="M89" s="68"/>
      <c r="N89" s="69"/>
      <c r="O89" s="68"/>
      <c r="P89" s="68"/>
      <c r="Q89" s="68"/>
      <c r="R89" s="68"/>
      <c r="S89" s="69"/>
      <c r="T89" s="68"/>
      <c r="U89" s="68"/>
      <c r="V89" s="68"/>
      <c r="W89" s="69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6"/>
      <c r="O90" s="75"/>
      <c r="P90" s="75"/>
      <c r="Q90" s="75"/>
      <c r="R90" s="75"/>
      <c r="S90" s="76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04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8"/>
      <c r="G92" s="68"/>
      <c r="H92" s="68"/>
      <c r="I92" s="68"/>
      <c r="J92" s="68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9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6"/>
      <c r="O93" s="75"/>
      <c r="P93" s="75"/>
      <c r="Q93" s="75"/>
      <c r="R93" s="75"/>
      <c r="S93" s="76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8"/>
      <c r="G95" s="68"/>
      <c r="H95" s="68"/>
      <c r="I95" s="68"/>
      <c r="J95" s="68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9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6"/>
      <c r="O96" s="75"/>
      <c r="P96" s="75"/>
      <c r="Q96" s="75"/>
      <c r="R96" s="75"/>
      <c r="S96" s="76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0.8" thickBot="1" x14ac:dyDescent="0.25">
      <c r="A99" s="100"/>
      <c r="B99" s="101" t="s">
        <v>3</v>
      </c>
      <c r="C99" s="102">
        <f>SUM(C100:C101)</f>
        <v>0</v>
      </c>
      <c r="D99" s="103">
        <f>C100*15+(SUM(E99:AZ99)-C100)*13.5</f>
        <v>0</v>
      </c>
      <c r="E99" s="102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0.8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JOoB57Jnzz7vcrLso0SxJVMDyhHxX3iy7cd6KLeTjLVptJmC5yweylWgTbkl4jhs0YprQdPfPBqC0qOufrQI5A==" saltValue="2mtb58ovYr2HkI3UPz2B2A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22" priority="66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21" priority="65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20" priority="63">
      <formula>Y4&gt;10</formula>
    </cfRule>
  </conditionalFormatting>
  <conditionalFormatting sqref="T97:X97">
    <cfRule type="expression" dxfId="19" priority="54">
      <formula>T97&gt;10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29:AZ30 E95:AZ96 E92:AZ93 E89:AZ90 E86:AZ87 E83:AZ84 E80:AZ81 E77:AZ78 E74:AZ75 E71:AZ72 E68:AZ69 E65:AZ66 E62:AZ63 E59:AZ60 E56:AZ57 E53:AZ54 E50:AZ51 E47:AZ48 E44:AZ45 E41:AZ42 E38:AZ39 E35:AZ36 E26:AZ27 E23:AZ24 E14:AZ15 E8:AZ9 E5:AZ6 E2:AZ3 E11:AZ12 E20:AZ21 E32:AZ33 E17:AZ18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546875" defaultRowHeight="10.199999999999999" x14ac:dyDescent="0.2"/>
  <cols>
    <col min="1" max="1" width="10.33203125" style="127" bestFit="1" customWidth="1"/>
    <col min="2" max="2" width="11.5546875" style="62" bestFit="1" customWidth="1"/>
    <col min="3" max="3" width="9.6640625" style="88" bestFit="1" customWidth="1"/>
    <col min="4" max="4" width="6.44140625" style="121" bestFit="1" customWidth="1"/>
    <col min="5" max="5" width="4.44140625" style="128" bestFit="1" customWidth="1"/>
    <col min="6" max="6" width="4.44140625" style="89" bestFit="1" customWidth="1"/>
    <col min="7" max="10" width="4.44140625" style="110" bestFit="1" customWidth="1"/>
    <col min="11" max="12" width="4.44140625" style="89" bestFit="1" customWidth="1"/>
    <col min="13" max="52" width="4.44140625" style="110" bestFit="1" customWidth="1"/>
    <col min="53" max="16384" width="7.5546875" style="62"/>
  </cols>
  <sheetData>
    <row r="1" spans="1:52" s="131" customFormat="1" ht="10.8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/>
      <c r="F1" s="59"/>
      <c r="G1" s="59"/>
      <c r="H1" s="59"/>
      <c r="I1" s="59"/>
      <c r="J1" s="59"/>
      <c r="K1" s="60"/>
      <c r="L1" s="59"/>
      <c r="M1" s="59"/>
      <c r="N1" s="60"/>
      <c r="O1" s="59"/>
      <c r="P1" s="59"/>
      <c r="Q1" s="59"/>
      <c r="R1" s="60"/>
      <c r="S1" s="60"/>
      <c r="T1" s="60"/>
      <c r="U1" s="59"/>
      <c r="V1" s="59"/>
      <c r="W1" s="59"/>
      <c r="X1" s="60"/>
      <c r="Y1" s="59"/>
      <c r="Z1" s="59"/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0 Valets</v>
      </c>
      <c r="B2" s="64" t="s">
        <v>20</v>
      </c>
      <c r="C2" s="132"/>
      <c r="D2" s="66"/>
      <c r="E2" s="67"/>
      <c r="F2" s="68"/>
      <c r="G2" s="68"/>
      <c r="H2" s="68"/>
      <c r="I2" s="68"/>
      <c r="J2" s="68"/>
      <c r="K2" s="69"/>
      <c r="L2" s="68"/>
      <c r="M2" s="69"/>
      <c r="N2" s="69"/>
      <c r="O2" s="68"/>
      <c r="P2" s="68"/>
      <c r="Q2" s="69"/>
      <c r="R2" s="68"/>
      <c r="S2" s="69"/>
      <c r="T2" s="68"/>
      <c r="U2" s="68"/>
      <c r="V2" s="68"/>
      <c r="W2" s="68"/>
      <c r="X2" s="68"/>
      <c r="Y2" s="69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5"/>
      <c r="H3" s="75"/>
      <c r="I3" s="75"/>
      <c r="J3" s="75"/>
      <c r="K3" s="76"/>
      <c r="L3" s="75"/>
      <c r="M3" s="75"/>
      <c r="N3" s="76"/>
      <c r="O3" s="75"/>
      <c r="P3" s="75"/>
      <c r="Q3" s="75"/>
      <c r="R3" s="75"/>
      <c r="S3" s="76"/>
      <c r="T3" s="75"/>
      <c r="U3" s="75"/>
      <c r="V3" s="75"/>
      <c r="W3" s="75"/>
      <c r="X3" s="75"/>
      <c r="Y3" s="76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0.8" thickBot="1" x14ac:dyDescent="0.25">
      <c r="A4" s="78">
        <f>IF(PayDay1&lt;&gt;"",PayDay1,"")</f>
        <v>42537</v>
      </c>
      <c r="B4" s="79" t="s">
        <v>47</v>
      </c>
      <c r="C4" s="80">
        <f>SHIFT(E2:AZ2,E3:AZ3,C3)</f>
        <v>0</v>
      </c>
      <c r="D4" s="421">
        <f>C4*15+(SUM(E4:AZ4)-C4)*13.5</f>
        <v>0</v>
      </c>
      <c r="E4" s="82">
        <f t="shared" ref="E4:AZ4" si="0">HRS(E2,E3)</f>
        <v>0</v>
      </c>
      <c r="F4" s="83">
        <f t="shared" si="0"/>
        <v>0</v>
      </c>
      <c r="G4" s="83">
        <f t="shared" si="0"/>
        <v>0</v>
      </c>
      <c r="H4" s="83">
        <f t="shared" si="0"/>
        <v>0</v>
      </c>
      <c r="I4" s="83">
        <f t="shared" si="0"/>
        <v>0</v>
      </c>
      <c r="J4" s="83">
        <f t="shared" si="0"/>
        <v>0</v>
      </c>
      <c r="K4" s="83">
        <f t="shared" si="0"/>
        <v>0</v>
      </c>
      <c r="L4" s="83">
        <f t="shared" si="0"/>
        <v>0</v>
      </c>
      <c r="M4" s="83">
        <f t="shared" si="0"/>
        <v>0</v>
      </c>
      <c r="N4" s="83">
        <f t="shared" si="0"/>
        <v>0</v>
      </c>
      <c r="O4" s="83">
        <f t="shared" si="0"/>
        <v>0</v>
      </c>
      <c r="P4" s="83">
        <f t="shared" si="0"/>
        <v>0</v>
      </c>
      <c r="Q4" s="83">
        <f t="shared" si="0"/>
        <v>0</v>
      </c>
      <c r="R4" s="83">
        <f t="shared" si="0"/>
        <v>0</v>
      </c>
      <c r="S4" s="83">
        <f t="shared" si="0"/>
        <v>0</v>
      </c>
      <c r="T4" s="83">
        <f t="shared" si="0"/>
        <v>0</v>
      </c>
      <c r="U4" s="83">
        <f t="shared" si="0"/>
        <v>0</v>
      </c>
      <c r="V4" s="83">
        <f t="shared" si="0"/>
        <v>0</v>
      </c>
      <c r="W4" s="83">
        <f t="shared" si="0"/>
        <v>0</v>
      </c>
      <c r="X4" s="83">
        <f t="shared" si="0"/>
        <v>0</v>
      </c>
      <c r="Y4" s="83">
        <f t="shared" si="0"/>
        <v>0</v>
      </c>
      <c r="Z4" s="83">
        <f t="shared" si="0"/>
        <v>0</v>
      </c>
      <c r="AA4" s="83">
        <f t="shared" si="0"/>
        <v>0</v>
      </c>
      <c r="AB4" s="83">
        <f t="shared" si="0"/>
        <v>0</v>
      </c>
      <c r="AC4" s="83">
        <f t="shared" si="0"/>
        <v>0</v>
      </c>
      <c r="AD4" s="83">
        <f t="shared" si="0"/>
        <v>0</v>
      </c>
      <c r="AE4" s="83">
        <f t="shared" si="0"/>
        <v>0</v>
      </c>
      <c r="AF4" s="83">
        <f t="shared" si="0"/>
        <v>0</v>
      </c>
      <c r="AG4" s="83">
        <f t="shared" si="0"/>
        <v>0</v>
      </c>
      <c r="AH4" s="83">
        <f t="shared" si="0"/>
        <v>0</v>
      </c>
      <c r="AI4" s="83">
        <f t="shared" si="0"/>
        <v>0</v>
      </c>
      <c r="AJ4" s="83">
        <f t="shared" si="0"/>
        <v>0</v>
      </c>
      <c r="AK4" s="83">
        <f t="shared" si="0"/>
        <v>0</v>
      </c>
      <c r="AL4" s="83">
        <f t="shared" si="0"/>
        <v>0</v>
      </c>
      <c r="AM4" s="83">
        <f t="shared" si="0"/>
        <v>0</v>
      </c>
      <c r="AN4" s="83">
        <f t="shared" si="0"/>
        <v>0</v>
      </c>
      <c r="AO4" s="83">
        <f t="shared" si="0"/>
        <v>0</v>
      </c>
      <c r="AP4" s="83">
        <f t="shared" si="0"/>
        <v>0</v>
      </c>
      <c r="AQ4" s="83">
        <f t="shared" si="0"/>
        <v>0</v>
      </c>
      <c r="AR4" s="83">
        <f t="shared" si="0"/>
        <v>0</v>
      </c>
      <c r="AS4" s="83">
        <f t="shared" si="0"/>
        <v>0</v>
      </c>
      <c r="AT4" s="83">
        <f t="shared" si="0"/>
        <v>0</v>
      </c>
      <c r="AU4" s="83">
        <f t="shared" si="0"/>
        <v>0</v>
      </c>
      <c r="AV4" s="83">
        <f t="shared" si="0"/>
        <v>0</v>
      </c>
      <c r="AW4" s="83">
        <f t="shared" si="0"/>
        <v>0</v>
      </c>
      <c r="AX4" s="83">
        <f t="shared" si="0"/>
        <v>0</v>
      </c>
      <c r="AY4" s="83">
        <f t="shared" si="0"/>
        <v>0</v>
      </c>
      <c r="AZ4" s="84">
        <f t="shared" si="0"/>
        <v>0</v>
      </c>
    </row>
    <row r="5" spans="1:52" s="71" customFormat="1" x14ac:dyDescent="0.2">
      <c r="A5" s="63" t="str">
        <f>IF(COUNTA(E5:AZ5)=1,"1 Valet",COUNTA(E5:AZ5)&amp;" Valets")</f>
        <v>0 Valets</v>
      </c>
      <c r="B5" s="64" t="s">
        <v>22</v>
      </c>
      <c r="C5" s="132"/>
      <c r="D5" s="66"/>
      <c r="E5" s="67"/>
      <c r="F5" s="68"/>
      <c r="G5" s="68"/>
      <c r="H5" s="68"/>
      <c r="I5" s="68"/>
      <c r="J5" s="68"/>
      <c r="K5" s="69"/>
      <c r="L5" s="68"/>
      <c r="M5" s="69"/>
      <c r="N5" s="69"/>
      <c r="O5" s="68"/>
      <c r="P5" s="68"/>
      <c r="Q5" s="69"/>
      <c r="R5" s="68"/>
      <c r="S5" s="69"/>
      <c r="T5" s="68"/>
      <c r="U5" s="68"/>
      <c r="V5" s="68"/>
      <c r="W5" s="68"/>
      <c r="X5" s="68"/>
      <c r="Y5" s="69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5"/>
      <c r="H6" s="75"/>
      <c r="I6" s="75"/>
      <c r="J6" s="75"/>
      <c r="K6" s="76"/>
      <c r="L6" s="75"/>
      <c r="M6" s="75"/>
      <c r="N6" s="76"/>
      <c r="O6" s="75"/>
      <c r="P6" s="75"/>
      <c r="Q6" s="75"/>
      <c r="R6" s="75"/>
      <c r="S6" s="76"/>
      <c r="T6" s="75"/>
      <c r="U6" s="75"/>
      <c r="V6" s="75"/>
      <c r="W6" s="75"/>
      <c r="X6" s="75"/>
      <c r="Y6" s="76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0.8" thickBot="1" x14ac:dyDescent="0.25">
      <c r="A7" s="86">
        <f>A4</f>
        <v>42537</v>
      </c>
      <c r="B7" s="87" t="s">
        <v>46</v>
      </c>
      <c r="C7" s="403">
        <f>SHIFT(E5:AZ5,E6:AZ6,C6)</f>
        <v>0</v>
      </c>
      <c r="D7" s="422">
        <f>C7*15+(SUM(E7:AZ7)-C7)*13.5</f>
        <v>0</v>
      </c>
      <c r="E7" s="82">
        <f t="shared" ref="E7:AZ7" si="1">HRS(E5,E6)</f>
        <v>0</v>
      </c>
      <c r="F7" s="83">
        <f t="shared" si="1"/>
        <v>0</v>
      </c>
      <c r="G7" s="83">
        <f t="shared" si="1"/>
        <v>0</v>
      </c>
      <c r="H7" s="83">
        <f t="shared" si="1"/>
        <v>0</v>
      </c>
      <c r="I7" s="83">
        <f t="shared" si="1"/>
        <v>0</v>
      </c>
      <c r="J7" s="83">
        <f t="shared" si="1"/>
        <v>0</v>
      </c>
      <c r="K7" s="83">
        <f t="shared" si="1"/>
        <v>0</v>
      </c>
      <c r="L7" s="83">
        <f t="shared" si="1"/>
        <v>0</v>
      </c>
      <c r="M7" s="83">
        <f t="shared" si="1"/>
        <v>0</v>
      </c>
      <c r="N7" s="83">
        <f t="shared" si="1"/>
        <v>0</v>
      </c>
      <c r="O7" s="83">
        <f t="shared" si="1"/>
        <v>0</v>
      </c>
      <c r="P7" s="83">
        <f t="shared" si="1"/>
        <v>0</v>
      </c>
      <c r="Q7" s="83">
        <f t="shared" si="1"/>
        <v>0</v>
      </c>
      <c r="R7" s="83">
        <f t="shared" si="1"/>
        <v>0</v>
      </c>
      <c r="S7" s="83">
        <f t="shared" si="1"/>
        <v>0</v>
      </c>
      <c r="T7" s="83">
        <f t="shared" si="1"/>
        <v>0</v>
      </c>
      <c r="U7" s="83">
        <f t="shared" si="1"/>
        <v>0</v>
      </c>
      <c r="V7" s="83">
        <f t="shared" si="1"/>
        <v>0</v>
      </c>
      <c r="W7" s="83">
        <f t="shared" si="1"/>
        <v>0</v>
      </c>
      <c r="X7" s="83">
        <f t="shared" si="1"/>
        <v>0</v>
      </c>
      <c r="Y7" s="83">
        <f t="shared" si="1"/>
        <v>0</v>
      </c>
      <c r="Z7" s="83">
        <f t="shared" si="1"/>
        <v>0</v>
      </c>
      <c r="AA7" s="83">
        <f t="shared" si="1"/>
        <v>0</v>
      </c>
      <c r="AB7" s="83">
        <f t="shared" si="1"/>
        <v>0</v>
      </c>
      <c r="AC7" s="83">
        <f t="shared" si="1"/>
        <v>0</v>
      </c>
      <c r="AD7" s="83">
        <f t="shared" si="1"/>
        <v>0</v>
      </c>
      <c r="AE7" s="83">
        <f t="shared" si="1"/>
        <v>0</v>
      </c>
      <c r="AF7" s="83">
        <f t="shared" si="1"/>
        <v>0</v>
      </c>
      <c r="AG7" s="83">
        <f t="shared" si="1"/>
        <v>0</v>
      </c>
      <c r="AH7" s="83">
        <f t="shared" si="1"/>
        <v>0</v>
      </c>
      <c r="AI7" s="83">
        <f t="shared" si="1"/>
        <v>0</v>
      </c>
      <c r="AJ7" s="83">
        <f t="shared" si="1"/>
        <v>0</v>
      </c>
      <c r="AK7" s="83">
        <f t="shared" si="1"/>
        <v>0</v>
      </c>
      <c r="AL7" s="83">
        <f t="shared" si="1"/>
        <v>0</v>
      </c>
      <c r="AM7" s="83">
        <f t="shared" si="1"/>
        <v>0</v>
      </c>
      <c r="AN7" s="83">
        <f t="shared" si="1"/>
        <v>0</v>
      </c>
      <c r="AO7" s="83">
        <f t="shared" si="1"/>
        <v>0</v>
      </c>
      <c r="AP7" s="83">
        <f t="shared" si="1"/>
        <v>0</v>
      </c>
      <c r="AQ7" s="83">
        <f t="shared" si="1"/>
        <v>0</v>
      </c>
      <c r="AR7" s="83">
        <f t="shared" si="1"/>
        <v>0</v>
      </c>
      <c r="AS7" s="83">
        <f t="shared" si="1"/>
        <v>0</v>
      </c>
      <c r="AT7" s="83">
        <f t="shared" si="1"/>
        <v>0</v>
      </c>
      <c r="AU7" s="83">
        <f t="shared" si="1"/>
        <v>0</v>
      </c>
      <c r="AV7" s="83">
        <f t="shared" si="1"/>
        <v>0</v>
      </c>
      <c r="AW7" s="83">
        <f t="shared" si="1"/>
        <v>0</v>
      </c>
      <c r="AX7" s="83">
        <f t="shared" si="1"/>
        <v>0</v>
      </c>
      <c r="AY7" s="83">
        <f t="shared" si="1"/>
        <v>0</v>
      </c>
      <c r="AZ7" s="84">
        <f t="shared" si="1"/>
        <v>0</v>
      </c>
    </row>
    <row r="8" spans="1:52" x14ac:dyDescent="0.2">
      <c r="A8" s="63" t="str">
        <f>IF(COUNTA(E8:AZ8)=1,"1 Valet",COUNTA(E8:AZ8)&amp;" Valets")</f>
        <v>0 Valets</v>
      </c>
      <c r="B8" s="64" t="s">
        <v>20</v>
      </c>
      <c r="C8" s="132"/>
      <c r="D8" s="66"/>
      <c r="E8" s="67"/>
      <c r="F8" s="68"/>
      <c r="G8" s="68"/>
      <c r="H8" s="68"/>
      <c r="I8" s="68"/>
      <c r="J8" s="68"/>
      <c r="K8" s="69"/>
      <c r="L8" s="68"/>
      <c r="M8" s="69"/>
      <c r="N8" s="69"/>
      <c r="O8" s="68"/>
      <c r="P8" s="68"/>
      <c r="Q8" s="69"/>
      <c r="R8" s="68"/>
      <c r="S8" s="69"/>
      <c r="T8" s="68"/>
      <c r="U8" s="68"/>
      <c r="V8" s="68"/>
      <c r="W8" s="68"/>
      <c r="X8" s="68"/>
      <c r="Y8" s="69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5"/>
      <c r="H9" s="75"/>
      <c r="I9" s="75"/>
      <c r="J9" s="75"/>
      <c r="K9" s="76"/>
      <c r="L9" s="75"/>
      <c r="M9" s="75"/>
      <c r="N9" s="76"/>
      <c r="O9" s="75"/>
      <c r="P9" s="75"/>
      <c r="Q9" s="75"/>
      <c r="R9" s="75"/>
      <c r="S9" s="76"/>
      <c r="T9" s="75"/>
      <c r="U9" s="75"/>
      <c r="V9" s="75"/>
      <c r="W9" s="75"/>
      <c r="X9" s="75"/>
      <c r="Y9" s="76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0.8" thickBot="1" x14ac:dyDescent="0.25">
      <c r="A10" s="78">
        <f>IF(PayDay2&lt;&gt;"",PayDay2,"")</f>
        <v>42538</v>
      </c>
      <c r="B10" s="79" t="s">
        <v>47</v>
      </c>
      <c r="C10" s="80">
        <f>SHIFT(E8:AZ8,E9:AZ9,C9)</f>
        <v>0</v>
      </c>
      <c r="D10" s="421">
        <f>C10*15+(SUM(E10:AZ10)-C10)*13.5</f>
        <v>0</v>
      </c>
      <c r="E10" s="82">
        <f t="shared" ref="E10:AZ10" si="2">HRS(E8,E9)</f>
        <v>0</v>
      </c>
      <c r="F10" s="83">
        <f t="shared" si="2"/>
        <v>0</v>
      </c>
      <c r="G10" s="83">
        <f t="shared" si="2"/>
        <v>0</v>
      </c>
      <c r="H10" s="83">
        <f t="shared" si="2"/>
        <v>0</v>
      </c>
      <c r="I10" s="83">
        <f t="shared" si="2"/>
        <v>0</v>
      </c>
      <c r="J10" s="83">
        <f t="shared" si="2"/>
        <v>0</v>
      </c>
      <c r="K10" s="83">
        <f t="shared" si="2"/>
        <v>0</v>
      </c>
      <c r="L10" s="83">
        <f t="shared" si="2"/>
        <v>0</v>
      </c>
      <c r="M10" s="83">
        <f t="shared" si="2"/>
        <v>0</v>
      </c>
      <c r="N10" s="83">
        <f t="shared" si="2"/>
        <v>0</v>
      </c>
      <c r="O10" s="83">
        <f t="shared" si="2"/>
        <v>0</v>
      </c>
      <c r="P10" s="83">
        <f t="shared" si="2"/>
        <v>0</v>
      </c>
      <c r="Q10" s="83">
        <f t="shared" si="2"/>
        <v>0</v>
      </c>
      <c r="R10" s="83">
        <f t="shared" si="2"/>
        <v>0</v>
      </c>
      <c r="S10" s="83">
        <f t="shared" si="2"/>
        <v>0</v>
      </c>
      <c r="T10" s="83">
        <f t="shared" si="2"/>
        <v>0</v>
      </c>
      <c r="U10" s="83">
        <f t="shared" si="2"/>
        <v>0</v>
      </c>
      <c r="V10" s="83">
        <f t="shared" si="2"/>
        <v>0</v>
      </c>
      <c r="W10" s="83">
        <f t="shared" si="2"/>
        <v>0</v>
      </c>
      <c r="X10" s="83">
        <f t="shared" si="2"/>
        <v>0</v>
      </c>
      <c r="Y10" s="83">
        <f t="shared" si="2"/>
        <v>0</v>
      </c>
      <c r="Z10" s="83">
        <f t="shared" si="2"/>
        <v>0</v>
      </c>
      <c r="AA10" s="83">
        <f t="shared" si="2"/>
        <v>0</v>
      </c>
      <c r="AB10" s="83">
        <f t="shared" si="2"/>
        <v>0</v>
      </c>
      <c r="AC10" s="83">
        <f t="shared" si="2"/>
        <v>0</v>
      </c>
      <c r="AD10" s="83">
        <f t="shared" si="2"/>
        <v>0</v>
      </c>
      <c r="AE10" s="83">
        <f t="shared" si="2"/>
        <v>0</v>
      </c>
      <c r="AF10" s="83">
        <f t="shared" si="2"/>
        <v>0</v>
      </c>
      <c r="AG10" s="83">
        <f t="shared" si="2"/>
        <v>0</v>
      </c>
      <c r="AH10" s="83">
        <f t="shared" si="2"/>
        <v>0</v>
      </c>
      <c r="AI10" s="83">
        <f t="shared" si="2"/>
        <v>0</v>
      </c>
      <c r="AJ10" s="83">
        <f t="shared" si="2"/>
        <v>0</v>
      </c>
      <c r="AK10" s="83">
        <f t="shared" si="2"/>
        <v>0</v>
      </c>
      <c r="AL10" s="83">
        <f t="shared" si="2"/>
        <v>0</v>
      </c>
      <c r="AM10" s="83">
        <f t="shared" si="2"/>
        <v>0</v>
      </c>
      <c r="AN10" s="83">
        <f t="shared" si="2"/>
        <v>0</v>
      </c>
      <c r="AO10" s="83">
        <f t="shared" si="2"/>
        <v>0</v>
      </c>
      <c r="AP10" s="83">
        <f t="shared" si="2"/>
        <v>0</v>
      </c>
      <c r="AQ10" s="83">
        <f t="shared" si="2"/>
        <v>0</v>
      </c>
      <c r="AR10" s="83">
        <f t="shared" si="2"/>
        <v>0</v>
      </c>
      <c r="AS10" s="83">
        <f t="shared" si="2"/>
        <v>0</v>
      </c>
      <c r="AT10" s="83">
        <f t="shared" si="2"/>
        <v>0</v>
      </c>
      <c r="AU10" s="83">
        <f t="shared" si="2"/>
        <v>0</v>
      </c>
      <c r="AV10" s="83">
        <f t="shared" si="2"/>
        <v>0</v>
      </c>
      <c r="AW10" s="83">
        <f t="shared" si="2"/>
        <v>0</v>
      </c>
      <c r="AX10" s="83">
        <f t="shared" si="2"/>
        <v>0</v>
      </c>
      <c r="AY10" s="83">
        <f t="shared" si="2"/>
        <v>0</v>
      </c>
      <c r="AZ10" s="84">
        <f t="shared" si="2"/>
        <v>0</v>
      </c>
    </row>
    <row r="11" spans="1:52" x14ac:dyDescent="0.2">
      <c r="A11" s="63" t="str">
        <f>IF(COUNTA(E11:AZ11)=1,"1 Valet",COUNTA(E11:AZ11)&amp;" Valets")</f>
        <v>0 Valets</v>
      </c>
      <c r="B11" s="64" t="s">
        <v>22</v>
      </c>
      <c r="C11" s="132"/>
      <c r="D11" s="66"/>
      <c r="E11" s="67"/>
      <c r="F11" s="68"/>
      <c r="G11" s="68"/>
      <c r="H11" s="68"/>
      <c r="I11" s="68"/>
      <c r="J11" s="68"/>
      <c r="K11" s="69"/>
      <c r="L11" s="68"/>
      <c r="M11" s="69"/>
      <c r="N11" s="69"/>
      <c r="O11" s="68"/>
      <c r="P11" s="68"/>
      <c r="Q11" s="69"/>
      <c r="R11" s="68"/>
      <c r="S11" s="69"/>
      <c r="T11" s="68"/>
      <c r="U11" s="68"/>
      <c r="V11" s="68"/>
      <c r="W11" s="68"/>
      <c r="X11" s="68"/>
      <c r="Y11" s="69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/>
      <c r="F12" s="75"/>
      <c r="G12" s="75"/>
      <c r="H12" s="75"/>
      <c r="I12" s="75"/>
      <c r="J12" s="75"/>
      <c r="K12" s="76"/>
      <c r="L12" s="75"/>
      <c r="M12" s="75"/>
      <c r="N12" s="76"/>
      <c r="O12" s="75"/>
      <c r="P12" s="75"/>
      <c r="Q12" s="75"/>
      <c r="R12" s="75"/>
      <c r="S12" s="76"/>
      <c r="T12" s="75"/>
      <c r="U12" s="75"/>
      <c r="V12" s="75"/>
      <c r="W12" s="75"/>
      <c r="X12" s="75"/>
      <c r="Y12" s="76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0.8" thickBot="1" x14ac:dyDescent="0.25">
      <c r="A13" s="86">
        <f>A10</f>
        <v>42538</v>
      </c>
      <c r="B13" s="87" t="s">
        <v>46</v>
      </c>
      <c r="C13" s="403">
        <f>SHIFT(E11:AZ11,E12:AZ12,C12)</f>
        <v>0</v>
      </c>
      <c r="D13" s="422">
        <f>C13*15+(SUM(E13:AZ13)-C13)*13.5</f>
        <v>0</v>
      </c>
      <c r="E13" s="82">
        <f t="shared" ref="E13:AZ13" si="3">HRS(E11,E12)</f>
        <v>0</v>
      </c>
      <c r="F13" s="83">
        <f t="shared" si="3"/>
        <v>0</v>
      </c>
      <c r="G13" s="83">
        <f t="shared" si="3"/>
        <v>0</v>
      </c>
      <c r="H13" s="83">
        <f t="shared" si="3"/>
        <v>0</v>
      </c>
      <c r="I13" s="83">
        <f t="shared" si="3"/>
        <v>0</v>
      </c>
      <c r="J13" s="83">
        <f t="shared" si="3"/>
        <v>0</v>
      </c>
      <c r="K13" s="83">
        <f t="shared" si="3"/>
        <v>0</v>
      </c>
      <c r="L13" s="83">
        <f t="shared" si="3"/>
        <v>0</v>
      </c>
      <c r="M13" s="83">
        <f t="shared" si="3"/>
        <v>0</v>
      </c>
      <c r="N13" s="83">
        <f t="shared" si="3"/>
        <v>0</v>
      </c>
      <c r="O13" s="83">
        <f t="shared" si="3"/>
        <v>0</v>
      </c>
      <c r="P13" s="83">
        <f t="shared" si="3"/>
        <v>0</v>
      </c>
      <c r="Q13" s="83">
        <f t="shared" si="3"/>
        <v>0</v>
      </c>
      <c r="R13" s="83">
        <f t="shared" si="3"/>
        <v>0</v>
      </c>
      <c r="S13" s="83">
        <f t="shared" si="3"/>
        <v>0</v>
      </c>
      <c r="T13" s="83">
        <f t="shared" si="3"/>
        <v>0</v>
      </c>
      <c r="U13" s="83">
        <f t="shared" si="3"/>
        <v>0</v>
      </c>
      <c r="V13" s="83">
        <f t="shared" si="3"/>
        <v>0</v>
      </c>
      <c r="W13" s="83">
        <f t="shared" si="3"/>
        <v>0</v>
      </c>
      <c r="X13" s="83">
        <f t="shared" si="3"/>
        <v>0</v>
      </c>
      <c r="Y13" s="83">
        <f t="shared" si="3"/>
        <v>0</v>
      </c>
      <c r="Z13" s="83">
        <f t="shared" si="3"/>
        <v>0</v>
      </c>
      <c r="AA13" s="83">
        <f t="shared" si="3"/>
        <v>0</v>
      </c>
      <c r="AB13" s="83">
        <f t="shared" si="3"/>
        <v>0</v>
      </c>
      <c r="AC13" s="83">
        <f t="shared" si="3"/>
        <v>0</v>
      </c>
      <c r="AD13" s="83">
        <f t="shared" si="3"/>
        <v>0</v>
      </c>
      <c r="AE13" s="83">
        <f t="shared" si="3"/>
        <v>0</v>
      </c>
      <c r="AF13" s="83">
        <f t="shared" si="3"/>
        <v>0</v>
      </c>
      <c r="AG13" s="83">
        <f t="shared" si="3"/>
        <v>0</v>
      </c>
      <c r="AH13" s="83">
        <f t="shared" si="3"/>
        <v>0</v>
      </c>
      <c r="AI13" s="83">
        <f t="shared" si="3"/>
        <v>0</v>
      </c>
      <c r="AJ13" s="83">
        <f t="shared" si="3"/>
        <v>0</v>
      </c>
      <c r="AK13" s="83">
        <f t="shared" si="3"/>
        <v>0</v>
      </c>
      <c r="AL13" s="83">
        <f t="shared" si="3"/>
        <v>0</v>
      </c>
      <c r="AM13" s="83">
        <f t="shared" si="3"/>
        <v>0</v>
      </c>
      <c r="AN13" s="83">
        <f t="shared" si="3"/>
        <v>0</v>
      </c>
      <c r="AO13" s="83">
        <f t="shared" si="3"/>
        <v>0</v>
      </c>
      <c r="AP13" s="83">
        <f t="shared" si="3"/>
        <v>0</v>
      </c>
      <c r="AQ13" s="83">
        <f t="shared" si="3"/>
        <v>0</v>
      </c>
      <c r="AR13" s="83">
        <f t="shared" si="3"/>
        <v>0</v>
      </c>
      <c r="AS13" s="83">
        <f t="shared" si="3"/>
        <v>0</v>
      </c>
      <c r="AT13" s="83">
        <f t="shared" si="3"/>
        <v>0</v>
      </c>
      <c r="AU13" s="83">
        <f t="shared" si="3"/>
        <v>0</v>
      </c>
      <c r="AV13" s="83">
        <f t="shared" si="3"/>
        <v>0</v>
      </c>
      <c r="AW13" s="83">
        <f t="shared" si="3"/>
        <v>0</v>
      </c>
      <c r="AX13" s="83">
        <f t="shared" si="3"/>
        <v>0</v>
      </c>
      <c r="AY13" s="83">
        <f t="shared" si="3"/>
        <v>0</v>
      </c>
      <c r="AZ13" s="84">
        <f t="shared" si="3"/>
        <v>0</v>
      </c>
    </row>
    <row r="14" spans="1:52" x14ac:dyDescent="0.2">
      <c r="A14" s="63" t="str">
        <f>IF(COUNTA(E14:AZ14)=1,"1 Valet",COUNTA(E14:AZ14)&amp;" Valets")</f>
        <v>0 Valets</v>
      </c>
      <c r="B14" s="64" t="s">
        <v>20</v>
      </c>
      <c r="C14" s="132"/>
      <c r="D14" s="66"/>
      <c r="E14" s="67"/>
      <c r="F14" s="68"/>
      <c r="G14" s="68"/>
      <c r="H14" s="68"/>
      <c r="I14" s="68"/>
      <c r="J14" s="68"/>
      <c r="K14" s="69"/>
      <c r="L14" s="68"/>
      <c r="M14" s="69"/>
      <c r="N14" s="68"/>
      <c r="O14" s="68"/>
      <c r="P14" s="69"/>
      <c r="Q14" s="69"/>
      <c r="R14" s="68"/>
      <c r="S14" s="69"/>
      <c r="T14" s="68"/>
      <c r="U14" s="68"/>
      <c r="V14" s="68"/>
      <c r="W14" s="68"/>
      <c r="X14" s="68"/>
      <c r="Y14" s="69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5"/>
      <c r="H15" s="75"/>
      <c r="I15" s="75"/>
      <c r="J15" s="75"/>
      <c r="K15" s="76"/>
      <c r="L15" s="75"/>
      <c r="M15" s="75"/>
      <c r="N15" s="75"/>
      <c r="O15" s="75"/>
      <c r="P15" s="76"/>
      <c r="Q15" s="75"/>
      <c r="R15" s="75"/>
      <c r="S15" s="76"/>
      <c r="T15" s="75"/>
      <c r="U15" s="75"/>
      <c r="V15" s="75"/>
      <c r="W15" s="75"/>
      <c r="X15" s="75"/>
      <c r="Y15" s="76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0.8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0</v>
      </c>
      <c r="D16" s="421">
        <f>C16*15+(SUM(E16:AZ16)-C16)*13.5</f>
        <v>0</v>
      </c>
      <c r="E16" s="82">
        <f t="shared" ref="E16:AZ16" si="4">HRS(E14,E15)</f>
        <v>0</v>
      </c>
      <c r="F16" s="83">
        <f t="shared" si="4"/>
        <v>0</v>
      </c>
      <c r="G16" s="83">
        <f t="shared" si="4"/>
        <v>0</v>
      </c>
      <c r="H16" s="83">
        <f t="shared" si="4"/>
        <v>0</v>
      </c>
      <c r="I16" s="83">
        <f t="shared" si="4"/>
        <v>0</v>
      </c>
      <c r="J16" s="83">
        <f t="shared" si="4"/>
        <v>0</v>
      </c>
      <c r="K16" s="83">
        <f t="shared" si="4"/>
        <v>0</v>
      </c>
      <c r="L16" s="83">
        <f t="shared" si="4"/>
        <v>0</v>
      </c>
      <c r="M16" s="83">
        <f t="shared" si="4"/>
        <v>0</v>
      </c>
      <c r="N16" s="83">
        <f t="shared" si="4"/>
        <v>0</v>
      </c>
      <c r="O16" s="83">
        <f t="shared" si="4"/>
        <v>0</v>
      </c>
      <c r="P16" s="83">
        <f t="shared" si="4"/>
        <v>0</v>
      </c>
      <c r="Q16" s="83">
        <f t="shared" si="4"/>
        <v>0</v>
      </c>
      <c r="R16" s="83">
        <f t="shared" si="4"/>
        <v>0</v>
      </c>
      <c r="S16" s="83">
        <f t="shared" si="4"/>
        <v>0</v>
      </c>
      <c r="T16" s="83">
        <f t="shared" si="4"/>
        <v>0</v>
      </c>
      <c r="U16" s="83">
        <f t="shared" si="4"/>
        <v>0</v>
      </c>
      <c r="V16" s="83">
        <f t="shared" si="4"/>
        <v>0</v>
      </c>
      <c r="W16" s="83">
        <f t="shared" si="4"/>
        <v>0</v>
      </c>
      <c r="X16" s="83">
        <f t="shared" si="4"/>
        <v>0</v>
      </c>
      <c r="Y16" s="83">
        <f t="shared" si="4"/>
        <v>0</v>
      </c>
      <c r="Z16" s="83">
        <f t="shared" si="4"/>
        <v>0</v>
      </c>
      <c r="AA16" s="83">
        <f t="shared" si="4"/>
        <v>0</v>
      </c>
      <c r="AB16" s="83">
        <f t="shared" si="4"/>
        <v>0</v>
      </c>
      <c r="AC16" s="83">
        <f t="shared" si="4"/>
        <v>0</v>
      </c>
      <c r="AD16" s="83">
        <f t="shared" si="4"/>
        <v>0</v>
      </c>
      <c r="AE16" s="83">
        <f t="shared" si="4"/>
        <v>0</v>
      </c>
      <c r="AF16" s="83">
        <f t="shared" si="4"/>
        <v>0</v>
      </c>
      <c r="AG16" s="83">
        <f t="shared" si="4"/>
        <v>0</v>
      </c>
      <c r="AH16" s="83">
        <f t="shared" si="4"/>
        <v>0</v>
      </c>
      <c r="AI16" s="83">
        <f t="shared" si="4"/>
        <v>0</v>
      </c>
      <c r="AJ16" s="83">
        <f t="shared" si="4"/>
        <v>0</v>
      </c>
      <c r="AK16" s="83">
        <f t="shared" si="4"/>
        <v>0</v>
      </c>
      <c r="AL16" s="83">
        <f t="shared" si="4"/>
        <v>0</v>
      </c>
      <c r="AM16" s="83">
        <f t="shared" si="4"/>
        <v>0</v>
      </c>
      <c r="AN16" s="83">
        <f t="shared" si="4"/>
        <v>0</v>
      </c>
      <c r="AO16" s="83">
        <f t="shared" si="4"/>
        <v>0</v>
      </c>
      <c r="AP16" s="83">
        <f t="shared" si="4"/>
        <v>0</v>
      </c>
      <c r="AQ16" s="83">
        <f t="shared" si="4"/>
        <v>0</v>
      </c>
      <c r="AR16" s="83">
        <f t="shared" si="4"/>
        <v>0</v>
      </c>
      <c r="AS16" s="83">
        <f t="shared" si="4"/>
        <v>0</v>
      </c>
      <c r="AT16" s="83">
        <f t="shared" si="4"/>
        <v>0</v>
      </c>
      <c r="AU16" s="83">
        <f t="shared" si="4"/>
        <v>0</v>
      </c>
      <c r="AV16" s="83">
        <f t="shared" si="4"/>
        <v>0</v>
      </c>
      <c r="AW16" s="83">
        <f t="shared" si="4"/>
        <v>0</v>
      </c>
      <c r="AX16" s="83">
        <f t="shared" si="4"/>
        <v>0</v>
      </c>
      <c r="AY16" s="83">
        <f t="shared" si="4"/>
        <v>0</v>
      </c>
      <c r="AZ16" s="84">
        <f t="shared" si="4"/>
        <v>0</v>
      </c>
    </row>
    <row r="17" spans="1:52" x14ac:dyDescent="0.2">
      <c r="A17" s="63" t="str">
        <f>IF(COUNTA(E17:AZ17)=1,"1 Valet",COUNTA(E17:AZ17)&amp;" Valets")</f>
        <v>0 Valets</v>
      </c>
      <c r="B17" s="64" t="s">
        <v>22</v>
      </c>
      <c r="C17" s="132"/>
      <c r="D17" s="66"/>
      <c r="E17" s="67"/>
      <c r="F17" s="68"/>
      <c r="G17" s="68"/>
      <c r="H17" s="68"/>
      <c r="I17" s="68"/>
      <c r="J17" s="68"/>
      <c r="K17" s="69"/>
      <c r="L17" s="68"/>
      <c r="M17" s="69"/>
      <c r="N17" s="68"/>
      <c r="O17" s="68"/>
      <c r="P17" s="69"/>
      <c r="Q17" s="69"/>
      <c r="R17" s="68"/>
      <c r="S17" s="69"/>
      <c r="T17" s="68"/>
      <c r="U17" s="68"/>
      <c r="V17" s="68"/>
      <c r="W17" s="68"/>
      <c r="X17" s="68"/>
      <c r="Y17" s="69"/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/>
      <c r="F18" s="75"/>
      <c r="G18" s="75"/>
      <c r="H18" s="75"/>
      <c r="I18" s="75"/>
      <c r="J18" s="75"/>
      <c r="K18" s="76"/>
      <c r="L18" s="75"/>
      <c r="M18" s="75"/>
      <c r="N18" s="75"/>
      <c r="O18" s="75"/>
      <c r="P18" s="76"/>
      <c r="Q18" s="75"/>
      <c r="R18" s="75"/>
      <c r="S18" s="76"/>
      <c r="T18" s="75"/>
      <c r="U18" s="75"/>
      <c r="V18" s="75"/>
      <c r="W18" s="75"/>
      <c r="X18" s="75"/>
      <c r="Y18" s="76"/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0.8" thickBot="1" x14ac:dyDescent="0.25">
      <c r="A19" s="86">
        <f>A16</f>
        <v>42539</v>
      </c>
      <c r="B19" s="87" t="s">
        <v>46</v>
      </c>
      <c r="C19" s="403">
        <f>SHIFT(E17:AZ17,E18:AZ18,C18)</f>
        <v>0</v>
      </c>
      <c r="D19" s="422">
        <f>C19*15+(SUM(E19:AZ19)-C19)*13.5</f>
        <v>0</v>
      </c>
      <c r="E19" s="82">
        <f t="shared" ref="E19:AZ19" si="5">HRS(E17,E18)</f>
        <v>0</v>
      </c>
      <c r="F19" s="83">
        <f t="shared" si="5"/>
        <v>0</v>
      </c>
      <c r="G19" s="83">
        <f t="shared" si="5"/>
        <v>0</v>
      </c>
      <c r="H19" s="83">
        <f t="shared" si="5"/>
        <v>0</v>
      </c>
      <c r="I19" s="83">
        <f t="shared" si="5"/>
        <v>0</v>
      </c>
      <c r="J19" s="83">
        <f t="shared" si="5"/>
        <v>0</v>
      </c>
      <c r="K19" s="83">
        <f t="shared" si="5"/>
        <v>0</v>
      </c>
      <c r="L19" s="83">
        <f t="shared" si="5"/>
        <v>0</v>
      </c>
      <c r="M19" s="83">
        <f t="shared" si="5"/>
        <v>0</v>
      </c>
      <c r="N19" s="83">
        <f t="shared" si="5"/>
        <v>0</v>
      </c>
      <c r="O19" s="83">
        <f t="shared" si="5"/>
        <v>0</v>
      </c>
      <c r="P19" s="83">
        <f t="shared" si="5"/>
        <v>0</v>
      </c>
      <c r="Q19" s="83">
        <f t="shared" si="5"/>
        <v>0</v>
      </c>
      <c r="R19" s="83">
        <f t="shared" si="5"/>
        <v>0</v>
      </c>
      <c r="S19" s="83">
        <f t="shared" si="5"/>
        <v>0</v>
      </c>
      <c r="T19" s="83">
        <f t="shared" si="5"/>
        <v>0</v>
      </c>
      <c r="U19" s="83">
        <f t="shared" si="5"/>
        <v>0</v>
      </c>
      <c r="V19" s="83">
        <f t="shared" si="5"/>
        <v>0</v>
      </c>
      <c r="W19" s="83">
        <f t="shared" si="5"/>
        <v>0</v>
      </c>
      <c r="X19" s="83">
        <f t="shared" si="5"/>
        <v>0</v>
      </c>
      <c r="Y19" s="83">
        <f t="shared" si="5"/>
        <v>0</v>
      </c>
      <c r="Z19" s="83">
        <f t="shared" si="5"/>
        <v>0</v>
      </c>
      <c r="AA19" s="83">
        <f t="shared" si="5"/>
        <v>0</v>
      </c>
      <c r="AB19" s="83">
        <f t="shared" si="5"/>
        <v>0</v>
      </c>
      <c r="AC19" s="83">
        <f t="shared" si="5"/>
        <v>0</v>
      </c>
      <c r="AD19" s="83">
        <f t="shared" si="5"/>
        <v>0</v>
      </c>
      <c r="AE19" s="83">
        <f t="shared" si="5"/>
        <v>0</v>
      </c>
      <c r="AF19" s="83">
        <f t="shared" si="5"/>
        <v>0</v>
      </c>
      <c r="AG19" s="83">
        <f t="shared" si="5"/>
        <v>0</v>
      </c>
      <c r="AH19" s="83">
        <f t="shared" si="5"/>
        <v>0</v>
      </c>
      <c r="AI19" s="83">
        <f t="shared" si="5"/>
        <v>0</v>
      </c>
      <c r="AJ19" s="83">
        <f t="shared" si="5"/>
        <v>0</v>
      </c>
      <c r="AK19" s="83">
        <f t="shared" si="5"/>
        <v>0</v>
      </c>
      <c r="AL19" s="83">
        <f t="shared" si="5"/>
        <v>0</v>
      </c>
      <c r="AM19" s="83">
        <f t="shared" si="5"/>
        <v>0</v>
      </c>
      <c r="AN19" s="83">
        <f t="shared" si="5"/>
        <v>0</v>
      </c>
      <c r="AO19" s="83">
        <f t="shared" si="5"/>
        <v>0</v>
      </c>
      <c r="AP19" s="83">
        <f t="shared" si="5"/>
        <v>0</v>
      </c>
      <c r="AQ19" s="83">
        <f t="shared" si="5"/>
        <v>0</v>
      </c>
      <c r="AR19" s="83">
        <f t="shared" si="5"/>
        <v>0</v>
      </c>
      <c r="AS19" s="83">
        <f t="shared" si="5"/>
        <v>0</v>
      </c>
      <c r="AT19" s="83">
        <f t="shared" si="5"/>
        <v>0</v>
      </c>
      <c r="AU19" s="83">
        <f t="shared" si="5"/>
        <v>0</v>
      </c>
      <c r="AV19" s="83">
        <f t="shared" si="5"/>
        <v>0</v>
      </c>
      <c r="AW19" s="83">
        <f t="shared" si="5"/>
        <v>0</v>
      </c>
      <c r="AX19" s="83">
        <f t="shared" si="5"/>
        <v>0</v>
      </c>
      <c r="AY19" s="83">
        <f t="shared" si="5"/>
        <v>0</v>
      </c>
      <c r="AZ19" s="84">
        <f t="shared" si="5"/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132"/>
      <c r="D20" s="66"/>
      <c r="E20" s="67"/>
      <c r="F20" s="68"/>
      <c r="G20" s="68"/>
      <c r="H20" s="68"/>
      <c r="I20" s="68"/>
      <c r="J20" s="68"/>
      <c r="K20" s="68"/>
      <c r="L20" s="68"/>
      <c r="M20" s="69"/>
      <c r="N20" s="68"/>
      <c r="O20" s="68"/>
      <c r="P20" s="69"/>
      <c r="Q20" s="69"/>
      <c r="R20" s="68"/>
      <c r="S20" s="69"/>
      <c r="T20" s="68"/>
      <c r="U20" s="68"/>
      <c r="V20" s="68"/>
      <c r="W20" s="68"/>
      <c r="X20" s="68"/>
      <c r="Y20" s="69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6"/>
      <c r="Q21" s="75"/>
      <c r="R21" s="75"/>
      <c r="S21" s="76"/>
      <c r="T21" s="75"/>
      <c r="U21" s="75"/>
      <c r="V21" s="75"/>
      <c r="W21" s="75"/>
      <c r="X21" s="75"/>
      <c r="Y21" s="76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0.8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0</v>
      </c>
      <c r="D22" s="421">
        <f>C22*15+(SUM(E22:AZ22)-C22)*13.5</f>
        <v>0</v>
      </c>
      <c r="E22" s="82">
        <f t="shared" ref="E22:AZ22" si="6">HRS(E20,E21)</f>
        <v>0</v>
      </c>
      <c r="F22" s="83">
        <f t="shared" si="6"/>
        <v>0</v>
      </c>
      <c r="G22" s="83">
        <f t="shared" si="6"/>
        <v>0</v>
      </c>
      <c r="H22" s="83">
        <f t="shared" si="6"/>
        <v>0</v>
      </c>
      <c r="I22" s="83">
        <f t="shared" si="6"/>
        <v>0</v>
      </c>
      <c r="J22" s="83">
        <f t="shared" si="6"/>
        <v>0</v>
      </c>
      <c r="K22" s="83">
        <f t="shared" si="6"/>
        <v>0</v>
      </c>
      <c r="L22" s="83">
        <f t="shared" si="6"/>
        <v>0</v>
      </c>
      <c r="M22" s="83">
        <f t="shared" si="6"/>
        <v>0</v>
      </c>
      <c r="N22" s="83">
        <f t="shared" si="6"/>
        <v>0</v>
      </c>
      <c r="O22" s="83">
        <f t="shared" si="6"/>
        <v>0</v>
      </c>
      <c r="P22" s="83">
        <f t="shared" si="6"/>
        <v>0</v>
      </c>
      <c r="Q22" s="83">
        <f t="shared" si="6"/>
        <v>0</v>
      </c>
      <c r="R22" s="83">
        <f t="shared" si="6"/>
        <v>0</v>
      </c>
      <c r="S22" s="83">
        <f t="shared" si="6"/>
        <v>0</v>
      </c>
      <c r="T22" s="83">
        <f t="shared" si="6"/>
        <v>0</v>
      </c>
      <c r="U22" s="83">
        <f t="shared" si="6"/>
        <v>0</v>
      </c>
      <c r="V22" s="83">
        <f t="shared" si="6"/>
        <v>0</v>
      </c>
      <c r="W22" s="83">
        <f t="shared" si="6"/>
        <v>0</v>
      </c>
      <c r="X22" s="83">
        <f t="shared" si="6"/>
        <v>0</v>
      </c>
      <c r="Y22" s="83">
        <f t="shared" si="6"/>
        <v>0</v>
      </c>
      <c r="Z22" s="83">
        <f t="shared" si="6"/>
        <v>0</v>
      </c>
      <c r="AA22" s="83">
        <f t="shared" si="6"/>
        <v>0</v>
      </c>
      <c r="AB22" s="83">
        <f t="shared" si="6"/>
        <v>0</v>
      </c>
      <c r="AC22" s="83">
        <f t="shared" si="6"/>
        <v>0</v>
      </c>
      <c r="AD22" s="83">
        <f t="shared" si="6"/>
        <v>0</v>
      </c>
      <c r="AE22" s="83">
        <f t="shared" si="6"/>
        <v>0</v>
      </c>
      <c r="AF22" s="83">
        <f t="shared" si="6"/>
        <v>0</v>
      </c>
      <c r="AG22" s="83">
        <f t="shared" si="6"/>
        <v>0</v>
      </c>
      <c r="AH22" s="83">
        <f t="shared" si="6"/>
        <v>0</v>
      </c>
      <c r="AI22" s="83">
        <f t="shared" si="6"/>
        <v>0</v>
      </c>
      <c r="AJ22" s="83">
        <f t="shared" si="6"/>
        <v>0</v>
      </c>
      <c r="AK22" s="83">
        <f t="shared" si="6"/>
        <v>0</v>
      </c>
      <c r="AL22" s="83">
        <f t="shared" si="6"/>
        <v>0</v>
      </c>
      <c r="AM22" s="83">
        <f t="shared" si="6"/>
        <v>0</v>
      </c>
      <c r="AN22" s="83">
        <f t="shared" si="6"/>
        <v>0</v>
      </c>
      <c r="AO22" s="83">
        <f t="shared" si="6"/>
        <v>0</v>
      </c>
      <c r="AP22" s="83">
        <f t="shared" si="6"/>
        <v>0</v>
      </c>
      <c r="AQ22" s="83">
        <f t="shared" si="6"/>
        <v>0</v>
      </c>
      <c r="AR22" s="83">
        <f t="shared" si="6"/>
        <v>0</v>
      </c>
      <c r="AS22" s="83">
        <f t="shared" si="6"/>
        <v>0</v>
      </c>
      <c r="AT22" s="83">
        <f t="shared" si="6"/>
        <v>0</v>
      </c>
      <c r="AU22" s="83">
        <f t="shared" si="6"/>
        <v>0</v>
      </c>
      <c r="AV22" s="83">
        <f t="shared" si="6"/>
        <v>0</v>
      </c>
      <c r="AW22" s="83">
        <f t="shared" si="6"/>
        <v>0</v>
      </c>
      <c r="AX22" s="83">
        <f t="shared" si="6"/>
        <v>0</v>
      </c>
      <c r="AY22" s="83">
        <f t="shared" si="6"/>
        <v>0</v>
      </c>
      <c r="AZ22" s="84">
        <f t="shared" si="6"/>
        <v>0</v>
      </c>
    </row>
    <row r="23" spans="1:52" x14ac:dyDescent="0.2">
      <c r="A23" s="63" t="str">
        <f>IF(COUNTA(E23:AZ23)=1,"1 Valet",COUNTA(E23:AZ23)&amp;" Valets")</f>
        <v>0 Valets</v>
      </c>
      <c r="B23" s="64" t="s">
        <v>22</v>
      </c>
      <c r="C23" s="132"/>
      <c r="D23" s="66"/>
      <c r="E23" s="67"/>
      <c r="F23" s="68"/>
      <c r="G23" s="68"/>
      <c r="H23" s="68"/>
      <c r="I23" s="68"/>
      <c r="J23" s="68"/>
      <c r="K23" s="68"/>
      <c r="L23" s="68"/>
      <c r="M23" s="69"/>
      <c r="N23" s="68"/>
      <c r="O23" s="68"/>
      <c r="P23" s="69"/>
      <c r="Q23" s="69"/>
      <c r="R23" s="68"/>
      <c r="S23" s="69"/>
      <c r="T23" s="68"/>
      <c r="U23" s="68"/>
      <c r="V23" s="68"/>
      <c r="W23" s="68"/>
      <c r="X23" s="68"/>
      <c r="Y23" s="69"/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6"/>
      <c r="Q24" s="75"/>
      <c r="R24" s="75"/>
      <c r="S24" s="76"/>
      <c r="T24" s="75"/>
      <c r="U24" s="75"/>
      <c r="V24" s="75"/>
      <c r="W24" s="75"/>
      <c r="X24" s="75"/>
      <c r="Y24" s="76"/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0.8" thickBot="1" x14ac:dyDescent="0.25">
      <c r="A25" s="86">
        <f>A22</f>
        <v>42540</v>
      </c>
      <c r="B25" s="87" t="s">
        <v>46</v>
      </c>
      <c r="C25" s="403">
        <f>SHIFT(E23:AZ23,E24:AZ24,C24)</f>
        <v>0</v>
      </c>
      <c r="D25" s="422">
        <f>C25*15+(SUM(E25:AZ25)-C25)*13.5</f>
        <v>0</v>
      </c>
      <c r="E25" s="82">
        <f t="shared" ref="E25:AZ25" si="7">HRS(E23,E24)</f>
        <v>0</v>
      </c>
      <c r="F25" s="83">
        <f t="shared" si="7"/>
        <v>0</v>
      </c>
      <c r="G25" s="83">
        <f t="shared" si="7"/>
        <v>0</v>
      </c>
      <c r="H25" s="83">
        <f t="shared" si="7"/>
        <v>0</v>
      </c>
      <c r="I25" s="83">
        <f t="shared" si="7"/>
        <v>0</v>
      </c>
      <c r="J25" s="83">
        <f t="shared" si="7"/>
        <v>0</v>
      </c>
      <c r="K25" s="83">
        <f t="shared" si="7"/>
        <v>0</v>
      </c>
      <c r="L25" s="83">
        <f t="shared" si="7"/>
        <v>0</v>
      </c>
      <c r="M25" s="83">
        <f t="shared" si="7"/>
        <v>0</v>
      </c>
      <c r="N25" s="83">
        <f t="shared" si="7"/>
        <v>0</v>
      </c>
      <c r="O25" s="83">
        <f t="shared" si="7"/>
        <v>0</v>
      </c>
      <c r="P25" s="83">
        <f t="shared" si="7"/>
        <v>0</v>
      </c>
      <c r="Q25" s="83">
        <f t="shared" si="7"/>
        <v>0</v>
      </c>
      <c r="R25" s="83">
        <f t="shared" si="7"/>
        <v>0</v>
      </c>
      <c r="S25" s="83">
        <f t="shared" si="7"/>
        <v>0</v>
      </c>
      <c r="T25" s="83">
        <f t="shared" si="7"/>
        <v>0</v>
      </c>
      <c r="U25" s="83">
        <f t="shared" si="7"/>
        <v>0</v>
      </c>
      <c r="V25" s="83">
        <f t="shared" si="7"/>
        <v>0</v>
      </c>
      <c r="W25" s="83">
        <f t="shared" si="7"/>
        <v>0</v>
      </c>
      <c r="X25" s="83">
        <f t="shared" si="7"/>
        <v>0</v>
      </c>
      <c r="Y25" s="83">
        <f t="shared" si="7"/>
        <v>0</v>
      </c>
      <c r="Z25" s="83">
        <f t="shared" si="7"/>
        <v>0</v>
      </c>
      <c r="AA25" s="83">
        <f t="shared" si="7"/>
        <v>0</v>
      </c>
      <c r="AB25" s="83">
        <f t="shared" si="7"/>
        <v>0</v>
      </c>
      <c r="AC25" s="83">
        <f t="shared" si="7"/>
        <v>0</v>
      </c>
      <c r="AD25" s="83">
        <f t="shared" si="7"/>
        <v>0</v>
      </c>
      <c r="AE25" s="83">
        <f t="shared" si="7"/>
        <v>0</v>
      </c>
      <c r="AF25" s="83">
        <f t="shared" si="7"/>
        <v>0</v>
      </c>
      <c r="AG25" s="83">
        <f t="shared" si="7"/>
        <v>0</v>
      </c>
      <c r="AH25" s="83">
        <f t="shared" si="7"/>
        <v>0</v>
      </c>
      <c r="AI25" s="83">
        <f t="shared" si="7"/>
        <v>0</v>
      </c>
      <c r="AJ25" s="83">
        <f t="shared" si="7"/>
        <v>0</v>
      </c>
      <c r="AK25" s="83">
        <f t="shared" si="7"/>
        <v>0</v>
      </c>
      <c r="AL25" s="83">
        <f t="shared" si="7"/>
        <v>0</v>
      </c>
      <c r="AM25" s="83">
        <f t="shared" si="7"/>
        <v>0</v>
      </c>
      <c r="AN25" s="83">
        <f t="shared" si="7"/>
        <v>0</v>
      </c>
      <c r="AO25" s="83">
        <f t="shared" si="7"/>
        <v>0</v>
      </c>
      <c r="AP25" s="83">
        <f t="shared" si="7"/>
        <v>0</v>
      </c>
      <c r="AQ25" s="83">
        <f t="shared" si="7"/>
        <v>0</v>
      </c>
      <c r="AR25" s="83">
        <f t="shared" si="7"/>
        <v>0</v>
      </c>
      <c r="AS25" s="83">
        <f t="shared" si="7"/>
        <v>0</v>
      </c>
      <c r="AT25" s="83">
        <f t="shared" si="7"/>
        <v>0</v>
      </c>
      <c r="AU25" s="83">
        <f t="shared" si="7"/>
        <v>0</v>
      </c>
      <c r="AV25" s="83">
        <f t="shared" si="7"/>
        <v>0</v>
      </c>
      <c r="AW25" s="83">
        <f t="shared" si="7"/>
        <v>0</v>
      </c>
      <c r="AX25" s="83">
        <f t="shared" si="7"/>
        <v>0</v>
      </c>
      <c r="AY25" s="83">
        <f t="shared" si="7"/>
        <v>0</v>
      </c>
      <c r="AZ25" s="84">
        <f t="shared" si="7"/>
        <v>0</v>
      </c>
    </row>
    <row r="26" spans="1:52" x14ac:dyDescent="0.2">
      <c r="A26" s="63" t="str">
        <f>IF(COUNTA(E26:AZ26)=1,"1 Valet",COUNTA(E26:AZ26)&amp;" Valets")</f>
        <v>0 Valets</v>
      </c>
      <c r="B26" s="64" t="s">
        <v>20</v>
      </c>
      <c r="C26" s="132"/>
      <c r="D26" s="66"/>
      <c r="E26" s="67"/>
      <c r="F26" s="68"/>
      <c r="G26" s="68"/>
      <c r="H26" s="68"/>
      <c r="I26" s="68"/>
      <c r="J26" s="68"/>
      <c r="K26" s="68"/>
      <c r="L26" s="68"/>
      <c r="M26" s="69"/>
      <c r="N26" s="68"/>
      <c r="O26" s="68"/>
      <c r="P26" s="69"/>
      <c r="Q26" s="69"/>
      <c r="R26" s="68"/>
      <c r="S26" s="69"/>
      <c r="T26" s="68"/>
      <c r="U26" s="68"/>
      <c r="V26" s="68"/>
      <c r="W26" s="68"/>
      <c r="X26" s="68"/>
      <c r="Y26" s="69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6"/>
      <c r="Q27" s="75"/>
      <c r="R27" s="75"/>
      <c r="S27" s="76"/>
      <c r="T27" s="75"/>
      <c r="U27" s="75"/>
      <c r="V27" s="75"/>
      <c r="W27" s="75"/>
      <c r="X27" s="75"/>
      <c r="Y27" s="76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0.8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0</v>
      </c>
      <c r="D28" s="421">
        <f>C28*15+(SUM(E28:AZ28)-C28)*13.5</f>
        <v>0</v>
      </c>
      <c r="E28" s="82">
        <f t="shared" ref="E28:AZ28" si="8">HRS(E26,E27)</f>
        <v>0</v>
      </c>
      <c r="F28" s="83">
        <f t="shared" si="8"/>
        <v>0</v>
      </c>
      <c r="G28" s="83">
        <f t="shared" si="8"/>
        <v>0</v>
      </c>
      <c r="H28" s="83">
        <f t="shared" si="8"/>
        <v>0</v>
      </c>
      <c r="I28" s="83">
        <f t="shared" si="8"/>
        <v>0</v>
      </c>
      <c r="J28" s="83">
        <f t="shared" si="8"/>
        <v>0</v>
      </c>
      <c r="K28" s="83">
        <f t="shared" si="8"/>
        <v>0</v>
      </c>
      <c r="L28" s="83">
        <f t="shared" si="8"/>
        <v>0</v>
      </c>
      <c r="M28" s="83">
        <f t="shared" si="8"/>
        <v>0</v>
      </c>
      <c r="N28" s="83">
        <f t="shared" si="8"/>
        <v>0</v>
      </c>
      <c r="O28" s="83">
        <f t="shared" si="8"/>
        <v>0</v>
      </c>
      <c r="P28" s="83">
        <f t="shared" si="8"/>
        <v>0</v>
      </c>
      <c r="Q28" s="83">
        <f t="shared" si="8"/>
        <v>0</v>
      </c>
      <c r="R28" s="83">
        <f t="shared" si="8"/>
        <v>0</v>
      </c>
      <c r="S28" s="83">
        <f t="shared" si="8"/>
        <v>0</v>
      </c>
      <c r="T28" s="83">
        <f t="shared" si="8"/>
        <v>0</v>
      </c>
      <c r="U28" s="83">
        <f t="shared" si="8"/>
        <v>0</v>
      </c>
      <c r="V28" s="83">
        <f t="shared" si="8"/>
        <v>0</v>
      </c>
      <c r="W28" s="83">
        <f t="shared" si="8"/>
        <v>0</v>
      </c>
      <c r="X28" s="83">
        <f t="shared" si="8"/>
        <v>0</v>
      </c>
      <c r="Y28" s="83">
        <f t="shared" si="8"/>
        <v>0</v>
      </c>
      <c r="Z28" s="83">
        <f t="shared" si="8"/>
        <v>0</v>
      </c>
      <c r="AA28" s="83">
        <f t="shared" si="8"/>
        <v>0</v>
      </c>
      <c r="AB28" s="83">
        <f t="shared" si="8"/>
        <v>0</v>
      </c>
      <c r="AC28" s="83">
        <f t="shared" si="8"/>
        <v>0</v>
      </c>
      <c r="AD28" s="83">
        <f t="shared" si="8"/>
        <v>0</v>
      </c>
      <c r="AE28" s="83">
        <f t="shared" si="8"/>
        <v>0</v>
      </c>
      <c r="AF28" s="83">
        <f t="shared" si="8"/>
        <v>0</v>
      </c>
      <c r="AG28" s="83">
        <f t="shared" si="8"/>
        <v>0</v>
      </c>
      <c r="AH28" s="83">
        <f t="shared" si="8"/>
        <v>0</v>
      </c>
      <c r="AI28" s="83">
        <f t="shared" si="8"/>
        <v>0</v>
      </c>
      <c r="AJ28" s="83">
        <f t="shared" si="8"/>
        <v>0</v>
      </c>
      <c r="AK28" s="83">
        <f t="shared" si="8"/>
        <v>0</v>
      </c>
      <c r="AL28" s="83">
        <f t="shared" si="8"/>
        <v>0</v>
      </c>
      <c r="AM28" s="83">
        <f t="shared" si="8"/>
        <v>0</v>
      </c>
      <c r="AN28" s="83">
        <f t="shared" si="8"/>
        <v>0</v>
      </c>
      <c r="AO28" s="83">
        <f t="shared" si="8"/>
        <v>0</v>
      </c>
      <c r="AP28" s="83">
        <f t="shared" si="8"/>
        <v>0</v>
      </c>
      <c r="AQ28" s="83">
        <f t="shared" si="8"/>
        <v>0</v>
      </c>
      <c r="AR28" s="83">
        <f t="shared" si="8"/>
        <v>0</v>
      </c>
      <c r="AS28" s="83">
        <f t="shared" si="8"/>
        <v>0</v>
      </c>
      <c r="AT28" s="83">
        <f t="shared" si="8"/>
        <v>0</v>
      </c>
      <c r="AU28" s="83">
        <f t="shared" si="8"/>
        <v>0</v>
      </c>
      <c r="AV28" s="83">
        <f t="shared" si="8"/>
        <v>0</v>
      </c>
      <c r="AW28" s="83">
        <f t="shared" si="8"/>
        <v>0</v>
      </c>
      <c r="AX28" s="83">
        <f t="shared" si="8"/>
        <v>0</v>
      </c>
      <c r="AY28" s="83">
        <f t="shared" si="8"/>
        <v>0</v>
      </c>
      <c r="AZ28" s="84">
        <f t="shared" si="8"/>
        <v>0</v>
      </c>
    </row>
    <row r="29" spans="1:52" x14ac:dyDescent="0.2">
      <c r="A29" s="63" t="str">
        <f>IF(COUNTA(E29:AZ29)=1,"1 Valet",COUNTA(E29:AZ29)&amp;" Valets")</f>
        <v>0 Valets</v>
      </c>
      <c r="B29" s="64" t="s">
        <v>22</v>
      </c>
      <c r="C29" s="132"/>
      <c r="D29" s="66"/>
      <c r="E29" s="67"/>
      <c r="F29" s="68"/>
      <c r="G29" s="68"/>
      <c r="H29" s="68"/>
      <c r="I29" s="68"/>
      <c r="J29" s="68"/>
      <c r="K29" s="68"/>
      <c r="L29" s="68"/>
      <c r="M29" s="69"/>
      <c r="N29" s="68"/>
      <c r="O29" s="68"/>
      <c r="P29" s="69"/>
      <c r="Q29" s="69"/>
      <c r="R29" s="68"/>
      <c r="S29" s="69"/>
      <c r="T29" s="68"/>
      <c r="U29" s="68"/>
      <c r="V29" s="68"/>
      <c r="W29" s="68"/>
      <c r="X29" s="68"/>
      <c r="Y29" s="69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6"/>
      <c r="Q30" s="75"/>
      <c r="R30" s="75"/>
      <c r="S30" s="76"/>
      <c r="T30" s="75"/>
      <c r="U30" s="75"/>
      <c r="V30" s="75"/>
      <c r="W30" s="75"/>
      <c r="X30" s="75"/>
      <c r="Y30" s="76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0.8" thickBot="1" x14ac:dyDescent="0.25">
      <c r="A31" s="86">
        <f>A28</f>
        <v>42541</v>
      </c>
      <c r="B31" s="87" t="s">
        <v>46</v>
      </c>
      <c r="C31" s="403">
        <f>SHIFT(E29:AZ29,E30:AZ30,C30)</f>
        <v>0</v>
      </c>
      <c r="D31" s="422">
        <f>C31*15+(SUM(E31:AZ31)-C31)*13.5</f>
        <v>0</v>
      </c>
      <c r="E31" s="82">
        <f t="shared" ref="E31:AZ31" si="9">HRS(E29,E30)</f>
        <v>0</v>
      </c>
      <c r="F31" s="83">
        <f t="shared" si="9"/>
        <v>0</v>
      </c>
      <c r="G31" s="83">
        <f t="shared" si="9"/>
        <v>0</v>
      </c>
      <c r="H31" s="83">
        <f t="shared" si="9"/>
        <v>0</v>
      </c>
      <c r="I31" s="83">
        <f t="shared" si="9"/>
        <v>0</v>
      </c>
      <c r="J31" s="83">
        <f t="shared" si="9"/>
        <v>0</v>
      </c>
      <c r="K31" s="83">
        <f t="shared" si="9"/>
        <v>0</v>
      </c>
      <c r="L31" s="83">
        <f t="shared" si="9"/>
        <v>0</v>
      </c>
      <c r="M31" s="83">
        <f t="shared" si="9"/>
        <v>0</v>
      </c>
      <c r="N31" s="83">
        <f t="shared" si="9"/>
        <v>0</v>
      </c>
      <c r="O31" s="83">
        <f t="shared" si="9"/>
        <v>0</v>
      </c>
      <c r="P31" s="83">
        <f t="shared" si="9"/>
        <v>0</v>
      </c>
      <c r="Q31" s="83">
        <f t="shared" si="9"/>
        <v>0</v>
      </c>
      <c r="R31" s="83">
        <f t="shared" si="9"/>
        <v>0</v>
      </c>
      <c r="S31" s="83">
        <f t="shared" si="9"/>
        <v>0</v>
      </c>
      <c r="T31" s="83">
        <f t="shared" si="9"/>
        <v>0</v>
      </c>
      <c r="U31" s="83">
        <f t="shared" si="9"/>
        <v>0</v>
      </c>
      <c r="V31" s="83">
        <f t="shared" si="9"/>
        <v>0</v>
      </c>
      <c r="W31" s="83">
        <f t="shared" si="9"/>
        <v>0</v>
      </c>
      <c r="X31" s="83">
        <f t="shared" si="9"/>
        <v>0</v>
      </c>
      <c r="Y31" s="83">
        <f t="shared" si="9"/>
        <v>0</v>
      </c>
      <c r="Z31" s="83">
        <f t="shared" si="9"/>
        <v>0</v>
      </c>
      <c r="AA31" s="83">
        <f t="shared" si="9"/>
        <v>0</v>
      </c>
      <c r="AB31" s="83">
        <f t="shared" si="9"/>
        <v>0</v>
      </c>
      <c r="AC31" s="83">
        <f t="shared" si="9"/>
        <v>0</v>
      </c>
      <c r="AD31" s="83">
        <f t="shared" si="9"/>
        <v>0</v>
      </c>
      <c r="AE31" s="83">
        <f t="shared" si="9"/>
        <v>0</v>
      </c>
      <c r="AF31" s="83">
        <f t="shared" si="9"/>
        <v>0</v>
      </c>
      <c r="AG31" s="83">
        <f t="shared" si="9"/>
        <v>0</v>
      </c>
      <c r="AH31" s="83">
        <f t="shared" si="9"/>
        <v>0</v>
      </c>
      <c r="AI31" s="83">
        <f t="shared" si="9"/>
        <v>0</v>
      </c>
      <c r="AJ31" s="83">
        <f t="shared" si="9"/>
        <v>0</v>
      </c>
      <c r="AK31" s="83">
        <f t="shared" si="9"/>
        <v>0</v>
      </c>
      <c r="AL31" s="83">
        <f t="shared" si="9"/>
        <v>0</v>
      </c>
      <c r="AM31" s="83">
        <f t="shared" si="9"/>
        <v>0</v>
      </c>
      <c r="AN31" s="83">
        <f t="shared" si="9"/>
        <v>0</v>
      </c>
      <c r="AO31" s="83">
        <f t="shared" si="9"/>
        <v>0</v>
      </c>
      <c r="AP31" s="83">
        <f t="shared" si="9"/>
        <v>0</v>
      </c>
      <c r="AQ31" s="83">
        <f t="shared" si="9"/>
        <v>0</v>
      </c>
      <c r="AR31" s="83">
        <f t="shared" si="9"/>
        <v>0</v>
      </c>
      <c r="AS31" s="83">
        <f t="shared" si="9"/>
        <v>0</v>
      </c>
      <c r="AT31" s="83">
        <f t="shared" si="9"/>
        <v>0</v>
      </c>
      <c r="AU31" s="83">
        <f t="shared" si="9"/>
        <v>0</v>
      </c>
      <c r="AV31" s="83">
        <f t="shared" si="9"/>
        <v>0</v>
      </c>
      <c r="AW31" s="83">
        <f t="shared" si="9"/>
        <v>0</v>
      </c>
      <c r="AX31" s="83">
        <f t="shared" si="9"/>
        <v>0</v>
      </c>
      <c r="AY31" s="83">
        <f t="shared" si="9"/>
        <v>0</v>
      </c>
      <c r="AZ31" s="84">
        <f t="shared" si="9"/>
        <v>0</v>
      </c>
    </row>
    <row r="32" spans="1:52" x14ac:dyDescent="0.2">
      <c r="A32" s="63" t="str">
        <f>IF(COUNTA(E32:AZ32)=1,"1 Valet",COUNTA(E32:AZ32)&amp;" Valets")</f>
        <v>0 Valets</v>
      </c>
      <c r="B32" s="64" t="s">
        <v>20</v>
      </c>
      <c r="C32" s="132"/>
      <c r="D32" s="66"/>
      <c r="E32" s="67"/>
      <c r="F32" s="68"/>
      <c r="G32" s="68"/>
      <c r="H32" s="68"/>
      <c r="I32" s="68"/>
      <c r="J32" s="68"/>
      <c r="K32" s="68"/>
      <c r="L32" s="68"/>
      <c r="M32" s="69"/>
      <c r="N32" s="68"/>
      <c r="O32" s="68"/>
      <c r="P32" s="69"/>
      <c r="Q32" s="69"/>
      <c r="R32" s="68"/>
      <c r="S32" s="69"/>
      <c r="T32" s="68"/>
      <c r="U32" s="68"/>
      <c r="V32" s="68"/>
      <c r="W32" s="68"/>
      <c r="X32" s="68"/>
      <c r="Y32" s="69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6"/>
      <c r="Q33" s="75"/>
      <c r="R33" s="75"/>
      <c r="S33" s="76"/>
      <c r="T33" s="75"/>
      <c r="U33" s="75"/>
      <c r="V33" s="75"/>
      <c r="W33" s="75"/>
      <c r="X33" s="75"/>
      <c r="Y33" s="76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0.8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0</v>
      </c>
      <c r="D34" s="421">
        <f>C34*15+(SUM(E34:AZ34)-C34)*13.5</f>
        <v>0</v>
      </c>
      <c r="E34" s="82">
        <f t="shared" ref="E34:AZ34" si="10">HRS(E32,E33)</f>
        <v>0</v>
      </c>
      <c r="F34" s="83">
        <f t="shared" si="10"/>
        <v>0</v>
      </c>
      <c r="G34" s="83">
        <f t="shared" si="10"/>
        <v>0</v>
      </c>
      <c r="H34" s="83">
        <f t="shared" si="10"/>
        <v>0</v>
      </c>
      <c r="I34" s="83">
        <f t="shared" si="10"/>
        <v>0</v>
      </c>
      <c r="J34" s="83">
        <f t="shared" si="10"/>
        <v>0</v>
      </c>
      <c r="K34" s="83">
        <f t="shared" si="10"/>
        <v>0</v>
      </c>
      <c r="L34" s="83">
        <f t="shared" si="10"/>
        <v>0</v>
      </c>
      <c r="M34" s="83">
        <f t="shared" si="10"/>
        <v>0</v>
      </c>
      <c r="N34" s="83">
        <f t="shared" si="10"/>
        <v>0</v>
      </c>
      <c r="O34" s="83">
        <f t="shared" si="10"/>
        <v>0</v>
      </c>
      <c r="P34" s="83">
        <f t="shared" si="10"/>
        <v>0</v>
      </c>
      <c r="Q34" s="83">
        <f t="shared" si="10"/>
        <v>0</v>
      </c>
      <c r="R34" s="83">
        <f t="shared" si="10"/>
        <v>0</v>
      </c>
      <c r="S34" s="83">
        <f t="shared" si="10"/>
        <v>0</v>
      </c>
      <c r="T34" s="83">
        <f t="shared" si="10"/>
        <v>0</v>
      </c>
      <c r="U34" s="83">
        <f t="shared" si="10"/>
        <v>0</v>
      </c>
      <c r="V34" s="83">
        <f t="shared" si="10"/>
        <v>0</v>
      </c>
      <c r="W34" s="83">
        <f t="shared" si="10"/>
        <v>0</v>
      </c>
      <c r="X34" s="83">
        <f t="shared" si="10"/>
        <v>0</v>
      </c>
      <c r="Y34" s="83">
        <f t="shared" si="10"/>
        <v>0</v>
      </c>
      <c r="Z34" s="83">
        <f t="shared" si="10"/>
        <v>0</v>
      </c>
      <c r="AA34" s="83">
        <f t="shared" si="10"/>
        <v>0</v>
      </c>
      <c r="AB34" s="83">
        <f t="shared" si="10"/>
        <v>0</v>
      </c>
      <c r="AC34" s="83">
        <f t="shared" si="10"/>
        <v>0</v>
      </c>
      <c r="AD34" s="83">
        <f t="shared" si="10"/>
        <v>0</v>
      </c>
      <c r="AE34" s="83">
        <f t="shared" si="10"/>
        <v>0</v>
      </c>
      <c r="AF34" s="83">
        <f t="shared" si="10"/>
        <v>0</v>
      </c>
      <c r="AG34" s="83">
        <f t="shared" si="10"/>
        <v>0</v>
      </c>
      <c r="AH34" s="83">
        <f t="shared" si="10"/>
        <v>0</v>
      </c>
      <c r="AI34" s="83">
        <f t="shared" si="10"/>
        <v>0</v>
      </c>
      <c r="AJ34" s="83">
        <f t="shared" si="10"/>
        <v>0</v>
      </c>
      <c r="AK34" s="83">
        <f t="shared" si="10"/>
        <v>0</v>
      </c>
      <c r="AL34" s="83">
        <f t="shared" si="10"/>
        <v>0</v>
      </c>
      <c r="AM34" s="83">
        <f t="shared" si="10"/>
        <v>0</v>
      </c>
      <c r="AN34" s="83">
        <f t="shared" si="10"/>
        <v>0</v>
      </c>
      <c r="AO34" s="83">
        <f t="shared" si="10"/>
        <v>0</v>
      </c>
      <c r="AP34" s="83">
        <f t="shared" si="10"/>
        <v>0</v>
      </c>
      <c r="AQ34" s="83">
        <f t="shared" si="10"/>
        <v>0</v>
      </c>
      <c r="AR34" s="83">
        <f t="shared" si="10"/>
        <v>0</v>
      </c>
      <c r="AS34" s="83">
        <f t="shared" si="10"/>
        <v>0</v>
      </c>
      <c r="AT34" s="83">
        <f t="shared" si="10"/>
        <v>0</v>
      </c>
      <c r="AU34" s="83">
        <f t="shared" si="10"/>
        <v>0</v>
      </c>
      <c r="AV34" s="83">
        <f t="shared" si="10"/>
        <v>0</v>
      </c>
      <c r="AW34" s="83">
        <f t="shared" si="10"/>
        <v>0</v>
      </c>
      <c r="AX34" s="83">
        <f t="shared" si="10"/>
        <v>0</v>
      </c>
      <c r="AY34" s="83">
        <f t="shared" si="10"/>
        <v>0</v>
      </c>
      <c r="AZ34" s="84">
        <f t="shared" si="10"/>
        <v>0</v>
      </c>
    </row>
    <row r="35" spans="1:16383" x14ac:dyDescent="0.2">
      <c r="A35" s="63" t="str">
        <f>IF(COUNTA(E35:AZ35)=1,"1 Valet",COUNTA(E35:AZ35)&amp;" Valets")</f>
        <v>0 Valets</v>
      </c>
      <c r="B35" s="64" t="s">
        <v>22</v>
      </c>
      <c r="C35" s="132"/>
      <c r="D35" s="66"/>
      <c r="E35" s="67"/>
      <c r="F35" s="68"/>
      <c r="G35" s="68"/>
      <c r="H35" s="68"/>
      <c r="I35" s="68"/>
      <c r="J35" s="68"/>
      <c r="K35" s="68"/>
      <c r="L35" s="68"/>
      <c r="M35" s="69"/>
      <c r="N35" s="68"/>
      <c r="O35" s="68"/>
      <c r="P35" s="69"/>
      <c r="Q35" s="69"/>
      <c r="R35" s="68"/>
      <c r="S35" s="69"/>
      <c r="T35" s="68"/>
      <c r="U35" s="68"/>
      <c r="V35" s="68"/>
      <c r="W35" s="68"/>
      <c r="X35" s="68"/>
      <c r="Y35" s="69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6"/>
      <c r="Q36" s="75"/>
      <c r="R36" s="75"/>
      <c r="S36" s="76"/>
      <c r="T36" s="75"/>
      <c r="U36" s="75"/>
      <c r="V36" s="75"/>
      <c r="W36" s="75"/>
      <c r="X36" s="75"/>
      <c r="Y36" s="76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0.8" thickBot="1" x14ac:dyDescent="0.25">
      <c r="A37" s="86">
        <f>A34</f>
        <v>42542</v>
      </c>
      <c r="B37" s="87" t="s">
        <v>46</v>
      </c>
      <c r="C37" s="403">
        <f>SHIFT(E35:AZ35,E36:AZ36,C36)</f>
        <v>0</v>
      </c>
      <c r="D37" s="422">
        <f>C37*15+(SUM(E37:AZ37)-C37)*13.5</f>
        <v>0</v>
      </c>
      <c r="E37" s="82">
        <f t="shared" ref="E37:AZ37" si="11">HRS(E35,E36)</f>
        <v>0</v>
      </c>
      <c r="F37" s="83">
        <f t="shared" si="11"/>
        <v>0</v>
      </c>
      <c r="G37" s="83">
        <f t="shared" si="11"/>
        <v>0</v>
      </c>
      <c r="H37" s="83">
        <f t="shared" si="11"/>
        <v>0</v>
      </c>
      <c r="I37" s="83">
        <f t="shared" si="11"/>
        <v>0</v>
      </c>
      <c r="J37" s="83">
        <f t="shared" si="11"/>
        <v>0</v>
      </c>
      <c r="K37" s="83">
        <f t="shared" si="11"/>
        <v>0</v>
      </c>
      <c r="L37" s="83">
        <f t="shared" si="11"/>
        <v>0</v>
      </c>
      <c r="M37" s="83">
        <f t="shared" si="11"/>
        <v>0</v>
      </c>
      <c r="N37" s="83">
        <f t="shared" si="11"/>
        <v>0</v>
      </c>
      <c r="O37" s="83">
        <f t="shared" si="11"/>
        <v>0</v>
      </c>
      <c r="P37" s="83">
        <f t="shared" si="11"/>
        <v>0</v>
      </c>
      <c r="Q37" s="83">
        <f t="shared" si="11"/>
        <v>0</v>
      </c>
      <c r="R37" s="83">
        <f t="shared" si="11"/>
        <v>0</v>
      </c>
      <c r="S37" s="83">
        <f t="shared" si="11"/>
        <v>0</v>
      </c>
      <c r="T37" s="83">
        <f t="shared" si="11"/>
        <v>0</v>
      </c>
      <c r="U37" s="83">
        <f t="shared" si="11"/>
        <v>0</v>
      </c>
      <c r="V37" s="83">
        <f t="shared" si="11"/>
        <v>0</v>
      </c>
      <c r="W37" s="83">
        <f t="shared" si="11"/>
        <v>0</v>
      </c>
      <c r="X37" s="83">
        <f t="shared" si="11"/>
        <v>0</v>
      </c>
      <c r="Y37" s="83">
        <f t="shared" si="11"/>
        <v>0</v>
      </c>
      <c r="Z37" s="83">
        <f t="shared" si="11"/>
        <v>0</v>
      </c>
      <c r="AA37" s="83">
        <f t="shared" si="11"/>
        <v>0</v>
      </c>
      <c r="AB37" s="83">
        <f t="shared" si="11"/>
        <v>0</v>
      </c>
      <c r="AC37" s="83">
        <f t="shared" si="11"/>
        <v>0</v>
      </c>
      <c r="AD37" s="83">
        <f t="shared" si="11"/>
        <v>0</v>
      </c>
      <c r="AE37" s="83">
        <f t="shared" si="11"/>
        <v>0</v>
      </c>
      <c r="AF37" s="83">
        <f t="shared" si="11"/>
        <v>0</v>
      </c>
      <c r="AG37" s="83">
        <f t="shared" si="11"/>
        <v>0</v>
      </c>
      <c r="AH37" s="83">
        <f t="shared" si="11"/>
        <v>0</v>
      </c>
      <c r="AI37" s="83">
        <f t="shared" si="11"/>
        <v>0</v>
      </c>
      <c r="AJ37" s="83">
        <f t="shared" si="11"/>
        <v>0</v>
      </c>
      <c r="AK37" s="83">
        <f t="shared" si="11"/>
        <v>0</v>
      </c>
      <c r="AL37" s="83">
        <f t="shared" si="11"/>
        <v>0</v>
      </c>
      <c r="AM37" s="83">
        <f t="shared" si="11"/>
        <v>0</v>
      </c>
      <c r="AN37" s="83">
        <f t="shared" si="11"/>
        <v>0</v>
      </c>
      <c r="AO37" s="83">
        <f t="shared" si="11"/>
        <v>0</v>
      </c>
      <c r="AP37" s="83">
        <f t="shared" si="11"/>
        <v>0</v>
      </c>
      <c r="AQ37" s="83">
        <f t="shared" si="11"/>
        <v>0</v>
      </c>
      <c r="AR37" s="83">
        <f t="shared" si="11"/>
        <v>0</v>
      </c>
      <c r="AS37" s="83">
        <f t="shared" si="11"/>
        <v>0</v>
      </c>
      <c r="AT37" s="83">
        <f t="shared" si="11"/>
        <v>0</v>
      </c>
      <c r="AU37" s="83">
        <f t="shared" si="11"/>
        <v>0</v>
      </c>
      <c r="AV37" s="83">
        <f t="shared" si="11"/>
        <v>0</v>
      </c>
      <c r="AW37" s="83">
        <f t="shared" si="11"/>
        <v>0</v>
      </c>
      <c r="AX37" s="83">
        <f t="shared" si="11"/>
        <v>0</v>
      </c>
      <c r="AY37" s="83">
        <f t="shared" si="11"/>
        <v>0</v>
      </c>
      <c r="AZ37" s="84">
        <f t="shared" si="11"/>
        <v>0</v>
      </c>
    </row>
    <row r="38" spans="1:16383" x14ac:dyDescent="0.2">
      <c r="A38" s="63" t="str">
        <f>IF(COUNTA(E38:AZ38)=1,"1 Valet",COUNTA(E38:AZ38)&amp;" Valets")</f>
        <v>0 Valets</v>
      </c>
      <c r="B38" s="64" t="s">
        <v>20</v>
      </c>
      <c r="C38" s="132"/>
      <c r="D38" s="66"/>
      <c r="E38" s="67"/>
      <c r="F38" s="68"/>
      <c r="G38" s="68"/>
      <c r="H38" s="68"/>
      <c r="I38" s="68"/>
      <c r="J38" s="68"/>
      <c r="K38" s="68"/>
      <c r="L38" s="68"/>
      <c r="M38" s="69"/>
      <c r="N38" s="68"/>
      <c r="O38" s="68"/>
      <c r="P38" s="69"/>
      <c r="Q38" s="69"/>
      <c r="R38" s="68"/>
      <c r="S38" s="69"/>
      <c r="T38" s="68"/>
      <c r="U38" s="68"/>
      <c r="V38" s="68"/>
      <c r="W38" s="68"/>
      <c r="X38" s="68"/>
      <c r="Y38" s="69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6"/>
      <c r="Q39" s="75"/>
      <c r="R39" s="75"/>
      <c r="S39" s="76"/>
      <c r="T39" s="75"/>
      <c r="U39" s="75"/>
      <c r="V39" s="75"/>
      <c r="W39" s="75"/>
      <c r="X39" s="75"/>
      <c r="Y39" s="76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0.8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0</v>
      </c>
      <c r="D40" s="421">
        <f>C40*15+(SUM(E40:AZ40)-C40)*13.5</f>
        <v>0</v>
      </c>
      <c r="E40" s="82">
        <f t="shared" ref="E40:AZ40" si="12">HRS(E38,E39)</f>
        <v>0</v>
      </c>
      <c r="F40" s="83">
        <f t="shared" si="12"/>
        <v>0</v>
      </c>
      <c r="G40" s="83">
        <f t="shared" si="12"/>
        <v>0</v>
      </c>
      <c r="H40" s="83">
        <f t="shared" si="12"/>
        <v>0</v>
      </c>
      <c r="I40" s="83">
        <f t="shared" si="12"/>
        <v>0</v>
      </c>
      <c r="J40" s="83">
        <f t="shared" si="12"/>
        <v>0</v>
      </c>
      <c r="K40" s="83">
        <f t="shared" si="12"/>
        <v>0</v>
      </c>
      <c r="L40" s="83">
        <f t="shared" si="12"/>
        <v>0</v>
      </c>
      <c r="M40" s="83">
        <f t="shared" si="12"/>
        <v>0</v>
      </c>
      <c r="N40" s="83">
        <f t="shared" si="12"/>
        <v>0</v>
      </c>
      <c r="O40" s="83">
        <f t="shared" si="12"/>
        <v>0</v>
      </c>
      <c r="P40" s="83">
        <f t="shared" si="12"/>
        <v>0</v>
      </c>
      <c r="Q40" s="83">
        <f t="shared" si="12"/>
        <v>0</v>
      </c>
      <c r="R40" s="83">
        <f t="shared" si="12"/>
        <v>0</v>
      </c>
      <c r="S40" s="83">
        <f t="shared" si="12"/>
        <v>0</v>
      </c>
      <c r="T40" s="83">
        <f t="shared" si="12"/>
        <v>0</v>
      </c>
      <c r="U40" s="83">
        <f t="shared" si="12"/>
        <v>0</v>
      </c>
      <c r="V40" s="83">
        <f t="shared" si="12"/>
        <v>0</v>
      </c>
      <c r="W40" s="83">
        <f t="shared" si="12"/>
        <v>0</v>
      </c>
      <c r="X40" s="83">
        <f t="shared" si="12"/>
        <v>0</v>
      </c>
      <c r="Y40" s="83">
        <f t="shared" si="12"/>
        <v>0</v>
      </c>
      <c r="Z40" s="83">
        <f t="shared" si="12"/>
        <v>0</v>
      </c>
      <c r="AA40" s="83">
        <f t="shared" si="12"/>
        <v>0</v>
      </c>
      <c r="AB40" s="83">
        <f t="shared" si="12"/>
        <v>0</v>
      </c>
      <c r="AC40" s="83">
        <f t="shared" si="12"/>
        <v>0</v>
      </c>
      <c r="AD40" s="83">
        <f t="shared" si="12"/>
        <v>0</v>
      </c>
      <c r="AE40" s="83">
        <f t="shared" si="12"/>
        <v>0</v>
      </c>
      <c r="AF40" s="83">
        <f t="shared" si="12"/>
        <v>0</v>
      </c>
      <c r="AG40" s="83">
        <f t="shared" si="12"/>
        <v>0</v>
      </c>
      <c r="AH40" s="83">
        <f t="shared" si="12"/>
        <v>0</v>
      </c>
      <c r="AI40" s="83">
        <f t="shared" si="12"/>
        <v>0</v>
      </c>
      <c r="AJ40" s="83">
        <f t="shared" si="12"/>
        <v>0</v>
      </c>
      <c r="AK40" s="83">
        <f t="shared" si="12"/>
        <v>0</v>
      </c>
      <c r="AL40" s="83">
        <f t="shared" si="12"/>
        <v>0</v>
      </c>
      <c r="AM40" s="83">
        <f t="shared" si="12"/>
        <v>0</v>
      </c>
      <c r="AN40" s="83">
        <f t="shared" si="12"/>
        <v>0</v>
      </c>
      <c r="AO40" s="83">
        <f t="shared" si="12"/>
        <v>0</v>
      </c>
      <c r="AP40" s="83">
        <f t="shared" si="12"/>
        <v>0</v>
      </c>
      <c r="AQ40" s="83">
        <f t="shared" si="12"/>
        <v>0</v>
      </c>
      <c r="AR40" s="83">
        <f t="shared" si="12"/>
        <v>0</v>
      </c>
      <c r="AS40" s="83">
        <f t="shared" si="12"/>
        <v>0</v>
      </c>
      <c r="AT40" s="83">
        <f t="shared" si="12"/>
        <v>0</v>
      </c>
      <c r="AU40" s="83">
        <f t="shared" si="12"/>
        <v>0</v>
      </c>
      <c r="AV40" s="83">
        <f t="shared" si="12"/>
        <v>0</v>
      </c>
      <c r="AW40" s="83">
        <f t="shared" si="12"/>
        <v>0</v>
      </c>
      <c r="AX40" s="83">
        <f t="shared" si="12"/>
        <v>0</v>
      </c>
      <c r="AY40" s="83">
        <f t="shared" si="12"/>
        <v>0</v>
      </c>
      <c r="AZ40" s="84">
        <f t="shared" si="12"/>
        <v>0</v>
      </c>
    </row>
    <row r="41" spans="1:16383" x14ac:dyDescent="0.2">
      <c r="A41" s="63" t="str">
        <f>IF(COUNTA(E41:AZ41)=1,"1 Valet",COUNTA(E41:AZ41)&amp;" Valets")</f>
        <v>0 Valets</v>
      </c>
      <c r="B41" s="64" t="s">
        <v>22</v>
      </c>
      <c r="C41" s="132"/>
      <c r="D41" s="66"/>
      <c r="E41" s="67"/>
      <c r="F41" s="68"/>
      <c r="G41" s="68"/>
      <c r="H41" s="68"/>
      <c r="I41" s="68"/>
      <c r="J41" s="68"/>
      <c r="K41" s="68"/>
      <c r="L41" s="68"/>
      <c r="M41" s="69"/>
      <c r="N41" s="68"/>
      <c r="O41" s="68"/>
      <c r="P41" s="69"/>
      <c r="Q41" s="69"/>
      <c r="R41" s="68"/>
      <c r="S41" s="69"/>
      <c r="T41" s="68"/>
      <c r="U41" s="68"/>
      <c r="V41" s="68"/>
      <c r="W41" s="68"/>
      <c r="X41" s="68"/>
      <c r="Y41" s="69"/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6"/>
      <c r="Q42" s="75"/>
      <c r="R42" s="75"/>
      <c r="S42" s="76"/>
      <c r="T42" s="75"/>
      <c r="U42" s="75"/>
      <c r="V42" s="75"/>
      <c r="W42" s="75"/>
      <c r="X42" s="75"/>
      <c r="Y42" s="76"/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0.8" thickBot="1" x14ac:dyDescent="0.25">
      <c r="A43" s="86">
        <f>A40</f>
        <v>42543</v>
      </c>
      <c r="B43" s="87" t="s">
        <v>46</v>
      </c>
      <c r="C43" s="403">
        <f>SHIFT(E41:AZ41,E42:AZ42,C42)</f>
        <v>0</v>
      </c>
      <c r="D43" s="422">
        <f>C43*15+(SUM(E43:AZ43)-C43)*13.5</f>
        <v>0</v>
      </c>
      <c r="E43" s="82">
        <f t="shared" ref="E43:AZ43" si="13">HRS(E41,E42)</f>
        <v>0</v>
      </c>
      <c r="F43" s="83">
        <f t="shared" si="13"/>
        <v>0</v>
      </c>
      <c r="G43" s="83">
        <f t="shared" si="13"/>
        <v>0</v>
      </c>
      <c r="H43" s="83">
        <f t="shared" si="13"/>
        <v>0</v>
      </c>
      <c r="I43" s="83">
        <f t="shared" si="13"/>
        <v>0</v>
      </c>
      <c r="J43" s="83">
        <f t="shared" si="13"/>
        <v>0</v>
      </c>
      <c r="K43" s="83">
        <f t="shared" si="13"/>
        <v>0</v>
      </c>
      <c r="L43" s="83">
        <f t="shared" si="13"/>
        <v>0</v>
      </c>
      <c r="M43" s="83">
        <f t="shared" si="13"/>
        <v>0</v>
      </c>
      <c r="N43" s="83">
        <f t="shared" si="13"/>
        <v>0</v>
      </c>
      <c r="O43" s="83">
        <f t="shared" si="13"/>
        <v>0</v>
      </c>
      <c r="P43" s="83">
        <f t="shared" si="13"/>
        <v>0</v>
      </c>
      <c r="Q43" s="83">
        <f t="shared" si="13"/>
        <v>0</v>
      </c>
      <c r="R43" s="83">
        <f t="shared" si="13"/>
        <v>0</v>
      </c>
      <c r="S43" s="83">
        <f t="shared" si="13"/>
        <v>0</v>
      </c>
      <c r="T43" s="83">
        <f t="shared" si="13"/>
        <v>0</v>
      </c>
      <c r="U43" s="83">
        <f t="shared" si="13"/>
        <v>0</v>
      </c>
      <c r="V43" s="83">
        <f t="shared" si="13"/>
        <v>0</v>
      </c>
      <c r="W43" s="83">
        <f t="shared" si="13"/>
        <v>0</v>
      </c>
      <c r="X43" s="83">
        <f t="shared" si="13"/>
        <v>0</v>
      </c>
      <c r="Y43" s="83">
        <f t="shared" si="13"/>
        <v>0</v>
      </c>
      <c r="Z43" s="83">
        <f t="shared" si="13"/>
        <v>0</v>
      </c>
      <c r="AA43" s="83">
        <f t="shared" si="13"/>
        <v>0</v>
      </c>
      <c r="AB43" s="83">
        <f t="shared" si="13"/>
        <v>0</v>
      </c>
      <c r="AC43" s="83">
        <f t="shared" si="13"/>
        <v>0</v>
      </c>
      <c r="AD43" s="83">
        <f t="shared" si="13"/>
        <v>0</v>
      </c>
      <c r="AE43" s="83">
        <f t="shared" si="13"/>
        <v>0</v>
      </c>
      <c r="AF43" s="83">
        <f t="shared" si="13"/>
        <v>0</v>
      </c>
      <c r="AG43" s="83">
        <f t="shared" si="13"/>
        <v>0</v>
      </c>
      <c r="AH43" s="83">
        <f t="shared" si="13"/>
        <v>0</v>
      </c>
      <c r="AI43" s="83">
        <f t="shared" si="13"/>
        <v>0</v>
      </c>
      <c r="AJ43" s="83">
        <f t="shared" si="13"/>
        <v>0</v>
      </c>
      <c r="AK43" s="83">
        <f t="shared" si="13"/>
        <v>0</v>
      </c>
      <c r="AL43" s="83">
        <f t="shared" si="13"/>
        <v>0</v>
      </c>
      <c r="AM43" s="83">
        <f t="shared" si="13"/>
        <v>0</v>
      </c>
      <c r="AN43" s="83">
        <f t="shared" si="13"/>
        <v>0</v>
      </c>
      <c r="AO43" s="83">
        <f t="shared" si="13"/>
        <v>0</v>
      </c>
      <c r="AP43" s="83">
        <f t="shared" si="13"/>
        <v>0</v>
      </c>
      <c r="AQ43" s="83">
        <f t="shared" si="13"/>
        <v>0</v>
      </c>
      <c r="AR43" s="83">
        <f t="shared" si="13"/>
        <v>0</v>
      </c>
      <c r="AS43" s="83">
        <f t="shared" si="13"/>
        <v>0</v>
      </c>
      <c r="AT43" s="83">
        <f t="shared" si="13"/>
        <v>0</v>
      </c>
      <c r="AU43" s="83">
        <f t="shared" si="13"/>
        <v>0</v>
      </c>
      <c r="AV43" s="83">
        <f t="shared" si="13"/>
        <v>0</v>
      </c>
      <c r="AW43" s="83">
        <f t="shared" si="13"/>
        <v>0</v>
      </c>
      <c r="AX43" s="83">
        <f t="shared" si="13"/>
        <v>0</v>
      </c>
      <c r="AY43" s="83">
        <f t="shared" si="13"/>
        <v>0</v>
      </c>
      <c r="AZ43" s="84">
        <f t="shared" si="13"/>
        <v>0</v>
      </c>
    </row>
    <row r="44" spans="1:16383" x14ac:dyDescent="0.2">
      <c r="A44" s="63" t="str">
        <f>IF(COUNTA(E44:AZ44)=1,"1 Valet",COUNTA(E44:AZ44)&amp;" Valets")</f>
        <v>0 Valets</v>
      </c>
      <c r="B44" s="64" t="s">
        <v>20</v>
      </c>
      <c r="C44" s="132"/>
      <c r="D44" s="66"/>
      <c r="E44" s="67"/>
      <c r="F44" s="68"/>
      <c r="G44" s="68"/>
      <c r="H44" s="68"/>
      <c r="I44" s="68"/>
      <c r="J44" s="68"/>
      <c r="K44" s="68"/>
      <c r="L44" s="68"/>
      <c r="M44" s="69"/>
      <c r="N44" s="68"/>
      <c r="O44" s="68"/>
      <c r="P44" s="69"/>
      <c r="Q44" s="69"/>
      <c r="R44" s="68"/>
      <c r="S44" s="69"/>
      <c r="T44" s="68"/>
      <c r="U44" s="68"/>
      <c r="V44" s="68"/>
      <c r="W44" s="68"/>
      <c r="X44" s="68"/>
      <c r="Y44" s="69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6"/>
      <c r="Q45" s="75"/>
      <c r="R45" s="75"/>
      <c r="S45" s="76"/>
      <c r="T45" s="75"/>
      <c r="U45" s="75"/>
      <c r="V45" s="75"/>
      <c r="W45" s="75"/>
      <c r="X45" s="75"/>
      <c r="Y45" s="76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0.8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0</v>
      </c>
      <c r="D46" s="421">
        <f>C46*15+(SUM(E46:AZ46)-C46)*13.5</f>
        <v>0</v>
      </c>
      <c r="E46" s="82">
        <f t="shared" ref="E46:AZ46" si="14">HRS(E44,E45)</f>
        <v>0</v>
      </c>
      <c r="F46" s="83">
        <f t="shared" si="14"/>
        <v>0</v>
      </c>
      <c r="G46" s="83">
        <f t="shared" si="14"/>
        <v>0</v>
      </c>
      <c r="H46" s="83">
        <f t="shared" si="14"/>
        <v>0</v>
      </c>
      <c r="I46" s="83">
        <f t="shared" si="14"/>
        <v>0</v>
      </c>
      <c r="J46" s="83">
        <f t="shared" si="14"/>
        <v>0</v>
      </c>
      <c r="K46" s="83">
        <f t="shared" si="14"/>
        <v>0</v>
      </c>
      <c r="L46" s="83">
        <f t="shared" si="14"/>
        <v>0</v>
      </c>
      <c r="M46" s="83">
        <f t="shared" si="14"/>
        <v>0</v>
      </c>
      <c r="N46" s="83">
        <f t="shared" si="14"/>
        <v>0</v>
      </c>
      <c r="O46" s="83">
        <f t="shared" si="14"/>
        <v>0</v>
      </c>
      <c r="P46" s="83">
        <f t="shared" si="14"/>
        <v>0</v>
      </c>
      <c r="Q46" s="83">
        <f t="shared" si="14"/>
        <v>0</v>
      </c>
      <c r="R46" s="83">
        <f t="shared" si="14"/>
        <v>0</v>
      </c>
      <c r="S46" s="83">
        <f t="shared" si="14"/>
        <v>0</v>
      </c>
      <c r="T46" s="83">
        <f t="shared" si="14"/>
        <v>0</v>
      </c>
      <c r="U46" s="83">
        <f t="shared" si="14"/>
        <v>0</v>
      </c>
      <c r="V46" s="83">
        <f t="shared" si="14"/>
        <v>0</v>
      </c>
      <c r="W46" s="83">
        <f t="shared" si="14"/>
        <v>0</v>
      </c>
      <c r="X46" s="83">
        <f t="shared" si="14"/>
        <v>0</v>
      </c>
      <c r="Y46" s="83">
        <f t="shared" si="14"/>
        <v>0</v>
      </c>
      <c r="Z46" s="83">
        <f t="shared" si="14"/>
        <v>0</v>
      </c>
      <c r="AA46" s="83">
        <f t="shared" si="14"/>
        <v>0</v>
      </c>
      <c r="AB46" s="83">
        <f t="shared" si="14"/>
        <v>0</v>
      </c>
      <c r="AC46" s="83">
        <f t="shared" si="14"/>
        <v>0</v>
      </c>
      <c r="AD46" s="83">
        <f t="shared" si="14"/>
        <v>0</v>
      </c>
      <c r="AE46" s="83">
        <f t="shared" si="14"/>
        <v>0</v>
      </c>
      <c r="AF46" s="83">
        <f t="shared" si="14"/>
        <v>0</v>
      </c>
      <c r="AG46" s="83">
        <f t="shared" si="14"/>
        <v>0</v>
      </c>
      <c r="AH46" s="83">
        <f t="shared" si="14"/>
        <v>0</v>
      </c>
      <c r="AI46" s="83">
        <f t="shared" si="14"/>
        <v>0</v>
      </c>
      <c r="AJ46" s="83">
        <f t="shared" si="14"/>
        <v>0</v>
      </c>
      <c r="AK46" s="83">
        <f t="shared" si="14"/>
        <v>0</v>
      </c>
      <c r="AL46" s="83">
        <f t="shared" si="14"/>
        <v>0</v>
      </c>
      <c r="AM46" s="83">
        <f t="shared" si="14"/>
        <v>0</v>
      </c>
      <c r="AN46" s="83">
        <f t="shared" si="14"/>
        <v>0</v>
      </c>
      <c r="AO46" s="83">
        <f t="shared" si="14"/>
        <v>0</v>
      </c>
      <c r="AP46" s="83">
        <f t="shared" si="14"/>
        <v>0</v>
      </c>
      <c r="AQ46" s="83">
        <f t="shared" si="14"/>
        <v>0</v>
      </c>
      <c r="AR46" s="83">
        <f t="shared" si="14"/>
        <v>0</v>
      </c>
      <c r="AS46" s="83">
        <f t="shared" si="14"/>
        <v>0</v>
      </c>
      <c r="AT46" s="83">
        <f t="shared" si="14"/>
        <v>0</v>
      </c>
      <c r="AU46" s="83">
        <f t="shared" si="14"/>
        <v>0</v>
      </c>
      <c r="AV46" s="83">
        <f t="shared" si="14"/>
        <v>0</v>
      </c>
      <c r="AW46" s="83">
        <f t="shared" si="14"/>
        <v>0</v>
      </c>
      <c r="AX46" s="83">
        <f t="shared" si="14"/>
        <v>0</v>
      </c>
      <c r="AY46" s="83">
        <f t="shared" si="14"/>
        <v>0</v>
      </c>
      <c r="AZ46" s="84">
        <f t="shared" si="14"/>
        <v>0</v>
      </c>
    </row>
    <row r="47" spans="1:16383" x14ac:dyDescent="0.2">
      <c r="A47" s="63" t="str">
        <f>IF(COUNTA(E47:AZ47)=1,"1 Valet",COUNTA(E47:AZ47)&amp;" Valets")</f>
        <v>0 Valets</v>
      </c>
      <c r="B47" s="64" t="s">
        <v>22</v>
      </c>
      <c r="C47" s="132"/>
      <c r="D47" s="66"/>
      <c r="E47" s="67"/>
      <c r="F47" s="68"/>
      <c r="G47" s="68"/>
      <c r="H47" s="68"/>
      <c r="I47" s="68"/>
      <c r="J47" s="68"/>
      <c r="K47" s="68"/>
      <c r="L47" s="68"/>
      <c r="M47" s="69"/>
      <c r="N47" s="68"/>
      <c r="O47" s="68"/>
      <c r="P47" s="69"/>
      <c r="Q47" s="69"/>
      <c r="R47" s="68"/>
      <c r="S47" s="69"/>
      <c r="T47" s="68"/>
      <c r="U47" s="68"/>
      <c r="V47" s="68"/>
      <c r="W47" s="68"/>
      <c r="X47" s="68"/>
      <c r="Y47" s="69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6"/>
      <c r="Q48" s="75"/>
      <c r="R48" s="75"/>
      <c r="S48" s="76"/>
      <c r="T48" s="75"/>
      <c r="U48" s="75"/>
      <c r="V48" s="75"/>
      <c r="W48" s="75"/>
      <c r="X48" s="75"/>
      <c r="Y48" s="76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0.8" thickBot="1" x14ac:dyDescent="0.25">
      <c r="A49" s="86">
        <f>A46</f>
        <v>42544</v>
      </c>
      <c r="B49" s="87" t="s">
        <v>46</v>
      </c>
      <c r="C49" s="403">
        <f>SHIFT(E47:AZ47,E48:AZ48,C48)</f>
        <v>0</v>
      </c>
      <c r="D49" s="422">
        <f>C49*15+(SUM(E49:AZ49)-C49)*13.5</f>
        <v>0</v>
      </c>
      <c r="E49" s="82">
        <f t="shared" ref="E49:AZ49" si="15">HRS(E47,E48)</f>
        <v>0</v>
      </c>
      <c r="F49" s="83">
        <f t="shared" si="15"/>
        <v>0</v>
      </c>
      <c r="G49" s="83">
        <f t="shared" si="15"/>
        <v>0</v>
      </c>
      <c r="H49" s="83">
        <f t="shared" si="15"/>
        <v>0</v>
      </c>
      <c r="I49" s="83">
        <f t="shared" si="15"/>
        <v>0</v>
      </c>
      <c r="J49" s="83">
        <f t="shared" si="15"/>
        <v>0</v>
      </c>
      <c r="K49" s="83">
        <f t="shared" si="15"/>
        <v>0</v>
      </c>
      <c r="L49" s="83">
        <f t="shared" si="15"/>
        <v>0</v>
      </c>
      <c r="M49" s="83">
        <f t="shared" si="15"/>
        <v>0</v>
      </c>
      <c r="N49" s="83">
        <f t="shared" si="15"/>
        <v>0</v>
      </c>
      <c r="O49" s="83">
        <f t="shared" si="15"/>
        <v>0</v>
      </c>
      <c r="P49" s="83">
        <f t="shared" si="15"/>
        <v>0</v>
      </c>
      <c r="Q49" s="83">
        <f t="shared" si="15"/>
        <v>0</v>
      </c>
      <c r="R49" s="83">
        <f t="shared" si="15"/>
        <v>0</v>
      </c>
      <c r="S49" s="83">
        <f t="shared" si="15"/>
        <v>0</v>
      </c>
      <c r="T49" s="83">
        <f t="shared" si="15"/>
        <v>0</v>
      </c>
      <c r="U49" s="83">
        <f t="shared" si="15"/>
        <v>0</v>
      </c>
      <c r="V49" s="83">
        <f t="shared" si="15"/>
        <v>0</v>
      </c>
      <c r="W49" s="83">
        <f t="shared" si="15"/>
        <v>0</v>
      </c>
      <c r="X49" s="83">
        <f t="shared" si="15"/>
        <v>0</v>
      </c>
      <c r="Y49" s="83">
        <f t="shared" si="15"/>
        <v>0</v>
      </c>
      <c r="Z49" s="83">
        <f t="shared" si="15"/>
        <v>0</v>
      </c>
      <c r="AA49" s="83">
        <f t="shared" si="15"/>
        <v>0</v>
      </c>
      <c r="AB49" s="83">
        <f t="shared" si="15"/>
        <v>0</v>
      </c>
      <c r="AC49" s="83">
        <f t="shared" si="15"/>
        <v>0</v>
      </c>
      <c r="AD49" s="83">
        <f t="shared" si="15"/>
        <v>0</v>
      </c>
      <c r="AE49" s="83">
        <f t="shared" si="15"/>
        <v>0</v>
      </c>
      <c r="AF49" s="83">
        <f t="shared" si="15"/>
        <v>0</v>
      </c>
      <c r="AG49" s="83">
        <f t="shared" si="15"/>
        <v>0</v>
      </c>
      <c r="AH49" s="83">
        <f t="shared" si="15"/>
        <v>0</v>
      </c>
      <c r="AI49" s="83">
        <f t="shared" si="15"/>
        <v>0</v>
      </c>
      <c r="AJ49" s="83">
        <f t="shared" si="15"/>
        <v>0</v>
      </c>
      <c r="AK49" s="83">
        <f t="shared" si="15"/>
        <v>0</v>
      </c>
      <c r="AL49" s="83">
        <f t="shared" si="15"/>
        <v>0</v>
      </c>
      <c r="AM49" s="83">
        <f t="shared" si="15"/>
        <v>0</v>
      </c>
      <c r="AN49" s="83">
        <f t="shared" si="15"/>
        <v>0</v>
      </c>
      <c r="AO49" s="83">
        <f t="shared" si="15"/>
        <v>0</v>
      </c>
      <c r="AP49" s="83">
        <f t="shared" si="15"/>
        <v>0</v>
      </c>
      <c r="AQ49" s="83">
        <f t="shared" si="15"/>
        <v>0</v>
      </c>
      <c r="AR49" s="83">
        <f t="shared" si="15"/>
        <v>0</v>
      </c>
      <c r="AS49" s="83">
        <f t="shared" si="15"/>
        <v>0</v>
      </c>
      <c r="AT49" s="83">
        <f t="shared" si="15"/>
        <v>0</v>
      </c>
      <c r="AU49" s="83">
        <f t="shared" si="15"/>
        <v>0</v>
      </c>
      <c r="AV49" s="83">
        <f t="shared" si="15"/>
        <v>0</v>
      </c>
      <c r="AW49" s="83">
        <f t="shared" si="15"/>
        <v>0</v>
      </c>
      <c r="AX49" s="83">
        <f t="shared" si="15"/>
        <v>0</v>
      </c>
      <c r="AY49" s="83">
        <f t="shared" si="15"/>
        <v>0</v>
      </c>
      <c r="AZ49" s="84">
        <f t="shared" si="15"/>
        <v>0</v>
      </c>
    </row>
    <row r="50" spans="1:52" x14ac:dyDescent="0.2">
      <c r="A50" s="63" t="str">
        <f>IF(COUNTA(E50:AZ50)=1,"1 Valet",COUNTA(E50:AZ50)&amp;" Valets")</f>
        <v>0 Valets</v>
      </c>
      <c r="B50" s="64" t="s">
        <v>20</v>
      </c>
      <c r="C50" s="132"/>
      <c r="D50" s="66"/>
      <c r="E50" s="67"/>
      <c r="F50" s="68"/>
      <c r="G50" s="68"/>
      <c r="H50" s="68"/>
      <c r="I50" s="68"/>
      <c r="J50" s="68"/>
      <c r="K50" s="68"/>
      <c r="L50" s="68"/>
      <c r="M50" s="69"/>
      <c r="N50" s="68"/>
      <c r="O50" s="68"/>
      <c r="P50" s="69"/>
      <c r="Q50" s="69"/>
      <c r="R50" s="68"/>
      <c r="S50" s="69"/>
      <c r="T50" s="68"/>
      <c r="U50" s="68"/>
      <c r="V50" s="68"/>
      <c r="W50" s="68"/>
      <c r="X50" s="68"/>
      <c r="Y50" s="69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6"/>
      <c r="Q51" s="75"/>
      <c r="R51" s="75"/>
      <c r="S51" s="76"/>
      <c r="T51" s="75"/>
      <c r="U51" s="75"/>
      <c r="V51" s="75"/>
      <c r="W51" s="75"/>
      <c r="X51" s="75"/>
      <c r="Y51" s="76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0.8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0</v>
      </c>
      <c r="D52" s="421">
        <f>C52*15+(SUM(E52:AZ52)-C52)*13.5</f>
        <v>0</v>
      </c>
      <c r="E52" s="82">
        <f t="shared" ref="E52:AZ52" si="16">HRS(E50,E51)</f>
        <v>0</v>
      </c>
      <c r="F52" s="83">
        <f t="shared" si="16"/>
        <v>0</v>
      </c>
      <c r="G52" s="83">
        <f t="shared" si="16"/>
        <v>0</v>
      </c>
      <c r="H52" s="83">
        <f t="shared" si="16"/>
        <v>0</v>
      </c>
      <c r="I52" s="83">
        <f t="shared" si="16"/>
        <v>0</v>
      </c>
      <c r="J52" s="83">
        <f t="shared" si="16"/>
        <v>0</v>
      </c>
      <c r="K52" s="83">
        <f t="shared" si="16"/>
        <v>0</v>
      </c>
      <c r="L52" s="83">
        <f t="shared" si="16"/>
        <v>0</v>
      </c>
      <c r="M52" s="83">
        <f t="shared" si="16"/>
        <v>0</v>
      </c>
      <c r="N52" s="83">
        <f t="shared" si="16"/>
        <v>0</v>
      </c>
      <c r="O52" s="83">
        <f t="shared" si="16"/>
        <v>0</v>
      </c>
      <c r="P52" s="83">
        <f t="shared" si="16"/>
        <v>0</v>
      </c>
      <c r="Q52" s="83">
        <f t="shared" si="16"/>
        <v>0</v>
      </c>
      <c r="R52" s="83">
        <f t="shared" si="16"/>
        <v>0</v>
      </c>
      <c r="S52" s="83">
        <f t="shared" si="16"/>
        <v>0</v>
      </c>
      <c r="T52" s="83">
        <f t="shared" si="16"/>
        <v>0</v>
      </c>
      <c r="U52" s="83">
        <f t="shared" si="16"/>
        <v>0</v>
      </c>
      <c r="V52" s="83">
        <f t="shared" si="16"/>
        <v>0</v>
      </c>
      <c r="W52" s="83">
        <f t="shared" si="16"/>
        <v>0</v>
      </c>
      <c r="X52" s="83">
        <f t="shared" si="16"/>
        <v>0</v>
      </c>
      <c r="Y52" s="83">
        <f t="shared" si="16"/>
        <v>0</v>
      </c>
      <c r="Z52" s="83">
        <f t="shared" si="16"/>
        <v>0</v>
      </c>
      <c r="AA52" s="83">
        <f t="shared" si="16"/>
        <v>0</v>
      </c>
      <c r="AB52" s="83">
        <f t="shared" si="16"/>
        <v>0</v>
      </c>
      <c r="AC52" s="83">
        <f t="shared" si="16"/>
        <v>0</v>
      </c>
      <c r="AD52" s="83">
        <f t="shared" si="16"/>
        <v>0</v>
      </c>
      <c r="AE52" s="83">
        <f t="shared" si="16"/>
        <v>0</v>
      </c>
      <c r="AF52" s="83">
        <f t="shared" si="16"/>
        <v>0</v>
      </c>
      <c r="AG52" s="83">
        <f t="shared" si="16"/>
        <v>0</v>
      </c>
      <c r="AH52" s="83">
        <f t="shared" si="16"/>
        <v>0</v>
      </c>
      <c r="AI52" s="83">
        <f t="shared" si="16"/>
        <v>0</v>
      </c>
      <c r="AJ52" s="83">
        <f t="shared" si="16"/>
        <v>0</v>
      </c>
      <c r="AK52" s="83">
        <f t="shared" si="16"/>
        <v>0</v>
      </c>
      <c r="AL52" s="83">
        <f t="shared" si="16"/>
        <v>0</v>
      </c>
      <c r="AM52" s="83">
        <f t="shared" si="16"/>
        <v>0</v>
      </c>
      <c r="AN52" s="83">
        <f t="shared" si="16"/>
        <v>0</v>
      </c>
      <c r="AO52" s="83">
        <f t="shared" si="16"/>
        <v>0</v>
      </c>
      <c r="AP52" s="83">
        <f t="shared" si="16"/>
        <v>0</v>
      </c>
      <c r="AQ52" s="83">
        <f t="shared" si="16"/>
        <v>0</v>
      </c>
      <c r="AR52" s="83">
        <f t="shared" si="16"/>
        <v>0</v>
      </c>
      <c r="AS52" s="83">
        <f t="shared" si="16"/>
        <v>0</v>
      </c>
      <c r="AT52" s="83">
        <f t="shared" si="16"/>
        <v>0</v>
      </c>
      <c r="AU52" s="83">
        <f t="shared" si="16"/>
        <v>0</v>
      </c>
      <c r="AV52" s="83">
        <f t="shared" si="16"/>
        <v>0</v>
      </c>
      <c r="AW52" s="83">
        <f t="shared" si="16"/>
        <v>0</v>
      </c>
      <c r="AX52" s="83">
        <f t="shared" si="16"/>
        <v>0</v>
      </c>
      <c r="AY52" s="83">
        <f t="shared" si="16"/>
        <v>0</v>
      </c>
      <c r="AZ52" s="84">
        <f t="shared" si="16"/>
        <v>0</v>
      </c>
    </row>
    <row r="53" spans="1:52" x14ac:dyDescent="0.2">
      <c r="A53" s="63" t="str">
        <f>IF(COUNTA(E53:AZ53)=1,"1 Valet",COUNTA(E53:AZ53)&amp;" Valets")</f>
        <v>0 Valets</v>
      </c>
      <c r="B53" s="64" t="s">
        <v>22</v>
      </c>
      <c r="C53" s="132"/>
      <c r="D53" s="66"/>
      <c r="E53" s="67"/>
      <c r="F53" s="68"/>
      <c r="G53" s="68"/>
      <c r="H53" s="68"/>
      <c r="I53" s="68"/>
      <c r="J53" s="68"/>
      <c r="K53" s="68"/>
      <c r="L53" s="68"/>
      <c r="M53" s="69"/>
      <c r="N53" s="68"/>
      <c r="O53" s="68"/>
      <c r="P53" s="69"/>
      <c r="Q53" s="69"/>
      <c r="R53" s="68"/>
      <c r="S53" s="69"/>
      <c r="T53" s="68"/>
      <c r="U53" s="68"/>
      <c r="V53" s="68"/>
      <c r="W53" s="68"/>
      <c r="X53" s="68"/>
      <c r="Y53" s="69"/>
      <c r="Z53" s="68"/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6"/>
      <c r="Q54" s="75"/>
      <c r="R54" s="75"/>
      <c r="S54" s="76"/>
      <c r="T54" s="75"/>
      <c r="U54" s="75"/>
      <c r="V54" s="75"/>
      <c r="W54" s="75"/>
      <c r="X54" s="75"/>
      <c r="Y54" s="76"/>
      <c r="Z54" s="75"/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0.8" thickBot="1" x14ac:dyDescent="0.25">
      <c r="A55" s="86">
        <f>A52</f>
        <v>42545</v>
      </c>
      <c r="B55" s="87" t="s">
        <v>46</v>
      </c>
      <c r="C55" s="403">
        <f>SHIFT(E53:AZ53,E54:AZ54,C54)</f>
        <v>0</v>
      </c>
      <c r="D55" s="422">
        <f>C55*15+(SUM(E55:AZ55)-C55)*13.5</f>
        <v>0</v>
      </c>
      <c r="E55" s="82">
        <f t="shared" ref="E55:AZ55" si="17">HRS(E53,E54)</f>
        <v>0</v>
      </c>
      <c r="F55" s="83">
        <f t="shared" si="17"/>
        <v>0</v>
      </c>
      <c r="G55" s="83">
        <f t="shared" si="17"/>
        <v>0</v>
      </c>
      <c r="H55" s="83">
        <f t="shared" si="17"/>
        <v>0</v>
      </c>
      <c r="I55" s="83">
        <f t="shared" si="17"/>
        <v>0</v>
      </c>
      <c r="J55" s="83">
        <f t="shared" si="17"/>
        <v>0</v>
      </c>
      <c r="K55" s="83">
        <f t="shared" si="17"/>
        <v>0</v>
      </c>
      <c r="L55" s="83">
        <f t="shared" si="17"/>
        <v>0</v>
      </c>
      <c r="M55" s="83">
        <f t="shared" si="17"/>
        <v>0</v>
      </c>
      <c r="N55" s="83">
        <f t="shared" si="17"/>
        <v>0</v>
      </c>
      <c r="O55" s="83">
        <f t="shared" si="17"/>
        <v>0</v>
      </c>
      <c r="P55" s="83">
        <f t="shared" si="17"/>
        <v>0</v>
      </c>
      <c r="Q55" s="83">
        <f t="shared" si="17"/>
        <v>0</v>
      </c>
      <c r="R55" s="83">
        <f t="shared" si="17"/>
        <v>0</v>
      </c>
      <c r="S55" s="83">
        <f t="shared" si="17"/>
        <v>0</v>
      </c>
      <c r="T55" s="83">
        <f t="shared" si="17"/>
        <v>0</v>
      </c>
      <c r="U55" s="83">
        <f t="shared" si="17"/>
        <v>0</v>
      </c>
      <c r="V55" s="83">
        <f t="shared" si="17"/>
        <v>0</v>
      </c>
      <c r="W55" s="83">
        <f t="shared" si="17"/>
        <v>0</v>
      </c>
      <c r="X55" s="83">
        <f t="shared" si="17"/>
        <v>0</v>
      </c>
      <c r="Y55" s="83">
        <f t="shared" si="17"/>
        <v>0</v>
      </c>
      <c r="Z55" s="83">
        <f t="shared" si="17"/>
        <v>0</v>
      </c>
      <c r="AA55" s="83">
        <f t="shared" si="17"/>
        <v>0</v>
      </c>
      <c r="AB55" s="83">
        <f t="shared" si="17"/>
        <v>0</v>
      </c>
      <c r="AC55" s="83">
        <f t="shared" si="17"/>
        <v>0</v>
      </c>
      <c r="AD55" s="83">
        <f t="shared" si="17"/>
        <v>0</v>
      </c>
      <c r="AE55" s="83">
        <f t="shared" si="17"/>
        <v>0</v>
      </c>
      <c r="AF55" s="83">
        <f t="shared" si="17"/>
        <v>0</v>
      </c>
      <c r="AG55" s="83">
        <f t="shared" si="17"/>
        <v>0</v>
      </c>
      <c r="AH55" s="83">
        <f t="shared" si="17"/>
        <v>0</v>
      </c>
      <c r="AI55" s="83">
        <f t="shared" si="17"/>
        <v>0</v>
      </c>
      <c r="AJ55" s="83">
        <f t="shared" si="17"/>
        <v>0</v>
      </c>
      <c r="AK55" s="83">
        <f t="shared" si="17"/>
        <v>0</v>
      </c>
      <c r="AL55" s="83">
        <f t="shared" si="17"/>
        <v>0</v>
      </c>
      <c r="AM55" s="83">
        <f t="shared" si="17"/>
        <v>0</v>
      </c>
      <c r="AN55" s="83">
        <f t="shared" si="17"/>
        <v>0</v>
      </c>
      <c r="AO55" s="83">
        <f t="shared" si="17"/>
        <v>0</v>
      </c>
      <c r="AP55" s="83">
        <f t="shared" si="17"/>
        <v>0</v>
      </c>
      <c r="AQ55" s="83">
        <f t="shared" si="17"/>
        <v>0</v>
      </c>
      <c r="AR55" s="83">
        <f t="shared" si="17"/>
        <v>0</v>
      </c>
      <c r="AS55" s="83">
        <f t="shared" si="17"/>
        <v>0</v>
      </c>
      <c r="AT55" s="83">
        <f t="shared" si="17"/>
        <v>0</v>
      </c>
      <c r="AU55" s="83">
        <f t="shared" si="17"/>
        <v>0</v>
      </c>
      <c r="AV55" s="83">
        <f t="shared" si="17"/>
        <v>0</v>
      </c>
      <c r="AW55" s="83">
        <f t="shared" si="17"/>
        <v>0</v>
      </c>
      <c r="AX55" s="83">
        <f t="shared" si="17"/>
        <v>0</v>
      </c>
      <c r="AY55" s="83">
        <f t="shared" si="17"/>
        <v>0</v>
      </c>
      <c r="AZ55" s="84">
        <f t="shared" si="17"/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132"/>
      <c r="D56" s="66"/>
      <c r="E56" s="67"/>
      <c r="F56" s="68"/>
      <c r="G56" s="68"/>
      <c r="H56" s="68"/>
      <c r="I56" s="68"/>
      <c r="J56" s="68"/>
      <c r="K56" s="68"/>
      <c r="L56" s="68"/>
      <c r="M56" s="69"/>
      <c r="N56" s="68"/>
      <c r="O56" s="68"/>
      <c r="P56" s="69"/>
      <c r="Q56" s="69"/>
      <c r="R56" s="68"/>
      <c r="S56" s="69"/>
      <c r="T56" s="68"/>
      <c r="U56" s="68"/>
      <c r="V56" s="68"/>
      <c r="W56" s="68"/>
      <c r="X56" s="68"/>
      <c r="Y56" s="69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6"/>
      <c r="Q57" s="75"/>
      <c r="R57" s="75"/>
      <c r="S57" s="76"/>
      <c r="T57" s="75"/>
      <c r="U57" s="75"/>
      <c r="V57" s="75"/>
      <c r="W57" s="75"/>
      <c r="X57" s="75"/>
      <c r="Y57" s="76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0.8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0</v>
      </c>
      <c r="D58" s="421">
        <f>C58*15+(SUM(E58:AZ58)-C58)*13.5</f>
        <v>0</v>
      </c>
      <c r="E58" s="82">
        <f t="shared" ref="E58:AZ58" si="18">HRS(E56,E57)</f>
        <v>0</v>
      </c>
      <c r="F58" s="83">
        <f t="shared" si="18"/>
        <v>0</v>
      </c>
      <c r="G58" s="83">
        <f t="shared" si="18"/>
        <v>0</v>
      </c>
      <c r="H58" s="83">
        <f t="shared" si="18"/>
        <v>0</v>
      </c>
      <c r="I58" s="83">
        <f t="shared" si="18"/>
        <v>0</v>
      </c>
      <c r="J58" s="83">
        <f t="shared" si="18"/>
        <v>0</v>
      </c>
      <c r="K58" s="83">
        <f t="shared" si="18"/>
        <v>0</v>
      </c>
      <c r="L58" s="83">
        <f t="shared" si="18"/>
        <v>0</v>
      </c>
      <c r="M58" s="83">
        <f t="shared" si="18"/>
        <v>0</v>
      </c>
      <c r="N58" s="83">
        <f t="shared" si="18"/>
        <v>0</v>
      </c>
      <c r="O58" s="83">
        <f t="shared" si="18"/>
        <v>0</v>
      </c>
      <c r="P58" s="83">
        <f t="shared" si="18"/>
        <v>0</v>
      </c>
      <c r="Q58" s="83">
        <f t="shared" si="18"/>
        <v>0</v>
      </c>
      <c r="R58" s="83">
        <f t="shared" si="18"/>
        <v>0</v>
      </c>
      <c r="S58" s="83">
        <f t="shared" si="18"/>
        <v>0</v>
      </c>
      <c r="T58" s="83">
        <f t="shared" si="18"/>
        <v>0</v>
      </c>
      <c r="U58" s="83">
        <f t="shared" si="18"/>
        <v>0</v>
      </c>
      <c r="V58" s="83">
        <f t="shared" si="18"/>
        <v>0</v>
      </c>
      <c r="W58" s="83">
        <f t="shared" si="18"/>
        <v>0</v>
      </c>
      <c r="X58" s="83">
        <f t="shared" si="18"/>
        <v>0</v>
      </c>
      <c r="Y58" s="83">
        <f t="shared" si="18"/>
        <v>0</v>
      </c>
      <c r="Z58" s="83">
        <f t="shared" si="18"/>
        <v>0</v>
      </c>
      <c r="AA58" s="83">
        <f t="shared" si="18"/>
        <v>0</v>
      </c>
      <c r="AB58" s="83">
        <f t="shared" si="18"/>
        <v>0</v>
      </c>
      <c r="AC58" s="83">
        <f t="shared" si="18"/>
        <v>0</v>
      </c>
      <c r="AD58" s="83">
        <f t="shared" si="18"/>
        <v>0</v>
      </c>
      <c r="AE58" s="83">
        <f t="shared" si="18"/>
        <v>0</v>
      </c>
      <c r="AF58" s="83">
        <f t="shared" si="18"/>
        <v>0</v>
      </c>
      <c r="AG58" s="83">
        <f t="shared" si="18"/>
        <v>0</v>
      </c>
      <c r="AH58" s="83">
        <f t="shared" si="18"/>
        <v>0</v>
      </c>
      <c r="AI58" s="83">
        <f t="shared" si="18"/>
        <v>0</v>
      </c>
      <c r="AJ58" s="83">
        <f t="shared" si="18"/>
        <v>0</v>
      </c>
      <c r="AK58" s="83">
        <f t="shared" si="18"/>
        <v>0</v>
      </c>
      <c r="AL58" s="83">
        <f t="shared" si="18"/>
        <v>0</v>
      </c>
      <c r="AM58" s="83">
        <f t="shared" si="18"/>
        <v>0</v>
      </c>
      <c r="AN58" s="83">
        <f t="shared" si="18"/>
        <v>0</v>
      </c>
      <c r="AO58" s="83">
        <f t="shared" si="18"/>
        <v>0</v>
      </c>
      <c r="AP58" s="83">
        <f t="shared" si="18"/>
        <v>0</v>
      </c>
      <c r="AQ58" s="83">
        <f t="shared" si="18"/>
        <v>0</v>
      </c>
      <c r="AR58" s="83">
        <f t="shared" si="18"/>
        <v>0</v>
      </c>
      <c r="AS58" s="83">
        <f t="shared" si="18"/>
        <v>0</v>
      </c>
      <c r="AT58" s="83">
        <f t="shared" si="18"/>
        <v>0</v>
      </c>
      <c r="AU58" s="83">
        <f t="shared" si="18"/>
        <v>0</v>
      </c>
      <c r="AV58" s="83">
        <f t="shared" si="18"/>
        <v>0</v>
      </c>
      <c r="AW58" s="83">
        <f t="shared" si="18"/>
        <v>0</v>
      </c>
      <c r="AX58" s="83">
        <f t="shared" si="18"/>
        <v>0</v>
      </c>
      <c r="AY58" s="83">
        <f t="shared" si="18"/>
        <v>0</v>
      </c>
      <c r="AZ58" s="84">
        <f t="shared" si="18"/>
        <v>0</v>
      </c>
    </row>
    <row r="59" spans="1:52" x14ac:dyDescent="0.2">
      <c r="A59" s="63" t="str">
        <f>IF(COUNTA(E59:AZ59)=1,"1 Valet",COUNTA(E59:AZ59)&amp;" Valets")</f>
        <v>0 Valets</v>
      </c>
      <c r="B59" s="64" t="s">
        <v>22</v>
      </c>
      <c r="C59" s="132"/>
      <c r="D59" s="66"/>
      <c r="E59" s="67"/>
      <c r="F59" s="68"/>
      <c r="G59" s="68"/>
      <c r="H59" s="68"/>
      <c r="I59" s="68"/>
      <c r="J59" s="68"/>
      <c r="K59" s="68"/>
      <c r="L59" s="68"/>
      <c r="M59" s="69"/>
      <c r="N59" s="68"/>
      <c r="O59" s="68"/>
      <c r="P59" s="69"/>
      <c r="Q59" s="69"/>
      <c r="R59" s="68"/>
      <c r="S59" s="69"/>
      <c r="T59" s="68"/>
      <c r="U59" s="68"/>
      <c r="V59" s="68"/>
      <c r="W59" s="68"/>
      <c r="X59" s="68"/>
      <c r="Y59" s="69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6"/>
      <c r="Q60" s="75"/>
      <c r="R60" s="75"/>
      <c r="S60" s="76"/>
      <c r="T60" s="75"/>
      <c r="U60" s="75"/>
      <c r="V60" s="75"/>
      <c r="W60" s="75"/>
      <c r="X60" s="75"/>
      <c r="Y60" s="76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0.8" thickBot="1" x14ac:dyDescent="0.25">
      <c r="A61" s="86">
        <f>A58</f>
        <v>42546</v>
      </c>
      <c r="B61" s="87" t="s">
        <v>46</v>
      </c>
      <c r="C61" s="403">
        <f>SHIFT(E59:AZ59,E60:AZ60,C60)</f>
        <v>0</v>
      </c>
      <c r="D61" s="422">
        <f>C61*15+(SUM(E61:AZ61)-C61)*13.5</f>
        <v>0</v>
      </c>
      <c r="E61" s="82">
        <f t="shared" ref="E61:AZ61" si="19">HRS(E59,E60)</f>
        <v>0</v>
      </c>
      <c r="F61" s="83">
        <f t="shared" si="19"/>
        <v>0</v>
      </c>
      <c r="G61" s="83">
        <f t="shared" si="19"/>
        <v>0</v>
      </c>
      <c r="H61" s="83">
        <f t="shared" si="19"/>
        <v>0</v>
      </c>
      <c r="I61" s="83">
        <f t="shared" si="19"/>
        <v>0</v>
      </c>
      <c r="J61" s="83">
        <f t="shared" si="19"/>
        <v>0</v>
      </c>
      <c r="K61" s="83">
        <f t="shared" si="19"/>
        <v>0</v>
      </c>
      <c r="L61" s="83">
        <f t="shared" si="19"/>
        <v>0</v>
      </c>
      <c r="M61" s="83">
        <f t="shared" si="19"/>
        <v>0</v>
      </c>
      <c r="N61" s="83">
        <f t="shared" si="19"/>
        <v>0</v>
      </c>
      <c r="O61" s="83">
        <f t="shared" si="19"/>
        <v>0</v>
      </c>
      <c r="P61" s="83">
        <f t="shared" si="19"/>
        <v>0</v>
      </c>
      <c r="Q61" s="83">
        <f t="shared" si="19"/>
        <v>0</v>
      </c>
      <c r="R61" s="83">
        <f t="shared" si="19"/>
        <v>0</v>
      </c>
      <c r="S61" s="83">
        <f t="shared" si="19"/>
        <v>0</v>
      </c>
      <c r="T61" s="83">
        <f t="shared" si="19"/>
        <v>0</v>
      </c>
      <c r="U61" s="83">
        <f t="shared" si="19"/>
        <v>0</v>
      </c>
      <c r="V61" s="83">
        <f t="shared" si="19"/>
        <v>0</v>
      </c>
      <c r="W61" s="83">
        <f t="shared" si="19"/>
        <v>0</v>
      </c>
      <c r="X61" s="83">
        <f t="shared" si="19"/>
        <v>0</v>
      </c>
      <c r="Y61" s="83">
        <f t="shared" si="19"/>
        <v>0</v>
      </c>
      <c r="Z61" s="83">
        <f t="shared" si="19"/>
        <v>0</v>
      </c>
      <c r="AA61" s="83">
        <f t="shared" si="19"/>
        <v>0</v>
      </c>
      <c r="AB61" s="83">
        <f t="shared" si="19"/>
        <v>0</v>
      </c>
      <c r="AC61" s="83">
        <f t="shared" si="19"/>
        <v>0</v>
      </c>
      <c r="AD61" s="83">
        <f t="shared" si="19"/>
        <v>0</v>
      </c>
      <c r="AE61" s="83">
        <f t="shared" si="19"/>
        <v>0</v>
      </c>
      <c r="AF61" s="83">
        <f t="shared" si="19"/>
        <v>0</v>
      </c>
      <c r="AG61" s="83">
        <f t="shared" si="19"/>
        <v>0</v>
      </c>
      <c r="AH61" s="83">
        <f t="shared" si="19"/>
        <v>0</v>
      </c>
      <c r="AI61" s="83">
        <f t="shared" si="19"/>
        <v>0</v>
      </c>
      <c r="AJ61" s="83">
        <f t="shared" si="19"/>
        <v>0</v>
      </c>
      <c r="AK61" s="83">
        <f t="shared" si="19"/>
        <v>0</v>
      </c>
      <c r="AL61" s="83">
        <f t="shared" si="19"/>
        <v>0</v>
      </c>
      <c r="AM61" s="83">
        <f t="shared" si="19"/>
        <v>0</v>
      </c>
      <c r="AN61" s="83">
        <f t="shared" si="19"/>
        <v>0</v>
      </c>
      <c r="AO61" s="83">
        <f t="shared" si="19"/>
        <v>0</v>
      </c>
      <c r="AP61" s="83">
        <f t="shared" si="19"/>
        <v>0</v>
      </c>
      <c r="AQ61" s="83">
        <f t="shared" si="19"/>
        <v>0</v>
      </c>
      <c r="AR61" s="83">
        <f t="shared" si="19"/>
        <v>0</v>
      </c>
      <c r="AS61" s="83">
        <f t="shared" si="19"/>
        <v>0</v>
      </c>
      <c r="AT61" s="83">
        <f t="shared" si="19"/>
        <v>0</v>
      </c>
      <c r="AU61" s="83">
        <f t="shared" si="19"/>
        <v>0</v>
      </c>
      <c r="AV61" s="83">
        <f t="shared" si="19"/>
        <v>0</v>
      </c>
      <c r="AW61" s="83">
        <f t="shared" si="19"/>
        <v>0</v>
      </c>
      <c r="AX61" s="83">
        <f t="shared" si="19"/>
        <v>0</v>
      </c>
      <c r="AY61" s="83">
        <f t="shared" si="19"/>
        <v>0</v>
      </c>
      <c r="AZ61" s="84">
        <f t="shared" si="19"/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132"/>
      <c r="D62" s="66"/>
      <c r="E62" s="67"/>
      <c r="F62" s="68"/>
      <c r="G62" s="68"/>
      <c r="H62" s="68"/>
      <c r="I62" s="68"/>
      <c r="J62" s="68"/>
      <c r="K62" s="68"/>
      <c r="L62" s="68"/>
      <c r="M62" s="69"/>
      <c r="N62" s="68"/>
      <c r="O62" s="68"/>
      <c r="P62" s="69"/>
      <c r="Q62" s="69"/>
      <c r="R62" s="68"/>
      <c r="S62" s="69"/>
      <c r="T62" s="68"/>
      <c r="U62" s="68"/>
      <c r="V62" s="68"/>
      <c r="W62" s="68"/>
      <c r="X62" s="68"/>
      <c r="Y62" s="69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6"/>
      <c r="Q63" s="75"/>
      <c r="R63" s="75"/>
      <c r="S63" s="76"/>
      <c r="T63" s="75"/>
      <c r="U63" s="75"/>
      <c r="V63" s="75"/>
      <c r="W63" s="75"/>
      <c r="X63" s="75"/>
      <c r="Y63" s="76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0.8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0</v>
      </c>
      <c r="D64" s="421">
        <f>C64*15+(SUM(E64:AZ64)-C64)*13.5</f>
        <v>0</v>
      </c>
      <c r="E64" s="82">
        <f t="shared" ref="E64:AZ64" si="20">HRS(E62,E63)</f>
        <v>0</v>
      </c>
      <c r="F64" s="83">
        <f t="shared" si="20"/>
        <v>0</v>
      </c>
      <c r="G64" s="83">
        <f t="shared" si="20"/>
        <v>0</v>
      </c>
      <c r="H64" s="83">
        <f t="shared" si="20"/>
        <v>0</v>
      </c>
      <c r="I64" s="83">
        <f t="shared" si="20"/>
        <v>0</v>
      </c>
      <c r="J64" s="83">
        <f t="shared" si="20"/>
        <v>0</v>
      </c>
      <c r="K64" s="83">
        <f t="shared" si="20"/>
        <v>0</v>
      </c>
      <c r="L64" s="83">
        <f t="shared" si="20"/>
        <v>0</v>
      </c>
      <c r="M64" s="83">
        <f t="shared" si="20"/>
        <v>0</v>
      </c>
      <c r="N64" s="83">
        <f t="shared" si="20"/>
        <v>0</v>
      </c>
      <c r="O64" s="83">
        <f t="shared" si="20"/>
        <v>0</v>
      </c>
      <c r="P64" s="83">
        <f t="shared" si="20"/>
        <v>0</v>
      </c>
      <c r="Q64" s="83">
        <f t="shared" si="20"/>
        <v>0</v>
      </c>
      <c r="R64" s="83">
        <f t="shared" si="20"/>
        <v>0</v>
      </c>
      <c r="S64" s="83">
        <f t="shared" si="20"/>
        <v>0</v>
      </c>
      <c r="T64" s="83">
        <f t="shared" si="20"/>
        <v>0</v>
      </c>
      <c r="U64" s="83">
        <f t="shared" si="20"/>
        <v>0</v>
      </c>
      <c r="V64" s="83">
        <f t="shared" si="20"/>
        <v>0</v>
      </c>
      <c r="W64" s="83">
        <f t="shared" si="20"/>
        <v>0</v>
      </c>
      <c r="X64" s="83">
        <f t="shared" si="20"/>
        <v>0</v>
      </c>
      <c r="Y64" s="83">
        <f t="shared" si="20"/>
        <v>0</v>
      </c>
      <c r="Z64" s="83">
        <f t="shared" si="20"/>
        <v>0</v>
      </c>
      <c r="AA64" s="83">
        <f t="shared" si="20"/>
        <v>0</v>
      </c>
      <c r="AB64" s="83">
        <f t="shared" si="20"/>
        <v>0</v>
      </c>
      <c r="AC64" s="83">
        <f t="shared" si="20"/>
        <v>0</v>
      </c>
      <c r="AD64" s="83">
        <f t="shared" si="20"/>
        <v>0</v>
      </c>
      <c r="AE64" s="83">
        <f t="shared" si="20"/>
        <v>0</v>
      </c>
      <c r="AF64" s="83">
        <f t="shared" si="20"/>
        <v>0</v>
      </c>
      <c r="AG64" s="83">
        <f t="shared" si="20"/>
        <v>0</v>
      </c>
      <c r="AH64" s="83">
        <f t="shared" si="20"/>
        <v>0</v>
      </c>
      <c r="AI64" s="83">
        <f t="shared" si="20"/>
        <v>0</v>
      </c>
      <c r="AJ64" s="83">
        <f t="shared" si="20"/>
        <v>0</v>
      </c>
      <c r="AK64" s="83">
        <f t="shared" si="20"/>
        <v>0</v>
      </c>
      <c r="AL64" s="83">
        <f t="shared" si="20"/>
        <v>0</v>
      </c>
      <c r="AM64" s="83">
        <f t="shared" si="20"/>
        <v>0</v>
      </c>
      <c r="AN64" s="83">
        <f t="shared" si="20"/>
        <v>0</v>
      </c>
      <c r="AO64" s="83">
        <f t="shared" si="20"/>
        <v>0</v>
      </c>
      <c r="AP64" s="83">
        <f t="shared" si="20"/>
        <v>0</v>
      </c>
      <c r="AQ64" s="83">
        <f t="shared" si="20"/>
        <v>0</v>
      </c>
      <c r="AR64" s="83">
        <f t="shared" si="20"/>
        <v>0</v>
      </c>
      <c r="AS64" s="83">
        <f t="shared" si="20"/>
        <v>0</v>
      </c>
      <c r="AT64" s="83">
        <f t="shared" si="20"/>
        <v>0</v>
      </c>
      <c r="AU64" s="83">
        <f t="shared" si="20"/>
        <v>0</v>
      </c>
      <c r="AV64" s="83">
        <f t="shared" si="20"/>
        <v>0</v>
      </c>
      <c r="AW64" s="83">
        <f t="shared" si="20"/>
        <v>0</v>
      </c>
      <c r="AX64" s="83">
        <f t="shared" si="20"/>
        <v>0</v>
      </c>
      <c r="AY64" s="83">
        <f t="shared" si="20"/>
        <v>0</v>
      </c>
      <c r="AZ64" s="84">
        <f t="shared" si="20"/>
        <v>0</v>
      </c>
    </row>
    <row r="65" spans="1:52" x14ac:dyDescent="0.2">
      <c r="A65" s="63" t="str">
        <f>IF(COUNTA(E65:AZ65)=1,"1 Valet",COUNTA(E65:AZ65)&amp;" Valets")</f>
        <v>0 Valets</v>
      </c>
      <c r="B65" s="64" t="s">
        <v>22</v>
      </c>
      <c r="C65" s="132"/>
      <c r="D65" s="66"/>
      <c r="E65" s="67"/>
      <c r="F65" s="68"/>
      <c r="G65" s="68"/>
      <c r="H65" s="68"/>
      <c r="I65" s="68"/>
      <c r="J65" s="68"/>
      <c r="K65" s="68"/>
      <c r="L65" s="68"/>
      <c r="M65" s="69"/>
      <c r="N65" s="68"/>
      <c r="O65" s="68"/>
      <c r="P65" s="69"/>
      <c r="Q65" s="69"/>
      <c r="R65" s="68"/>
      <c r="S65" s="69"/>
      <c r="T65" s="68"/>
      <c r="U65" s="68"/>
      <c r="V65" s="68"/>
      <c r="W65" s="68"/>
      <c r="X65" s="68"/>
      <c r="Y65" s="69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6"/>
      <c r="Q66" s="75"/>
      <c r="R66" s="75"/>
      <c r="S66" s="76"/>
      <c r="T66" s="75"/>
      <c r="U66" s="75"/>
      <c r="V66" s="75"/>
      <c r="W66" s="75"/>
      <c r="X66" s="75"/>
      <c r="Y66" s="76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0.8" thickBot="1" x14ac:dyDescent="0.25">
      <c r="A67" s="86">
        <f>A64</f>
        <v>42547</v>
      </c>
      <c r="B67" s="87" t="s">
        <v>46</v>
      </c>
      <c r="C67" s="403">
        <f>SHIFT(E65:AZ65,E66:AZ66,C66)</f>
        <v>0</v>
      </c>
      <c r="D67" s="422">
        <f>C67*15+(SUM(E67:AZ67)-C67)*13.5</f>
        <v>0</v>
      </c>
      <c r="E67" s="82">
        <f t="shared" ref="E67:AZ67" si="21">HRS(E65,E66)</f>
        <v>0</v>
      </c>
      <c r="F67" s="83">
        <f t="shared" si="21"/>
        <v>0</v>
      </c>
      <c r="G67" s="83">
        <f t="shared" si="21"/>
        <v>0</v>
      </c>
      <c r="H67" s="83">
        <f t="shared" si="21"/>
        <v>0</v>
      </c>
      <c r="I67" s="83">
        <f t="shared" si="21"/>
        <v>0</v>
      </c>
      <c r="J67" s="83">
        <f t="shared" si="21"/>
        <v>0</v>
      </c>
      <c r="K67" s="83">
        <f t="shared" si="21"/>
        <v>0</v>
      </c>
      <c r="L67" s="83">
        <f t="shared" si="21"/>
        <v>0</v>
      </c>
      <c r="M67" s="83">
        <f t="shared" si="21"/>
        <v>0</v>
      </c>
      <c r="N67" s="83">
        <f t="shared" si="21"/>
        <v>0</v>
      </c>
      <c r="O67" s="83">
        <f t="shared" si="21"/>
        <v>0</v>
      </c>
      <c r="P67" s="83">
        <f t="shared" si="21"/>
        <v>0</v>
      </c>
      <c r="Q67" s="83">
        <f t="shared" si="21"/>
        <v>0</v>
      </c>
      <c r="R67" s="83">
        <f t="shared" si="21"/>
        <v>0</v>
      </c>
      <c r="S67" s="83">
        <f t="shared" si="21"/>
        <v>0</v>
      </c>
      <c r="T67" s="83">
        <f t="shared" si="21"/>
        <v>0</v>
      </c>
      <c r="U67" s="83">
        <f t="shared" si="21"/>
        <v>0</v>
      </c>
      <c r="V67" s="83">
        <f t="shared" si="21"/>
        <v>0</v>
      </c>
      <c r="W67" s="83">
        <f t="shared" si="21"/>
        <v>0</v>
      </c>
      <c r="X67" s="83">
        <f t="shared" si="21"/>
        <v>0</v>
      </c>
      <c r="Y67" s="83">
        <f t="shared" si="21"/>
        <v>0</v>
      </c>
      <c r="Z67" s="83">
        <f t="shared" si="21"/>
        <v>0</v>
      </c>
      <c r="AA67" s="83">
        <f t="shared" si="21"/>
        <v>0</v>
      </c>
      <c r="AB67" s="83">
        <f t="shared" si="21"/>
        <v>0</v>
      </c>
      <c r="AC67" s="83">
        <f t="shared" si="21"/>
        <v>0</v>
      </c>
      <c r="AD67" s="83">
        <f t="shared" si="21"/>
        <v>0</v>
      </c>
      <c r="AE67" s="83">
        <f t="shared" si="21"/>
        <v>0</v>
      </c>
      <c r="AF67" s="83">
        <f t="shared" si="21"/>
        <v>0</v>
      </c>
      <c r="AG67" s="83">
        <f t="shared" si="21"/>
        <v>0</v>
      </c>
      <c r="AH67" s="83">
        <f t="shared" si="21"/>
        <v>0</v>
      </c>
      <c r="AI67" s="83">
        <f t="shared" si="21"/>
        <v>0</v>
      </c>
      <c r="AJ67" s="83">
        <f t="shared" si="21"/>
        <v>0</v>
      </c>
      <c r="AK67" s="83">
        <f t="shared" si="21"/>
        <v>0</v>
      </c>
      <c r="AL67" s="83">
        <f t="shared" si="21"/>
        <v>0</v>
      </c>
      <c r="AM67" s="83">
        <f t="shared" si="21"/>
        <v>0</v>
      </c>
      <c r="AN67" s="83">
        <f t="shared" si="21"/>
        <v>0</v>
      </c>
      <c r="AO67" s="83">
        <f t="shared" si="21"/>
        <v>0</v>
      </c>
      <c r="AP67" s="83">
        <f t="shared" si="21"/>
        <v>0</v>
      </c>
      <c r="AQ67" s="83">
        <f t="shared" si="21"/>
        <v>0</v>
      </c>
      <c r="AR67" s="83">
        <f t="shared" si="21"/>
        <v>0</v>
      </c>
      <c r="AS67" s="83">
        <f t="shared" si="21"/>
        <v>0</v>
      </c>
      <c r="AT67" s="83">
        <f t="shared" si="21"/>
        <v>0</v>
      </c>
      <c r="AU67" s="83">
        <f t="shared" si="21"/>
        <v>0</v>
      </c>
      <c r="AV67" s="83">
        <f t="shared" si="21"/>
        <v>0</v>
      </c>
      <c r="AW67" s="83">
        <f t="shared" si="21"/>
        <v>0</v>
      </c>
      <c r="AX67" s="83">
        <f t="shared" si="21"/>
        <v>0</v>
      </c>
      <c r="AY67" s="83">
        <f t="shared" si="21"/>
        <v>0</v>
      </c>
      <c r="AZ67" s="84">
        <f t="shared" si="21"/>
        <v>0</v>
      </c>
    </row>
    <row r="68" spans="1:52" x14ac:dyDescent="0.2">
      <c r="A68" s="63" t="str">
        <f>IF(COUNTA(E68:AZ68)=1,"1 Valet",COUNTA(E68:AZ68)&amp;" Valets")</f>
        <v>0 Valets</v>
      </c>
      <c r="B68" s="64" t="s">
        <v>20</v>
      </c>
      <c r="C68" s="132"/>
      <c r="D68" s="66"/>
      <c r="E68" s="67"/>
      <c r="F68" s="68"/>
      <c r="G68" s="68"/>
      <c r="H68" s="68"/>
      <c r="I68" s="68"/>
      <c r="J68" s="68"/>
      <c r="K68" s="68"/>
      <c r="L68" s="68"/>
      <c r="M68" s="69"/>
      <c r="N68" s="68"/>
      <c r="O68" s="68"/>
      <c r="P68" s="69"/>
      <c r="Q68" s="69"/>
      <c r="R68" s="68"/>
      <c r="S68" s="69"/>
      <c r="T68" s="68"/>
      <c r="U68" s="68"/>
      <c r="V68" s="68"/>
      <c r="W68" s="68"/>
      <c r="X68" s="68"/>
      <c r="Y68" s="69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6"/>
      <c r="Q69" s="75"/>
      <c r="R69" s="75"/>
      <c r="S69" s="76"/>
      <c r="T69" s="75"/>
      <c r="U69" s="75"/>
      <c r="V69" s="75"/>
      <c r="W69" s="75"/>
      <c r="X69" s="75"/>
      <c r="Y69" s="76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0.8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0</v>
      </c>
      <c r="D70" s="421">
        <f>C70*15+(SUM(E70:AZ70)-C70)*13.5</f>
        <v>0</v>
      </c>
      <c r="E70" s="82">
        <f t="shared" ref="E70:AZ70" si="22">HRS(E68,E69)</f>
        <v>0</v>
      </c>
      <c r="F70" s="83">
        <f t="shared" si="22"/>
        <v>0</v>
      </c>
      <c r="G70" s="83">
        <f t="shared" si="22"/>
        <v>0</v>
      </c>
      <c r="H70" s="83">
        <f t="shared" si="22"/>
        <v>0</v>
      </c>
      <c r="I70" s="83">
        <f t="shared" si="22"/>
        <v>0</v>
      </c>
      <c r="J70" s="83">
        <f t="shared" si="22"/>
        <v>0</v>
      </c>
      <c r="K70" s="83">
        <f t="shared" si="22"/>
        <v>0</v>
      </c>
      <c r="L70" s="83">
        <f t="shared" si="22"/>
        <v>0</v>
      </c>
      <c r="M70" s="83">
        <f t="shared" si="22"/>
        <v>0</v>
      </c>
      <c r="N70" s="83">
        <f t="shared" si="22"/>
        <v>0</v>
      </c>
      <c r="O70" s="83">
        <f t="shared" si="22"/>
        <v>0</v>
      </c>
      <c r="P70" s="83">
        <f t="shared" si="22"/>
        <v>0</v>
      </c>
      <c r="Q70" s="83">
        <f t="shared" si="22"/>
        <v>0</v>
      </c>
      <c r="R70" s="83">
        <f t="shared" si="22"/>
        <v>0</v>
      </c>
      <c r="S70" s="83">
        <f t="shared" si="22"/>
        <v>0</v>
      </c>
      <c r="T70" s="83">
        <f t="shared" si="22"/>
        <v>0</v>
      </c>
      <c r="U70" s="83">
        <f t="shared" si="22"/>
        <v>0</v>
      </c>
      <c r="V70" s="83">
        <f t="shared" si="22"/>
        <v>0</v>
      </c>
      <c r="W70" s="83">
        <f t="shared" si="22"/>
        <v>0</v>
      </c>
      <c r="X70" s="83">
        <f t="shared" si="22"/>
        <v>0</v>
      </c>
      <c r="Y70" s="83">
        <f t="shared" si="22"/>
        <v>0</v>
      </c>
      <c r="Z70" s="83">
        <f t="shared" si="22"/>
        <v>0</v>
      </c>
      <c r="AA70" s="83">
        <f t="shared" si="22"/>
        <v>0</v>
      </c>
      <c r="AB70" s="83">
        <f t="shared" si="22"/>
        <v>0</v>
      </c>
      <c r="AC70" s="83">
        <f t="shared" si="22"/>
        <v>0</v>
      </c>
      <c r="AD70" s="83">
        <f t="shared" si="22"/>
        <v>0</v>
      </c>
      <c r="AE70" s="83">
        <f t="shared" si="22"/>
        <v>0</v>
      </c>
      <c r="AF70" s="83">
        <f t="shared" si="22"/>
        <v>0</v>
      </c>
      <c r="AG70" s="83">
        <f t="shared" si="22"/>
        <v>0</v>
      </c>
      <c r="AH70" s="83">
        <f t="shared" si="22"/>
        <v>0</v>
      </c>
      <c r="AI70" s="83">
        <f t="shared" si="22"/>
        <v>0</v>
      </c>
      <c r="AJ70" s="83">
        <f t="shared" si="22"/>
        <v>0</v>
      </c>
      <c r="AK70" s="83">
        <f t="shared" si="22"/>
        <v>0</v>
      </c>
      <c r="AL70" s="83">
        <f t="shared" si="22"/>
        <v>0</v>
      </c>
      <c r="AM70" s="83">
        <f t="shared" si="22"/>
        <v>0</v>
      </c>
      <c r="AN70" s="83">
        <f t="shared" si="22"/>
        <v>0</v>
      </c>
      <c r="AO70" s="83">
        <f t="shared" si="22"/>
        <v>0</v>
      </c>
      <c r="AP70" s="83">
        <f t="shared" si="22"/>
        <v>0</v>
      </c>
      <c r="AQ70" s="83">
        <f t="shared" si="22"/>
        <v>0</v>
      </c>
      <c r="AR70" s="83">
        <f t="shared" si="22"/>
        <v>0</v>
      </c>
      <c r="AS70" s="83">
        <f t="shared" si="22"/>
        <v>0</v>
      </c>
      <c r="AT70" s="83">
        <f t="shared" si="22"/>
        <v>0</v>
      </c>
      <c r="AU70" s="83">
        <f t="shared" si="22"/>
        <v>0</v>
      </c>
      <c r="AV70" s="83">
        <f t="shared" si="22"/>
        <v>0</v>
      </c>
      <c r="AW70" s="83">
        <f t="shared" si="22"/>
        <v>0</v>
      </c>
      <c r="AX70" s="83">
        <f t="shared" si="22"/>
        <v>0</v>
      </c>
      <c r="AY70" s="83">
        <f t="shared" si="22"/>
        <v>0</v>
      </c>
      <c r="AZ70" s="84">
        <f t="shared" si="22"/>
        <v>0</v>
      </c>
    </row>
    <row r="71" spans="1:52" x14ac:dyDescent="0.2">
      <c r="A71" s="63" t="str">
        <f>IF(COUNTA(E71:AZ71)=1,"1 Valet",COUNTA(E71:AZ71)&amp;" Valets")</f>
        <v>0 Valets</v>
      </c>
      <c r="B71" s="64" t="s">
        <v>22</v>
      </c>
      <c r="C71" s="132"/>
      <c r="D71" s="66"/>
      <c r="E71" s="67"/>
      <c r="F71" s="68"/>
      <c r="G71" s="68"/>
      <c r="H71" s="68"/>
      <c r="I71" s="68"/>
      <c r="J71" s="68"/>
      <c r="K71" s="68"/>
      <c r="L71" s="68"/>
      <c r="M71" s="69"/>
      <c r="N71" s="68"/>
      <c r="O71" s="68"/>
      <c r="P71" s="69"/>
      <c r="Q71" s="69"/>
      <c r="R71" s="68"/>
      <c r="S71" s="69"/>
      <c r="T71" s="68"/>
      <c r="U71" s="68"/>
      <c r="V71" s="68"/>
      <c r="W71" s="68"/>
      <c r="X71" s="68"/>
      <c r="Y71" s="69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6"/>
      <c r="Q72" s="75"/>
      <c r="R72" s="75"/>
      <c r="S72" s="76"/>
      <c r="T72" s="75"/>
      <c r="U72" s="75"/>
      <c r="V72" s="75"/>
      <c r="W72" s="75"/>
      <c r="X72" s="75"/>
      <c r="Y72" s="76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0.8" thickBot="1" x14ac:dyDescent="0.25">
      <c r="A73" s="86">
        <f>A70</f>
        <v>42548</v>
      </c>
      <c r="B73" s="87" t="s">
        <v>46</v>
      </c>
      <c r="C73" s="403">
        <f>SHIFT(E71:AZ71,E72:AZ72,C72)</f>
        <v>0</v>
      </c>
      <c r="D73" s="422">
        <f>C73*15+(SUM(E73:AZ73)-C73)*13.5</f>
        <v>0</v>
      </c>
      <c r="E73" s="82">
        <f t="shared" ref="E73:AZ73" si="23">HRS(E71,E72)</f>
        <v>0</v>
      </c>
      <c r="F73" s="83">
        <f t="shared" si="23"/>
        <v>0</v>
      </c>
      <c r="G73" s="83">
        <f t="shared" si="23"/>
        <v>0</v>
      </c>
      <c r="H73" s="83">
        <f t="shared" si="23"/>
        <v>0</v>
      </c>
      <c r="I73" s="83">
        <f t="shared" si="23"/>
        <v>0</v>
      </c>
      <c r="J73" s="83">
        <f t="shared" si="23"/>
        <v>0</v>
      </c>
      <c r="K73" s="83">
        <f t="shared" si="23"/>
        <v>0</v>
      </c>
      <c r="L73" s="83">
        <f t="shared" si="23"/>
        <v>0</v>
      </c>
      <c r="M73" s="83">
        <f t="shared" si="23"/>
        <v>0</v>
      </c>
      <c r="N73" s="83">
        <f t="shared" si="23"/>
        <v>0</v>
      </c>
      <c r="O73" s="83">
        <f t="shared" si="23"/>
        <v>0</v>
      </c>
      <c r="P73" s="83">
        <f t="shared" si="23"/>
        <v>0</v>
      </c>
      <c r="Q73" s="83">
        <f t="shared" si="23"/>
        <v>0</v>
      </c>
      <c r="R73" s="83">
        <f t="shared" si="23"/>
        <v>0</v>
      </c>
      <c r="S73" s="83">
        <f t="shared" si="23"/>
        <v>0</v>
      </c>
      <c r="T73" s="83">
        <f t="shared" si="23"/>
        <v>0</v>
      </c>
      <c r="U73" s="83">
        <f t="shared" si="23"/>
        <v>0</v>
      </c>
      <c r="V73" s="83">
        <f t="shared" si="23"/>
        <v>0</v>
      </c>
      <c r="W73" s="83">
        <f t="shared" si="23"/>
        <v>0</v>
      </c>
      <c r="X73" s="83">
        <f t="shared" si="23"/>
        <v>0</v>
      </c>
      <c r="Y73" s="83">
        <f t="shared" si="23"/>
        <v>0</v>
      </c>
      <c r="Z73" s="83">
        <f t="shared" si="23"/>
        <v>0</v>
      </c>
      <c r="AA73" s="83">
        <f t="shared" si="23"/>
        <v>0</v>
      </c>
      <c r="AB73" s="83">
        <f t="shared" si="23"/>
        <v>0</v>
      </c>
      <c r="AC73" s="83">
        <f t="shared" si="23"/>
        <v>0</v>
      </c>
      <c r="AD73" s="83">
        <f t="shared" si="23"/>
        <v>0</v>
      </c>
      <c r="AE73" s="83">
        <f t="shared" si="23"/>
        <v>0</v>
      </c>
      <c r="AF73" s="83">
        <f t="shared" si="23"/>
        <v>0</v>
      </c>
      <c r="AG73" s="83">
        <f t="shared" si="23"/>
        <v>0</v>
      </c>
      <c r="AH73" s="83">
        <f t="shared" si="23"/>
        <v>0</v>
      </c>
      <c r="AI73" s="83">
        <f t="shared" si="23"/>
        <v>0</v>
      </c>
      <c r="AJ73" s="83">
        <f t="shared" si="23"/>
        <v>0</v>
      </c>
      <c r="AK73" s="83">
        <f t="shared" si="23"/>
        <v>0</v>
      </c>
      <c r="AL73" s="83">
        <f t="shared" si="23"/>
        <v>0</v>
      </c>
      <c r="AM73" s="83">
        <f t="shared" si="23"/>
        <v>0</v>
      </c>
      <c r="AN73" s="83">
        <f t="shared" si="23"/>
        <v>0</v>
      </c>
      <c r="AO73" s="83">
        <f t="shared" si="23"/>
        <v>0</v>
      </c>
      <c r="AP73" s="83">
        <f t="shared" si="23"/>
        <v>0</v>
      </c>
      <c r="AQ73" s="83">
        <f t="shared" si="23"/>
        <v>0</v>
      </c>
      <c r="AR73" s="83">
        <f t="shared" si="23"/>
        <v>0</v>
      </c>
      <c r="AS73" s="83">
        <f t="shared" si="23"/>
        <v>0</v>
      </c>
      <c r="AT73" s="83">
        <f t="shared" si="23"/>
        <v>0</v>
      </c>
      <c r="AU73" s="83">
        <f t="shared" si="23"/>
        <v>0</v>
      </c>
      <c r="AV73" s="83">
        <f t="shared" si="23"/>
        <v>0</v>
      </c>
      <c r="AW73" s="83">
        <f t="shared" si="23"/>
        <v>0</v>
      </c>
      <c r="AX73" s="83">
        <f t="shared" si="23"/>
        <v>0</v>
      </c>
      <c r="AY73" s="83">
        <f t="shared" si="23"/>
        <v>0</v>
      </c>
      <c r="AZ73" s="84">
        <f t="shared" si="23"/>
        <v>0</v>
      </c>
    </row>
    <row r="74" spans="1:52" x14ac:dyDescent="0.2">
      <c r="A74" s="63" t="str">
        <f>IF(COUNTA(E74:AZ74)=1,"1 Valet",COUNTA(E74:AZ74)&amp;" Valets")</f>
        <v>0 Valets</v>
      </c>
      <c r="B74" s="64" t="s">
        <v>20</v>
      </c>
      <c r="C74" s="132"/>
      <c r="D74" s="66"/>
      <c r="E74" s="67"/>
      <c r="F74" s="68"/>
      <c r="G74" s="68"/>
      <c r="H74" s="68"/>
      <c r="I74" s="68"/>
      <c r="J74" s="68"/>
      <c r="K74" s="68"/>
      <c r="L74" s="68"/>
      <c r="M74" s="69"/>
      <c r="N74" s="68"/>
      <c r="O74" s="68"/>
      <c r="P74" s="69"/>
      <c r="Q74" s="69"/>
      <c r="R74" s="68"/>
      <c r="S74" s="69"/>
      <c r="T74" s="68"/>
      <c r="U74" s="68"/>
      <c r="V74" s="68"/>
      <c r="W74" s="68"/>
      <c r="X74" s="68"/>
      <c r="Y74" s="69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6"/>
      <c r="Q75" s="75"/>
      <c r="R75" s="75"/>
      <c r="S75" s="76"/>
      <c r="T75" s="75"/>
      <c r="U75" s="75"/>
      <c r="V75" s="75"/>
      <c r="W75" s="75"/>
      <c r="X75" s="75"/>
      <c r="Y75" s="76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0.8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0</v>
      </c>
      <c r="D76" s="421">
        <f>C76*15+(SUM(E76:AZ76)-C76)*13.5</f>
        <v>0</v>
      </c>
      <c r="E76" s="82">
        <f t="shared" ref="E76:AZ76" si="24">HRS(E74,E75)</f>
        <v>0</v>
      </c>
      <c r="F76" s="83">
        <f t="shared" si="24"/>
        <v>0</v>
      </c>
      <c r="G76" s="83">
        <f t="shared" si="24"/>
        <v>0</v>
      </c>
      <c r="H76" s="83">
        <f t="shared" si="24"/>
        <v>0</v>
      </c>
      <c r="I76" s="83">
        <f t="shared" si="24"/>
        <v>0</v>
      </c>
      <c r="J76" s="83">
        <f t="shared" si="24"/>
        <v>0</v>
      </c>
      <c r="K76" s="83">
        <f t="shared" si="24"/>
        <v>0</v>
      </c>
      <c r="L76" s="83">
        <f t="shared" si="24"/>
        <v>0</v>
      </c>
      <c r="M76" s="83">
        <f t="shared" si="24"/>
        <v>0</v>
      </c>
      <c r="N76" s="83">
        <f t="shared" si="24"/>
        <v>0</v>
      </c>
      <c r="O76" s="83">
        <f t="shared" si="24"/>
        <v>0</v>
      </c>
      <c r="P76" s="83">
        <f t="shared" si="24"/>
        <v>0</v>
      </c>
      <c r="Q76" s="83">
        <f t="shared" si="24"/>
        <v>0</v>
      </c>
      <c r="R76" s="83">
        <f t="shared" si="24"/>
        <v>0</v>
      </c>
      <c r="S76" s="83">
        <f t="shared" si="24"/>
        <v>0</v>
      </c>
      <c r="T76" s="83">
        <f t="shared" si="24"/>
        <v>0</v>
      </c>
      <c r="U76" s="83">
        <f t="shared" si="24"/>
        <v>0</v>
      </c>
      <c r="V76" s="83">
        <f t="shared" si="24"/>
        <v>0</v>
      </c>
      <c r="W76" s="83">
        <f t="shared" si="24"/>
        <v>0</v>
      </c>
      <c r="X76" s="83">
        <f t="shared" si="24"/>
        <v>0</v>
      </c>
      <c r="Y76" s="83">
        <f t="shared" si="24"/>
        <v>0</v>
      </c>
      <c r="Z76" s="83">
        <f t="shared" si="24"/>
        <v>0</v>
      </c>
      <c r="AA76" s="83">
        <f t="shared" si="24"/>
        <v>0</v>
      </c>
      <c r="AB76" s="83">
        <f t="shared" si="24"/>
        <v>0</v>
      </c>
      <c r="AC76" s="83">
        <f t="shared" si="24"/>
        <v>0</v>
      </c>
      <c r="AD76" s="83">
        <f t="shared" si="24"/>
        <v>0</v>
      </c>
      <c r="AE76" s="83">
        <f t="shared" si="24"/>
        <v>0</v>
      </c>
      <c r="AF76" s="83">
        <f t="shared" si="24"/>
        <v>0</v>
      </c>
      <c r="AG76" s="83">
        <f t="shared" si="24"/>
        <v>0</v>
      </c>
      <c r="AH76" s="83">
        <f t="shared" si="24"/>
        <v>0</v>
      </c>
      <c r="AI76" s="83">
        <f t="shared" si="24"/>
        <v>0</v>
      </c>
      <c r="AJ76" s="83">
        <f t="shared" si="24"/>
        <v>0</v>
      </c>
      <c r="AK76" s="83">
        <f t="shared" si="24"/>
        <v>0</v>
      </c>
      <c r="AL76" s="83">
        <f t="shared" si="24"/>
        <v>0</v>
      </c>
      <c r="AM76" s="83">
        <f t="shared" si="24"/>
        <v>0</v>
      </c>
      <c r="AN76" s="83">
        <f t="shared" si="24"/>
        <v>0</v>
      </c>
      <c r="AO76" s="83">
        <f t="shared" si="24"/>
        <v>0</v>
      </c>
      <c r="AP76" s="83">
        <f t="shared" si="24"/>
        <v>0</v>
      </c>
      <c r="AQ76" s="83">
        <f t="shared" si="24"/>
        <v>0</v>
      </c>
      <c r="AR76" s="83">
        <f t="shared" si="24"/>
        <v>0</v>
      </c>
      <c r="AS76" s="83">
        <f t="shared" si="24"/>
        <v>0</v>
      </c>
      <c r="AT76" s="83">
        <f t="shared" si="24"/>
        <v>0</v>
      </c>
      <c r="AU76" s="83">
        <f t="shared" si="24"/>
        <v>0</v>
      </c>
      <c r="AV76" s="83">
        <f t="shared" si="24"/>
        <v>0</v>
      </c>
      <c r="AW76" s="83">
        <f t="shared" si="24"/>
        <v>0</v>
      </c>
      <c r="AX76" s="83">
        <f t="shared" si="24"/>
        <v>0</v>
      </c>
      <c r="AY76" s="83">
        <f t="shared" si="24"/>
        <v>0</v>
      </c>
      <c r="AZ76" s="84">
        <f t="shared" si="24"/>
        <v>0</v>
      </c>
    </row>
    <row r="77" spans="1:52" x14ac:dyDescent="0.2">
      <c r="A77" s="63" t="str">
        <f>IF(COUNTA(E77:AZ77)=1,"1 Valet",COUNTA(E77:AZ77)&amp;" Valets")</f>
        <v>0 Valets</v>
      </c>
      <c r="B77" s="64" t="s">
        <v>22</v>
      </c>
      <c r="C77" s="132"/>
      <c r="D77" s="66"/>
      <c r="E77" s="67"/>
      <c r="F77" s="68"/>
      <c r="G77" s="68"/>
      <c r="H77" s="68"/>
      <c r="I77" s="68"/>
      <c r="J77" s="68"/>
      <c r="K77" s="68"/>
      <c r="L77" s="68"/>
      <c r="M77" s="69"/>
      <c r="N77" s="68"/>
      <c r="O77" s="68"/>
      <c r="P77" s="69"/>
      <c r="Q77" s="69"/>
      <c r="R77" s="68"/>
      <c r="S77" s="69"/>
      <c r="T77" s="68"/>
      <c r="U77" s="68"/>
      <c r="V77" s="68"/>
      <c r="W77" s="68"/>
      <c r="X77" s="68"/>
      <c r="Y77" s="69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6"/>
      <c r="Q78" s="75"/>
      <c r="R78" s="75"/>
      <c r="S78" s="76"/>
      <c r="T78" s="75"/>
      <c r="U78" s="75"/>
      <c r="V78" s="75"/>
      <c r="W78" s="75"/>
      <c r="X78" s="75"/>
      <c r="Y78" s="76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0.8" thickBot="1" x14ac:dyDescent="0.25">
      <c r="A79" s="86">
        <f>A76</f>
        <v>42549</v>
      </c>
      <c r="B79" s="87" t="s">
        <v>46</v>
      </c>
      <c r="C79" s="403">
        <f>SHIFT(E77:AZ77,E78:AZ78,C78)</f>
        <v>0</v>
      </c>
      <c r="D79" s="422">
        <f>C79*15+(SUM(E79:AZ79)-C79)*13.5</f>
        <v>0</v>
      </c>
      <c r="E79" s="82">
        <f t="shared" ref="E79:AZ79" si="25">HRS(E77,E78)</f>
        <v>0</v>
      </c>
      <c r="F79" s="83">
        <f t="shared" si="25"/>
        <v>0</v>
      </c>
      <c r="G79" s="83">
        <f t="shared" si="25"/>
        <v>0</v>
      </c>
      <c r="H79" s="83">
        <f t="shared" si="25"/>
        <v>0</v>
      </c>
      <c r="I79" s="83">
        <f t="shared" si="25"/>
        <v>0</v>
      </c>
      <c r="J79" s="83">
        <f t="shared" si="25"/>
        <v>0</v>
      </c>
      <c r="K79" s="83">
        <f t="shared" si="25"/>
        <v>0</v>
      </c>
      <c r="L79" s="83">
        <f t="shared" si="25"/>
        <v>0</v>
      </c>
      <c r="M79" s="83">
        <f t="shared" si="25"/>
        <v>0</v>
      </c>
      <c r="N79" s="83">
        <f t="shared" si="25"/>
        <v>0</v>
      </c>
      <c r="O79" s="83">
        <f t="shared" si="25"/>
        <v>0</v>
      </c>
      <c r="P79" s="83">
        <f t="shared" si="25"/>
        <v>0</v>
      </c>
      <c r="Q79" s="83">
        <f t="shared" si="25"/>
        <v>0</v>
      </c>
      <c r="R79" s="83">
        <f t="shared" si="25"/>
        <v>0</v>
      </c>
      <c r="S79" s="83">
        <f t="shared" si="25"/>
        <v>0</v>
      </c>
      <c r="T79" s="83">
        <f t="shared" si="25"/>
        <v>0</v>
      </c>
      <c r="U79" s="83">
        <f t="shared" si="25"/>
        <v>0</v>
      </c>
      <c r="V79" s="83">
        <f t="shared" si="25"/>
        <v>0</v>
      </c>
      <c r="W79" s="83">
        <f t="shared" si="25"/>
        <v>0</v>
      </c>
      <c r="X79" s="83">
        <f t="shared" si="25"/>
        <v>0</v>
      </c>
      <c r="Y79" s="83">
        <f t="shared" si="25"/>
        <v>0</v>
      </c>
      <c r="Z79" s="83">
        <f t="shared" si="25"/>
        <v>0</v>
      </c>
      <c r="AA79" s="83">
        <f t="shared" si="25"/>
        <v>0</v>
      </c>
      <c r="AB79" s="83">
        <f t="shared" si="25"/>
        <v>0</v>
      </c>
      <c r="AC79" s="83">
        <f t="shared" si="25"/>
        <v>0</v>
      </c>
      <c r="AD79" s="83">
        <f t="shared" si="25"/>
        <v>0</v>
      </c>
      <c r="AE79" s="83">
        <f t="shared" si="25"/>
        <v>0</v>
      </c>
      <c r="AF79" s="83">
        <f t="shared" si="25"/>
        <v>0</v>
      </c>
      <c r="AG79" s="83">
        <f t="shared" si="25"/>
        <v>0</v>
      </c>
      <c r="AH79" s="83">
        <f t="shared" si="25"/>
        <v>0</v>
      </c>
      <c r="AI79" s="83">
        <f t="shared" si="25"/>
        <v>0</v>
      </c>
      <c r="AJ79" s="83">
        <f t="shared" si="25"/>
        <v>0</v>
      </c>
      <c r="AK79" s="83">
        <f t="shared" si="25"/>
        <v>0</v>
      </c>
      <c r="AL79" s="83">
        <f t="shared" si="25"/>
        <v>0</v>
      </c>
      <c r="AM79" s="83">
        <f t="shared" si="25"/>
        <v>0</v>
      </c>
      <c r="AN79" s="83">
        <f t="shared" si="25"/>
        <v>0</v>
      </c>
      <c r="AO79" s="83">
        <f t="shared" si="25"/>
        <v>0</v>
      </c>
      <c r="AP79" s="83">
        <f t="shared" si="25"/>
        <v>0</v>
      </c>
      <c r="AQ79" s="83">
        <f t="shared" si="25"/>
        <v>0</v>
      </c>
      <c r="AR79" s="83">
        <f t="shared" si="25"/>
        <v>0</v>
      </c>
      <c r="AS79" s="83">
        <f t="shared" si="25"/>
        <v>0</v>
      </c>
      <c r="AT79" s="83">
        <f t="shared" si="25"/>
        <v>0</v>
      </c>
      <c r="AU79" s="83">
        <f t="shared" si="25"/>
        <v>0</v>
      </c>
      <c r="AV79" s="83">
        <f t="shared" si="25"/>
        <v>0</v>
      </c>
      <c r="AW79" s="83">
        <f t="shared" si="25"/>
        <v>0</v>
      </c>
      <c r="AX79" s="83">
        <f t="shared" si="25"/>
        <v>0</v>
      </c>
      <c r="AY79" s="83">
        <f t="shared" si="25"/>
        <v>0</v>
      </c>
      <c r="AZ79" s="84">
        <f t="shared" si="25"/>
        <v>0</v>
      </c>
    </row>
    <row r="80" spans="1:52" x14ac:dyDescent="0.2">
      <c r="A80" s="63" t="str">
        <f>IF(COUNTA(E80:AZ80)=1,"1 Valet",COUNTA(E80:AZ80)&amp;" Valets")</f>
        <v>0 Valets</v>
      </c>
      <c r="B80" s="64" t="s">
        <v>20</v>
      </c>
      <c r="C80" s="132"/>
      <c r="D80" s="66"/>
      <c r="E80" s="67"/>
      <c r="F80" s="68"/>
      <c r="G80" s="68"/>
      <c r="H80" s="68"/>
      <c r="I80" s="68"/>
      <c r="J80" s="68"/>
      <c r="K80" s="68"/>
      <c r="L80" s="68"/>
      <c r="M80" s="69"/>
      <c r="N80" s="68"/>
      <c r="O80" s="68"/>
      <c r="P80" s="69"/>
      <c r="Q80" s="69"/>
      <c r="R80" s="68"/>
      <c r="S80" s="69"/>
      <c r="T80" s="68"/>
      <c r="U80" s="68"/>
      <c r="V80" s="68"/>
      <c r="W80" s="68"/>
      <c r="X80" s="68"/>
      <c r="Y80" s="69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6"/>
      <c r="Q81" s="75"/>
      <c r="R81" s="75"/>
      <c r="S81" s="76"/>
      <c r="T81" s="75"/>
      <c r="U81" s="75"/>
      <c r="V81" s="75"/>
      <c r="W81" s="75"/>
      <c r="X81" s="75"/>
      <c r="Y81" s="76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0.8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0</v>
      </c>
      <c r="D82" s="421">
        <f>C82*15+(SUM(E82:AZ82)-C82)*13.5</f>
        <v>0</v>
      </c>
      <c r="E82" s="82">
        <f t="shared" ref="E82:AZ82" si="26">HRS(E80,E81)</f>
        <v>0</v>
      </c>
      <c r="F82" s="83">
        <f t="shared" si="26"/>
        <v>0</v>
      </c>
      <c r="G82" s="83">
        <f t="shared" si="26"/>
        <v>0</v>
      </c>
      <c r="H82" s="83">
        <f t="shared" si="26"/>
        <v>0</v>
      </c>
      <c r="I82" s="83">
        <f t="shared" si="26"/>
        <v>0</v>
      </c>
      <c r="J82" s="83">
        <f t="shared" si="26"/>
        <v>0</v>
      </c>
      <c r="K82" s="83">
        <f t="shared" si="26"/>
        <v>0</v>
      </c>
      <c r="L82" s="83">
        <f t="shared" si="26"/>
        <v>0</v>
      </c>
      <c r="M82" s="83">
        <f t="shared" si="26"/>
        <v>0</v>
      </c>
      <c r="N82" s="83">
        <f t="shared" si="26"/>
        <v>0</v>
      </c>
      <c r="O82" s="83">
        <f t="shared" si="26"/>
        <v>0</v>
      </c>
      <c r="P82" s="83">
        <f t="shared" si="26"/>
        <v>0</v>
      </c>
      <c r="Q82" s="83">
        <f t="shared" si="26"/>
        <v>0</v>
      </c>
      <c r="R82" s="83">
        <f t="shared" si="26"/>
        <v>0</v>
      </c>
      <c r="S82" s="83">
        <f t="shared" si="26"/>
        <v>0</v>
      </c>
      <c r="T82" s="83">
        <f t="shared" si="26"/>
        <v>0</v>
      </c>
      <c r="U82" s="83">
        <f t="shared" si="26"/>
        <v>0</v>
      </c>
      <c r="V82" s="83">
        <f t="shared" si="26"/>
        <v>0</v>
      </c>
      <c r="W82" s="83">
        <f t="shared" si="26"/>
        <v>0</v>
      </c>
      <c r="X82" s="83">
        <f t="shared" si="26"/>
        <v>0</v>
      </c>
      <c r="Y82" s="83">
        <f t="shared" si="26"/>
        <v>0</v>
      </c>
      <c r="Z82" s="83">
        <f t="shared" si="26"/>
        <v>0</v>
      </c>
      <c r="AA82" s="83">
        <f t="shared" si="26"/>
        <v>0</v>
      </c>
      <c r="AB82" s="83">
        <f t="shared" si="26"/>
        <v>0</v>
      </c>
      <c r="AC82" s="83">
        <f t="shared" si="26"/>
        <v>0</v>
      </c>
      <c r="AD82" s="83">
        <f t="shared" si="26"/>
        <v>0</v>
      </c>
      <c r="AE82" s="83">
        <f t="shared" si="26"/>
        <v>0</v>
      </c>
      <c r="AF82" s="83">
        <f t="shared" si="26"/>
        <v>0</v>
      </c>
      <c r="AG82" s="83">
        <f t="shared" si="26"/>
        <v>0</v>
      </c>
      <c r="AH82" s="83">
        <f t="shared" si="26"/>
        <v>0</v>
      </c>
      <c r="AI82" s="83">
        <f t="shared" si="26"/>
        <v>0</v>
      </c>
      <c r="AJ82" s="83">
        <f t="shared" si="26"/>
        <v>0</v>
      </c>
      <c r="AK82" s="83">
        <f t="shared" si="26"/>
        <v>0</v>
      </c>
      <c r="AL82" s="83">
        <f t="shared" si="26"/>
        <v>0</v>
      </c>
      <c r="AM82" s="83">
        <f t="shared" si="26"/>
        <v>0</v>
      </c>
      <c r="AN82" s="83">
        <f t="shared" si="26"/>
        <v>0</v>
      </c>
      <c r="AO82" s="83">
        <f t="shared" si="26"/>
        <v>0</v>
      </c>
      <c r="AP82" s="83">
        <f t="shared" si="26"/>
        <v>0</v>
      </c>
      <c r="AQ82" s="83">
        <f t="shared" si="26"/>
        <v>0</v>
      </c>
      <c r="AR82" s="83">
        <f t="shared" si="26"/>
        <v>0</v>
      </c>
      <c r="AS82" s="83">
        <f t="shared" si="26"/>
        <v>0</v>
      </c>
      <c r="AT82" s="83">
        <f t="shared" si="26"/>
        <v>0</v>
      </c>
      <c r="AU82" s="83">
        <f t="shared" si="26"/>
        <v>0</v>
      </c>
      <c r="AV82" s="83">
        <f t="shared" si="26"/>
        <v>0</v>
      </c>
      <c r="AW82" s="83">
        <f t="shared" si="26"/>
        <v>0</v>
      </c>
      <c r="AX82" s="83">
        <f t="shared" si="26"/>
        <v>0</v>
      </c>
      <c r="AY82" s="83">
        <f t="shared" si="26"/>
        <v>0</v>
      </c>
      <c r="AZ82" s="84">
        <f t="shared" si="26"/>
        <v>0</v>
      </c>
    </row>
    <row r="83" spans="1:52" x14ac:dyDescent="0.2">
      <c r="A83" s="63" t="str">
        <f>IF(COUNTA(E83:AZ83)=1,"1 Valet",COUNTA(E83:AZ83)&amp;" Valets")</f>
        <v>0 Valets</v>
      </c>
      <c r="B83" s="64" t="s">
        <v>22</v>
      </c>
      <c r="C83" s="132"/>
      <c r="D83" s="66"/>
      <c r="E83" s="67"/>
      <c r="F83" s="68"/>
      <c r="G83" s="68"/>
      <c r="H83" s="68"/>
      <c r="I83" s="68"/>
      <c r="J83" s="68"/>
      <c r="K83" s="68"/>
      <c r="L83" s="68"/>
      <c r="M83" s="69"/>
      <c r="N83" s="68"/>
      <c r="O83" s="68"/>
      <c r="P83" s="69"/>
      <c r="Q83" s="69"/>
      <c r="R83" s="68"/>
      <c r="S83" s="69"/>
      <c r="T83" s="68"/>
      <c r="U83" s="68"/>
      <c r="V83" s="68"/>
      <c r="W83" s="68"/>
      <c r="X83" s="68"/>
      <c r="Y83" s="69"/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6"/>
      <c r="Q84" s="75"/>
      <c r="R84" s="75"/>
      <c r="S84" s="76"/>
      <c r="T84" s="75"/>
      <c r="U84" s="75"/>
      <c r="V84" s="75"/>
      <c r="W84" s="75"/>
      <c r="X84" s="75"/>
      <c r="Y84" s="76"/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0.8" thickBot="1" x14ac:dyDescent="0.25">
      <c r="A85" s="86">
        <f>A82</f>
        <v>42550</v>
      </c>
      <c r="B85" s="87" t="s">
        <v>46</v>
      </c>
      <c r="C85" s="403">
        <f>SHIFT(E83:AZ83,E84:AZ84,C84)</f>
        <v>0</v>
      </c>
      <c r="D85" s="422">
        <f>C85*15+(SUM(E85:AZ85)-C85)*13.5</f>
        <v>0</v>
      </c>
      <c r="E85" s="82">
        <f t="shared" ref="E85:AZ85" si="27">HRS(E83,E84)</f>
        <v>0</v>
      </c>
      <c r="F85" s="83">
        <f t="shared" si="27"/>
        <v>0</v>
      </c>
      <c r="G85" s="83">
        <f t="shared" si="27"/>
        <v>0</v>
      </c>
      <c r="H85" s="83">
        <f t="shared" si="27"/>
        <v>0</v>
      </c>
      <c r="I85" s="83">
        <f t="shared" si="27"/>
        <v>0</v>
      </c>
      <c r="J85" s="83">
        <f t="shared" si="27"/>
        <v>0</v>
      </c>
      <c r="K85" s="83">
        <f t="shared" si="27"/>
        <v>0</v>
      </c>
      <c r="L85" s="83">
        <f t="shared" si="27"/>
        <v>0</v>
      </c>
      <c r="M85" s="83">
        <f t="shared" si="27"/>
        <v>0</v>
      </c>
      <c r="N85" s="83">
        <f t="shared" si="27"/>
        <v>0</v>
      </c>
      <c r="O85" s="83">
        <f t="shared" si="27"/>
        <v>0</v>
      </c>
      <c r="P85" s="83">
        <f t="shared" si="27"/>
        <v>0</v>
      </c>
      <c r="Q85" s="83">
        <f t="shared" si="27"/>
        <v>0</v>
      </c>
      <c r="R85" s="83">
        <f t="shared" si="27"/>
        <v>0</v>
      </c>
      <c r="S85" s="83">
        <f t="shared" si="27"/>
        <v>0</v>
      </c>
      <c r="T85" s="83">
        <f t="shared" si="27"/>
        <v>0</v>
      </c>
      <c r="U85" s="83">
        <f t="shared" si="27"/>
        <v>0</v>
      </c>
      <c r="V85" s="83">
        <f t="shared" si="27"/>
        <v>0</v>
      </c>
      <c r="W85" s="83">
        <f t="shared" si="27"/>
        <v>0</v>
      </c>
      <c r="X85" s="83">
        <f t="shared" si="27"/>
        <v>0</v>
      </c>
      <c r="Y85" s="83">
        <f t="shared" si="27"/>
        <v>0</v>
      </c>
      <c r="Z85" s="83">
        <f t="shared" si="27"/>
        <v>0</v>
      </c>
      <c r="AA85" s="83">
        <f t="shared" si="27"/>
        <v>0</v>
      </c>
      <c r="AB85" s="83">
        <f t="shared" si="27"/>
        <v>0</v>
      </c>
      <c r="AC85" s="83">
        <f t="shared" si="27"/>
        <v>0</v>
      </c>
      <c r="AD85" s="83">
        <f t="shared" si="27"/>
        <v>0</v>
      </c>
      <c r="AE85" s="83">
        <f t="shared" si="27"/>
        <v>0</v>
      </c>
      <c r="AF85" s="83">
        <f t="shared" si="27"/>
        <v>0</v>
      </c>
      <c r="AG85" s="83">
        <f t="shared" si="27"/>
        <v>0</v>
      </c>
      <c r="AH85" s="83">
        <f t="shared" si="27"/>
        <v>0</v>
      </c>
      <c r="AI85" s="83">
        <f t="shared" si="27"/>
        <v>0</v>
      </c>
      <c r="AJ85" s="83">
        <f t="shared" si="27"/>
        <v>0</v>
      </c>
      <c r="AK85" s="83">
        <f t="shared" si="27"/>
        <v>0</v>
      </c>
      <c r="AL85" s="83">
        <f t="shared" si="27"/>
        <v>0</v>
      </c>
      <c r="AM85" s="83">
        <f t="shared" si="27"/>
        <v>0</v>
      </c>
      <c r="AN85" s="83">
        <f t="shared" si="27"/>
        <v>0</v>
      </c>
      <c r="AO85" s="83">
        <f t="shared" si="27"/>
        <v>0</v>
      </c>
      <c r="AP85" s="83">
        <f t="shared" si="27"/>
        <v>0</v>
      </c>
      <c r="AQ85" s="83">
        <f t="shared" si="27"/>
        <v>0</v>
      </c>
      <c r="AR85" s="83">
        <f t="shared" si="27"/>
        <v>0</v>
      </c>
      <c r="AS85" s="83">
        <f t="shared" si="27"/>
        <v>0</v>
      </c>
      <c r="AT85" s="83">
        <f t="shared" si="27"/>
        <v>0</v>
      </c>
      <c r="AU85" s="83">
        <f t="shared" si="27"/>
        <v>0</v>
      </c>
      <c r="AV85" s="83">
        <f t="shared" si="27"/>
        <v>0</v>
      </c>
      <c r="AW85" s="83">
        <f t="shared" si="27"/>
        <v>0</v>
      </c>
      <c r="AX85" s="83">
        <f t="shared" si="27"/>
        <v>0</v>
      </c>
      <c r="AY85" s="83">
        <f t="shared" si="27"/>
        <v>0</v>
      </c>
      <c r="AZ85" s="84">
        <f t="shared" si="27"/>
        <v>0</v>
      </c>
    </row>
    <row r="86" spans="1:52" x14ac:dyDescent="0.2">
      <c r="A86" s="63" t="str">
        <f>IF(COUNTA(E86:AZ86)=1,"1 Valet",COUNTA(E86:AZ86)&amp;" Valets")</f>
        <v>0 Valets</v>
      </c>
      <c r="B86" s="64" t="s">
        <v>20</v>
      </c>
      <c r="C86" s="132"/>
      <c r="D86" s="66"/>
      <c r="E86" s="67"/>
      <c r="F86" s="68"/>
      <c r="G86" s="68"/>
      <c r="H86" s="68"/>
      <c r="I86" s="68"/>
      <c r="J86" s="68"/>
      <c r="K86" s="68"/>
      <c r="L86" s="68"/>
      <c r="M86" s="69"/>
      <c r="N86" s="68"/>
      <c r="O86" s="68"/>
      <c r="P86" s="69"/>
      <c r="Q86" s="69"/>
      <c r="R86" s="68"/>
      <c r="S86" s="69"/>
      <c r="T86" s="68"/>
      <c r="U86" s="68"/>
      <c r="V86" s="68"/>
      <c r="W86" s="68"/>
      <c r="X86" s="68"/>
      <c r="Y86" s="69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6"/>
      <c r="Q87" s="75"/>
      <c r="R87" s="75"/>
      <c r="S87" s="76"/>
      <c r="T87" s="75"/>
      <c r="U87" s="75"/>
      <c r="V87" s="75"/>
      <c r="W87" s="75"/>
      <c r="X87" s="75"/>
      <c r="Y87" s="76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0.8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0</v>
      </c>
      <c r="D88" s="421">
        <f>C88*15+(SUM(E88:AZ88)-C88)*13.5</f>
        <v>0</v>
      </c>
      <c r="E88" s="82">
        <f t="shared" ref="E88:AZ88" si="28">HRS(E86,E87)</f>
        <v>0</v>
      </c>
      <c r="F88" s="83">
        <f t="shared" si="28"/>
        <v>0</v>
      </c>
      <c r="G88" s="83">
        <f t="shared" si="28"/>
        <v>0</v>
      </c>
      <c r="H88" s="83">
        <f t="shared" si="28"/>
        <v>0</v>
      </c>
      <c r="I88" s="83">
        <f t="shared" si="28"/>
        <v>0</v>
      </c>
      <c r="J88" s="83">
        <f t="shared" si="28"/>
        <v>0</v>
      </c>
      <c r="K88" s="83">
        <f t="shared" si="28"/>
        <v>0</v>
      </c>
      <c r="L88" s="83">
        <f t="shared" si="28"/>
        <v>0</v>
      </c>
      <c r="M88" s="83">
        <f t="shared" si="28"/>
        <v>0</v>
      </c>
      <c r="N88" s="83">
        <f t="shared" si="28"/>
        <v>0</v>
      </c>
      <c r="O88" s="83">
        <f t="shared" si="28"/>
        <v>0</v>
      </c>
      <c r="P88" s="83">
        <f t="shared" si="28"/>
        <v>0</v>
      </c>
      <c r="Q88" s="83">
        <f t="shared" si="28"/>
        <v>0</v>
      </c>
      <c r="R88" s="83">
        <f t="shared" si="28"/>
        <v>0</v>
      </c>
      <c r="S88" s="83">
        <f t="shared" si="28"/>
        <v>0</v>
      </c>
      <c r="T88" s="83">
        <f t="shared" si="28"/>
        <v>0</v>
      </c>
      <c r="U88" s="83">
        <f t="shared" si="28"/>
        <v>0</v>
      </c>
      <c r="V88" s="83">
        <f t="shared" si="28"/>
        <v>0</v>
      </c>
      <c r="W88" s="83">
        <f t="shared" si="28"/>
        <v>0</v>
      </c>
      <c r="X88" s="83">
        <f t="shared" si="28"/>
        <v>0</v>
      </c>
      <c r="Y88" s="83">
        <f t="shared" si="28"/>
        <v>0</v>
      </c>
      <c r="Z88" s="83">
        <f t="shared" si="28"/>
        <v>0</v>
      </c>
      <c r="AA88" s="83">
        <f t="shared" si="28"/>
        <v>0</v>
      </c>
      <c r="AB88" s="83">
        <f t="shared" si="28"/>
        <v>0</v>
      </c>
      <c r="AC88" s="83">
        <f t="shared" si="28"/>
        <v>0</v>
      </c>
      <c r="AD88" s="83">
        <f t="shared" si="28"/>
        <v>0</v>
      </c>
      <c r="AE88" s="83">
        <f t="shared" si="28"/>
        <v>0</v>
      </c>
      <c r="AF88" s="83">
        <f t="shared" si="28"/>
        <v>0</v>
      </c>
      <c r="AG88" s="83">
        <f t="shared" si="28"/>
        <v>0</v>
      </c>
      <c r="AH88" s="83">
        <f t="shared" si="28"/>
        <v>0</v>
      </c>
      <c r="AI88" s="83">
        <f t="shared" si="28"/>
        <v>0</v>
      </c>
      <c r="AJ88" s="83">
        <f t="shared" si="28"/>
        <v>0</v>
      </c>
      <c r="AK88" s="83">
        <f t="shared" si="28"/>
        <v>0</v>
      </c>
      <c r="AL88" s="83">
        <f t="shared" si="28"/>
        <v>0</v>
      </c>
      <c r="AM88" s="83">
        <f t="shared" si="28"/>
        <v>0</v>
      </c>
      <c r="AN88" s="83">
        <f t="shared" si="28"/>
        <v>0</v>
      </c>
      <c r="AO88" s="83">
        <f t="shared" si="28"/>
        <v>0</v>
      </c>
      <c r="AP88" s="83">
        <f t="shared" si="28"/>
        <v>0</v>
      </c>
      <c r="AQ88" s="83">
        <f t="shared" si="28"/>
        <v>0</v>
      </c>
      <c r="AR88" s="83">
        <f t="shared" si="28"/>
        <v>0</v>
      </c>
      <c r="AS88" s="83">
        <f t="shared" si="28"/>
        <v>0</v>
      </c>
      <c r="AT88" s="83">
        <f t="shared" si="28"/>
        <v>0</v>
      </c>
      <c r="AU88" s="83">
        <f t="shared" si="28"/>
        <v>0</v>
      </c>
      <c r="AV88" s="83">
        <f t="shared" si="28"/>
        <v>0</v>
      </c>
      <c r="AW88" s="83">
        <f t="shared" si="28"/>
        <v>0</v>
      </c>
      <c r="AX88" s="83">
        <f t="shared" si="28"/>
        <v>0</v>
      </c>
      <c r="AY88" s="83">
        <f t="shared" si="28"/>
        <v>0</v>
      </c>
      <c r="AZ88" s="84">
        <f t="shared" si="28"/>
        <v>0</v>
      </c>
    </row>
    <row r="89" spans="1:52" x14ac:dyDescent="0.2">
      <c r="A89" s="63" t="str">
        <f>IF(COUNTA(E89:AZ89)=1,"1 Valet",COUNTA(E89:AZ89)&amp;" Valets")</f>
        <v>0 Valets</v>
      </c>
      <c r="B89" s="64" t="s">
        <v>22</v>
      </c>
      <c r="C89" s="132"/>
      <c r="D89" s="66"/>
      <c r="E89" s="67"/>
      <c r="F89" s="68"/>
      <c r="G89" s="68"/>
      <c r="H89" s="68"/>
      <c r="I89" s="68"/>
      <c r="J89" s="68"/>
      <c r="K89" s="68"/>
      <c r="L89" s="68"/>
      <c r="M89" s="69"/>
      <c r="N89" s="68"/>
      <c r="O89" s="68"/>
      <c r="P89" s="69"/>
      <c r="Q89" s="69"/>
      <c r="R89" s="68"/>
      <c r="S89" s="69"/>
      <c r="T89" s="68"/>
      <c r="U89" s="68"/>
      <c r="V89" s="68"/>
      <c r="W89" s="68"/>
      <c r="X89" s="68"/>
      <c r="Y89" s="69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6"/>
      <c r="Q90" s="75"/>
      <c r="R90" s="75"/>
      <c r="S90" s="76"/>
      <c r="T90" s="75"/>
      <c r="U90" s="75"/>
      <c r="V90" s="75"/>
      <c r="W90" s="75"/>
      <c r="X90" s="75"/>
      <c r="Y90" s="76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0.8" thickBot="1" x14ac:dyDescent="0.25">
      <c r="A91" s="86">
        <f>A88</f>
        <v>42551</v>
      </c>
      <c r="B91" s="87" t="s">
        <v>46</v>
      </c>
      <c r="C91" s="403">
        <f>SHIFT(E89:AZ89,E90:AZ90,C90)</f>
        <v>0</v>
      </c>
      <c r="D91" s="422">
        <f>C91*15+(SUM(E91:AZ91)-C91)*13.5</f>
        <v>0</v>
      </c>
      <c r="E91" s="82">
        <f t="shared" ref="E91:AZ91" si="29">HRS(E89,E90)</f>
        <v>0</v>
      </c>
      <c r="F91" s="83">
        <f t="shared" si="29"/>
        <v>0</v>
      </c>
      <c r="G91" s="83">
        <f t="shared" si="29"/>
        <v>0</v>
      </c>
      <c r="H91" s="83">
        <f t="shared" si="29"/>
        <v>0</v>
      </c>
      <c r="I91" s="83">
        <f t="shared" si="29"/>
        <v>0</v>
      </c>
      <c r="J91" s="83">
        <f t="shared" si="29"/>
        <v>0</v>
      </c>
      <c r="K91" s="83">
        <f t="shared" si="29"/>
        <v>0</v>
      </c>
      <c r="L91" s="83">
        <f t="shared" si="29"/>
        <v>0</v>
      </c>
      <c r="M91" s="83">
        <f t="shared" si="29"/>
        <v>0</v>
      </c>
      <c r="N91" s="83">
        <f t="shared" si="29"/>
        <v>0</v>
      </c>
      <c r="O91" s="83">
        <f t="shared" si="29"/>
        <v>0</v>
      </c>
      <c r="P91" s="83">
        <f t="shared" si="29"/>
        <v>0</v>
      </c>
      <c r="Q91" s="83">
        <f t="shared" si="29"/>
        <v>0</v>
      </c>
      <c r="R91" s="83">
        <f t="shared" si="29"/>
        <v>0</v>
      </c>
      <c r="S91" s="83">
        <f t="shared" si="29"/>
        <v>0</v>
      </c>
      <c r="T91" s="83">
        <f t="shared" si="29"/>
        <v>0</v>
      </c>
      <c r="U91" s="83">
        <f t="shared" si="29"/>
        <v>0</v>
      </c>
      <c r="V91" s="83">
        <f t="shared" si="29"/>
        <v>0</v>
      </c>
      <c r="W91" s="83">
        <f t="shared" si="29"/>
        <v>0</v>
      </c>
      <c r="X91" s="83">
        <f t="shared" si="29"/>
        <v>0</v>
      </c>
      <c r="Y91" s="83">
        <f t="shared" si="29"/>
        <v>0</v>
      </c>
      <c r="Z91" s="83">
        <f t="shared" si="29"/>
        <v>0</v>
      </c>
      <c r="AA91" s="83">
        <f t="shared" si="29"/>
        <v>0</v>
      </c>
      <c r="AB91" s="83">
        <f t="shared" si="29"/>
        <v>0</v>
      </c>
      <c r="AC91" s="83">
        <f t="shared" si="29"/>
        <v>0</v>
      </c>
      <c r="AD91" s="83">
        <f t="shared" si="29"/>
        <v>0</v>
      </c>
      <c r="AE91" s="83">
        <f t="shared" si="29"/>
        <v>0</v>
      </c>
      <c r="AF91" s="83">
        <f t="shared" si="29"/>
        <v>0</v>
      </c>
      <c r="AG91" s="83">
        <f t="shared" si="29"/>
        <v>0</v>
      </c>
      <c r="AH91" s="83">
        <f t="shared" si="29"/>
        <v>0</v>
      </c>
      <c r="AI91" s="83">
        <f t="shared" si="29"/>
        <v>0</v>
      </c>
      <c r="AJ91" s="83">
        <f t="shared" si="29"/>
        <v>0</v>
      </c>
      <c r="AK91" s="83">
        <f t="shared" si="29"/>
        <v>0</v>
      </c>
      <c r="AL91" s="83">
        <f t="shared" si="29"/>
        <v>0</v>
      </c>
      <c r="AM91" s="83">
        <f t="shared" si="29"/>
        <v>0</v>
      </c>
      <c r="AN91" s="83">
        <f t="shared" si="29"/>
        <v>0</v>
      </c>
      <c r="AO91" s="83">
        <f t="shared" si="29"/>
        <v>0</v>
      </c>
      <c r="AP91" s="83">
        <f t="shared" si="29"/>
        <v>0</v>
      </c>
      <c r="AQ91" s="83">
        <f t="shared" si="29"/>
        <v>0</v>
      </c>
      <c r="AR91" s="83">
        <f t="shared" si="29"/>
        <v>0</v>
      </c>
      <c r="AS91" s="83">
        <f t="shared" si="29"/>
        <v>0</v>
      </c>
      <c r="AT91" s="83">
        <f t="shared" si="29"/>
        <v>0</v>
      </c>
      <c r="AU91" s="83">
        <f t="shared" si="29"/>
        <v>0</v>
      </c>
      <c r="AV91" s="83">
        <f t="shared" si="29"/>
        <v>0</v>
      </c>
      <c r="AW91" s="83">
        <f t="shared" si="29"/>
        <v>0</v>
      </c>
      <c r="AX91" s="83">
        <f t="shared" si="29"/>
        <v>0</v>
      </c>
      <c r="AY91" s="83">
        <f t="shared" si="29"/>
        <v>0</v>
      </c>
      <c r="AZ91" s="84">
        <f t="shared" si="29"/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8"/>
      <c r="H92" s="68"/>
      <c r="I92" s="68"/>
      <c r="J92" s="68"/>
      <c r="K92" s="68"/>
      <c r="L92" s="68"/>
      <c r="M92" s="69"/>
      <c r="N92" s="68"/>
      <c r="O92" s="68"/>
      <c r="P92" s="69"/>
      <c r="Q92" s="69"/>
      <c r="R92" s="68"/>
      <c r="S92" s="69"/>
      <c r="T92" s="68"/>
      <c r="U92" s="68"/>
      <c r="V92" s="68"/>
      <c r="W92" s="68"/>
      <c r="X92" s="68"/>
      <c r="Y92" s="69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6"/>
      <c r="Q93" s="75"/>
      <c r="R93" s="75"/>
      <c r="S93" s="76"/>
      <c r="T93" s="75"/>
      <c r="U93" s="75"/>
      <c r="V93" s="75"/>
      <c r="W93" s="75"/>
      <c r="X93" s="75"/>
      <c r="Y93" s="76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0.8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 t="shared" ref="E94:AZ94" si="30">HRS(E92,E93)</f>
        <v>0</v>
      </c>
      <c r="F94" s="83">
        <f t="shared" si="30"/>
        <v>0</v>
      </c>
      <c r="G94" s="83">
        <f t="shared" si="30"/>
        <v>0</v>
      </c>
      <c r="H94" s="83">
        <f t="shared" si="30"/>
        <v>0</v>
      </c>
      <c r="I94" s="83">
        <f t="shared" si="30"/>
        <v>0</v>
      </c>
      <c r="J94" s="83">
        <f t="shared" si="30"/>
        <v>0</v>
      </c>
      <c r="K94" s="83">
        <f t="shared" si="30"/>
        <v>0</v>
      </c>
      <c r="L94" s="83">
        <f t="shared" si="30"/>
        <v>0</v>
      </c>
      <c r="M94" s="83">
        <f t="shared" si="30"/>
        <v>0</v>
      </c>
      <c r="N94" s="83">
        <f t="shared" si="30"/>
        <v>0</v>
      </c>
      <c r="O94" s="83">
        <f t="shared" si="30"/>
        <v>0</v>
      </c>
      <c r="P94" s="83">
        <f t="shared" si="30"/>
        <v>0</v>
      </c>
      <c r="Q94" s="83">
        <f t="shared" si="30"/>
        <v>0</v>
      </c>
      <c r="R94" s="83">
        <f t="shared" si="30"/>
        <v>0</v>
      </c>
      <c r="S94" s="83">
        <f t="shared" si="30"/>
        <v>0</v>
      </c>
      <c r="T94" s="83">
        <f t="shared" si="30"/>
        <v>0</v>
      </c>
      <c r="U94" s="83">
        <f t="shared" si="30"/>
        <v>0</v>
      </c>
      <c r="V94" s="83">
        <f t="shared" si="30"/>
        <v>0</v>
      </c>
      <c r="W94" s="83">
        <f t="shared" si="30"/>
        <v>0</v>
      </c>
      <c r="X94" s="83">
        <f t="shared" si="30"/>
        <v>0</v>
      </c>
      <c r="Y94" s="83">
        <f t="shared" si="30"/>
        <v>0</v>
      </c>
      <c r="Z94" s="83">
        <f t="shared" si="30"/>
        <v>0</v>
      </c>
      <c r="AA94" s="83">
        <f t="shared" si="30"/>
        <v>0</v>
      </c>
      <c r="AB94" s="83">
        <f t="shared" si="30"/>
        <v>0</v>
      </c>
      <c r="AC94" s="83">
        <f t="shared" si="30"/>
        <v>0</v>
      </c>
      <c r="AD94" s="83">
        <f t="shared" si="30"/>
        <v>0</v>
      </c>
      <c r="AE94" s="83">
        <f t="shared" si="30"/>
        <v>0</v>
      </c>
      <c r="AF94" s="83">
        <f t="shared" si="30"/>
        <v>0</v>
      </c>
      <c r="AG94" s="83">
        <f t="shared" si="30"/>
        <v>0</v>
      </c>
      <c r="AH94" s="83">
        <f t="shared" si="30"/>
        <v>0</v>
      </c>
      <c r="AI94" s="83">
        <f t="shared" si="30"/>
        <v>0</v>
      </c>
      <c r="AJ94" s="83">
        <f t="shared" si="30"/>
        <v>0</v>
      </c>
      <c r="AK94" s="83">
        <f t="shared" si="30"/>
        <v>0</v>
      </c>
      <c r="AL94" s="83">
        <f t="shared" si="30"/>
        <v>0</v>
      </c>
      <c r="AM94" s="83">
        <f t="shared" si="30"/>
        <v>0</v>
      </c>
      <c r="AN94" s="83">
        <f t="shared" si="30"/>
        <v>0</v>
      </c>
      <c r="AO94" s="83">
        <f t="shared" si="30"/>
        <v>0</v>
      </c>
      <c r="AP94" s="83">
        <f t="shared" si="30"/>
        <v>0</v>
      </c>
      <c r="AQ94" s="83">
        <f t="shared" si="30"/>
        <v>0</v>
      </c>
      <c r="AR94" s="83">
        <f t="shared" si="30"/>
        <v>0</v>
      </c>
      <c r="AS94" s="83">
        <f t="shared" si="30"/>
        <v>0</v>
      </c>
      <c r="AT94" s="83">
        <f t="shared" si="30"/>
        <v>0</v>
      </c>
      <c r="AU94" s="83">
        <f t="shared" si="30"/>
        <v>0</v>
      </c>
      <c r="AV94" s="83">
        <f t="shared" si="30"/>
        <v>0</v>
      </c>
      <c r="AW94" s="83">
        <f t="shared" si="30"/>
        <v>0</v>
      </c>
      <c r="AX94" s="83">
        <f t="shared" si="30"/>
        <v>0</v>
      </c>
      <c r="AY94" s="83">
        <f t="shared" si="30"/>
        <v>0</v>
      </c>
      <c r="AZ94" s="84">
        <f t="shared" si="30"/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8"/>
      <c r="H95" s="68"/>
      <c r="I95" s="68"/>
      <c r="J95" s="68"/>
      <c r="K95" s="68"/>
      <c r="L95" s="68"/>
      <c r="M95" s="69"/>
      <c r="N95" s="68"/>
      <c r="O95" s="68"/>
      <c r="P95" s="69"/>
      <c r="Q95" s="69"/>
      <c r="R95" s="68"/>
      <c r="S95" s="69"/>
      <c r="T95" s="68"/>
      <c r="U95" s="68"/>
      <c r="V95" s="68"/>
      <c r="W95" s="68"/>
      <c r="X95" s="68"/>
      <c r="Y95" s="69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6"/>
      <c r="Q96" s="75"/>
      <c r="R96" s="75"/>
      <c r="S96" s="76"/>
      <c r="T96" s="75"/>
      <c r="U96" s="75"/>
      <c r="V96" s="75"/>
      <c r="W96" s="75"/>
      <c r="X96" s="75"/>
      <c r="Y96" s="76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0.8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 t="shared" ref="E97:AZ97" si="31">HRS(E95,E96)</f>
        <v>0</v>
      </c>
      <c r="F97" s="424">
        <f t="shared" si="31"/>
        <v>0</v>
      </c>
      <c r="G97" s="424">
        <f t="shared" si="31"/>
        <v>0</v>
      </c>
      <c r="H97" s="424">
        <f t="shared" si="31"/>
        <v>0</v>
      </c>
      <c r="I97" s="424">
        <f t="shared" si="31"/>
        <v>0</v>
      </c>
      <c r="J97" s="424">
        <f t="shared" si="31"/>
        <v>0</v>
      </c>
      <c r="K97" s="424">
        <f t="shared" si="31"/>
        <v>0</v>
      </c>
      <c r="L97" s="424">
        <f t="shared" si="31"/>
        <v>0</v>
      </c>
      <c r="M97" s="424">
        <f t="shared" si="31"/>
        <v>0</v>
      </c>
      <c r="N97" s="424">
        <f t="shared" si="31"/>
        <v>0</v>
      </c>
      <c r="O97" s="424">
        <f t="shared" si="31"/>
        <v>0</v>
      </c>
      <c r="P97" s="424">
        <f t="shared" si="31"/>
        <v>0</v>
      </c>
      <c r="Q97" s="424">
        <f t="shared" si="31"/>
        <v>0</v>
      </c>
      <c r="R97" s="424">
        <f t="shared" si="31"/>
        <v>0</v>
      </c>
      <c r="S97" s="424">
        <f t="shared" si="31"/>
        <v>0</v>
      </c>
      <c r="T97" s="424">
        <f t="shared" si="31"/>
        <v>0</v>
      </c>
      <c r="U97" s="424">
        <f t="shared" si="31"/>
        <v>0</v>
      </c>
      <c r="V97" s="424">
        <f t="shared" si="31"/>
        <v>0</v>
      </c>
      <c r="W97" s="424">
        <f t="shared" si="31"/>
        <v>0</v>
      </c>
      <c r="X97" s="424">
        <f t="shared" si="31"/>
        <v>0</v>
      </c>
      <c r="Y97" s="424">
        <f t="shared" si="31"/>
        <v>0</v>
      </c>
      <c r="Z97" s="424">
        <f t="shared" si="31"/>
        <v>0</v>
      </c>
      <c r="AA97" s="424">
        <f t="shared" si="31"/>
        <v>0</v>
      </c>
      <c r="AB97" s="424">
        <f t="shared" si="31"/>
        <v>0</v>
      </c>
      <c r="AC97" s="424">
        <f t="shared" si="31"/>
        <v>0</v>
      </c>
      <c r="AD97" s="424">
        <f t="shared" si="31"/>
        <v>0</v>
      </c>
      <c r="AE97" s="424">
        <f t="shared" si="31"/>
        <v>0</v>
      </c>
      <c r="AF97" s="424">
        <f t="shared" si="31"/>
        <v>0</v>
      </c>
      <c r="AG97" s="424">
        <f t="shared" si="31"/>
        <v>0</v>
      </c>
      <c r="AH97" s="424">
        <f t="shared" si="31"/>
        <v>0</v>
      </c>
      <c r="AI97" s="424">
        <f t="shared" si="31"/>
        <v>0</v>
      </c>
      <c r="AJ97" s="424">
        <f t="shared" si="31"/>
        <v>0</v>
      </c>
      <c r="AK97" s="424">
        <f t="shared" si="31"/>
        <v>0</v>
      </c>
      <c r="AL97" s="424">
        <f t="shared" si="31"/>
        <v>0</v>
      </c>
      <c r="AM97" s="424">
        <f t="shared" si="31"/>
        <v>0</v>
      </c>
      <c r="AN97" s="424">
        <f t="shared" si="31"/>
        <v>0</v>
      </c>
      <c r="AO97" s="424">
        <f t="shared" si="31"/>
        <v>0</v>
      </c>
      <c r="AP97" s="424">
        <f t="shared" si="31"/>
        <v>0</v>
      </c>
      <c r="AQ97" s="424">
        <f t="shared" si="31"/>
        <v>0</v>
      </c>
      <c r="AR97" s="424">
        <f t="shared" si="31"/>
        <v>0</v>
      </c>
      <c r="AS97" s="424">
        <f t="shared" si="31"/>
        <v>0</v>
      </c>
      <c r="AT97" s="424">
        <f t="shared" si="31"/>
        <v>0</v>
      </c>
      <c r="AU97" s="424">
        <f t="shared" si="31"/>
        <v>0</v>
      </c>
      <c r="AV97" s="424">
        <f t="shared" si="31"/>
        <v>0</v>
      </c>
      <c r="AW97" s="424">
        <f t="shared" si="31"/>
        <v>0</v>
      </c>
      <c r="AX97" s="424">
        <f t="shared" si="31"/>
        <v>0</v>
      </c>
      <c r="AY97" s="424">
        <f t="shared" si="31"/>
        <v>0</v>
      </c>
      <c r="AZ97" s="425">
        <f t="shared" si="31"/>
        <v>0</v>
      </c>
    </row>
    <row r="98" spans="1:52" s="99" customFormat="1" ht="10.8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0.8" thickBot="1" x14ac:dyDescent="0.25">
      <c r="A99" s="100"/>
      <c r="B99" s="133" t="s">
        <v>3</v>
      </c>
      <c r="C99" s="102">
        <f>SUM(C100:C101)</f>
        <v>0</v>
      </c>
      <c r="D99" s="134">
        <f>C100*15+(SUM(E99:AZ99)-C100)*13.5</f>
        <v>0</v>
      </c>
      <c r="E99" s="135">
        <f t="shared" ref="E99:AZ99" si="32">SUM(E4,E7,E10,E13,E16,E19,E22,E25,E28,E31,E34,E37,E40,E43,E46,E49,E52,E55,E58,E61,E64,E67,E70,E73,E76,E79,E82,E85,E88,E91,E94,E97)</f>
        <v>0</v>
      </c>
      <c r="F99" s="102">
        <f t="shared" si="32"/>
        <v>0</v>
      </c>
      <c r="G99" s="102">
        <f t="shared" si="32"/>
        <v>0</v>
      </c>
      <c r="H99" s="102">
        <f t="shared" si="32"/>
        <v>0</v>
      </c>
      <c r="I99" s="102">
        <f t="shared" si="32"/>
        <v>0</v>
      </c>
      <c r="J99" s="102">
        <f t="shared" si="32"/>
        <v>0</v>
      </c>
      <c r="K99" s="102">
        <f t="shared" si="32"/>
        <v>0</v>
      </c>
      <c r="L99" s="102">
        <f t="shared" si="32"/>
        <v>0</v>
      </c>
      <c r="M99" s="102">
        <f t="shared" si="32"/>
        <v>0</v>
      </c>
      <c r="N99" s="102">
        <f t="shared" si="32"/>
        <v>0</v>
      </c>
      <c r="O99" s="102">
        <f t="shared" si="32"/>
        <v>0</v>
      </c>
      <c r="P99" s="102">
        <f t="shared" si="32"/>
        <v>0</v>
      </c>
      <c r="Q99" s="102">
        <f t="shared" si="32"/>
        <v>0</v>
      </c>
      <c r="R99" s="102">
        <f t="shared" si="32"/>
        <v>0</v>
      </c>
      <c r="S99" s="102">
        <f t="shared" si="32"/>
        <v>0</v>
      </c>
      <c r="T99" s="102">
        <f t="shared" si="32"/>
        <v>0</v>
      </c>
      <c r="U99" s="102">
        <f t="shared" si="32"/>
        <v>0</v>
      </c>
      <c r="V99" s="102">
        <f t="shared" si="32"/>
        <v>0</v>
      </c>
      <c r="W99" s="102">
        <f t="shared" si="32"/>
        <v>0</v>
      </c>
      <c r="X99" s="102">
        <f t="shared" si="32"/>
        <v>0</v>
      </c>
      <c r="Y99" s="102">
        <f t="shared" si="32"/>
        <v>0</v>
      </c>
      <c r="Z99" s="102">
        <f t="shared" si="32"/>
        <v>0</v>
      </c>
      <c r="AA99" s="102">
        <f t="shared" si="32"/>
        <v>0</v>
      </c>
      <c r="AB99" s="102">
        <f t="shared" si="32"/>
        <v>0</v>
      </c>
      <c r="AC99" s="102">
        <f t="shared" si="32"/>
        <v>0</v>
      </c>
      <c r="AD99" s="102">
        <f t="shared" si="32"/>
        <v>0</v>
      </c>
      <c r="AE99" s="102">
        <f t="shared" si="32"/>
        <v>0</v>
      </c>
      <c r="AF99" s="102">
        <f t="shared" si="32"/>
        <v>0</v>
      </c>
      <c r="AG99" s="102">
        <f t="shared" si="32"/>
        <v>0</v>
      </c>
      <c r="AH99" s="102">
        <f t="shared" si="32"/>
        <v>0</v>
      </c>
      <c r="AI99" s="102">
        <f t="shared" si="32"/>
        <v>0</v>
      </c>
      <c r="AJ99" s="102">
        <f t="shared" si="32"/>
        <v>0</v>
      </c>
      <c r="AK99" s="102">
        <f t="shared" si="32"/>
        <v>0</v>
      </c>
      <c r="AL99" s="102">
        <f t="shared" si="32"/>
        <v>0</v>
      </c>
      <c r="AM99" s="102">
        <f t="shared" si="32"/>
        <v>0</v>
      </c>
      <c r="AN99" s="102">
        <f t="shared" si="32"/>
        <v>0</v>
      </c>
      <c r="AO99" s="102">
        <f t="shared" si="32"/>
        <v>0</v>
      </c>
      <c r="AP99" s="102">
        <f t="shared" si="32"/>
        <v>0</v>
      </c>
      <c r="AQ99" s="102">
        <f t="shared" si="32"/>
        <v>0</v>
      </c>
      <c r="AR99" s="102">
        <f t="shared" si="32"/>
        <v>0</v>
      </c>
      <c r="AS99" s="102">
        <f t="shared" si="32"/>
        <v>0</v>
      </c>
      <c r="AT99" s="102">
        <f t="shared" si="32"/>
        <v>0</v>
      </c>
      <c r="AU99" s="102">
        <f t="shared" si="32"/>
        <v>0</v>
      </c>
      <c r="AV99" s="102">
        <f t="shared" si="32"/>
        <v>0</v>
      </c>
      <c r="AW99" s="102">
        <f t="shared" si="32"/>
        <v>0</v>
      </c>
      <c r="AX99" s="102">
        <f t="shared" si="32"/>
        <v>0</v>
      </c>
      <c r="AY99" s="102">
        <f t="shared" si="32"/>
        <v>0</v>
      </c>
      <c r="AZ99" s="104">
        <f t="shared" si="32"/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0</v>
      </c>
      <c r="D100" s="109">
        <f>C100*15</f>
        <v>0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0.8" thickBot="1" x14ac:dyDescent="0.25">
      <c r="A101" s="106"/>
      <c r="B101" s="113" t="s">
        <v>2</v>
      </c>
      <c r="C101" s="114">
        <f>SUM(E99:AZ99)-C100</f>
        <v>0</v>
      </c>
      <c r="D101" s="115">
        <f>C101*13.5</f>
        <v>0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0.8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0.8" thickBot="1" x14ac:dyDescent="0.25">
      <c r="A103" s="106"/>
      <c r="B103" s="119" t="s">
        <v>11</v>
      </c>
      <c r="C103" s="120">
        <f>SUM(D100:D101)</f>
        <v>0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QlBvmGuXvh1MaNZfMZ5icbNvjxRlme5M7UDNTM84zcyyy4I256wH82+1JIL6qEqTUFyQNmnWlJxEu3O6RAF8Tg==" saltValue="6DLkx+woNHDx7ZLR9YRwnQ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dataValidations count="2">
    <dataValidation type="custom" allowBlank="1" showInputMessage="1" showErrorMessage="1" errorTitle="Invalid Entry" error="Please input time in 15 minute increments." sqref="E14:AZ15 E17:AZ18 E5:AZ6 E20:AZ21 E23:AZ24 E29:AZ30 E32:AZ33 E35:AZ36 E38:AZ39 E41:AZ42 E44:AZ45 E47:AZ48 E50:AZ51 E53:AZ54 E56:AZ57 E59:AZ60 E62:AZ63 E65:AZ66 E68:AZ69 E71:AZ72 E74:AZ75 E77:AZ78 E80:AZ81 E83:AZ84 E86:AZ87 E89:AZ90 E92:AZ93 E95:AZ96 E26:AZ27 E8:AZ9 E11:AZ12 E2:AZ3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09375" defaultRowHeight="10.199999999999999" x14ac:dyDescent="0.2"/>
  <cols>
    <col min="1" max="1" width="19.33203125" style="127" bestFit="1" customWidth="1"/>
    <col min="2" max="2" width="14.109375" style="62" bestFit="1" customWidth="1"/>
    <col min="3" max="3" width="8.6640625" style="110" bestFit="1" customWidth="1"/>
    <col min="4" max="4" width="9.109375" style="177" bestFit="1" customWidth="1"/>
    <col min="5" max="5" width="6.88671875" style="177" bestFit="1" customWidth="1"/>
    <col min="6" max="6" width="9.109375" style="178" bestFit="1" customWidth="1"/>
    <col min="7" max="7" width="8.44140625" style="188" bestFit="1" customWidth="1"/>
    <col min="8" max="8" width="7.44140625" style="62" bestFit="1" customWidth="1"/>
    <col min="9" max="10" width="8" style="110" bestFit="1" customWidth="1"/>
    <col min="11" max="11" width="7.44140625" style="110" bestFit="1" customWidth="1"/>
    <col min="12" max="13" width="6.5546875" style="62" bestFit="1" customWidth="1"/>
    <col min="14" max="14" width="6.44140625" style="62" bestFit="1" customWidth="1"/>
    <col min="15" max="15" width="6.5546875" style="62" bestFit="1" customWidth="1"/>
    <col min="16" max="17" width="6.44140625" style="62" bestFit="1" customWidth="1"/>
    <col min="18" max="41" width="4.88671875" style="62" bestFit="1" customWidth="1"/>
    <col min="42" max="16384" width="9.109375" style="62"/>
  </cols>
  <sheetData>
    <row r="1" spans="1:41" ht="10.8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208</v>
      </c>
      <c r="I1" s="535" t="s">
        <v>156</v>
      </c>
      <c r="J1" s="535" t="s">
        <v>156</v>
      </c>
      <c r="K1" s="535" t="s">
        <v>193</v>
      </c>
      <c r="L1" s="535" t="s">
        <v>177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0</v>
      </c>
      <c r="F2" s="145">
        <f>E2-(D2*1.26)</f>
        <v>-75.599999999999994</v>
      </c>
      <c r="G2" s="544"/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0</v>
      </c>
      <c r="F3" s="145">
        <f t="shared" ref="F3:F17" si="3">E3-(D3*1.26)</f>
        <v>-153.72</v>
      </c>
      <c r="G3" s="545"/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0</v>
      </c>
      <c r="F4" s="145">
        <f t="shared" si="3"/>
        <v>-217.35</v>
      </c>
      <c r="G4" s="546"/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0</v>
      </c>
      <c r="F5" s="145">
        <f t="shared" si="3"/>
        <v>-136.08000000000001</v>
      </c>
      <c r="G5" s="545"/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0</v>
      </c>
      <c r="F7" s="145">
        <f t="shared" si="3"/>
        <v>-79.38</v>
      </c>
      <c r="G7" s="545"/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0</v>
      </c>
      <c r="F8" s="144">
        <f t="shared" si="3"/>
        <v>-79.38</v>
      </c>
      <c r="G8" s="547"/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0</v>
      </c>
      <c r="F9" s="145">
        <f t="shared" si="3"/>
        <v>-75.599999999999994</v>
      </c>
      <c r="G9" s="545"/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0</v>
      </c>
      <c r="F10" s="145">
        <f t="shared" si="3"/>
        <v>-149.94</v>
      </c>
      <c r="G10" s="546"/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0</v>
      </c>
      <c r="F11" s="145">
        <f t="shared" si="3"/>
        <v>0</v>
      </c>
      <c r="G11" s="545"/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0.8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0.8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0</v>
      </c>
      <c r="F18" s="156">
        <f t="shared" si="4"/>
        <v>-1053.99</v>
      </c>
      <c r="G18" s="157">
        <f t="shared" si="4"/>
        <v>0</v>
      </c>
      <c r="H18" s="135">
        <f t="shared" ref="H18:AO18" si="5">SUM(H2:H17)</f>
        <v>33.5</v>
      </c>
      <c r="I18" s="102">
        <f t="shared" si="5"/>
        <v>10.25</v>
      </c>
      <c r="J18" s="102">
        <f t="shared" si="5"/>
        <v>16</v>
      </c>
      <c r="K18" s="102">
        <f t="shared" si="5"/>
        <v>9.5</v>
      </c>
      <c r="L18" s="102">
        <f t="shared" si="5"/>
        <v>4.5</v>
      </c>
      <c r="M18" s="102">
        <f t="shared" si="5"/>
        <v>0</v>
      </c>
      <c r="N18" s="102">
        <f t="shared" si="5"/>
        <v>0</v>
      </c>
      <c r="O18" s="102">
        <f t="shared" si="5"/>
        <v>0</v>
      </c>
      <c r="P18" s="102">
        <f t="shared" si="5"/>
        <v>0</v>
      </c>
      <c r="Q18" s="102">
        <f t="shared" si="5"/>
        <v>0</v>
      </c>
      <c r="R18" s="102">
        <f t="shared" si="5"/>
        <v>0</v>
      </c>
      <c r="S18" s="102">
        <f t="shared" si="5"/>
        <v>0</v>
      </c>
      <c r="T18" s="102">
        <f t="shared" si="5"/>
        <v>0</v>
      </c>
      <c r="U18" s="102">
        <f t="shared" si="5"/>
        <v>0</v>
      </c>
      <c r="V18" s="102">
        <f t="shared" si="5"/>
        <v>0</v>
      </c>
      <c r="W18" s="102">
        <f t="shared" si="5"/>
        <v>0</v>
      </c>
      <c r="X18" s="102">
        <f t="shared" si="5"/>
        <v>0</v>
      </c>
      <c r="Y18" s="102">
        <f t="shared" si="5"/>
        <v>0</v>
      </c>
      <c r="Z18" s="102">
        <f t="shared" si="5"/>
        <v>0</v>
      </c>
      <c r="AA18" s="102">
        <f t="shared" si="5"/>
        <v>0</v>
      </c>
      <c r="AB18" s="102">
        <f t="shared" si="5"/>
        <v>0</v>
      </c>
      <c r="AC18" s="102">
        <f t="shared" si="5"/>
        <v>0</v>
      </c>
      <c r="AD18" s="102">
        <f t="shared" si="5"/>
        <v>0</v>
      </c>
      <c r="AE18" s="102">
        <f t="shared" si="5"/>
        <v>0</v>
      </c>
      <c r="AF18" s="102">
        <f t="shared" si="5"/>
        <v>0</v>
      </c>
      <c r="AG18" s="102">
        <f t="shared" si="5"/>
        <v>0</v>
      </c>
      <c r="AH18" s="102">
        <f t="shared" si="5"/>
        <v>0</v>
      </c>
      <c r="AI18" s="102">
        <f t="shared" si="5"/>
        <v>0</v>
      </c>
      <c r="AJ18" s="102">
        <f t="shared" si="5"/>
        <v>0</v>
      </c>
      <c r="AK18" s="102">
        <f t="shared" si="5"/>
        <v>0</v>
      </c>
      <c r="AL18" s="102">
        <f t="shared" si="5"/>
        <v>0</v>
      </c>
      <c r="AM18" s="102">
        <f t="shared" si="5"/>
        <v>0</v>
      </c>
      <c r="AN18" s="102">
        <f t="shared" si="5"/>
        <v>0</v>
      </c>
      <c r="AO18" s="104">
        <f t="shared" si="5"/>
        <v>0</v>
      </c>
    </row>
    <row r="19" spans="1:41" s="167" customFormat="1" ht="10.8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0</v>
      </c>
      <c r="F19" s="163">
        <f>IFERROR(F18/$C$18,0)</f>
        <v>-14.291389830508475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0.8" thickBot="1" x14ac:dyDescent="0.25">
      <c r="B20" s="167"/>
      <c r="C20" s="168"/>
      <c r="D20" s="169"/>
      <c r="E20" s="170"/>
      <c r="F20" s="171"/>
      <c r="G20" s="172" t="s">
        <v>42</v>
      </c>
      <c r="H20" s="173">
        <f t="shared" ref="H20:AO20" si="6">H18*H19</f>
        <v>402</v>
      </c>
      <c r="I20" s="174">
        <f t="shared" si="6"/>
        <v>102.5</v>
      </c>
      <c r="J20" s="174">
        <f t="shared" si="6"/>
        <v>192</v>
      </c>
      <c r="K20" s="174">
        <f t="shared" si="6"/>
        <v>95</v>
      </c>
      <c r="L20" s="174">
        <f t="shared" si="6"/>
        <v>45</v>
      </c>
      <c r="M20" s="174">
        <f t="shared" si="6"/>
        <v>0</v>
      </c>
      <c r="N20" s="174">
        <f t="shared" si="6"/>
        <v>0</v>
      </c>
      <c r="O20" s="174">
        <f t="shared" si="6"/>
        <v>0</v>
      </c>
      <c r="P20" s="174">
        <f t="shared" si="6"/>
        <v>0</v>
      </c>
      <c r="Q20" s="174">
        <f t="shared" si="6"/>
        <v>0</v>
      </c>
      <c r="R20" s="174">
        <f t="shared" si="6"/>
        <v>0</v>
      </c>
      <c r="S20" s="174">
        <f t="shared" si="6"/>
        <v>0</v>
      </c>
      <c r="T20" s="174">
        <f t="shared" si="6"/>
        <v>0</v>
      </c>
      <c r="U20" s="174">
        <f t="shared" si="6"/>
        <v>0</v>
      </c>
      <c r="V20" s="174">
        <f t="shared" si="6"/>
        <v>0</v>
      </c>
      <c r="W20" s="174">
        <f t="shared" si="6"/>
        <v>0</v>
      </c>
      <c r="X20" s="174">
        <f t="shared" si="6"/>
        <v>0</v>
      </c>
      <c r="Y20" s="174">
        <f t="shared" si="6"/>
        <v>0</v>
      </c>
      <c r="Z20" s="174">
        <f t="shared" si="6"/>
        <v>0</v>
      </c>
      <c r="AA20" s="174">
        <f t="shared" si="6"/>
        <v>0</v>
      </c>
      <c r="AB20" s="174">
        <f t="shared" si="6"/>
        <v>0</v>
      </c>
      <c r="AC20" s="174">
        <f t="shared" si="6"/>
        <v>0</v>
      </c>
      <c r="AD20" s="174">
        <f t="shared" si="6"/>
        <v>0</v>
      </c>
      <c r="AE20" s="174">
        <f t="shared" si="6"/>
        <v>0</v>
      </c>
      <c r="AF20" s="174">
        <f t="shared" si="6"/>
        <v>0</v>
      </c>
      <c r="AG20" s="174">
        <f t="shared" si="6"/>
        <v>0</v>
      </c>
      <c r="AH20" s="174">
        <f t="shared" si="6"/>
        <v>0</v>
      </c>
      <c r="AI20" s="174">
        <f t="shared" si="6"/>
        <v>0</v>
      </c>
      <c r="AJ20" s="174">
        <f t="shared" si="6"/>
        <v>0</v>
      </c>
      <c r="AK20" s="174">
        <f t="shared" si="6"/>
        <v>0</v>
      </c>
      <c r="AL20" s="174">
        <f t="shared" si="6"/>
        <v>0</v>
      </c>
      <c r="AM20" s="174">
        <f t="shared" si="6"/>
        <v>0</v>
      </c>
      <c r="AN20" s="174">
        <f t="shared" si="6"/>
        <v>0</v>
      </c>
      <c r="AO20" s="175">
        <f t="shared" si="6"/>
        <v>0</v>
      </c>
    </row>
    <row r="21" spans="1:41" ht="10.8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0.8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0.8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0.8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-11.342372881355931</v>
      </c>
      <c r="D25" s="109">
        <f>E18-D18</f>
        <v>-836.5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-14.291389830508475</v>
      </c>
      <c r="D26" s="109">
        <f>E18-(1.26*D18)</f>
        <v>-1053.99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0.8" thickBot="1" x14ac:dyDescent="0.25">
      <c r="B27" s="113" t="s">
        <v>36</v>
      </c>
      <c r="C27" s="194">
        <f>IFERROR(D27/$C$18,0)</f>
        <v>-15.308338983050847</v>
      </c>
      <c r="D27" s="115">
        <f>D26-75</f>
        <v>-1128.99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0tBdf9jp3OD/eZxQuYQ0lJPOBPWG0DJWO57XE0hgLtw2xBjTpFlK3mWj9hzfCNM6x6to9ap0TUTpqrhkBRFq5w==" saltValue="1cbJPQI5qp4ahxuN+hp8c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18" priority="6" operator="lessThan">
      <formula>0</formula>
    </cfRule>
  </conditionalFormatting>
  <conditionalFormatting sqref="H1:AO1">
    <cfRule type="duplicateValues" dxfId="17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09375" defaultRowHeight="10.199999999999999" x14ac:dyDescent="0.2"/>
  <cols>
    <col min="1" max="1" width="19.33203125" style="127" bestFit="1" customWidth="1"/>
    <col min="2" max="2" width="10" style="238" bestFit="1" customWidth="1"/>
    <col min="3" max="3" width="10.5546875" style="121" bestFit="1" customWidth="1"/>
    <col min="4" max="4" width="11.109375" style="95" bestFit="1" customWidth="1"/>
    <col min="5" max="5" width="7.6640625" style="95" bestFit="1" customWidth="1"/>
    <col min="6" max="6" width="9" style="95" bestFit="1" customWidth="1"/>
    <col min="7" max="7" width="7.44140625" style="233" bestFit="1" customWidth="1"/>
    <col min="8" max="8" width="6.5546875" style="226" bestFit="1" customWidth="1"/>
    <col min="9" max="26" width="4.88671875" style="226" bestFit="1" customWidth="1"/>
    <col min="27" max="28" width="5.33203125" style="226" bestFit="1" customWidth="1"/>
    <col min="29" max="29" width="5" style="62" bestFit="1" customWidth="1"/>
    <col min="30" max="16384" width="9.109375" style="62"/>
  </cols>
  <sheetData>
    <row r="1" spans="1:26" s="131" customFormat="1" ht="10.8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0.8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0.8" thickBot="1" x14ac:dyDescent="0.25">
      <c r="A17" s="202" t="s">
        <v>51</v>
      </c>
      <c r="B17" s="203">
        <f>SUM(B2:B16)</f>
        <v>40.25</v>
      </c>
      <c r="C17" s="204">
        <f>SUM(C2:C16)-C18</f>
        <v>62.5</v>
      </c>
      <c r="D17" s="204">
        <f>SUM(D2:D16)-D18</f>
        <v>16.249999999999986</v>
      </c>
      <c r="E17" s="205">
        <f t="shared" ref="E17" si="3">SUM(E2:E16)</f>
        <v>0</v>
      </c>
      <c r="F17" s="206">
        <f t="shared" ref="F17:Z17" si="4">SUM(F2:F16)</f>
        <v>6.25</v>
      </c>
      <c r="G17" s="206">
        <f t="shared" si="4"/>
        <v>31</v>
      </c>
      <c r="H17" s="206">
        <f t="shared" si="4"/>
        <v>3</v>
      </c>
      <c r="I17" s="206">
        <f t="shared" si="4"/>
        <v>0</v>
      </c>
      <c r="J17" s="206">
        <f t="shared" si="4"/>
        <v>0</v>
      </c>
      <c r="K17" s="206">
        <f t="shared" si="4"/>
        <v>0</v>
      </c>
      <c r="L17" s="206">
        <f t="shared" si="4"/>
        <v>0</v>
      </c>
      <c r="M17" s="206">
        <f t="shared" si="4"/>
        <v>0</v>
      </c>
      <c r="N17" s="206">
        <f t="shared" si="4"/>
        <v>0</v>
      </c>
      <c r="O17" s="206">
        <f t="shared" si="4"/>
        <v>0</v>
      </c>
      <c r="P17" s="206">
        <f t="shared" si="4"/>
        <v>0</v>
      </c>
      <c r="Q17" s="206">
        <f t="shared" si="4"/>
        <v>0</v>
      </c>
      <c r="R17" s="206">
        <f t="shared" si="4"/>
        <v>0</v>
      </c>
      <c r="S17" s="206">
        <f t="shared" si="4"/>
        <v>0</v>
      </c>
      <c r="T17" s="206">
        <f t="shared" si="4"/>
        <v>0</v>
      </c>
      <c r="U17" s="206">
        <f t="shared" si="4"/>
        <v>0</v>
      </c>
      <c r="V17" s="206">
        <f t="shared" si="4"/>
        <v>0</v>
      </c>
      <c r="W17" s="206">
        <f t="shared" si="4"/>
        <v>0</v>
      </c>
      <c r="X17" s="206">
        <f t="shared" si="4"/>
        <v>0</v>
      </c>
      <c r="Y17" s="206">
        <f t="shared" si="4"/>
        <v>0</v>
      </c>
      <c r="Z17" s="207">
        <f t="shared" si="4"/>
        <v>0</v>
      </c>
    </row>
    <row r="18" spans="1:28" ht="10.8" thickBot="1" x14ac:dyDescent="0.25">
      <c r="A18" s="209" t="s">
        <v>53</v>
      </c>
      <c r="B18" s="210"/>
      <c r="C18" s="12">
        <f>SUM(F18:Z18)</f>
        <v>420.5</v>
      </c>
      <c r="D18" s="12">
        <f>C18*0.26</f>
        <v>109.33</v>
      </c>
      <c r="E18" s="211" t="s">
        <v>56</v>
      </c>
      <c r="F18" s="12">
        <f t="shared" ref="F18:Z18" si="5">SUM(F2:F16)*(12-F37)</f>
        <v>12.5</v>
      </c>
      <c r="G18" s="12">
        <f t="shared" si="5"/>
        <v>372</v>
      </c>
      <c r="H18" s="12">
        <f t="shared" si="5"/>
        <v>36</v>
      </c>
      <c r="I18" s="12">
        <f t="shared" si="5"/>
        <v>0</v>
      </c>
      <c r="J18" s="12">
        <f t="shared" si="5"/>
        <v>0</v>
      </c>
      <c r="K18" s="12">
        <f t="shared" si="5"/>
        <v>0</v>
      </c>
      <c r="L18" s="12">
        <f t="shared" si="5"/>
        <v>0</v>
      </c>
      <c r="M18" s="12">
        <f t="shared" si="5"/>
        <v>0</v>
      </c>
      <c r="N18" s="12">
        <f t="shared" si="5"/>
        <v>0</v>
      </c>
      <c r="O18" s="12">
        <f t="shared" si="5"/>
        <v>0</v>
      </c>
      <c r="P18" s="12">
        <f t="shared" si="5"/>
        <v>0</v>
      </c>
      <c r="Q18" s="12">
        <f t="shared" si="5"/>
        <v>0</v>
      </c>
      <c r="R18" s="12">
        <f t="shared" si="5"/>
        <v>0</v>
      </c>
      <c r="S18" s="12">
        <f t="shared" si="5"/>
        <v>0</v>
      </c>
      <c r="T18" s="12">
        <f t="shared" si="5"/>
        <v>0</v>
      </c>
      <c r="U18" s="12">
        <f t="shared" si="5"/>
        <v>0</v>
      </c>
      <c r="V18" s="12">
        <f t="shared" si="5"/>
        <v>0</v>
      </c>
      <c r="W18" s="12">
        <f t="shared" si="5"/>
        <v>0</v>
      </c>
      <c r="X18" s="12">
        <f t="shared" si="5"/>
        <v>0</v>
      </c>
      <c r="Y18" s="12">
        <f t="shared" si="5"/>
        <v>0</v>
      </c>
      <c r="Z18" s="13">
        <f t="shared" si="5"/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3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6">SUM(F20:Z20)</f>
        <v>2</v>
      </c>
      <c r="C20" s="144">
        <f t="shared" ref="C20:C28" si="7">B20*12</f>
        <v>24</v>
      </c>
      <c r="D20" s="144">
        <f t="shared" ref="D20:D28" si="8">C20*0.26</f>
        <v>6.24</v>
      </c>
      <c r="E20" s="543"/>
      <c r="F20" s="150">
        <f>SUMIFS(Import!$G:$G,Import!$A:$A,F$1,Import!$B:$B,$A20,Import!$C:$C,$A$1)</f>
        <v>2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3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3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6"/>
        <v>3</v>
      </c>
      <c r="C25" s="144">
        <f t="shared" si="7"/>
        <v>36</v>
      </c>
      <c r="D25" s="144">
        <f t="shared" si="8"/>
        <v>9.36</v>
      </c>
      <c r="E25" s="543"/>
      <c r="F25" s="150">
        <f>SUMIFS(Import!$G:$G,Import!$A:$A,F$1,Import!$B:$B,$A25,Import!$C:$C,$A$1)</f>
        <v>3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6"/>
        <v>4</v>
      </c>
      <c r="C26" s="144">
        <f t="shared" si="7"/>
        <v>48</v>
      </c>
      <c r="D26" s="144">
        <f t="shared" si="8"/>
        <v>12.48</v>
      </c>
      <c r="E26" s="543"/>
      <c r="F26" s="150">
        <f>SUMIFS(Import!$G:$G,Import!$A:$A,F$1,Import!$B:$B,$A26,Import!$C:$C,$A$1)</f>
        <v>4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6"/>
        <v>2.75</v>
      </c>
      <c r="C27" s="144">
        <f t="shared" si="7"/>
        <v>33</v>
      </c>
      <c r="D27" s="144">
        <f t="shared" si="8"/>
        <v>8.58</v>
      </c>
      <c r="E27" s="543"/>
      <c r="F27" s="150">
        <f>SUMIFS(Import!$G:$G,Import!$A:$A,F$1,Import!$B:$B,$A27,Import!$C:$C,$A$1)</f>
        <v>2.75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6"/>
        <v>0</v>
      </c>
      <c r="C28" s="144">
        <f t="shared" si="7"/>
        <v>0</v>
      </c>
      <c r="D28" s="144">
        <f t="shared" si="8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9">SUM(F29:Z29)</f>
        <v>0</v>
      </c>
      <c r="C29" s="144">
        <f t="shared" ref="C29:C34" si="10">B29*12</f>
        <v>0</v>
      </c>
      <c r="D29" s="144">
        <f t="shared" ref="D29:D34" si="11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9"/>
        <v>3</v>
      </c>
      <c r="C30" s="144">
        <f t="shared" si="10"/>
        <v>36</v>
      </c>
      <c r="D30" s="144">
        <f t="shared" si="11"/>
        <v>9.36</v>
      </c>
      <c r="E30" s="543"/>
      <c r="F30" s="150">
        <f>SUMIFS(Import!$G:$G,Import!$A:$A,F$1,Import!$B:$B,$A30,Import!$C:$C,$A$1)</f>
        <v>3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9"/>
        <v>3</v>
      </c>
      <c r="C31" s="144">
        <f t="shared" si="10"/>
        <v>36</v>
      </c>
      <c r="D31" s="144">
        <f t="shared" si="11"/>
        <v>9.36</v>
      </c>
      <c r="E31" s="543"/>
      <c r="F31" s="150">
        <f>SUMIFS(Import!$G:$G,Import!$A:$A,F$1,Import!$B:$B,$A31,Import!$C:$C,$A$1)</f>
        <v>3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9"/>
        <v>3</v>
      </c>
      <c r="C32" s="144">
        <f t="shared" si="10"/>
        <v>36</v>
      </c>
      <c r="D32" s="144">
        <f t="shared" si="11"/>
        <v>9.36</v>
      </c>
      <c r="E32" s="543"/>
      <c r="F32" s="150">
        <f>SUMIFS(Import!$G:$G,Import!$A:$A,F$1,Import!$B:$B,$A32,Import!$C:$C,$A$1)</f>
        <v>3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9"/>
        <v>3</v>
      </c>
      <c r="C33" s="144">
        <f t="shared" si="10"/>
        <v>36</v>
      </c>
      <c r="D33" s="144">
        <f t="shared" si="11"/>
        <v>9.36</v>
      </c>
      <c r="E33" s="543"/>
      <c r="F33" s="150">
        <f>SUMIFS(Import!$G:$G,Import!$A:$A,F$1,Import!$B:$B,$A33,Import!$C:$C,$A$1)</f>
        <v>3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0.8" thickBot="1" x14ac:dyDescent="0.25">
      <c r="A34" s="290" t="str">
        <f>IF(PayDay16&gt;0,PayDay16,"")</f>
        <v/>
      </c>
      <c r="B34" s="212">
        <f t="shared" si="9"/>
        <v>0</v>
      </c>
      <c r="C34" s="144">
        <f t="shared" si="10"/>
        <v>0</v>
      </c>
      <c r="D34" s="144">
        <f t="shared" si="11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0.8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2">SUM(E19:E34)</f>
        <v>0</v>
      </c>
      <c r="F35" s="102">
        <f t="shared" ref="F35:Z35" si="13">SUM(F19:F34)</f>
        <v>32.75</v>
      </c>
      <c r="G35" s="102">
        <f t="shared" si="13"/>
        <v>0</v>
      </c>
      <c r="H35" s="102">
        <f t="shared" si="13"/>
        <v>0</v>
      </c>
      <c r="I35" s="102">
        <f t="shared" si="13"/>
        <v>0</v>
      </c>
      <c r="J35" s="102">
        <f t="shared" si="13"/>
        <v>0</v>
      </c>
      <c r="K35" s="102">
        <f t="shared" si="13"/>
        <v>0</v>
      </c>
      <c r="L35" s="102">
        <f t="shared" si="13"/>
        <v>0</v>
      </c>
      <c r="M35" s="102">
        <f t="shared" si="13"/>
        <v>0</v>
      </c>
      <c r="N35" s="102">
        <f t="shared" si="13"/>
        <v>0</v>
      </c>
      <c r="O35" s="102">
        <f t="shared" si="13"/>
        <v>0</v>
      </c>
      <c r="P35" s="102">
        <f t="shared" si="13"/>
        <v>0</v>
      </c>
      <c r="Q35" s="102">
        <f t="shared" si="13"/>
        <v>0</v>
      </c>
      <c r="R35" s="102">
        <f t="shared" si="13"/>
        <v>0</v>
      </c>
      <c r="S35" s="102">
        <f t="shared" si="13"/>
        <v>0</v>
      </c>
      <c r="T35" s="102">
        <f t="shared" si="13"/>
        <v>0</v>
      </c>
      <c r="U35" s="102">
        <f t="shared" si="13"/>
        <v>0</v>
      </c>
      <c r="V35" s="102">
        <f t="shared" si="13"/>
        <v>0</v>
      </c>
      <c r="W35" s="102">
        <f t="shared" si="13"/>
        <v>0</v>
      </c>
      <c r="X35" s="102">
        <f t="shared" si="13"/>
        <v>0</v>
      </c>
      <c r="Y35" s="102">
        <f t="shared" si="13"/>
        <v>0</v>
      </c>
      <c r="Z35" s="104">
        <f t="shared" si="13"/>
        <v>0</v>
      </c>
      <c r="AA35" s="62"/>
      <c r="AB35" s="62"/>
    </row>
    <row r="36" spans="1:28" ht="10.8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 t="shared" ref="F36:Z36" si="14">SUM(F19:F34)*(12-F37)</f>
        <v>65.5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4"/>
        <v>0</v>
      </c>
      <c r="W36" s="12">
        <f t="shared" si="14"/>
        <v>0</v>
      </c>
      <c r="X36" s="12">
        <f t="shared" si="14"/>
        <v>0</v>
      </c>
      <c r="Y36" s="12">
        <f t="shared" si="14"/>
        <v>0</v>
      </c>
      <c r="Z36" s="13">
        <f t="shared" si="14"/>
        <v>0</v>
      </c>
      <c r="AA36" s="62"/>
      <c r="AB36" s="62"/>
    </row>
    <row r="37" spans="1:28" ht="10.8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0</v>
      </c>
      <c r="H37" s="194">
        <f>SUMIF(Total!$Z:$Z,H1,Total!$B:$B)</f>
        <v>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0.8" thickBot="1" x14ac:dyDescent="0.25">
      <c r="A38" s="217"/>
      <c r="B38" s="208"/>
      <c r="C38" s="49"/>
      <c r="D38" s="218"/>
      <c r="E38" s="220" t="s">
        <v>42</v>
      </c>
      <c r="F38" s="174">
        <f t="shared" ref="F38:Z38" si="15">(F35+F17)*F37+F18+F36</f>
        <v>468</v>
      </c>
      <c r="G38" s="174">
        <f t="shared" si="15"/>
        <v>372</v>
      </c>
      <c r="H38" s="174">
        <f t="shared" si="15"/>
        <v>36</v>
      </c>
      <c r="I38" s="174">
        <f t="shared" si="15"/>
        <v>0</v>
      </c>
      <c r="J38" s="174">
        <f t="shared" si="15"/>
        <v>0</v>
      </c>
      <c r="K38" s="174">
        <f t="shared" si="15"/>
        <v>0</v>
      </c>
      <c r="L38" s="174">
        <f t="shared" si="15"/>
        <v>0</v>
      </c>
      <c r="M38" s="174">
        <f t="shared" si="15"/>
        <v>0</v>
      </c>
      <c r="N38" s="174">
        <f t="shared" si="15"/>
        <v>0</v>
      </c>
      <c r="O38" s="174">
        <f t="shared" si="15"/>
        <v>0</v>
      </c>
      <c r="P38" s="174">
        <f t="shared" si="15"/>
        <v>0</v>
      </c>
      <c r="Q38" s="174">
        <f t="shared" si="15"/>
        <v>0</v>
      </c>
      <c r="R38" s="174">
        <f t="shared" si="15"/>
        <v>0</v>
      </c>
      <c r="S38" s="174">
        <f t="shared" si="15"/>
        <v>0</v>
      </c>
      <c r="T38" s="174">
        <f t="shared" si="15"/>
        <v>0</v>
      </c>
      <c r="U38" s="174">
        <f t="shared" si="15"/>
        <v>0</v>
      </c>
      <c r="V38" s="174">
        <f t="shared" si="15"/>
        <v>0</v>
      </c>
      <c r="W38" s="174">
        <f t="shared" si="15"/>
        <v>0</v>
      </c>
      <c r="X38" s="174">
        <f t="shared" si="15"/>
        <v>0</v>
      </c>
      <c r="Y38" s="174">
        <f t="shared" si="15"/>
        <v>0</v>
      </c>
      <c r="Z38" s="175">
        <f t="shared" si="15"/>
        <v>0</v>
      </c>
      <c r="AA38" s="62"/>
      <c r="AB38" s="62"/>
    </row>
    <row r="39" spans="1:28" ht="10.8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0</v>
      </c>
      <c r="C41" s="225">
        <f>E35</f>
        <v>0</v>
      </c>
      <c r="D41" s="225">
        <f>SUM(B41:C41)</f>
        <v>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0.8" thickBot="1" x14ac:dyDescent="0.25">
      <c r="A42" s="228" t="s">
        <v>3</v>
      </c>
      <c r="B42" s="229">
        <f>SCi!G35</f>
        <v>504</v>
      </c>
      <c r="C42" s="230">
        <f>SUM(C40:C41)</f>
        <v>0</v>
      </c>
      <c r="D42" s="230">
        <f>SUM(B42:C42)</f>
        <v>504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0.8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0.8" thickBot="1" x14ac:dyDescent="0.25">
      <c r="A45" s="234" t="s">
        <v>43</v>
      </c>
      <c r="B45" s="235">
        <f>SUM(B42:C42)-B44</f>
        <v>-599.76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Bo+wa7Zhf05KmRxGc3aHtKo7d5G2ncKjChHGtU0jQlShq7UI9CgcMlkMAg+bzIJrP0uxYZ6XRgPNB949dU2ONA==" saltValue="oNg9r+gWD7pVKi4WsNyPPA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6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workbookViewId="0">
      <selection activeCell="K20" sqref="K20"/>
    </sheetView>
  </sheetViews>
  <sheetFormatPr defaultColWidth="9.109375" defaultRowHeight="10.199999999999999" x14ac:dyDescent="0.2"/>
  <cols>
    <col min="1" max="1" width="19.33203125" style="522" bestFit="1" customWidth="1"/>
    <col min="2" max="2" width="9" style="522" bestFit="1" customWidth="1"/>
    <col min="3" max="3" width="9.5546875" style="62" bestFit="1" customWidth="1"/>
    <col min="4" max="4" width="7.6640625" style="519" bestFit="1" customWidth="1"/>
    <col min="5" max="5" width="9.109375" style="520" bestFit="1" customWidth="1"/>
    <col min="6" max="6" width="10.44140625" style="519" bestFit="1" customWidth="1"/>
    <col min="7" max="7" width="10" style="520" bestFit="1" customWidth="1"/>
    <col min="8" max="8" width="5.6640625" style="241" bestFit="1" customWidth="1"/>
    <col min="9" max="16384" width="9.10937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157</v>
      </c>
      <c r="C2" s="540" t="s">
        <v>159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157</v>
      </c>
      <c r="C3" s="540" t="s">
        <v>160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157</v>
      </c>
      <c r="C4" s="540" t="s">
        <v>161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157</v>
      </c>
      <c r="C7" s="540" t="s">
        <v>162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157</v>
      </c>
      <c r="C8" s="540" t="s">
        <v>163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157</v>
      </c>
      <c r="C9" s="540" t="s">
        <v>164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157</v>
      </c>
      <c r="C10" s="540" t="s">
        <v>165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157</v>
      </c>
      <c r="C11" s="540" t="s">
        <v>166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159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157</v>
      </c>
      <c r="C15" s="540" t="s">
        <v>167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0.8" thickBot="1" x14ac:dyDescent="0.25">
      <c r="A16" s="542">
        <v>42536</v>
      </c>
      <c r="B16" s="539" t="s">
        <v>157</v>
      </c>
      <c r="C16" s="540" t="s">
        <v>168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0.8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/>
      <c r="C18" s="540"/>
      <c r="D18" s="541"/>
      <c r="E18" s="537"/>
      <c r="F18" s="505">
        <f>SUMIFS(Import!G:G,Import!D:D,"SC Doorman",Import!B:B,A18)</f>
        <v>0</v>
      </c>
      <c r="G18" s="506">
        <f t="shared" ref="G18:G32" si="0">E18+F18*23</f>
        <v>0</v>
      </c>
      <c r="H18" s="537"/>
    </row>
    <row r="19" spans="1:10" x14ac:dyDescent="0.2">
      <c r="A19" s="542">
        <f>PayDay1 + 1</f>
        <v>42538</v>
      </c>
      <c r="B19" s="539"/>
      <c r="C19" s="540"/>
      <c r="D19" s="541"/>
      <c r="E19" s="537"/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/>
      <c r="C22" s="540"/>
      <c r="D22" s="541"/>
      <c r="E22" s="537"/>
      <c r="F22" s="505">
        <f>SUMIFS(Import!G:G,Import!D:D,"SC Doorman",Import!B:B,A22)</f>
        <v>0</v>
      </c>
      <c r="G22" s="506">
        <f t="shared" si="0"/>
        <v>0</v>
      </c>
      <c r="H22" s="537"/>
    </row>
    <row r="23" spans="1:10" x14ac:dyDescent="0.2">
      <c r="A23" s="542">
        <f>PayDay1 + 5</f>
        <v>42542</v>
      </c>
      <c r="B23" s="539"/>
      <c r="C23" s="540"/>
      <c r="D23" s="541"/>
      <c r="E23" s="537"/>
      <c r="F23" s="505">
        <f>SUMIFS(Import!G:G,Import!D:D,"SC Doorman",Import!B:B,A23)</f>
        <v>0</v>
      </c>
      <c r="G23" s="506">
        <f t="shared" si="0"/>
        <v>0</v>
      </c>
      <c r="H23" s="537"/>
    </row>
    <row r="24" spans="1:10" x14ac:dyDescent="0.2">
      <c r="A24" s="542">
        <f>PayDay1 + 6</f>
        <v>42543</v>
      </c>
      <c r="B24" s="539"/>
      <c r="C24" s="540"/>
      <c r="D24" s="541"/>
      <c r="E24" s="537"/>
      <c r="F24" s="505">
        <f>SUMIFS(Import!G:G,Import!D:D,"SC Doorman",Import!B:B,A24)</f>
        <v>0</v>
      </c>
      <c r="G24" s="506">
        <f t="shared" si="0"/>
        <v>0</v>
      </c>
      <c r="H24" s="537"/>
    </row>
    <row r="25" spans="1:10" x14ac:dyDescent="0.2">
      <c r="A25" s="542">
        <f>PayDay1 + 7</f>
        <v>42544</v>
      </c>
      <c r="B25" s="539"/>
      <c r="C25" s="540"/>
      <c r="D25" s="541"/>
      <c r="E25" s="537"/>
      <c r="F25" s="505">
        <f>SUMIFS(Import!G:G,Import!D:D,"SC Doorman",Import!B:B,A25)</f>
        <v>0</v>
      </c>
      <c r="G25" s="506">
        <f t="shared" si="0"/>
        <v>0</v>
      </c>
      <c r="H25" s="537"/>
    </row>
    <row r="26" spans="1:10" x14ac:dyDescent="0.2">
      <c r="A26" s="542">
        <f>PayDay1 + 8</f>
        <v>42545</v>
      </c>
      <c r="B26" s="539"/>
      <c r="C26" s="540"/>
      <c r="D26" s="541"/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/>
      <c r="C29" s="540"/>
      <c r="D29" s="541"/>
      <c r="E29" s="537"/>
      <c r="F29" s="505">
        <f>SUMIFS(Import!G:G,Import!D:D,"SC Doorman",Import!B:B,A29)</f>
        <v>0</v>
      </c>
      <c r="G29" s="506">
        <f t="shared" si="0"/>
        <v>0</v>
      </c>
      <c r="H29" s="537"/>
      <c r="J29" s="513"/>
    </row>
    <row r="30" spans="1:10" x14ac:dyDescent="0.2">
      <c r="A30" s="542">
        <f>PayDay1 + 12</f>
        <v>42549</v>
      </c>
      <c r="B30" s="539"/>
      <c r="C30" s="540"/>
      <c r="D30" s="541"/>
      <c r="E30" s="537"/>
      <c r="F30" s="505">
        <f>SUMIFS(Import!G:G,Import!D:D,"SC Doorman",Import!B:B,A30)</f>
        <v>0</v>
      </c>
      <c r="G30" s="506">
        <f t="shared" si="0"/>
        <v>0</v>
      </c>
      <c r="H30" s="537"/>
    </row>
    <row r="31" spans="1:10" x14ac:dyDescent="0.2">
      <c r="A31" s="542">
        <f>IF(PayDay14&gt;0,PayDay14,"")</f>
        <v>42550</v>
      </c>
      <c r="B31" s="539"/>
      <c r="C31" s="540"/>
      <c r="D31" s="541"/>
      <c r="E31" s="537"/>
      <c r="F31" s="505">
        <f>SUMIFS(Import!G:G,Import!D:D,"SC Doorman",Import!B:B,A31)</f>
        <v>0</v>
      </c>
      <c r="G31" s="506">
        <f t="shared" si="0"/>
        <v>0</v>
      </c>
      <c r="H31" s="537"/>
    </row>
    <row r="32" spans="1:10" x14ac:dyDescent="0.2">
      <c r="A32" s="542">
        <f>IF(PayDay15&gt;0,PayDay15,"")</f>
        <v>42551</v>
      </c>
      <c r="B32" s="539"/>
      <c r="C32" s="540"/>
      <c r="D32" s="541"/>
      <c r="E32" s="537"/>
      <c r="F32" s="505">
        <f>SUMIFS(Import!G:G,Import!D:D,"SC Doorman",Import!B:B,A32)</f>
        <v>0</v>
      </c>
      <c r="G32" s="506">
        <f t="shared" si="0"/>
        <v>0</v>
      </c>
      <c r="H32" s="537"/>
    </row>
    <row r="33" spans="1:8" ht="10.8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0.8" thickBot="1" x14ac:dyDescent="0.25">
      <c r="A34" s="507" t="s">
        <v>133</v>
      </c>
      <c r="B34" s="508"/>
      <c r="C34" s="508"/>
      <c r="D34" s="509">
        <f>SUM(D18:D33)</f>
        <v>0</v>
      </c>
      <c r="E34" s="510">
        <f>SUM(E18:E33)</f>
        <v>0</v>
      </c>
      <c r="F34" s="511">
        <f>SUM(F18:F33)</f>
        <v>0</v>
      </c>
      <c r="G34" s="510">
        <f>SUM(G18:G33)</f>
        <v>0</v>
      </c>
      <c r="H34" s="512"/>
    </row>
    <row r="35" spans="1:8" ht="10.8" thickBot="1" x14ac:dyDescent="0.25">
      <c r="A35" s="514" t="s">
        <v>134</v>
      </c>
      <c r="B35" s="508"/>
      <c r="C35" s="508"/>
      <c r="D35" s="515">
        <f>D17+D34</f>
        <v>16</v>
      </c>
      <c r="E35" s="516">
        <f>E17+E34</f>
        <v>504</v>
      </c>
      <c r="F35" s="517">
        <f>F17+F34</f>
        <v>0</v>
      </c>
      <c r="G35" s="516">
        <f>G17+G34</f>
        <v>504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YyRmrby9Nn5IBkgC8sGHPyfBug5dwihr5+Cr+iu9tG7TxpXmtSNtGQNoT78z3i4zLOxV51sgYG+dNW+bbEd8EA==" saltValue="wx1iz7qcreIvjFAgLob1Q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18:B33 B2:B16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9.33203125" style="241" bestFit="1" customWidth="1"/>
    <col min="2" max="2" width="8.88671875" style="241" bestFit="1" customWidth="1"/>
    <col min="3" max="3" width="9.109375" style="241" bestFit="1" customWidth="1"/>
    <col min="4" max="4" width="12.5546875" style="241" bestFit="1" customWidth="1"/>
    <col min="5" max="6" width="7.44140625" style="241" bestFit="1" customWidth="1"/>
    <col min="7" max="7" width="8.44140625" style="241" bestFit="1" customWidth="1"/>
    <col min="8" max="8" width="9" style="241" bestFit="1" customWidth="1"/>
    <col min="9" max="9" width="9.109375" style="241" bestFit="1" customWidth="1"/>
    <col min="10" max="37" width="4.88671875" style="241" bestFit="1" customWidth="1"/>
    <col min="38" max="16384" width="9.109375" style="241"/>
  </cols>
  <sheetData>
    <row r="1" spans="1:37" ht="10.8" thickBot="1" x14ac:dyDescent="0.25">
      <c r="A1" s="572" t="s">
        <v>145</v>
      </c>
      <c r="B1" s="292" t="s">
        <v>75</v>
      </c>
      <c r="C1" s="292" t="s">
        <v>40</v>
      </c>
      <c r="D1" s="533" t="s">
        <v>191</v>
      </c>
      <c r="E1" s="531" t="s">
        <v>181</v>
      </c>
      <c r="F1" s="531" t="s">
        <v>213</v>
      </c>
      <c r="G1" s="531" t="s">
        <v>215</v>
      </c>
      <c r="H1" s="531" t="s">
        <v>182</v>
      </c>
      <c r="I1" s="531" t="s">
        <v>183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120</v>
      </c>
      <c r="C4" s="523">
        <f t="shared" si="0"/>
        <v>12</v>
      </c>
      <c r="D4" s="150">
        <f>SUMIFS(Import!$G:$G,Import!$A:$A,D$1,Import!$B:$B,$A4,Import!$C:$C,$A$1)</f>
        <v>5.25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1064.5999999999999</v>
      </c>
      <c r="C18" s="294">
        <f t="shared" si="2"/>
        <v>106.46000000000001</v>
      </c>
      <c r="D18" s="102">
        <f t="shared" ref="D18:AK18" si="3">SUM(D2:D17)</f>
        <v>5.25</v>
      </c>
      <c r="E18" s="102">
        <f t="shared" si="3"/>
        <v>67.960000000000008</v>
      </c>
      <c r="F18" s="102">
        <f t="shared" si="3"/>
        <v>13.75</v>
      </c>
      <c r="G18" s="102">
        <f t="shared" si="3"/>
        <v>3.75</v>
      </c>
      <c r="H18" s="102">
        <f t="shared" si="3"/>
        <v>11.25</v>
      </c>
      <c r="I18" s="102">
        <f t="shared" si="3"/>
        <v>4.5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52.5</v>
      </c>
      <c r="E20" s="174">
        <f t="shared" si="4"/>
        <v>679.60000000000014</v>
      </c>
      <c r="F20" s="174">
        <f t="shared" si="4"/>
        <v>137.5</v>
      </c>
      <c r="G20" s="174">
        <f t="shared" si="4"/>
        <v>37.5</v>
      </c>
      <c r="H20" s="174">
        <f t="shared" si="4"/>
        <v>112.5</v>
      </c>
      <c r="I20" s="174">
        <f t="shared" si="4"/>
        <v>45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276.79599999999999</v>
      </c>
    </row>
    <row r="22" spans="1:37" ht="10.8" thickBot="1" x14ac:dyDescent="0.25">
      <c r="A22" s="297" t="s">
        <v>18</v>
      </c>
      <c r="B22" s="298">
        <f>B18+B21</f>
        <v>1341.396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cKOsErkckOYSYaAvLsEdqBUvtVJPfBwIhGguceMGT2ihGytUz0L4podOhjyM15Bbb1CzoMjd4ucwFdPLo4CEew==" saltValue="Hp60wF5p8wN+7romPxR4rQ==" spinCount="100000" sheet="1" objects="1" scenarios="1"/>
  <sortState columnSort="1" ref="D1:AK20">
    <sortCondition ref="D1:AK1"/>
  </sortState>
  <conditionalFormatting sqref="D1:AK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3.2" x14ac:dyDescent="0.25"/>
  <cols>
    <col min="1" max="1" width="19.33203125" bestFit="1" customWidth="1"/>
    <col min="2" max="2" width="10" bestFit="1" customWidth="1"/>
    <col min="3" max="3" width="6.5546875" bestFit="1" customWidth="1"/>
    <col min="4" max="4" width="11.109375" bestFit="1" customWidth="1"/>
    <col min="5" max="5" width="8.33203125" bestFit="1" customWidth="1"/>
    <col min="6" max="6" width="7.44140625" bestFit="1" customWidth="1"/>
    <col min="7" max="37" width="4.88671875" bestFit="1" customWidth="1"/>
  </cols>
  <sheetData>
    <row r="1" spans="1:36" ht="13.8" thickBot="1" x14ac:dyDescent="0.3">
      <c r="A1" s="608" t="s">
        <v>154</v>
      </c>
      <c r="B1" s="198" t="s">
        <v>9</v>
      </c>
      <c r="C1" s="199" t="s">
        <v>17</v>
      </c>
      <c r="D1" s="609" t="s">
        <v>34</v>
      </c>
      <c r="E1" s="535" t="s">
        <v>178</v>
      </c>
      <c r="F1" s="535" t="s">
        <v>177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5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5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5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5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5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5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5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5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5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5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5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5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5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5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8" thickBot="1" x14ac:dyDescent="0.3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5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 t="shared" ref="E17:Y17" si="1">SUM(E2:E16)</f>
        <v>0</v>
      </c>
      <c r="F17" s="206">
        <f t="shared" si="1"/>
        <v>0</v>
      </c>
      <c r="G17" s="206">
        <f t="shared" si="1"/>
        <v>0</v>
      </c>
      <c r="H17" s="206">
        <f t="shared" si="1"/>
        <v>0</v>
      </c>
      <c r="I17" s="206">
        <f t="shared" si="1"/>
        <v>0</v>
      </c>
      <c r="J17" s="206">
        <f t="shared" si="1"/>
        <v>0</v>
      </c>
      <c r="K17" s="206">
        <f t="shared" si="1"/>
        <v>0</v>
      </c>
      <c r="L17" s="206">
        <f t="shared" si="1"/>
        <v>0</v>
      </c>
      <c r="M17" s="206">
        <f t="shared" si="1"/>
        <v>0</v>
      </c>
      <c r="N17" s="206">
        <f t="shared" si="1"/>
        <v>0</v>
      </c>
      <c r="O17" s="206">
        <f t="shared" si="1"/>
        <v>0</v>
      </c>
      <c r="P17" s="206">
        <f t="shared" si="1"/>
        <v>0</v>
      </c>
      <c r="Q17" s="206">
        <f t="shared" si="1"/>
        <v>0</v>
      </c>
      <c r="R17" s="206">
        <f t="shared" si="1"/>
        <v>0</v>
      </c>
      <c r="S17" s="206">
        <f t="shared" si="1"/>
        <v>0</v>
      </c>
      <c r="T17" s="206">
        <f t="shared" si="1"/>
        <v>0</v>
      </c>
      <c r="U17" s="206">
        <f t="shared" si="1"/>
        <v>0</v>
      </c>
      <c r="V17" s="206">
        <f t="shared" si="1"/>
        <v>0</v>
      </c>
      <c r="W17" s="206">
        <f t="shared" si="1"/>
        <v>0</v>
      </c>
      <c r="X17" s="206">
        <f t="shared" si="1"/>
        <v>0</v>
      </c>
      <c r="Y17" s="588">
        <f t="shared" si="1"/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5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5">
      <c r="A19" s="290">
        <f>PayDay1 + 1</f>
        <v>42538</v>
      </c>
      <c r="B19" s="212">
        <f t="shared" ref="B19:B33" si="2">SUM(E19:Y19)</f>
        <v>5.5</v>
      </c>
      <c r="C19" s="144">
        <f t="shared" ref="C19:C33" si="3">SUMPRODUCT(E19:Y19,$E$19:$Y$19)</f>
        <v>30.25</v>
      </c>
      <c r="D19" s="610">
        <f t="shared" ref="D19:D33" si="4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5">
      <c r="A20" s="290">
        <f>PayDay1 + 2</f>
        <v>42539</v>
      </c>
      <c r="B20" s="212">
        <f>SUM(E20:Y20)</f>
        <v>5.5</v>
      </c>
      <c r="C20" s="144">
        <f t="shared" si="3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5">
      <c r="A21" s="290">
        <f>PayDay1 + 3</f>
        <v>42540</v>
      </c>
      <c r="B21" s="212">
        <f>SUM(E21:Y21)</f>
        <v>0</v>
      </c>
      <c r="C21" s="144">
        <f t="shared" si="3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5">
      <c r="A22" s="290">
        <f>PayDay1 + 4</f>
        <v>42541</v>
      </c>
      <c r="B22" s="212">
        <f>SUM(E22:Y22)</f>
        <v>0</v>
      </c>
      <c r="C22" s="144">
        <f t="shared" si="3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5">
      <c r="A23" s="290">
        <f>PayDay1 + 5</f>
        <v>42542</v>
      </c>
      <c r="B23" s="212">
        <f>SUM(E23:Y23)</f>
        <v>0</v>
      </c>
      <c r="C23" s="144">
        <f t="shared" si="3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5">
      <c r="A24" s="290">
        <f>PayDay1 + 6</f>
        <v>42543</v>
      </c>
      <c r="B24" s="212">
        <f t="shared" si="2"/>
        <v>0</v>
      </c>
      <c r="C24" s="144">
        <f t="shared" si="3"/>
        <v>0</v>
      </c>
      <c r="D24" s="610">
        <f t="shared" si="4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5">
      <c r="A25" s="290">
        <f>PayDay1 + 7</f>
        <v>42544</v>
      </c>
      <c r="B25" s="212">
        <f t="shared" si="2"/>
        <v>0</v>
      </c>
      <c r="C25" s="144">
        <f t="shared" si="3"/>
        <v>0</v>
      </c>
      <c r="D25" s="610">
        <f t="shared" si="4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5">
      <c r="A26" s="290">
        <f>PayDay1 + 8</f>
        <v>42545</v>
      </c>
      <c r="B26" s="212">
        <f t="shared" si="2"/>
        <v>4.5</v>
      </c>
      <c r="C26" s="144">
        <f t="shared" si="3"/>
        <v>0</v>
      </c>
      <c r="D26" s="610">
        <f t="shared" si="4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5">
      <c r="A27" s="290">
        <f>PayDay1 + 9</f>
        <v>42546</v>
      </c>
      <c r="B27" s="212">
        <f t="shared" si="2"/>
        <v>4.25</v>
      </c>
      <c r="C27" s="144">
        <f t="shared" si="3"/>
        <v>0</v>
      </c>
      <c r="D27" s="610">
        <f t="shared" si="4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5">
      <c r="A28" s="290">
        <f>PayDay1 + 10</f>
        <v>42547</v>
      </c>
      <c r="B28" s="212">
        <f t="shared" si="2"/>
        <v>0</v>
      </c>
      <c r="C28" s="144">
        <f t="shared" si="3"/>
        <v>0</v>
      </c>
      <c r="D28" s="610">
        <f t="shared" si="4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5">
      <c r="A29" s="290">
        <f>PayDay1 + 11</f>
        <v>42548</v>
      </c>
      <c r="B29" s="212">
        <f t="shared" si="2"/>
        <v>0</v>
      </c>
      <c r="C29" s="144">
        <f t="shared" si="3"/>
        <v>0</v>
      </c>
      <c r="D29" s="610">
        <f t="shared" si="4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5">
      <c r="A30" s="290">
        <f>PayDay1 + 12</f>
        <v>42549</v>
      </c>
      <c r="B30" s="212">
        <f t="shared" si="2"/>
        <v>0</v>
      </c>
      <c r="C30" s="144">
        <f t="shared" si="3"/>
        <v>0</v>
      </c>
      <c r="D30" s="610">
        <f t="shared" si="4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5">
      <c r="A31" s="290">
        <f>IF(PayDay14&gt;0,PayDay14,"")</f>
        <v>42550</v>
      </c>
      <c r="B31" s="212">
        <f t="shared" si="2"/>
        <v>0</v>
      </c>
      <c r="C31" s="144">
        <f t="shared" si="3"/>
        <v>0</v>
      </c>
      <c r="D31" s="610">
        <f t="shared" si="4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5">
      <c r="A32" s="290">
        <f>IF(PayDay15&gt;0,PayDay15,"")</f>
        <v>42551</v>
      </c>
      <c r="B32" s="212">
        <f t="shared" si="2"/>
        <v>0</v>
      </c>
      <c r="C32" s="144">
        <f t="shared" si="3"/>
        <v>0</v>
      </c>
      <c r="D32" s="610">
        <f t="shared" si="4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8" thickBot="1" x14ac:dyDescent="0.3">
      <c r="A33" s="290" t="str">
        <f>IF(PayDay16&gt;0,PayDay16,"")</f>
        <v/>
      </c>
      <c r="B33" s="212">
        <f t="shared" si="2"/>
        <v>0</v>
      </c>
      <c r="C33" s="144">
        <f t="shared" si="3"/>
        <v>0</v>
      </c>
      <c r="D33" s="610">
        <f t="shared" si="4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8" thickBot="1" x14ac:dyDescent="0.3">
      <c r="A34" s="213" t="s">
        <v>52</v>
      </c>
      <c r="B34" s="9">
        <f t="shared" ref="B34:D34" si="5">SUM(B18:B33)</f>
        <v>19.75</v>
      </c>
      <c r="C34" s="134">
        <f t="shared" si="5"/>
        <v>60.5</v>
      </c>
      <c r="D34" s="103">
        <f t="shared" si="5"/>
        <v>15.73</v>
      </c>
      <c r="E34" s="102">
        <f t="shared" ref="E34:Y34" si="6">SUM(E18:E33)</f>
        <v>8.75</v>
      </c>
      <c r="F34" s="102">
        <f t="shared" si="6"/>
        <v>11</v>
      </c>
      <c r="G34" s="102">
        <f t="shared" si="6"/>
        <v>0</v>
      </c>
      <c r="H34" s="102">
        <f t="shared" si="6"/>
        <v>0</v>
      </c>
      <c r="I34" s="102">
        <f t="shared" si="6"/>
        <v>0</v>
      </c>
      <c r="J34" s="102">
        <f t="shared" si="6"/>
        <v>0</v>
      </c>
      <c r="K34" s="102">
        <f t="shared" si="6"/>
        <v>0</v>
      </c>
      <c r="L34" s="102">
        <f t="shared" si="6"/>
        <v>0</v>
      </c>
      <c r="M34" s="102">
        <f t="shared" si="6"/>
        <v>0</v>
      </c>
      <c r="N34" s="102">
        <f t="shared" si="6"/>
        <v>0</v>
      </c>
      <c r="O34" s="102">
        <f t="shared" si="6"/>
        <v>0</v>
      </c>
      <c r="P34" s="102">
        <f t="shared" si="6"/>
        <v>0</v>
      </c>
      <c r="Q34" s="102">
        <f t="shared" si="6"/>
        <v>0</v>
      </c>
      <c r="R34" s="102">
        <f t="shared" si="6"/>
        <v>0</v>
      </c>
      <c r="S34" s="102">
        <f t="shared" si="6"/>
        <v>0</v>
      </c>
      <c r="T34" s="102">
        <f t="shared" si="6"/>
        <v>0</v>
      </c>
      <c r="U34" s="102">
        <f t="shared" si="6"/>
        <v>0</v>
      </c>
      <c r="V34" s="102">
        <f t="shared" si="6"/>
        <v>0</v>
      </c>
      <c r="W34" s="102">
        <f t="shared" si="6"/>
        <v>0</v>
      </c>
      <c r="X34" s="102">
        <f t="shared" si="6"/>
        <v>0</v>
      </c>
      <c r="Y34" s="104">
        <f t="shared" si="6"/>
        <v>0</v>
      </c>
    </row>
    <row r="35" spans="1:26" ht="13.8" thickBot="1" x14ac:dyDescent="0.3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8" thickBot="1" x14ac:dyDescent="0.3">
      <c r="A36" s="217"/>
      <c r="B36" s="208"/>
      <c r="C36" s="49"/>
      <c r="D36" s="613" t="s">
        <v>42</v>
      </c>
      <c r="E36" s="174">
        <f t="shared" ref="E36:Y36" si="7">(E34+E17)*E35</f>
        <v>87.5</v>
      </c>
      <c r="F36" s="174">
        <f t="shared" si="7"/>
        <v>110</v>
      </c>
      <c r="G36" s="174">
        <f t="shared" si="7"/>
        <v>0</v>
      </c>
      <c r="H36" s="174">
        <f t="shared" si="7"/>
        <v>0</v>
      </c>
      <c r="I36" s="174">
        <f t="shared" si="7"/>
        <v>0</v>
      </c>
      <c r="J36" s="174">
        <f t="shared" si="7"/>
        <v>0</v>
      </c>
      <c r="K36" s="174">
        <f t="shared" si="7"/>
        <v>0</v>
      </c>
      <c r="L36" s="174">
        <f t="shared" si="7"/>
        <v>0</v>
      </c>
      <c r="M36" s="174">
        <f t="shared" si="7"/>
        <v>0</v>
      </c>
      <c r="N36" s="174">
        <f t="shared" si="7"/>
        <v>0</v>
      </c>
      <c r="O36" s="174">
        <f t="shared" si="7"/>
        <v>0</v>
      </c>
      <c r="P36" s="174">
        <f t="shared" si="7"/>
        <v>0</v>
      </c>
      <c r="Q36" s="174">
        <f t="shared" si="7"/>
        <v>0</v>
      </c>
      <c r="R36" s="174">
        <f t="shared" si="7"/>
        <v>0</v>
      </c>
      <c r="S36" s="174">
        <f t="shared" si="7"/>
        <v>0</v>
      </c>
      <c r="T36" s="174">
        <f t="shared" si="7"/>
        <v>0</v>
      </c>
      <c r="U36" s="174">
        <f t="shared" si="7"/>
        <v>0</v>
      </c>
      <c r="V36" s="174">
        <f t="shared" si="7"/>
        <v>0</v>
      </c>
      <c r="W36" s="174">
        <f t="shared" si="7"/>
        <v>0</v>
      </c>
      <c r="X36" s="174">
        <f t="shared" si="7"/>
        <v>0</v>
      </c>
      <c r="Y36" s="175">
        <f t="shared" si="7"/>
        <v>0</v>
      </c>
    </row>
    <row r="37" spans="1:26" ht="13.8" thickBot="1" x14ac:dyDescent="0.3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5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5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8" thickBot="1" x14ac:dyDescent="0.3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8" thickBot="1" x14ac:dyDescent="0.3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5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8" thickBot="1" x14ac:dyDescent="0.3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Ia8oQia2jITWXHuHQCwUN1tqge+uxs0x5ySODqU7CKbwz7CKRjVgFKmahWWeJpuiYHr1PnoQ4YWsoE1Vf2620Q==" saltValue="OwgHob/p8evxvEcZOF6RkQ==" spinCount="100000" sheet="1" objects="1" scenarios="1"/>
  <sortState columnSort="1" ref="E1:Y36">
    <sortCondition ref="E1:Y1"/>
  </sortState>
  <conditionalFormatting sqref="Z1:AJ1">
    <cfRule type="duplicateValues" dxfId="14" priority="2"/>
  </conditionalFormatting>
  <conditionalFormatting sqref="E1:Y1">
    <cfRule type="duplicateValues" dxfId="13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09375" defaultRowHeight="10.199999999999999" x14ac:dyDescent="0.2"/>
  <cols>
    <col min="1" max="1" width="19.33203125" style="241" bestFit="1" customWidth="1"/>
    <col min="2" max="2" width="8.88671875" style="241" bestFit="1" customWidth="1"/>
    <col min="3" max="3" width="9.109375" style="241" bestFit="1" customWidth="1"/>
    <col min="4" max="4" width="7.109375" style="241" bestFit="1" customWidth="1"/>
    <col min="5" max="5" width="8.44140625" style="241" bestFit="1" customWidth="1"/>
    <col min="6" max="6" width="8.33203125" style="241" bestFit="1" customWidth="1"/>
    <col min="7" max="7" width="6.5546875" style="241" bestFit="1" customWidth="1"/>
    <col min="8" max="8" width="9.44140625" style="241" bestFit="1" customWidth="1"/>
    <col min="9" max="37" width="4.88671875" style="241" bestFit="1" customWidth="1"/>
    <col min="38" max="16384" width="9.109375" style="241"/>
  </cols>
  <sheetData>
    <row r="1" spans="1:37" ht="10.8" thickBot="1" x14ac:dyDescent="0.25">
      <c r="A1" s="291" t="s">
        <v>119</v>
      </c>
      <c r="B1" s="292" t="s">
        <v>75</v>
      </c>
      <c r="C1" s="292" t="s">
        <v>40</v>
      </c>
      <c r="D1" s="533" t="s">
        <v>208</v>
      </c>
      <c r="E1" s="531" t="s">
        <v>214</v>
      </c>
      <c r="F1" s="531" t="s">
        <v>234</v>
      </c>
      <c r="G1" s="531" t="s">
        <v>177</v>
      </c>
      <c r="H1" s="531" t="s">
        <v>187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65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52.5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0.8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0.8" thickBot="1" x14ac:dyDescent="0.25">
      <c r="A18" s="213" t="s">
        <v>3</v>
      </c>
      <c r="B18" s="134">
        <f t="shared" ref="B18:C18" si="2">SUM(B2:B17)</f>
        <v>152.5</v>
      </c>
      <c r="C18" s="294">
        <f t="shared" si="2"/>
        <v>16.5</v>
      </c>
      <c r="D18" s="102">
        <f t="shared" ref="D18:AK18" si="3">SUM(D2:D17)</f>
        <v>4.75</v>
      </c>
      <c r="E18" s="102">
        <f t="shared" si="3"/>
        <v>1.25</v>
      </c>
      <c r="F18" s="102">
        <f t="shared" si="3"/>
        <v>1.25</v>
      </c>
      <c r="G18" s="102">
        <f t="shared" si="3"/>
        <v>6.75</v>
      </c>
      <c r="H18" s="102">
        <f t="shared" si="3"/>
        <v>2.5</v>
      </c>
      <c r="I18" s="102">
        <f t="shared" si="3"/>
        <v>0</v>
      </c>
      <c r="J18" s="102">
        <f t="shared" si="3"/>
        <v>0</v>
      </c>
      <c r="K18" s="102">
        <f t="shared" si="3"/>
        <v>0</v>
      </c>
      <c r="L18" s="102">
        <f t="shared" si="3"/>
        <v>0</v>
      </c>
      <c r="M18" s="102">
        <f t="shared" si="3"/>
        <v>0</v>
      </c>
      <c r="N18" s="102">
        <f t="shared" si="3"/>
        <v>0</v>
      </c>
      <c r="O18" s="102">
        <f t="shared" si="3"/>
        <v>0</v>
      </c>
      <c r="P18" s="102">
        <f t="shared" si="3"/>
        <v>0</v>
      </c>
      <c r="Q18" s="102">
        <f t="shared" si="3"/>
        <v>0</v>
      </c>
      <c r="R18" s="102">
        <f t="shared" si="3"/>
        <v>0</v>
      </c>
      <c r="S18" s="102">
        <f t="shared" si="3"/>
        <v>0</v>
      </c>
      <c r="T18" s="102">
        <f t="shared" si="3"/>
        <v>0</v>
      </c>
      <c r="U18" s="102">
        <f t="shared" si="3"/>
        <v>0</v>
      </c>
      <c r="V18" s="102">
        <f t="shared" si="3"/>
        <v>0</v>
      </c>
      <c r="W18" s="102">
        <f t="shared" si="3"/>
        <v>0</v>
      </c>
      <c r="X18" s="102">
        <f t="shared" si="3"/>
        <v>0</v>
      </c>
      <c r="Y18" s="102">
        <f t="shared" si="3"/>
        <v>0</v>
      </c>
      <c r="Z18" s="102">
        <f t="shared" si="3"/>
        <v>0</v>
      </c>
      <c r="AA18" s="102">
        <f t="shared" si="3"/>
        <v>0</v>
      </c>
      <c r="AB18" s="102">
        <f t="shared" si="3"/>
        <v>0</v>
      </c>
      <c r="AC18" s="102">
        <f t="shared" si="3"/>
        <v>0</v>
      </c>
      <c r="AD18" s="102">
        <f t="shared" si="3"/>
        <v>0</v>
      </c>
      <c r="AE18" s="102">
        <f t="shared" si="3"/>
        <v>0</v>
      </c>
      <c r="AF18" s="102">
        <f t="shared" si="3"/>
        <v>0</v>
      </c>
      <c r="AG18" s="102">
        <f t="shared" si="3"/>
        <v>0</v>
      </c>
      <c r="AH18" s="102">
        <f t="shared" si="3"/>
        <v>0</v>
      </c>
      <c r="AI18" s="102">
        <f t="shared" si="3"/>
        <v>0</v>
      </c>
      <c r="AJ18" s="102">
        <f t="shared" si="3"/>
        <v>0</v>
      </c>
      <c r="AK18" s="104">
        <f t="shared" si="3"/>
        <v>0</v>
      </c>
    </row>
    <row r="19" spans="1:37" ht="10.8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0.8" thickBot="1" x14ac:dyDescent="0.25">
      <c r="C20" s="240" t="s">
        <v>42</v>
      </c>
      <c r="D20" s="173">
        <f t="shared" ref="D20:AK20" si="4">D18*D19</f>
        <v>47.5</v>
      </c>
      <c r="E20" s="174">
        <f t="shared" si="4"/>
        <v>12.5</v>
      </c>
      <c r="F20" s="174">
        <f t="shared" si="4"/>
        <v>0</v>
      </c>
      <c r="G20" s="174">
        <f t="shared" si="4"/>
        <v>67.5</v>
      </c>
      <c r="H20" s="174">
        <f t="shared" si="4"/>
        <v>25</v>
      </c>
      <c r="I20" s="174">
        <f t="shared" si="4"/>
        <v>0</v>
      </c>
      <c r="J20" s="174">
        <f t="shared" si="4"/>
        <v>0</v>
      </c>
      <c r="K20" s="174">
        <f t="shared" si="4"/>
        <v>0</v>
      </c>
      <c r="L20" s="174">
        <f t="shared" si="4"/>
        <v>0</v>
      </c>
      <c r="M20" s="174">
        <f t="shared" si="4"/>
        <v>0</v>
      </c>
      <c r="N20" s="174">
        <f t="shared" si="4"/>
        <v>0</v>
      </c>
      <c r="O20" s="174">
        <f t="shared" si="4"/>
        <v>0</v>
      </c>
      <c r="P20" s="174">
        <f t="shared" si="4"/>
        <v>0</v>
      </c>
      <c r="Q20" s="174">
        <f t="shared" si="4"/>
        <v>0</v>
      </c>
      <c r="R20" s="174">
        <f t="shared" si="4"/>
        <v>0</v>
      </c>
      <c r="S20" s="174">
        <f t="shared" si="4"/>
        <v>0</v>
      </c>
      <c r="T20" s="174">
        <f t="shared" si="4"/>
        <v>0</v>
      </c>
      <c r="U20" s="174">
        <f t="shared" si="4"/>
        <v>0</v>
      </c>
      <c r="V20" s="174">
        <f t="shared" si="4"/>
        <v>0</v>
      </c>
      <c r="W20" s="174">
        <f t="shared" si="4"/>
        <v>0</v>
      </c>
      <c r="X20" s="174">
        <f t="shared" si="4"/>
        <v>0</v>
      </c>
      <c r="Y20" s="174">
        <f t="shared" si="4"/>
        <v>0</v>
      </c>
      <c r="Z20" s="174">
        <f t="shared" si="4"/>
        <v>0</v>
      </c>
      <c r="AA20" s="174">
        <f t="shared" si="4"/>
        <v>0</v>
      </c>
      <c r="AB20" s="174">
        <f t="shared" si="4"/>
        <v>0</v>
      </c>
      <c r="AC20" s="174">
        <f t="shared" si="4"/>
        <v>0</v>
      </c>
      <c r="AD20" s="174">
        <f t="shared" si="4"/>
        <v>0</v>
      </c>
      <c r="AE20" s="174">
        <f t="shared" si="4"/>
        <v>0</v>
      </c>
      <c r="AF20" s="174">
        <f t="shared" si="4"/>
        <v>0</v>
      </c>
      <c r="AG20" s="174">
        <f t="shared" si="4"/>
        <v>0</v>
      </c>
      <c r="AH20" s="174">
        <f t="shared" si="4"/>
        <v>0</v>
      </c>
      <c r="AI20" s="174">
        <f t="shared" si="4"/>
        <v>0</v>
      </c>
      <c r="AJ20" s="174">
        <f t="shared" si="4"/>
        <v>0</v>
      </c>
      <c r="AK20" s="175">
        <f t="shared" si="4"/>
        <v>0</v>
      </c>
    </row>
    <row r="21" spans="1:37" x14ac:dyDescent="0.2">
      <c r="A21" s="295" t="s">
        <v>76</v>
      </c>
      <c r="B21" s="296">
        <f>B18*0.26</f>
        <v>39.65</v>
      </c>
    </row>
    <row r="22" spans="1:37" ht="10.8" thickBot="1" x14ac:dyDescent="0.25">
      <c r="A22" s="297" t="s">
        <v>18</v>
      </c>
      <c r="B22" s="298">
        <f>B18+B21</f>
        <v>192.15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YH9FwmlJyv60J5QQ5oO6AWeIDuEmgPbMCQPVxWU4i25F9lAvmsnfuwsFH8/PDLz3lqoRmU1LBgxu0LrRFj4SIw==" saltValue="BLP0BICVT805qZ2E+y7pvg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2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K247"/>
  <sheetViews>
    <sheetView zoomScale="85" zoomScaleNormal="85" workbookViewId="0">
      <pane xSplit="2" ySplit="1" topLeftCell="AD188" activePane="bottomRight" state="frozen"/>
      <selection pane="topRight" activeCell="C1" sqref="C1"/>
      <selection pane="bottomLeft" activeCell="A2" sqref="A2"/>
      <selection pane="bottomRight" activeCell="AX1" sqref="AX1"/>
    </sheetView>
  </sheetViews>
  <sheetFormatPr defaultColWidth="14" defaultRowHeight="10.199999999999999" x14ac:dyDescent="0.2"/>
  <cols>
    <col min="1" max="1" width="19.33203125" style="286" bestFit="1" customWidth="1"/>
    <col min="2" max="2" width="11.6640625" style="246" bestFit="1" customWidth="1"/>
    <col min="3" max="3" width="10.33203125" style="246" bestFit="1" customWidth="1"/>
    <col min="4" max="4" width="8" style="246" bestFit="1" customWidth="1"/>
    <col min="5" max="5" width="8.6640625" style="246" bestFit="1" customWidth="1"/>
    <col min="6" max="6" width="8.44140625" style="246" bestFit="1" customWidth="1"/>
    <col min="7" max="7" width="10.33203125" style="246" bestFit="1" customWidth="1"/>
    <col min="8" max="9" width="9" style="246" bestFit="1" customWidth="1"/>
    <col min="10" max="10" width="10.44140625" style="246" bestFit="1" customWidth="1"/>
    <col min="11" max="11" width="13.44140625" style="246" bestFit="1" customWidth="1"/>
    <col min="12" max="12" width="9.44140625" style="246" bestFit="1" customWidth="1"/>
    <col min="13" max="13" width="9" style="246" bestFit="1" customWidth="1"/>
    <col min="14" max="14" width="8.5546875" style="246" bestFit="1" customWidth="1"/>
    <col min="15" max="15" width="8" style="246" bestFit="1" customWidth="1"/>
    <col min="16" max="16" width="7.44140625" style="246" bestFit="1" customWidth="1"/>
    <col min="17" max="17" width="7.109375" style="246" bestFit="1" customWidth="1"/>
    <col min="18" max="18" width="7" style="246" bestFit="1" customWidth="1"/>
    <col min="19" max="19" width="7.44140625" style="246" bestFit="1" customWidth="1"/>
    <col min="20" max="20" width="10.33203125" style="246" bestFit="1" customWidth="1"/>
    <col min="21" max="21" width="9.33203125" style="246" bestFit="1" customWidth="1"/>
    <col min="22" max="22" width="7.5546875" style="246" bestFit="1" customWidth="1"/>
    <col min="23" max="23" width="11.5546875" style="246" bestFit="1" customWidth="1"/>
    <col min="24" max="24" width="14.109375" style="246" bestFit="1" customWidth="1"/>
    <col min="25" max="25" width="8" style="246" bestFit="1" customWidth="1"/>
    <col min="26" max="26" width="9.33203125" style="246" bestFit="1" customWidth="1"/>
    <col min="27" max="27" width="10.88671875" style="246" bestFit="1" customWidth="1"/>
    <col min="28" max="28" width="10.5546875" style="246" bestFit="1" customWidth="1"/>
    <col min="29" max="29" width="9.6640625" style="246" bestFit="1" customWidth="1"/>
    <col min="30" max="30" width="9.88671875" style="246" bestFit="1" customWidth="1"/>
    <col min="31" max="31" width="10.5546875" style="246" bestFit="1" customWidth="1"/>
    <col min="32" max="32" width="7" style="246" bestFit="1" customWidth="1"/>
    <col min="33" max="33" width="9.44140625" style="246" bestFit="1" customWidth="1"/>
    <col min="34" max="34" width="9.88671875" style="246" bestFit="1" customWidth="1"/>
    <col min="35" max="35" width="7.5546875" style="246" bestFit="1" customWidth="1"/>
    <col min="36" max="36" width="9" style="246" bestFit="1" customWidth="1"/>
    <col min="37" max="37" width="9.44140625" style="246" bestFit="1" customWidth="1"/>
    <col min="38" max="50" width="6.6640625" style="246" bestFit="1" customWidth="1"/>
    <col min="51" max="16384" width="14" style="246"/>
  </cols>
  <sheetData>
    <row r="1" spans="1:50" ht="10.8" thickBot="1" x14ac:dyDescent="0.25">
      <c r="A1" s="242" t="s">
        <v>10</v>
      </c>
      <c r="B1" s="243" t="s">
        <v>8</v>
      </c>
      <c r="C1" s="244" t="str">
        <f>Total!$Z4</f>
        <v>Anderson Jo</v>
      </c>
      <c r="D1" s="245" t="str">
        <f>Total!$Z5</f>
        <v>Arroyo Ty</v>
      </c>
      <c r="E1" s="245" t="str">
        <f>Total!$Z6</f>
        <v>Barnyak Al</v>
      </c>
      <c r="F1" s="245" t="str">
        <f>Total!$Z7</f>
        <v>Brewer Be</v>
      </c>
      <c r="G1" s="245" t="str">
        <f>Total!$Z8</f>
        <v>Bringgold Ch</v>
      </c>
      <c r="H1" s="245" t="str">
        <f>Total!$Z9</f>
        <v>Cannon Da</v>
      </c>
      <c r="I1" s="245" t="str">
        <f>Total!$Z10</f>
        <v>Cardelli Ma</v>
      </c>
      <c r="J1" s="245" t="str">
        <f>Total!$Z11</f>
        <v>Carmenita Ja</v>
      </c>
      <c r="K1" s="245" t="str">
        <f>Total!$Z12</f>
        <v>Dieffenbacher Be</v>
      </c>
      <c r="L1" s="245" t="str">
        <f>Total!$Z13</f>
        <v>Ellescas Ad</v>
      </c>
      <c r="M1" s="245" t="str">
        <f>Total!$Z14</f>
        <v>Esquivel Je</v>
      </c>
      <c r="N1" s="245" t="str">
        <f>Total!$Z15</f>
        <v>Flores Os</v>
      </c>
      <c r="O1" s="245" t="str">
        <f>Total!$Z16</f>
        <v>Grecin An</v>
      </c>
      <c r="P1" s="245" t="str">
        <f>Total!$Z17</f>
        <v>Heflin Jo</v>
      </c>
      <c r="Q1" s="245" t="str">
        <f>Total!$Z18</f>
        <v>Kane Ro</v>
      </c>
      <c r="R1" s="245" t="str">
        <f>Total!$Z19</f>
        <v>Klein Mi</v>
      </c>
      <c r="S1" s="245" t="str">
        <f>Total!$Z20</f>
        <v>Knight Al</v>
      </c>
      <c r="T1" s="245" t="str">
        <f>Total!$Z21</f>
        <v>Levesque Qu</v>
      </c>
      <c r="U1" s="245" t="str">
        <f>Total!$Z22</f>
        <v>Madkins Ty</v>
      </c>
      <c r="V1" s="245" t="str">
        <f>Total!$Z23</f>
        <v>Martin Ni</v>
      </c>
      <c r="W1" s="245" t="str">
        <f>Total!$Z24</f>
        <v>McLaughlin Da</v>
      </c>
      <c r="X1" s="245" t="str">
        <f>Total!$Z25</f>
        <v>Ocampo-Mora Ce</v>
      </c>
      <c r="Y1" s="245" t="str">
        <f>Total!$Z26</f>
        <v>Pribilo Ch</v>
      </c>
      <c r="Z1" s="245" t="str">
        <f>Total!$Z27</f>
        <v>Ramsier Sa</v>
      </c>
      <c r="AA1" s="245" t="str">
        <f>Total!$Z28</f>
        <v>Rochester Da</v>
      </c>
      <c r="AB1" s="245" t="str">
        <f>Total!$Z29</f>
        <v>Rodriguez Be</v>
      </c>
      <c r="AC1" s="245" t="str">
        <f>Total!$Z30</f>
        <v>Semeryuk Ti</v>
      </c>
      <c r="AD1" s="245" t="str">
        <f>Total!$Z31</f>
        <v>Simmons Br</v>
      </c>
      <c r="AE1" s="245" t="str">
        <f>Total!$Z32</f>
        <v>Skogberg Ma</v>
      </c>
      <c r="AF1" s="245" t="str">
        <f>Total!$Z33</f>
        <v>Snow Ky</v>
      </c>
      <c r="AG1" s="245" t="str">
        <f>Total!$Z34</f>
        <v>Tedeschi Tr</v>
      </c>
      <c r="AH1" s="245" t="str">
        <f>Total!$Z35</f>
        <v>Thimmes Se</v>
      </c>
      <c r="AI1" s="245" t="str">
        <f>Total!$Z36</f>
        <v>Torres Vi</v>
      </c>
      <c r="AJ1" s="245" t="str">
        <f>Total!$Z37</f>
        <v>Veilleux Ma</v>
      </c>
      <c r="AK1" s="245" t="str">
        <f>Total!$Z38</f>
        <v>Wedman Ke</v>
      </c>
      <c r="AL1" s="245" t="str">
        <f>Total!$Z39</f>
        <v xml:space="preserve"> </v>
      </c>
      <c r="AM1" s="245" t="str">
        <f>Total!$Z40</f>
        <v xml:space="preserve"> </v>
      </c>
      <c r="AN1" s="245" t="str">
        <f>Total!$Z41</f>
        <v xml:space="preserve"> </v>
      </c>
      <c r="AO1" s="245" t="str">
        <f>Total!$Z42</f>
        <v xml:space="preserve"> </v>
      </c>
      <c r="AP1" s="245" t="str">
        <f>Total!$Z43</f>
        <v xml:space="preserve"> </v>
      </c>
      <c r="AQ1" s="245" t="str">
        <f>Total!$Z44</f>
        <v xml:space="preserve"> </v>
      </c>
      <c r="AR1" s="245" t="str">
        <f>Total!$Z45</f>
        <v xml:space="preserve"> </v>
      </c>
      <c r="AS1" s="245" t="str">
        <f>Total!$Z46</f>
        <v xml:space="preserve"> </v>
      </c>
      <c r="AT1" s="245" t="str">
        <f>Total!$Z47</f>
        <v xml:space="preserve"> </v>
      </c>
      <c r="AU1" s="245" t="str">
        <f>Total!$Z48</f>
        <v xml:space="preserve"> </v>
      </c>
      <c r="AV1" s="245" t="str">
        <f>Total!$Z49</f>
        <v xml:space="preserve"> </v>
      </c>
      <c r="AW1" s="245" t="str">
        <f>Total!$Z50</f>
        <v xml:space="preserve"> </v>
      </c>
      <c r="AX1" s="466" t="str">
        <f>Total!$Z51</f>
        <v xml:space="preserve"> </v>
      </c>
    </row>
    <row r="2" spans="1:50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467">
        <f>SUMPRODUCT((Driver!$A$2:$A$17=$A2)*(DriverEmp=AX$1),Driver!$C$2:$V$17)</f>
        <v>0</v>
      </c>
    </row>
    <row r="3" spans="1:50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467">
        <f>SUMPRODUCT((PP!$A$2:$A$80=$A3)*(PPEmp=AX$1),PP!$D$2:$BD$80)</f>
        <v>0</v>
      </c>
    </row>
    <row r="4" spans="1:50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0</v>
      </c>
      <c r="I4" s="250">
        <f>SUMPRODUCT((FH!$A$2:$A$97=$A4)*(FHEmp=I$1),FH!$E$2:$AZ$97)</f>
        <v>0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0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0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467">
        <f>SUMPRODUCT((FH!$A$2:$A$97=$A4)*(FHEmp=AX$1),FH!$E$2:$AZ$97)</f>
        <v>0</v>
      </c>
    </row>
    <row r="5" spans="1:50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0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0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467">
        <f>SUMPRODUCT(('T22'!$A$2:$A$97=$A5)*(T22Emp=AX$1),'T22'!$E$2:$AZ$97)</f>
        <v>0</v>
      </c>
    </row>
    <row r="6" spans="1:50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467">
        <f>SUMPRODUCT((RF!$A$2:$A$17=$A6)*(RFEmp=AX$1)*(RF!$H$21:$AO$21="RF Valet"),RF!$H$2:$AO$17)</f>
        <v>0</v>
      </c>
    </row>
    <row r="7" spans="1:50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0</v>
      </c>
      <c r="N7" s="250">
        <f>SUMPRODUCT(('RC'!$A$2:$A$17=$A7)*(RCEmp=N$1),'RC'!$D$2:$AK$17)</f>
        <v>8.9600000000000009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467">
        <f>SUMPRODUCT(('RC'!$A$2:$A$17=$A7)*(RCEmp=AX$1),'RC'!$D$2:$AK$17)</f>
        <v>0</v>
      </c>
    </row>
    <row r="8" spans="1:50" x14ac:dyDescent="0.2">
      <c r="A8" s="247">
        <f t="shared" si="0"/>
        <v>42537</v>
      </c>
      <c r="B8" s="614" t="s">
        <v>155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467">
        <f>SUMPRODUCT((HoO!$A$2:$A$34=$A8)*(HoOEmp=AX$1),HoO!$E$2:$Y$34)</f>
        <v>0</v>
      </c>
    </row>
    <row r="9" spans="1:50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0</v>
      </c>
      <c r="Q9" s="250">
        <f>SUMPRODUCT((TM!$A$2:$A$17=$A9)*(TMEmp=Q$1),TM!$D$2:$AK$17)</f>
        <v>1.75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467">
        <f>SUMPRODUCT((TM!$A$2:$A$17=$A9)*(TMEmp=AX$1),TM!$D$2:$AK$17)</f>
        <v>0</v>
      </c>
    </row>
    <row r="10" spans="1:50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468">
        <f>SUMPRODUCT((PC!$A$2:$A$80=$A10)*(PCEmp=AX$1),PC!$D$2:$BD$80)</f>
        <v>0</v>
      </c>
    </row>
    <row r="11" spans="1:50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467">
        <f>SUMPRODUCT((RF!$A$2:$A$17=$A11)*(RFEmp=AX$1)*(RF!$H$21:$AO$21="RF Lead"),RF!$H$2:$AO$17)</f>
        <v>0</v>
      </c>
    </row>
    <row r="12" spans="1:50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0</v>
      </c>
      <c r="AC12" s="250">
        <f>SUMPRODUCT((SC!$A$2:$A$34=$A12)*(SCEmp=AC$1),SC!$F$2:$Z$34)</f>
        <v>3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467">
        <f>SUMPRODUCT((SC!$A$2:$A$34=$A12)*(SCEmp=AX$1),SC!$F$2:$Z$34)</f>
        <v>0</v>
      </c>
    </row>
    <row r="13" spans="1:50" x14ac:dyDescent="0.2">
      <c r="A13" s="262">
        <f t="shared" si="0"/>
        <v>42537</v>
      </c>
      <c r="B13" s="263" t="s">
        <v>87</v>
      </c>
      <c r="C13" s="264">
        <f t="shared" ref="C13:AX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</v>
      </c>
      <c r="N13" s="265">
        <f t="shared" si="1"/>
        <v>0.96000000000000085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469">
        <f t="shared" si="1"/>
        <v>0</v>
      </c>
    </row>
    <row r="14" spans="1:50" x14ac:dyDescent="0.2">
      <c r="A14" s="266">
        <f t="shared" si="0"/>
        <v>42537</v>
      </c>
      <c r="B14" s="267" t="s">
        <v>86</v>
      </c>
      <c r="C14" s="268">
        <f t="shared" ref="C14:AX14" si="4">IFERROR((C$211*SUM(C2:C9)+C$212*SUM(C10:C12))/SUM(C2:C12)/2,0)*C13</f>
        <v>0</v>
      </c>
      <c r="D14" s="269">
        <f t="shared" si="4"/>
        <v>0</v>
      </c>
      <c r="E14" s="269">
        <f t="shared" si="4"/>
        <v>0</v>
      </c>
      <c r="F14" s="269">
        <f t="shared" si="4"/>
        <v>0</v>
      </c>
      <c r="G14" s="269">
        <f t="shared" si="4"/>
        <v>0</v>
      </c>
      <c r="H14" s="269">
        <f t="shared" si="4"/>
        <v>0</v>
      </c>
      <c r="I14" s="269">
        <f t="shared" si="4"/>
        <v>0</v>
      </c>
      <c r="J14" s="269">
        <f t="shared" si="4"/>
        <v>0</v>
      </c>
      <c r="K14" s="269">
        <f t="shared" si="4"/>
        <v>0</v>
      </c>
      <c r="L14" s="269">
        <f t="shared" si="4"/>
        <v>0</v>
      </c>
      <c r="M14" s="269">
        <f t="shared" si="4"/>
        <v>0</v>
      </c>
      <c r="N14" s="269">
        <f t="shared" si="4"/>
        <v>4.8000000000000043</v>
      </c>
      <c r="O14" s="269">
        <f t="shared" si="4"/>
        <v>0</v>
      </c>
      <c r="P14" s="269">
        <f t="shared" si="4"/>
        <v>0</v>
      </c>
      <c r="Q14" s="269">
        <f t="shared" si="4"/>
        <v>0</v>
      </c>
      <c r="R14" s="269">
        <f t="shared" si="4"/>
        <v>0</v>
      </c>
      <c r="S14" s="269">
        <f t="shared" si="4"/>
        <v>0</v>
      </c>
      <c r="T14" s="269">
        <f t="shared" si="4"/>
        <v>0</v>
      </c>
      <c r="U14" s="269">
        <f t="shared" si="4"/>
        <v>0</v>
      </c>
      <c r="V14" s="269">
        <f t="shared" si="4"/>
        <v>0</v>
      </c>
      <c r="W14" s="269">
        <f t="shared" si="4"/>
        <v>0</v>
      </c>
      <c r="X14" s="269">
        <f t="shared" si="4"/>
        <v>0</v>
      </c>
      <c r="Y14" s="269">
        <f t="shared" si="4"/>
        <v>0</v>
      </c>
      <c r="Z14" s="269">
        <f t="shared" si="4"/>
        <v>0</v>
      </c>
      <c r="AA14" s="269">
        <f t="shared" si="4"/>
        <v>0</v>
      </c>
      <c r="AB14" s="269">
        <f t="shared" si="4"/>
        <v>0</v>
      </c>
      <c r="AC14" s="269">
        <f t="shared" si="4"/>
        <v>0</v>
      </c>
      <c r="AD14" s="269">
        <f t="shared" si="4"/>
        <v>0</v>
      </c>
      <c r="AE14" s="269">
        <f t="shared" si="4"/>
        <v>0</v>
      </c>
      <c r="AF14" s="269">
        <f t="shared" si="4"/>
        <v>0</v>
      </c>
      <c r="AG14" s="269">
        <f t="shared" si="4"/>
        <v>0</v>
      </c>
      <c r="AH14" s="269">
        <f t="shared" si="4"/>
        <v>0</v>
      </c>
      <c r="AI14" s="269">
        <f t="shared" si="4"/>
        <v>0</v>
      </c>
      <c r="AJ14" s="269">
        <f t="shared" si="4"/>
        <v>0</v>
      </c>
      <c r="AK14" s="269">
        <f t="shared" si="4"/>
        <v>0</v>
      </c>
      <c r="AL14" s="269">
        <f t="shared" si="4"/>
        <v>0</v>
      </c>
      <c r="AM14" s="269">
        <f t="shared" si="4"/>
        <v>0</v>
      </c>
      <c r="AN14" s="269">
        <f t="shared" si="4"/>
        <v>0</v>
      </c>
      <c r="AO14" s="269">
        <f t="shared" ref="AO14:AU14" si="5">IFERROR((AO$211*SUM(AO2:AO9)+AO$212*SUM(AO10:AO12))/SUM(AO2:AO12)/2,0)*AO13</f>
        <v>0</v>
      </c>
      <c r="AP14" s="269">
        <f t="shared" si="5"/>
        <v>0</v>
      </c>
      <c r="AQ14" s="269">
        <f t="shared" si="5"/>
        <v>0</v>
      </c>
      <c r="AR14" s="269">
        <f t="shared" si="5"/>
        <v>0</v>
      </c>
      <c r="AS14" s="269">
        <f t="shared" si="5"/>
        <v>0</v>
      </c>
      <c r="AT14" s="269">
        <f t="shared" si="5"/>
        <v>0</v>
      </c>
      <c r="AU14" s="269">
        <f t="shared" si="5"/>
        <v>0</v>
      </c>
      <c r="AV14" s="269">
        <f t="shared" ref="AV14:AW14" si="6">IFERROR((AV$211*SUM(AV2:AV9)+AV$212*SUM(AV10:AV12))/SUM(AV2:AV12)/2,0)*AV13</f>
        <v>0</v>
      </c>
      <c r="AW14" s="269">
        <f t="shared" si="6"/>
        <v>0</v>
      </c>
      <c r="AX14" s="470">
        <f t="shared" si="4"/>
        <v>0</v>
      </c>
    </row>
    <row r="15" spans="1:50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0</v>
      </c>
      <c r="AA15" s="250">
        <f>SUMPRODUCT((Driver!$A$2:$A$17=$A15)*(DriverEmp=AA$1),Driver!$C$2:$V$17)</f>
        <v>4.5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467">
        <f>SUMPRODUCT((Driver!$A$2:$A$17=$A15)*(DriverEmp=AX$1),Driver!$C$2:$V$17)</f>
        <v>0</v>
      </c>
    </row>
    <row r="16" spans="1:50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467">
        <f>SUMPRODUCT((PP!$A$2:$A$80=$A16)*(PPEmp=AX$1),PP!$D$2:$BD$80)</f>
        <v>0</v>
      </c>
    </row>
    <row r="17" spans="1:63" x14ac:dyDescent="0.2">
      <c r="A17" s="247">
        <f t="shared" ref="A17:A27" si="7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0</v>
      </c>
      <c r="G17" s="250">
        <f>SUMPRODUCT((FH!$A$2:$A$97=$A17)*(FHEmp=G$1),FH!$E$2:$AZ$97)</f>
        <v>0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0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0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467">
        <f>SUMPRODUCT((FH!$A$2:$A$97=$A17)*(FHEmp=AX$1),FH!$E$2:$AZ$97)</f>
        <v>0</v>
      </c>
    </row>
    <row r="18" spans="1:63" x14ac:dyDescent="0.2">
      <c r="A18" s="247">
        <f t="shared" si="7"/>
        <v>42538</v>
      </c>
      <c r="B18" s="253" t="str">
        <f>Total!$K$1</f>
        <v>T22</v>
      </c>
      <c r="C18" s="249">
        <f>SUMPRODUCT(('T22'!$A$2:$A$97=$A18)*(T22Emp=C$1),'T22'!$E$2:$AZ$97)</f>
        <v>0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0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0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467">
        <f>SUMPRODUCT(('T22'!$A$2:$A$97=$A18)*(T22Emp=AX$1),'T22'!$E$2:$AZ$97)</f>
        <v>0</v>
      </c>
    </row>
    <row r="19" spans="1:63" x14ac:dyDescent="0.2">
      <c r="A19" s="247">
        <f t="shared" si="7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467">
        <f>SUMPRODUCT((RF!$A$2:$A$17=$A19)*(RFEmp=AX$1)*(RF!$H$21:$AO$21="RF Valet"),RF!$H$2:$AO$17)</f>
        <v>0</v>
      </c>
    </row>
    <row r="20" spans="1:63" x14ac:dyDescent="0.2">
      <c r="A20" s="247">
        <f t="shared" si="7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0</v>
      </c>
      <c r="N20" s="250">
        <f>SUMPRODUCT(('RC'!$A$2:$A$17=$A20)*(RCEmp=N$1),'RC'!$D$2:$AK$17)</f>
        <v>8.5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467">
        <f>SUMPRODUCT(('RC'!$A$2:$A$17=$A20)*(RCEmp=AX$1),'RC'!$D$2:$AK$17)</f>
        <v>0</v>
      </c>
    </row>
    <row r="21" spans="1:63" x14ac:dyDescent="0.2">
      <c r="A21" s="247">
        <f t="shared" si="7"/>
        <v>42538</v>
      </c>
      <c r="B21" s="614" t="s">
        <v>155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0</v>
      </c>
      <c r="Q21" s="250">
        <f>SUMPRODUCT((HoO!$A$2:$A$34=$A21)*(HoOEmp=Q$1),HoO!$E$2:$Y$34)</f>
        <v>5.5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467">
        <f>SUMPRODUCT((HoO!$A$2:$A$34=$A21)*(HoOEmp=AX$1),HoO!$E$2:$Y$34)</f>
        <v>0</v>
      </c>
    </row>
    <row r="22" spans="1:63" s="271" customFormat="1" x14ac:dyDescent="0.2">
      <c r="A22" s="247">
        <f t="shared" si="7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467">
        <f>SUMPRODUCT((TM!$A$2:$A$17=$A22)*(TMEmp=AX$1),TM!$D$2:$AK$17)</f>
        <v>0</v>
      </c>
      <c r="AY22" s="270"/>
      <c r="AZ22" s="246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</row>
    <row r="23" spans="1:63" s="271" customFormat="1" x14ac:dyDescent="0.2">
      <c r="A23" s="256">
        <f t="shared" si="7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468">
        <f>SUMPRODUCT((PC!$A$2:$A$80=$A23)*(PCEmp=AX$1),PC!$D$2:$BD$80)</f>
        <v>0</v>
      </c>
      <c r="AZ23" s="246"/>
    </row>
    <row r="24" spans="1:63" s="271" customFormat="1" x14ac:dyDescent="0.2">
      <c r="A24" s="247">
        <f t="shared" si="7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467">
        <f>SUMPRODUCT((RF!$A$2:$A$17=$A24)*(RFEmp=AX$1)*(RF!$H$21:$AO$21="RF Lead"),RF!$H$2:$AO$17)</f>
        <v>0</v>
      </c>
      <c r="AZ24" s="246"/>
    </row>
    <row r="25" spans="1:63" s="271" customFormat="1" x14ac:dyDescent="0.2">
      <c r="A25" s="260">
        <f t="shared" si="7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0</v>
      </c>
      <c r="AC25" s="250">
        <f>SUMPRODUCT((SC!$A$2:$A$34=$A25)*(SCEmp=AC$1),SC!$F$2:$Z$34)</f>
        <v>2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467">
        <f>SUMPRODUCT((SC!$A$2:$A$34=$A25)*(SCEmp=AX$1),SC!$F$2:$Z$34)</f>
        <v>0</v>
      </c>
      <c r="AZ25" s="246"/>
    </row>
    <row r="26" spans="1:63" s="271" customFormat="1" x14ac:dyDescent="0.2">
      <c r="A26" s="262">
        <f t="shared" si="7"/>
        <v>42538</v>
      </c>
      <c r="B26" s="263" t="s">
        <v>87</v>
      </c>
      <c r="C26" s="264">
        <f t="shared" ref="C26:AN26" si="8">IF(SUM(C15:C25)&gt;8,SUM(C15:C25)-8,0)+IF(SUM(C15:C25)&gt;12,SUM(C15:C25)-12,0)</f>
        <v>0</v>
      </c>
      <c r="D26" s="265">
        <f t="shared" si="8"/>
        <v>0</v>
      </c>
      <c r="E26" s="265">
        <f t="shared" si="8"/>
        <v>0</v>
      </c>
      <c r="F26" s="265">
        <f t="shared" si="8"/>
        <v>0</v>
      </c>
      <c r="G26" s="265">
        <f t="shared" si="8"/>
        <v>0</v>
      </c>
      <c r="H26" s="265">
        <f t="shared" si="8"/>
        <v>0</v>
      </c>
      <c r="I26" s="265">
        <f t="shared" si="8"/>
        <v>0</v>
      </c>
      <c r="J26" s="265">
        <f t="shared" si="8"/>
        <v>0</v>
      </c>
      <c r="K26" s="265">
        <f t="shared" si="8"/>
        <v>0</v>
      </c>
      <c r="L26" s="265">
        <f t="shared" si="8"/>
        <v>0</v>
      </c>
      <c r="M26" s="265">
        <f t="shared" si="8"/>
        <v>0</v>
      </c>
      <c r="N26" s="265">
        <f t="shared" si="8"/>
        <v>0.5</v>
      </c>
      <c r="O26" s="265">
        <f t="shared" si="8"/>
        <v>0</v>
      </c>
      <c r="P26" s="265">
        <f t="shared" si="8"/>
        <v>0</v>
      </c>
      <c r="Q26" s="265">
        <f t="shared" si="8"/>
        <v>0</v>
      </c>
      <c r="R26" s="265">
        <f t="shared" si="8"/>
        <v>0</v>
      </c>
      <c r="S26" s="265">
        <f t="shared" si="8"/>
        <v>0</v>
      </c>
      <c r="T26" s="265">
        <f t="shared" si="8"/>
        <v>0</v>
      </c>
      <c r="U26" s="265">
        <f t="shared" si="8"/>
        <v>0</v>
      </c>
      <c r="V26" s="265">
        <f t="shared" si="8"/>
        <v>0</v>
      </c>
      <c r="W26" s="265">
        <f t="shared" si="8"/>
        <v>0</v>
      </c>
      <c r="X26" s="265">
        <f t="shared" si="8"/>
        <v>0</v>
      </c>
      <c r="Y26" s="265">
        <f t="shared" si="8"/>
        <v>0</v>
      </c>
      <c r="Z26" s="265">
        <f t="shared" si="8"/>
        <v>0</v>
      </c>
      <c r="AA26" s="265">
        <f t="shared" si="8"/>
        <v>0</v>
      </c>
      <c r="AB26" s="265">
        <f t="shared" si="8"/>
        <v>0</v>
      </c>
      <c r="AC26" s="265">
        <f t="shared" si="8"/>
        <v>0</v>
      </c>
      <c r="AD26" s="265">
        <f t="shared" si="8"/>
        <v>0</v>
      </c>
      <c r="AE26" s="265">
        <f t="shared" si="8"/>
        <v>0</v>
      </c>
      <c r="AF26" s="265">
        <f t="shared" si="8"/>
        <v>0</v>
      </c>
      <c r="AG26" s="265">
        <f t="shared" si="8"/>
        <v>0</v>
      </c>
      <c r="AH26" s="265">
        <f t="shared" si="8"/>
        <v>0</v>
      </c>
      <c r="AI26" s="265">
        <f t="shared" si="8"/>
        <v>0</v>
      </c>
      <c r="AJ26" s="265">
        <f t="shared" si="8"/>
        <v>0</v>
      </c>
      <c r="AK26" s="265">
        <f t="shared" si="8"/>
        <v>0</v>
      </c>
      <c r="AL26" s="265">
        <f t="shared" si="8"/>
        <v>0</v>
      </c>
      <c r="AM26" s="265">
        <f t="shared" si="8"/>
        <v>0</v>
      </c>
      <c r="AN26" s="265">
        <f t="shared" si="8"/>
        <v>0</v>
      </c>
      <c r="AO26" s="265">
        <f t="shared" ref="AO26:AU26" si="9">IF(SUM(AO15:AO25)&gt;8,SUM(AO15:AO25)-8,0)+IF(SUM(AO15:AO25)&gt;12,SUM(AO15:AO25)-12,0)</f>
        <v>0</v>
      </c>
      <c r="AP26" s="265">
        <f t="shared" si="9"/>
        <v>0</v>
      </c>
      <c r="AQ26" s="265">
        <f t="shared" si="9"/>
        <v>0</v>
      </c>
      <c r="AR26" s="265">
        <f t="shared" si="9"/>
        <v>0</v>
      </c>
      <c r="AS26" s="265">
        <f t="shared" si="9"/>
        <v>0</v>
      </c>
      <c r="AT26" s="265">
        <f t="shared" si="9"/>
        <v>0</v>
      </c>
      <c r="AU26" s="265">
        <f t="shared" si="9"/>
        <v>0</v>
      </c>
      <c r="AV26" s="265">
        <f t="shared" ref="AV26:AW26" si="10">IF(SUM(AV15:AV25)&gt;8,SUM(AV15:AV25)-8,0)+IF(SUM(AV15:AV25)&gt;12,SUM(AV15:AV25)-12,0)</f>
        <v>0</v>
      </c>
      <c r="AW26" s="265">
        <f t="shared" si="10"/>
        <v>0</v>
      </c>
      <c r="AX26" s="469">
        <f>IF(SUM(AX15:AX25)&gt;8,SUM(AX15:AX25)-8,0)+IF(SUM(AX15:AX25)&gt;12,SUM(AX15:AX25)-12,0)</f>
        <v>0</v>
      </c>
      <c r="AZ26" s="246"/>
    </row>
    <row r="27" spans="1:63" s="271" customFormat="1" x14ac:dyDescent="0.2">
      <c r="A27" s="266">
        <f t="shared" si="7"/>
        <v>42538</v>
      </c>
      <c r="B27" s="267" t="s">
        <v>86</v>
      </c>
      <c r="C27" s="268">
        <f t="shared" ref="C27:AN27" si="11">IFERROR((C$211*SUM(C15:C22)+C$212*SUM(C23:C25))/SUM(C15:C25)/2,0)*C26</f>
        <v>0</v>
      </c>
      <c r="D27" s="269">
        <f t="shared" si="11"/>
        <v>0</v>
      </c>
      <c r="E27" s="269">
        <f t="shared" si="11"/>
        <v>0</v>
      </c>
      <c r="F27" s="269">
        <f t="shared" si="11"/>
        <v>0</v>
      </c>
      <c r="G27" s="269">
        <f t="shared" si="11"/>
        <v>0</v>
      </c>
      <c r="H27" s="269">
        <f t="shared" si="11"/>
        <v>0</v>
      </c>
      <c r="I27" s="269">
        <f t="shared" si="11"/>
        <v>0</v>
      </c>
      <c r="J27" s="269">
        <f t="shared" si="11"/>
        <v>0</v>
      </c>
      <c r="K27" s="269">
        <f t="shared" si="11"/>
        <v>0</v>
      </c>
      <c r="L27" s="269">
        <f t="shared" si="11"/>
        <v>0</v>
      </c>
      <c r="M27" s="269">
        <f t="shared" si="11"/>
        <v>0</v>
      </c>
      <c r="N27" s="269">
        <f t="shared" si="11"/>
        <v>2.5</v>
      </c>
      <c r="O27" s="269">
        <f t="shared" si="11"/>
        <v>0</v>
      </c>
      <c r="P27" s="269">
        <f t="shared" si="11"/>
        <v>0</v>
      </c>
      <c r="Q27" s="269">
        <f t="shared" si="11"/>
        <v>0</v>
      </c>
      <c r="R27" s="269">
        <f t="shared" si="11"/>
        <v>0</v>
      </c>
      <c r="S27" s="269">
        <f t="shared" si="11"/>
        <v>0</v>
      </c>
      <c r="T27" s="269">
        <f t="shared" si="11"/>
        <v>0</v>
      </c>
      <c r="U27" s="269">
        <f t="shared" si="11"/>
        <v>0</v>
      </c>
      <c r="V27" s="269">
        <f t="shared" si="11"/>
        <v>0</v>
      </c>
      <c r="W27" s="269">
        <f t="shared" si="11"/>
        <v>0</v>
      </c>
      <c r="X27" s="269">
        <f t="shared" si="11"/>
        <v>0</v>
      </c>
      <c r="Y27" s="269">
        <f t="shared" si="11"/>
        <v>0</v>
      </c>
      <c r="Z27" s="269">
        <f t="shared" si="11"/>
        <v>0</v>
      </c>
      <c r="AA27" s="269">
        <f t="shared" si="11"/>
        <v>0</v>
      </c>
      <c r="AB27" s="269">
        <f t="shared" si="11"/>
        <v>0</v>
      </c>
      <c r="AC27" s="269">
        <f t="shared" si="11"/>
        <v>0</v>
      </c>
      <c r="AD27" s="269">
        <f t="shared" si="11"/>
        <v>0</v>
      </c>
      <c r="AE27" s="269">
        <f t="shared" si="11"/>
        <v>0</v>
      </c>
      <c r="AF27" s="269">
        <f t="shared" si="11"/>
        <v>0</v>
      </c>
      <c r="AG27" s="269">
        <f t="shared" si="11"/>
        <v>0</v>
      </c>
      <c r="AH27" s="269">
        <f t="shared" si="11"/>
        <v>0</v>
      </c>
      <c r="AI27" s="269">
        <f t="shared" si="11"/>
        <v>0</v>
      </c>
      <c r="AJ27" s="269">
        <f t="shared" si="11"/>
        <v>0</v>
      </c>
      <c r="AK27" s="269">
        <f t="shared" si="11"/>
        <v>0</v>
      </c>
      <c r="AL27" s="269">
        <f t="shared" si="11"/>
        <v>0</v>
      </c>
      <c r="AM27" s="269">
        <f t="shared" si="11"/>
        <v>0</v>
      </c>
      <c r="AN27" s="269">
        <f t="shared" si="11"/>
        <v>0</v>
      </c>
      <c r="AO27" s="269">
        <f t="shared" ref="AO27:AU27" si="12">IFERROR((AO$211*SUM(AO15:AO22)+AO$212*SUM(AO23:AO25))/SUM(AO15:AO25)/2,0)*AO26</f>
        <v>0</v>
      </c>
      <c r="AP27" s="269">
        <f t="shared" si="12"/>
        <v>0</v>
      </c>
      <c r="AQ27" s="269">
        <f t="shared" si="12"/>
        <v>0</v>
      </c>
      <c r="AR27" s="269">
        <f t="shared" si="12"/>
        <v>0</v>
      </c>
      <c r="AS27" s="269">
        <f t="shared" si="12"/>
        <v>0</v>
      </c>
      <c r="AT27" s="269">
        <f t="shared" si="12"/>
        <v>0</v>
      </c>
      <c r="AU27" s="269">
        <f t="shared" si="12"/>
        <v>0</v>
      </c>
      <c r="AV27" s="269">
        <f t="shared" ref="AV27:AW27" si="13">IFERROR((AV$211*SUM(AV15:AV22)+AV$212*SUM(AV23:AV25))/SUM(AV15:AV25)/2,0)*AV26</f>
        <v>0</v>
      </c>
      <c r="AW27" s="269">
        <f t="shared" si="13"/>
        <v>0</v>
      </c>
      <c r="AX27" s="470">
        <f>IFERROR((AX$211*SUM(AX15:AX22)+AX$212*SUM(AX23:AX25))/SUM(AX15:AX25)/2,0)*AX26</f>
        <v>0</v>
      </c>
      <c r="AZ27" s="246"/>
    </row>
    <row r="28" spans="1:63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467">
        <f>SUMPRODUCT((Driver!$A$2:$A$17=$A28)*(DriverEmp=AX$1),Driver!$C$2:$V$17)</f>
        <v>0</v>
      </c>
      <c r="AZ28" s="246"/>
    </row>
    <row r="29" spans="1:63" x14ac:dyDescent="0.2">
      <c r="A29" s="247">
        <f t="shared" ref="A29:A92" si="14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0</v>
      </c>
      <c r="R29" s="250">
        <f>SUMPRODUCT((PP!$A$2:$A$80=$A29)*(PPEmp=R$1),PP!$D$2:$BD$80)</f>
        <v>4.75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0</v>
      </c>
      <c r="W29" s="250">
        <f>SUMPRODUCT((PP!$A$2:$A$80=$A29)*(PPEmp=W$1),PP!$D$2:$BD$80)</f>
        <v>11</v>
      </c>
      <c r="X29" s="250">
        <f>SUMPRODUCT((PP!$A$2:$A$80=$A29)*(PPEmp=X$1),PP!$D$2:$BD$80)</f>
        <v>0</v>
      </c>
      <c r="Y29" s="250">
        <f>SUMPRODUCT((PP!$A$2:$A$80=$A29)*(PPEmp=Y$1),PP!$D$2:$BD$80)</f>
        <v>1.75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0</v>
      </c>
      <c r="AC29" s="250">
        <f>SUMPRODUCT((PP!$A$2:$A$80=$A29)*(PPEmp=AC$1),PP!$D$2:$BD$80)</f>
        <v>11.75</v>
      </c>
      <c r="AD29" s="250">
        <f>SUMPRODUCT((PP!$A$2:$A$80=$A29)*(PPEmp=AD$1),PP!$D$2:$BD$80)</f>
        <v>4.75</v>
      </c>
      <c r="AE29" s="250">
        <f>SUMPRODUCT((PP!$A$2:$A$80=$A29)*(PPEmp=AE$1),PP!$D$2:$BD$80)</f>
        <v>11.75</v>
      </c>
      <c r="AF29" s="250">
        <f>SUMPRODUCT((PP!$A$2:$A$80=$A29)*(PPEmp=AF$1),PP!$D$2:$BD$80)</f>
        <v>4.75</v>
      </c>
      <c r="AG29" s="250">
        <f>SUMPRODUCT((PP!$A$2:$A$80=$A29)*(PPEmp=AG$1),PP!$D$2:$BD$80)</f>
        <v>0</v>
      </c>
      <c r="AH29" s="250">
        <f>SUMPRODUCT((PP!$A$2:$A$80=$A29)*(PPEmp=AH$1),PP!$D$2:$BD$80)</f>
        <v>3.5</v>
      </c>
      <c r="AI29" s="250">
        <f>SUMPRODUCT((PP!$A$2:$A$80=$A29)*(PPEmp=AI$1),PP!$D$2:$BD$80)</f>
        <v>0</v>
      </c>
      <c r="AJ29" s="250">
        <f>SUMPRODUCT((PP!$A$2:$A$80=$A29)*(PPEmp=AJ$1),PP!$D$2:$BD$80)</f>
        <v>0</v>
      </c>
      <c r="AK29" s="250">
        <f>SUMPRODUCT((PP!$A$2:$A$80=$A29)*(PPEmp=AK$1),PP!$D$2:$BD$80)</f>
        <v>4.75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467">
        <f>SUMPRODUCT((PP!$A$2:$A$80=$A29)*(PPEmp=AX$1),PP!$D$2:$BD$80)</f>
        <v>0</v>
      </c>
    </row>
    <row r="30" spans="1:63" x14ac:dyDescent="0.2">
      <c r="A30" s="247">
        <f t="shared" si="14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0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0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0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467">
        <f>SUMPRODUCT((FH!$A$2:$A$97=$A30)*(FHEmp=AX$1),FH!$E$2:$AZ$97)</f>
        <v>0</v>
      </c>
    </row>
    <row r="31" spans="1:63" s="271" customFormat="1" x14ac:dyDescent="0.2">
      <c r="A31" s="247">
        <f t="shared" si="14"/>
        <v>42539</v>
      </c>
      <c r="B31" s="253" t="str">
        <f>Total!$K$1</f>
        <v>T22</v>
      </c>
      <c r="C31" s="249">
        <f>SUMPRODUCT(('T22'!$A$2:$A$97=$A31)*(T22Emp=C$1),'T22'!$E$2:$AZ$97)</f>
        <v>0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0</v>
      </c>
      <c r="AG31" s="250">
        <f>SUMPRODUCT(('T22'!$A$2:$A$97=$A31)*(T22Emp=AG$1),'T22'!$E$2:$AZ$97)</f>
        <v>0</v>
      </c>
      <c r="AH31" s="250">
        <f>SUMPRODUCT(('T22'!$A$2:$A$97=$A31)*(T22Emp=AH$1),'T22'!$E$2:$AZ$97)</f>
        <v>0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467">
        <f>SUMPRODUCT(('T22'!$A$2:$A$97=$A31)*(T22Emp=AX$1),'T22'!$E$2:$AZ$97)</f>
        <v>0</v>
      </c>
      <c r="AZ31" s="246"/>
    </row>
    <row r="32" spans="1:63" s="271" customFormat="1" x14ac:dyDescent="0.2">
      <c r="A32" s="247">
        <f t="shared" si="14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0</v>
      </c>
      <c r="O32" s="250">
        <f>SUMPRODUCT((RF!$A$2:$A$17=$A32)*(RFEmp=O$1)*(RF!$H$21:$AO$21="RF Valet"),RF!$H$2:$AO$17)</f>
        <v>4.5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467">
        <f>SUMPRODUCT((RF!$A$2:$A$17=$A32)*(RFEmp=AX$1)*(RF!$H$21:$AO$21="RF Valet"),RF!$H$2:$AO$17)</f>
        <v>0</v>
      </c>
      <c r="AZ32" s="246"/>
    </row>
    <row r="33" spans="1:52" s="271" customFormat="1" x14ac:dyDescent="0.2">
      <c r="A33" s="247">
        <f t="shared" si="14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5.25</v>
      </c>
      <c r="L33" s="250">
        <f>SUMPRODUCT(('RC'!$A$2:$A$17=$A33)*(RCEmp=L$1),'RC'!$D$2:$AK$17)</f>
        <v>0</v>
      </c>
      <c r="M33" s="250">
        <f>SUMPRODUCT(('RC'!$A$2:$A$17=$A33)*(RCEmp=M$1),'RC'!$D$2:$AK$17)</f>
        <v>0</v>
      </c>
      <c r="N33" s="250">
        <f>SUMPRODUCT(('RC'!$A$2:$A$17=$A33)*(RCEmp=N$1),'RC'!$D$2:$AK$17)</f>
        <v>4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0</v>
      </c>
      <c r="AH33" s="250">
        <f>SUMPRODUCT(('RC'!$A$2:$A$17=$A33)*(RCEmp=AH$1),'RC'!$D$2:$AK$17)</f>
        <v>2.75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467">
        <f>SUMPRODUCT(('RC'!$A$2:$A$17=$A33)*(RCEmp=AX$1),'RC'!$D$2:$AK$17)</f>
        <v>0</v>
      </c>
      <c r="AZ33" s="246"/>
    </row>
    <row r="34" spans="1:52" s="271" customFormat="1" x14ac:dyDescent="0.2">
      <c r="A34" s="247">
        <f t="shared" si="14"/>
        <v>42539</v>
      </c>
      <c r="B34" s="614" t="s">
        <v>155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0</v>
      </c>
      <c r="Q34" s="250">
        <f>SUMPRODUCT((HoO!$A$2:$A$34=$A34)*(HoOEmp=Q$1),HoO!$E$2:$Y$34)</f>
        <v>5.5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467">
        <f>SUMPRODUCT((HoO!$A$2:$A$34=$A34)*(HoOEmp=AX$1),HoO!$E$2:$Y$34)</f>
        <v>0</v>
      </c>
      <c r="AZ34" s="246"/>
    </row>
    <row r="35" spans="1:52" s="271" customFormat="1" x14ac:dyDescent="0.2">
      <c r="A35" s="247">
        <f t="shared" si="14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467">
        <f>SUMPRODUCT((TM!$A$2:$A$17=$A35)*(TMEmp=AX$1),TM!$D$2:$AK$17)</f>
        <v>0</v>
      </c>
      <c r="AZ35" s="246"/>
    </row>
    <row r="36" spans="1:52" s="271" customFormat="1" x14ac:dyDescent="0.2">
      <c r="A36" s="256">
        <f t="shared" si="14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468">
        <f>SUMPRODUCT((PC!$A$2:$A$80=$A36)*(PCEmp=AX$1),PC!$D$2:$BD$80)</f>
        <v>0</v>
      </c>
      <c r="AZ36" s="246"/>
    </row>
    <row r="37" spans="1:52" s="271" customFormat="1" x14ac:dyDescent="0.2">
      <c r="A37" s="247">
        <f t="shared" si="14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467">
        <f>SUMPRODUCT((RF!$A$2:$A$17=$A37)*(RFEmp=AX$1)*(RF!$H$21:$AO$21="RF Lead"),RF!$H$2:$AO$17)</f>
        <v>0</v>
      </c>
      <c r="AZ37" s="246"/>
    </row>
    <row r="38" spans="1:52" s="271" customFormat="1" x14ac:dyDescent="0.2">
      <c r="A38" s="260">
        <f t="shared" si="14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467">
        <f>SUMPRODUCT((SC!$A$2:$A$34=$A38)*(SCEmp=AX$1),SC!$F$2:$Z$34)</f>
        <v>0</v>
      </c>
      <c r="AZ38" s="246"/>
    </row>
    <row r="39" spans="1:52" s="271" customFormat="1" x14ac:dyDescent="0.2">
      <c r="A39" s="262">
        <f t="shared" si="14"/>
        <v>42539</v>
      </c>
      <c r="B39" s="263" t="s">
        <v>87</v>
      </c>
      <c r="C39" s="264">
        <f t="shared" ref="C39:AN39" si="15">IF(SUM(C28:C38)&gt;8,SUM(C28:C38)-8,0)+IF(SUM(C28:C38)&gt;12,SUM(C28:C38)-12,0)</f>
        <v>0</v>
      </c>
      <c r="D39" s="265">
        <f t="shared" si="15"/>
        <v>0</v>
      </c>
      <c r="E39" s="265">
        <f t="shared" si="15"/>
        <v>0</v>
      </c>
      <c r="F39" s="265">
        <f t="shared" si="15"/>
        <v>0</v>
      </c>
      <c r="G39" s="265">
        <f t="shared" si="15"/>
        <v>0</v>
      </c>
      <c r="H39" s="265">
        <f t="shared" si="15"/>
        <v>0</v>
      </c>
      <c r="I39" s="265">
        <f t="shared" si="15"/>
        <v>0</v>
      </c>
      <c r="J39" s="265">
        <f t="shared" si="15"/>
        <v>3.75</v>
      </c>
      <c r="K39" s="265">
        <f t="shared" si="15"/>
        <v>0</v>
      </c>
      <c r="L39" s="265">
        <f t="shared" si="15"/>
        <v>0</v>
      </c>
      <c r="M39" s="265">
        <f t="shared" si="15"/>
        <v>0</v>
      </c>
      <c r="N39" s="265">
        <f t="shared" si="15"/>
        <v>0</v>
      </c>
      <c r="O39" s="265">
        <f t="shared" si="15"/>
        <v>0</v>
      </c>
      <c r="P39" s="265">
        <f t="shared" si="15"/>
        <v>0</v>
      </c>
      <c r="Q39" s="265">
        <f t="shared" si="15"/>
        <v>0</v>
      </c>
      <c r="R39" s="265">
        <f t="shared" si="15"/>
        <v>0</v>
      </c>
      <c r="S39" s="265">
        <f t="shared" si="15"/>
        <v>0</v>
      </c>
      <c r="T39" s="265">
        <f t="shared" si="15"/>
        <v>0</v>
      </c>
      <c r="U39" s="265">
        <f t="shared" si="15"/>
        <v>0</v>
      </c>
      <c r="V39" s="265">
        <f t="shared" si="15"/>
        <v>0</v>
      </c>
      <c r="W39" s="265">
        <f t="shared" si="15"/>
        <v>3</v>
      </c>
      <c r="X39" s="265">
        <f t="shared" si="15"/>
        <v>0</v>
      </c>
      <c r="Y39" s="265">
        <f t="shared" si="15"/>
        <v>0</v>
      </c>
      <c r="Z39" s="265">
        <f t="shared" si="15"/>
        <v>0</v>
      </c>
      <c r="AA39" s="265">
        <f t="shared" si="15"/>
        <v>0</v>
      </c>
      <c r="AB39" s="265">
        <f t="shared" si="15"/>
        <v>0</v>
      </c>
      <c r="AC39" s="265">
        <f t="shared" si="15"/>
        <v>3.75</v>
      </c>
      <c r="AD39" s="265">
        <f t="shared" si="15"/>
        <v>0</v>
      </c>
      <c r="AE39" s="265">
        <f t="shared" si="15"/>
        <v>3.75</v>
      </c>
      <c r="AF39" s="265">
        <f t="shared" si="15"/>
        <v>0</v>
      </c>
      <c r="AG39" s="265">
        <f t="shared" si="15"/>
        <v>0</v>
      </c>
      <c r="AH39" s="265">
        <f t="shared" si="15"/>
        <v>0</v>
      </c>
      <c r="AI39" s="265">
        <f t="shared" si="15"/>
        <v>0</v>
      </c>
      <c r="AJ39" s="265">
        <f t="shared" si="15"/>
        <v>0</v>
      </c>
      <c r="AK39" s="265">
        <f t="shared" si="15"/>
        <v>0</v>
      </c>
      <c r="AL39" s="265">
        <f t="shared" si="15"/>
        <v>0</v>
      </c>
      <c r="AM39" s="265">
        <f t="shared" si="15"/>
        <v>0</v>
      </c>
      <c r="AN39" s="265">
        <f t="shared" si="15"/>
        <v>0</v>
      </c>
      <c r="AO39" s="265">
        <f t="shared" ref="AO39:AU39" si="16">IF(SUM(AO28:AO38)&gt;8,SUM(AO28:AO38)-8,0)+IF(SUM(AO28:AO38)&gt;12,SUM(AO28:AO38)-12,0)</f>
        <v>0</v>
      </c>
      <c r="AP39" s="265">
        <f t="shared" si="16"/>
        <v>0</v>
      </c>
      <c r="AQ39" s="265">
        <f t="shared" si="16"/>
        <v>0</v>
      </c>
      <c r="AR39" s="265">
        <f t="shared" si="16"/>
        <v>0</v>
      </c>
      <c r="AS39" s="265">
        <f t="shared" si="16"/>
        <v>0</v>
      </c>
      <c r="AT39" s="265">
        <f t="shared" si="16"/>
        <v>0</v>
      </c>
      <c r="AU39" s="265">
        <f t="shared" si="16"/>
        <v>0</v>
      </c>
      <c r="AV39" s="265">
        <f t="shared" ref="AV39:AW39" si="17">IF(SUM(AV28:AV38)&gt;8,SUM(AV28:AV38)-8,0)+IF(SUM(AV28:AV38)&gt;12,SUM(AV28:AV38)-12,0)</f>
        <v>0</v>
      </c>
      <c r="AW39" s="265">
        <f t="shared" si="17"/>
        <v>0</v>
      </c>
      <c r="AX39" s="469">
        <f>IF(SUM(AX28:AX38)&gt;8,SUM(AX28:AX38)-8,0)+IF(SUM(AX28:AX38)&gt;12,SUM(AX28:AX38)-12,0)</f>
        <v>0</v>
      </c>
      <c r="AZ39" s="246"/>
    </row>
    <row r="40" spans="1:52" s="271" customFormat="1" x14ac:dyDescent="0.2">
      <c r="A40" s="266">
        <f t="shared" si="14"/>
        <v>42539</v>
      </c>
      <c r="B40" s="267" t="s">
        <v>86</v>
      </c>
      <c r="C40" s="268">
        <f t="shared" ref="C40:AN40" si="18">IFERROR((C$211*SUM(C28:C35)+C$212*SUM(C36:C38))/SUM(C28:C38)/2,0)*C39</f>
        <v>0</v>
      </c>
      <c r="D40" s="269">
        <f t="shared" si="18"/>
        <v>0</v>
      </c>
      <c r="E40" s="269">
        <f t="shared" si="18"/>
        <v>0</v>
      </c>
      <c r="F40" s="269">
        <f t="shared" si="18"/>
        <v>0</v>
      </c>
      <c r="G40" s="269">
        <f t="shared" si="18"/>
        <v>0</v>
      </c>
      <c r="H40" s="269">
        <f t="shared" si="18"/>
        <v>0</v>
      </c>
      <c r="I40" s="269">
        <f t="shared" si="18"/>
        <v>0</v>
      </c>
      <c r="J40" s="269">
        <f t="shared" si="18"/>
        <v>18.75</v>
      </c>
      <c r="K40" s="269">
        <f t="shared" si="18"/>
        <v>0</v>
      </c>
      <c r="L40" s="269">
        <f t="shared" si="18"/>
        <v>0</v>
      </c>
      <c r="M40" s="269">
        <f t="shared" si="18"/>
        <v>0</v>
      </c>
      <c r="N40" s="269">
        <f t="shared" si="18"/>
        <v>0</v>
      </c>
      <c r="O40" s="269">
        <f t="shared" si="18"/>
        <v>0</v>
      </c>
      <c r="P40" s="269">
        <f t="shared" si="18"/>
        <v>0</v>
      </c>
      <c r="Q40" s="269">
        <f t="shared" si="18"/>
        <v>0</v>
      </c>
      <c r="R40" s="269">
        <f t="shared" si="18"/>
        <v>0</v>
      </c>
      <c r="S40" s="269">
        <f t="shared" si="18"/>
        <v>0</v>
      </c>
      <c r="T40" s="269">
        <f t="shared" si="18"/>
        <v>0</v>
      </c>
      <c r="U40" s="269">
        <f t="shared" si="18"/>
        <v>0</v>
      </c>
      <c r="V40" s="269">
        <f t="shared" si="18"/>
        <v>0</v>
      </c>
      <c r="W40" s="269">
        <f t="shared" si="18"/>
        <v>15</v>
      </c>
      <c r="X40" s="269">
        <f t="shared" si="18"/>
        <v>0</v>
      </c>
      <c r="Y40" s="269">
        <f t="shared" si="18"/>
        <v>0</v>
      </c>
      <c r="Z40" s="269">
        <f t="shared" si="18"/>
        <v>0</v>
      </c>
      <c r="AA40" s="269">
        <f t="shared" si="18"/>
        <v>0</v>
      </c>
      <c r="AB40" s="269">
        <f t="shared" si="18"/>
        <v>0</v>
      </c>
      <c r="AC40" s="269">
        <f t="shared" si="18"/>
        <v>18.75</v>
      </c>
      <c r="AD40" s="269">
        <f t="shared" si="18"/>
        <v>0</v>
      </c>
      <c r="AE40" s="269">
        <f t="shared" si="18"/>
        <v>18.75</v>
      </c>
      <c r="AF40" s="269">
        <f t="shared" si="18"/>
        <v>0</v>
      </c>
      <c r="AG40" s="269">
        <f t="shared" si="18"/>
        <v>0</v>
      </c>
      <c r="AH40" s="269">
        <f t="shared" si="18"/>
        <v>0</v>
      </c>
      <c r="AI40" s="269">
        <f t="shared" si="18"/>
        <v>0</v>
      </c>
      <c r="AJ40" s="269">
        <f t="shared" si="18"/>
        <v>0</v>
      </c>
      <c r="AK40" s="269">
        <f t="shared" si="18"/>
        <v>0</v>
      </c>
      <c r="AL40" s="269">
        <f t="shared" si="18"/>
        <v>0</v>
      </c>
      <c r="AM40" s="269">
        <f t="shared" si="18"/>
        <v>0</v>
      </c>
      <c r="AN40" s="269">
        <f t="shared" si="18"/>
        <v>0</v>
      </c>
      <c r="AO40" s="269">
        <f t="shared" ref="AO40:AU40" si="19">IFERROR((AO$211*SUM(AO28:AO35)+AO$212*SUM(AO36:AO38))/SUM(AO28:AO38)/2,0)*AO39</f>
        <v>0</v>
      </c>
      <c r="AP40" s="269">
        <f t="shared" si="19"/>
        <v>0</v>
      </c>
      <c r="AQ40" s="269">
        <f t="shared" si="19"/>
        <v>0</v>
      </c>
      <c r="AR40" s="269">
        <f t="shared" si="19"/>
        <v>0</v>
      </c>
      <c r="AS40" s="269">
        <f t="shared" si="19"/>
        <v>0</v>
      </c>
      <c r="AT40" s="269">
        <f t="shared" si="19"/>
        <v>0</v>
      </c>
      <c r="AU40" s="269">
        <f t="shared" si="19"/>
        <v>0</v>
      </c>
      <c r="AV40" s="269">
        <f t="shared" ref="AV40:AW40" si="20">IFERROR((AV$211*SUM(AV28:AV35)+AV$212*SUM(AV36:AV38))/SUM(AV28:AV38)/2,0)*AV39</f>
        <v>0</v>
      </c>
      <c r="AW40" s="269">
        <f t="shared" si="20"/>
        <v>0</v>
      </c>
      <c r="AX40" s="470">
        <f>IFERROR((AX$211*SUM(AX28:AX35)+AX$212*SUM(AX36:AX38))/SUM(AX28:AX38)/2,0)*AX39</f>
        <v>0</v>
      </c>
      <c r="AZ40" s="246"/>
    </row>
    <row r="41" spans="1:52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467">
        <f>SUMPRODUCT((Driver!$A$2:$A$17=$A41)*(DriverEmp=AX$1),Driver!$C$2:$V$17)</f>
        <v>0</v>
      </c>
      <c r="AZ41" s="246"/>
    </row>
    <row r="42" spans="1:52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467">
        <f>SUMPRODUCT((PP!$A$2:$A$80=$A42)*(PPEmp=AX$1),PP!$D$2:$BD$80)</f>
        <v>0</v>
      </c>
      <c r="AZ42" s="246"/>
    </row>
    <row r="43" spans="1:52" s="271" customFormat="1" x14ac:dyDescent="0.2">
      <c r="A43" s="247">
        <f t="shared" si="14"/>
        <v>42540</v>
      </c>
      <c r="B43" s="252" t="str">
        <f>Total!$J$1</f>
        <v>FH</v>
      </c>
      <c r="C43" s="249">
        <f>SUMPRODUCT((FH!$A$2:$A$97=$A43)*(FHEmp=C$1),FH!$E$2:$AZ$97)</f>
        <v>0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0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0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0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0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467">
        <f>SUMPRODUCT((FH!$A$2:$A$97=$A43)*(FHEmp=AX$1),FH!$E$2:$AZ$97)</f>
        <v>0</v>
      </c>
      <c r="AZ43" s="246"/>
    </row>
    <row r="44" spans="1:52" s="271" customFormat="1" x14ac:dyDescent="0.2">
      <c r="A44" s="247">
        <f t="shared" si="14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0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0</v>
      </c>
      <c r="AE44" s="250">
        <f>SUMPRODUCT(('T22'!$A$2:$A$97=$A44)*(T22Emp=AE$1),'T22'!$E$2:$AZ$97)</f>
        <v>0</v>
      </c>
      <c r="AF44" s="250">
        <f>SUMPRODUCT(('T22'!$A$2:$A$97=$A44)*(T22Emp=AF$1),'T22'!$E$2:$AZ$97)</f>
        <v>0</v>
      </c>
      <c r="AG44" s="250">
        <f>SUMPRODUCT(('T22'!$A$2:$A$97=$A44)*(T22Emp=AG$1),'T22'!$E$2:$AZ$97)</f>
        <v>0</v>
      </c>
      <c r="AH44" s="250">
        <f>SUMPRODUCT(('T22'!$A$2:$A$97=$A44)*(T22Emp=AH$1),'T22'!$E$2:$AZ$97)</f>
        <v>0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467">
        <f>SUMPRODUCT(('T22'!$A$2:$A$97=$A44)*(T22Emp=AX$1),'T22'!$E$2:$AZ$97)</f>
        <v>0</v>
      </c>
      <c r="AZ44" s="246"/>
    </row>
    <row r="45" spans="1:52" s="271" customFormat="1" x14ac:dyDescent="0.2">
      <c r="A45" s="247">
        <f t="shared" si="14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0</v>
      </c>
      <c r="Q45" s="250">
        <f>SUMPRODUCT((RF!$A$2:$A$17=$A45)*(RFEmp=Q$1)*(RF!$H$21:$AO$21="RF Valet"),RF!$H$2:$AO$17)</f>
        <v>4.5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467">
        <f>SUMPRODUCT((RF!$A$2:$A$17=$A45)*(RFEmp=AX$1)*(RF!$H$21:$AO$21="RF Valet"),RF!$H$2:$AO$17)</f>
        <v>0</v>
      </c>
      <c r="AZ45" s="246"/>
    </row>
    <row r="46" spans="1:52" s="271" customFormat="1" x14ac:dyDescent="0.2">
      <c r="A46" s="247">
        <f t="shared" si="14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0</v>
      </c>
      <c r="N46" s="250">
        <f>SUMPRODUCT(('RC'!$A$2:$A$17=$A46)*(RCEmp=N$1),'RC'!$D$2:$AK$17)</f>
        <v>6.25</v>
      </c>
      <c r="O46" s="250">
        <f>SUMPRODUCT(('RC'!$A$2:$A$17=$A46)*(RCEmp=O$1),'RC'!$D$2:$AK$17)</f>
        <v>0</v>
      </c>
      <c r="P46" s="250">
        <f>SUMPRODUCT(('RC'!$A$2:$A$17=$A46)*(RCEmp=P$1),'RC'!$D$2:$AK$17)</f>
        <v>5.5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467">
        <f>SUMPRODUCT(('RC'!$A$2:$A$17=$A46)*(RCEmp=AX$1),'RC'!$D$2:$AK$17)</f>
        <v>0</v>
      </c>
      <c r="AZ46" s="246"/>
    </row>
    <row r="47" spans="1:52" s="271" customFormat="1" x14ac:dyDescent="0.2">
      <c r="A47" s="247">
        <f t="shared" si="14"/>
        <v>42540</v>
      </c>
      <c r="B47" s="614" t="s">
        <v>155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467">
        <f>SUMPRODUCT((HoO!$A$2:$A$34=$A47)*(HoOEmp=AX$1),HoO!$E$2:$Y$34)</f>
        <v>0</v>
      </c>
      <c r="AZ47" s="246"/>
    </row>
    <row r="48" spans="1:52" s="271" customFormat="1" x14ac:dyDescent="0.2">
      <c r="A48" s="247">
        <f t="shared" si="14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467">
        <f>SUMPRODUCT((TM!$A$2:$A$17=$A48)*(TMEmp=AX$1),TM!$D$2:$AK$17)</f>
        <v>0</v>
      </c>
      <c r="AZ48" s="246"/>
    </row>
    <row r="49" spans="1:52" s="271" customFormat="1" x14ac:dyDescent="0.2">
      <c r="A49" s="256">
        <f t="shared" si="14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468">
        <f>SUMPRODUCT((PC!$A$2:$A$80=$A49)*(PCEmp=AX$1),PC!$D$2:$BD$80)</f>
        <v>0</v>
      </c>
      <c r="AZ49" s="246"/>
    </row>
    <row r="50" spans="1:52" s="271" customFormat="1" x14ac:dyDescent="0.2">
      <c r="A50" s="247">
        <f t="shared" si="14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467">
        <f>SUMPRODUCT((RF!$A$2:$A$17=$A50)*(RFEmp=AX$1)*(RF!$H$21:$AO$21="RF Lead"),RF!$H$2:$AO$17)</f>
        <v>0</v>
      </c>
      <c r="AZ50" s="246"/>
    </row>
    <row r="51" spans="1:52" s="271" customFormat="1" x14ac:dyDescent="0.2">
      <c r="A51" s="260">
        <f t="shared" si="14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467">
        <f>SUMPRODUCT((SC!$A$2:$A$34=$A51)*(SCEmp=AX$1),SC!$F$2:$Z$34)</f>
        <v>0</v>
      </c>
      <c r="AZ51" s="246"/>
    </row>
    <row r="52" spans="1:52" s="271" customFormat="1" x14ac:dyDescent="0.2">
      <c r="A52" s="262">
        <f t="shared" si="14"/>
        <v>42540</v>
      </c>
      <c r="B52" s="263" t="s">
        <v>87</v>
      </c>
      <c r="C52" s="264">
        <f t="shared" ref="C52:AN52" si="21">IF(SUM(C41:C51)&gt;8,SUM(C41:C51)-8,0)+IF(SUM(C41:C51)&gt;12,SUM(C41:C51)-12,0)</f>
        <v>0</v>
      </c>
      <c r="D52" s="265">
        <f t="shared" si="21"/>
        <v>0</v>
      </c>
      <c r="E52" s="265">
        <f t="shared" si="21"/>
        <v>0</v>
      </c>
      <c r="F52" s="265">
        <f t="shared" si="21"/>
        <v>0</v>
      </c>
      <c r="G52" s="265">
        <f t="shared" si="21"/>
        <v>0</v>
      </c>
      <c r="H52" s="265">
        <f t="shared" si="21"/>
        <v>0</v>
      </c>
      <c r="I52" s="265">
        <f t="shared" si="21"/>
        <v>0</v>
      </c>
      <c r="J52" s="265">
        <f t="shared" si="21"/>
        <v>0</v>
      </c>
      <c r="K52" s="265">
        <f t="shared" si="21"/>
        <v>0</v>
      </c>
      <c r="L52" s="265">
        <f t="shared" si="21"/>
        <v>0</v>
      </c>
      <c r="M52" s="265">
        <f t="shared" si="21"/>
        <v>0</v>
      </c>
      <c r="N52" s="265">
        <f t="shared" si="21"/>
        <v>0</v>
      </c>
      <c r="O52" s="265">
        <f t="shared" si="21"/>
        <v>0</v>
      </c>
      <c r="P52" s="265">
        <f t="shared" si="21"/>
        <v>0</v>
      </c>
      <c r="Q52" s="265">
        <f t="shared" si="21"/>
        <v>0</v>
      </c>
      <c r="R52" s="265">
        <f t="shared" si="21"/>
        <v>0</v>
      </c>
      <c r="S52" s="265">
        <f t="shared" si="21"/>
        <v>0</v>
      </c>
      <c r="T52" s="265">
        <f t="shared" si="21"/>
        <v>0</v>
      </c>
      <c r="U52" s="265">
        <f t="shared" si="21"/>
        <v>0</v>
      </c>
      <c r="V52" s="265">
        <f t="shared" si="21"/>
        <v>0</v>
      </c>
      <c r="W52" s="265">
        <f t="shared" si="21"/>
        <v>0</v>
      </c>
      <c r="X52" s="265">
        <f t="shared" si="21"/>
        <v>0</v>
      </c>
      <c r="Y52" s="265">
        <f t="shared" si="21"/>
        <v>0</v>
      </c>
      <c r="Z52" s="265">
        <f t="shared" si="21"/>
        <v>0</v>
      </c>
      <c r="AA52" s="265">
        <f t="shared" si="21"/>
        <v>0</v>
      </c>
      <c r="AB52" s="265">
        <f t="shared" si="21"/>
        <v>0</v>
      </c>
      <c r="AC52" s="265">
        <f t="shared" si="21"/>
        <v>0</v>
      </c>
      <c r="AD52" s="265">
        <f t="shared" si="21"/>
        <v>0</v>
      </c>
      <c r="AE52" s="265">
        <f t="shared" si="21"/>
        <v>0</v>
      </c>
      <c r="AF52" s="265">
        <f t="shared" si="21"/>
        <v>0</v>
      </c>
      <c r="AG52" s="265">
        <f t="shared" si="21"/>
        <v>0</v>
      </c>
      <c r="AH52" s="265">
        <f t="shared" si="21"/>
        <v>0</v>
      </c>
      <c r="AI52" s="265">
        <f t="shared" si="21"/>
        <v>0</v>
      </c>
      <c r="AJ52" s="265">
        <f t="shared" si="21"/>
        <v>0</v>
      </c>
      <c r="AK52" s="265">
        <f t="shared" si="21"/>
        <v>0</v>
      </c>
      <c r="AL52" s="265">
        <f t="shared" si="21"/>
        <v>0</v>
      </c>
      <c r="AM52" s="265">
        <f t="shared" si="21"/>
        <v>0</v>
      </c>
      <c r="AN52" s="265">
        <f t="shared" si="21"/>
        <v>0</v>
      </c>
      <c r="AO52" s="265">
        <f t="shared" ref="AO52:AU52" si="22">IF(SUM(AO41:AO51)&gt;8,SUM(AO41:AO51)-8,0)+IF(SUM(AO41:AO51)&gt;12,SUM(AO41:AO51)-12,0)</f>
        <v>0</v>
      </c>
      <c r="AP52" s="265">
        <f t="shared" si="22"/>
        <v>0</v>
      </c>
      <c r="AQ52" s="265">
        <f t="shared" si="22"/>
        <v>0</v>
      </c>
      <c r="AR52" s="265">
        <f t="shared" si="22"/>
        <v>0</v>
      </c>
      <c r="AS52" s="265">
        <f t="shared" si="22"/>
        <v>0</v>
      </c>
      <c r="AT52" s="265">
        <f t="shared" si="22"/>
        <v>0</v>
      </c>
      <c r="AU52" s="265">
        <f t="shared" si="22"/>
        <v>0</v>
      </c>
      <c r="AV52" s="265">
        <f t="shared" ref="AV52:AW52" si="23">IF(SUM(AV41:AV51)&gt;8,SUM(AV41:AV51)-8,0)+IF(SUM(AV41:AV51)&gt;12,SUM(AV41:AV51)-12,0)</f>
        <v>0</v>
      </c>
      <c r="AW52" s="265">
        <f t="shared" si="23"/>
        <v>0</v>
      </c>
      <c r="AX52" s="469">
        <f>IF(SUM(AX41:AX51)&gt;8,SUM(AX41:AX51)-8,0)+IF(SUM(AX41:AX51)&gt;12,SUM(AX41:AX51)-12,0)</f>
        <v>0</v>
      </c>
      <c r="AZ52" s="246"/>
    </row>
    <row r="53" spans="1:52" s="271" customFormat="1" x14ac:dyDescent="0.2">
      <c r="A53" s="266">
        <f t="shared" si="14"/>
        <v>42540</v>
      </c>
      <c r="B53" s="267" t="s">
        <v>86</v>
      </c>
      <c r="C53" s="268">
        <f t="shared" ref="C53:AN53" si="24">IFERROR((C$211*SUM(C41:C48)+C$212*SUM(C49:C51))/SUM(C41:C51)/2,0)*C52</f>
        <v>0</v>
      </c>
      <c r="D53" s="269">
        <f t="shared" si="24"/>
        <v>0</v>
      </c>
      <c r="E53" s="269">
        <f t="shared" si="24"/>
        <v>0</v>
      </c>
      <c r="F53" s="269">
        <f t="shared" si="24"/>
        <v>0</v>
      </c>
      <c r="G53" s="269">
        <f t="shared" si="24"/>
        <v>0</v>
      </c>
      <c r="H53" s="269">
        <f t="shared" si="24"/>
        <v>0</v>
      </c>
      <c r="I53" s="269">
        <f t="shared" si="24"/>
        <v>0</v>
      </c>
      <c r="J53" s="269">
        <f t="shared" si="24"/>
        <v>0</v>
      </c>
      <c r="K53" s="269">
        <f t="shared" si="24"/>
        <v>0</v>
      </c>
      <c r="L53" s="269">
        <f t="shared" si="24"/>
        <v>0</v>
      </c>
      <c r="M53" s="269">
        <f t="shared" si="24"/>
        <v>0</v>
      </c>
      <c r="N53" s="269">
        <f t="shared" si="24"/>
        <v>0</v>
      </c>
      <c r="O53" s="269">
        <f t="shared" si="24"/>
        <v>0</v>
      </c>
      <c r="P53" s="269">
        <f t="shared" si="24"/>
        <v>0</v>
      </c>
      <c r="Q53" s="269">
        <f t="shared" si="24"/>
        <v>0</v>
      </c>
      <c r="R53" s="269">
        <f t="shared" si="24"/>
        <v>0</v>
      </c>
      <c r="S53" s="269">
        <f t="shared" si="24"/>
        <v>0</v>
      </c>
      <c r="T53" s="269">
        <f t="shared" si="24"/>
        <v>0</v>
      </c>
      <c r="U53" s="269">
        <f t="shared" si="24"/>
        <v>0</v>
      </c>
      <c r="V53" s="269">
        <f t="shared" si="24"/>
        <v>0</v>
      </c>
      <c r="W53" s="269">
        <f t="shared" si="24"/>
        <v>0</v>
      </c>
      <c r="X53" s="269">
        <f t="shared" si="24"/>
        <v>0</v>
      </c>
      <c r="Y53" s="269">
        <f t="shared" si="24"/>
        <v>0</v>
      </c>
      <c r="Z53" s="269">
        <f t="shared" si="24"/>
        <v>0</v>
      </c>
      <c r="AA53" s="269">
        <f t="shared" si="24"/>
        <v>0</v>
      </c>
      <c r="AB53" s="269">
        <f t="shared" si="24"/>
        <v>0</v>
      </c>
      <c r="AC53" s="269">
        <f t="shared" si="24"/>
        <v>0</v>
      </c>
      <c r="AD53" s="269">
        <f t="shared" si="24"/>
        <v>0</v>
      </c>
      <c r="AE53" s="269">
        <f t="shared" si="24"/>
        <v>0</v>
      </c>
      <c r="AF53" s="269">
        <f t="shared" si="24"/>
        <v>0</v>
      </c>
      <c r="AG53" s="269">
        <f t="shared" si="24"/>
        <v>0</v>
      </c>
      <c r="AH53" s="269">
        <f t="shared" si="24"/>
        <v>0</v>
      </c>
      <c r="AI53" s="269">
        <f t="shared" si="24"/>
        <v>0</v>
      </c>
      <c r="AJ53" s="269">
        <f t="shared" si="24"/>
        <v>0</v>
      </c>
      <c r="AK53" s="269">
        <f t="shared" si="24"/>
        <v>0</v>
      </c>
      <c r="AL53" s="269">
        <f t="shared" si="24"/>
        <v>0</v>
      </c>
      <c r="AM53" s="269">
        <f t="shared" si="24"/>
        <v>0</v>
      </c>
      <c r="AN53" s="269">
        <f t="shared" si="24"/>
        <v>0</v>
      </c>
      <c r="AO53" s="269">
        <f t="shared" ref="AO53:AU53" si="25">IFERROR((AO$211*SUM(AO41:AO48)+AO$212*SUM(AO49:AO51))/SUM(AO41:AO51)/2,0)*AO52</f>
        <v>0</v>
      </c>
      <c r="AP53" s="269">
        <f t="shared" si="25"/>
        <v>0</v>
      </c>
      <c r="AQ53" s="269">
        <f t="shared" si="25"/>
        <v>0</v>
      </c>
      <c r="AR53" s="269">
        <f t="shared" si="25"/>
        <v>0</v>
      </c>
      <c r="AS53" s="269">
        <f t="shared" si="25"/>
        <v>0</v>
      </c>
      <c r="AT53" s="269">
        <f t="shared" si="25"/>
        <v>0</v>
      </c>
      <c r="AU53" s="269">
        <f t="shared" si="25"/>
        <v>0</v>
      </c>
      <c r="AV53" s="269">
        <f t="shared" ref="AV53:AW53" si="26">IFERROR((AV$211*SUM(AV41:AV48)+AV$212*SUM(AV49:AV51))/SUM(AV41:AV51)/2,0)*AV52</f>
        <v>0</v>
      </c>
      <c r="AW53" s="269">
        <f t="shared" si="26"/>
        <v>0</v>
      </c>
      <c r="AX53" s="470">
        <f>IFERROR((AX$211*SUM(AX41:AX48)+AX$212*SUM(AX49:AX51))/SUM(AX41:AX51)/2,0)*AX52</f>
        <v>0</v>
      </c>
      <c r="AZ53" s="246"/>
    </row>
    <row r="54" spans="1:52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467">
        <f>SUMPRODUCT((Driver!$A$2:$A$17=$A54)*(DriverEmp=AX$1),Driver!$C$2:$V$17)</f>
        <v>0</v>
      </c>
      <c r="AZ54" s="246"/>
    </row>
    <row r="55" spans="1:52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467">
        <f>SUMPRODUCT((PP!$A$2:$A$80=$A55)*(PPEmp=AX$1),PP!$D$2:$BD$80)</f>
        <v>0</v>
      </c>
      <c r="AZ55" s="246"/>
    </row>
    <row r="56" spans="1:52" s="271" customFormat="1" x14ac:dyDescent="0.2">
      <c r="A56" s="247">
        <f t="shared" si="14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0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0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467">
        <f>SUMPRODUCT((FH!$A$2:$A$97=$A56)*(FHEmp=AX$1),FH!$E$2:$AZ$97)</f>
        <v>0</v>
      </c>
      <c r="AZ56" s="246"/>
    </row>
    <row r="57" spans="1:52" s="271" customFormat="1" x14ac:dyDescent="0.2">
      <c r="A57" s="247">
        <f t="shared" si="14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0</v>
      </c>
      <c r="G57" s="250">
        <f>SUMPRODUCT(('T22'!$A$2:$A$97=$A57)*(T22Emp=G$1),'T22'!$E$2:$AZ$97)</f>
        <v>0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467">
        <f>SUMPRODUCT(('T22'!$A$2:$A$97=$A57)*(T22Emp=AX$1),'T22'!$E$2:$AZ$97)</f>
        <v>0</v>
      </c>
      <c r="AZ57" s="246"/>
    </row>
    <row r="58" spans="1:52" s="271" customFormat="1" x14ac:dyDescent="0.2">
      <c r="A58" s="247">
        <f t="shared" si="14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467">
        <f>SUMPRODUCT((RF!$A$2:$A$17=$A58)*(RFEmp=AX$1)*(RF!$H$21:$AO$21="RF Valet"),RF!$H$2:$AO$17)</f>
        <v>0</v>
      </c>
      <c r="AZ58" s="246"/>
    </row>
    <row r="59" spans="1:52" s="271" customFormat="1" x14ac:dyDescent="0.2">
      <c r="A59" s="247">
        <f t="shared" si="14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467">
        <f>SUMPRODUCT(('RC'!$A$2:$A$17=$A59)*(RCEmp=AX$1),'RC'!$D$2:$AK$17)</f>
        <v>0</v>
      </c>
      <c r="AZ59" s="246"/>
    </row>
    <row r="60" spans="1:52" s="271" customFormat="1" x14ac:dyDescent="0.2">
      <c r="A60" s="247">
        <f t="shared" si="14"/>
        <v>42541</v>
      </c>
      <c r="B60" s="614" t="s">
        <v>155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467">
        <f>SUMPRODUCT((HoO!$A$2:$A$34=$A60)*(HoOEmp=AX$1),HoO!$E$2:$Y$34)</f>
        <v>0</v>
      </c>
      <c r="AZ60" s="246"/>
    </row>
    <row r="61" spans="1:52" s="271" customFormat="1" x14ac:dyDescent="0.2">
      <c r="A61" s="247">
        <f t="shared" si="14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0</v>
      </c>
      <c r="L61" s="250">
        <f>SUMPRODUCT((TM!$A$2:$A$17=$A61)*(TMEmp=L$1),TM!$D$2:$AK$17)</f>
        <v>1.25</v>
      </c>
      <c r="M61" s="250">
        <f>SUMPRODUCT((TM!$A$2:$A$17=$A61)*(TMEmp=M$1),TM!$D$2:$AK$17)</f>
        <v>1.25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0</v>
      </c>
      <c r="Q61" s="250">
        <f>SUMPRODUCT((TM!$A$2:$A$17=$A61)*(TMEmp=Q$1),TM!$D$2:$AK$17)</f>
        <v>2.75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0</v>
      </c>
      <c r="AE61" s="250">
        <f>SUMPRODUCT((TM!$A$2:$A$17=$A61)*(TMEmp=AE$1),TM!$D$2:$AK$17)</f>
        <v>1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467">
        <f>SUMPRODUCT((TM!$A$2:$A$17=$A61)*(TMEmp=AX$1),TM!$D$2:$AK$17)</f>
        <v>0</v>
      </c>
      <c r="AZ61" s="246"/>
    </row>
    <row r="62" spans="1:52" s="271" customFormat="1" x14ac:dyDescent="0.2">
      <c r="A62" s="256">
        <f t="shared" si="14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468">
        <f>SUMPRODUCT((PC!$A$2:$A$80=$A62)*(PCEmp=AX$1),PC!$D$2:$BD$80)</f>
        <v>0</v>
      </c>
      <c r="AZ62" s="246"/>
    </row>
    <row r="63" spans="1:52" s="271" customFormat="1" x14ac:dyDescent="0.2">
      <c r="A63" s="247">
        <f t="shared" si="14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467">
        <f>SUMPRODUCT((RF!$A$2:$A$17=$A63)*(RFEmp=AX$1)*(RF!$H$21:$AO$21="RF Lead"),RF!$H$2:$AO$17)</f>
        <v>0</v>
      </c>
      <c r="AZ63" s="246"/>
    </row>
    <row r="64" spans="1:52" s="271" customFormat="1" x14ac:dyDescent="0.2">
      <c r="A64" s="260">
        <f t="shared" si="14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0</v>
      </c>
      <c r="AC64" s="250">
        <f>SUMPRODUCT((SC!$A$2:$A$34=$A64)*(SCEmp=AC$1),SC!$F$2:$Z$34)</f>
        <v>3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467">
        <f>SUMPRODUCT((SC!$A$2:$A$34=$A64)*(SCEmp=AX$1),SC!$F$2:$Z$34)</f>
        <v>0</v>
      </c>
      <c r="AZ64" s="246"/>
    </row>
    <row r="65" spans="1:52" s="271" customFormat="1" x14ac:dyDescent="0.2">
      <c r="A65" s="262">
        <f t="shared" si="14"/>
        <v>42541</v>
      </c>
      <c r="B65" s="263" t="s">
        <v>87</v>
      </c>
      <c r="C65" s="264">
        <f t="shared" ref="C65:AN65" si="27">IF(SUM(C54:C64)&gt;8,SUM(C54:C64)-8,0)+IF(SUM(C54:C64)&gt;12,SUM(C54:C64)-12,0)</f>
        <v>0</v>
      </c>
      <c r="D65" s="265">
        <f t="shared" si="27"/>
        <v>0</v>
      </c>
      <c r="E65" s="265">
        <f t="shared" si="27"/>
        <v>0</v>
      </c>
      <c r="F65" s="265">
        <f t="shared" si="27"/>
        <v>0</v>
      </c>
      <c r="G65" s="265">
        <f t="shared" si="27"/>
        <v>0</v>
      </c>
      <c r="H65" s="265">
        <f t="shared" si="27"/>
        <v>0</v>
      </c>
      <c r="I65" s="265">
        <f t="shared" si="27"/>
        <v>0</v>
      </c>
      <c r="J65" s="265">
        <f t="shared" si="27"/>
        <v>0</v>
      </c>
      <c r="K65" s="265">
        <f t="shared" si="27"/>
        <v>0</v>
      </c>
      <c r="L65" s="265">
        <f t="shared" si="27"/>
        <v>0</v>
      </c>
      <c r="M65" s="265">
        <f t="shared" si="27"/>
        <v>0</v>
      </c>
      <c r="N65" s="265">
        <f t="shared" si="27"/>
        <v>0</v>
      </c>
      <c r="O65" s="265">
        <f t="shared" si="27"/>
        <v>0</v>
      </c>
      <c r="P65" s="265">
        <f t="shared" si="27"/>
        <v>0</v>
      </c>
      <c r="Q65" s="265">
        <f t="shared" si="27"/>
        <v>0</v>
      </c>
      <c r="R65" s="265">
        <f t="shared" si="27"/>
        <v>0</v>
      </c>
      <c r="S65" s="265">
        <f t="shared" si="27"/>
        <v>0</v>
      </c>
      <c r="T65" s="265">
        <f t="shared" si="27"/>
        <v>0</v>
      </c>
      <c r="U65" s="265">
        <f t="shared" si="27"/>
        <v>0</v>
      </c>
      <c r="V65" s="265">
        <f t="shared" si="27"/>
        <v>0</v>
      </c>
      <c r="W65" s="265">
        <f t="shared" si="27"/>
        <v>0</v>
      </c>
      <c r="X65" s="265">
        <f t="shared" si="27"/>
        <v>0</v>
      </c>
      <c r="Y65" s="265">
        <f t="shared" si="27"/>
        <v>0</v>
      </c>
      <c r="Z65" s="265">
        <f t="shared" si="27"/>
        <v>0</v>
      </c>
      <c r="AA65" s="265">
        <f t="shared" si="27"/>
        <v>0</v>
      </c>
      <c r="AB65" s="265">
        <f t="shared" si="27"/>
        <v>0</v>
      </c>
      <c r="AC65" s="265">
        <f t="shared" si="27"/>
        <v>0</v>
      </c>
      <c r="AD65" s="265">
        <f t="shared" si="27"/>
        <v>0</v>
      </c>
      <c r="AE65" s="265">
        <f t="shared" si="27"/>
        <v>0</v>
      </c>
      <c r="AF65" s="265">
        <f t="shared" si="27"/>
        <v>0</v>
      </c>
      <c r="AG65" s="265">
        <f t="shared" si="27"/>
        <v>0</v>
      </c>
      <c r="AH65" s="265">
        <f t="shared" si="27"/>
        <v>0</v>
      </c>
      <c r="AI65" s="265">
        <f t="shared" si="27"/>
        <v>0</v>
      </c>
      <c r="AJ65" s="265">
        <f t="shared" si="27"/>
        <v>0</v>
      </c>
      <c r="AK65" s="265">
        <f t="shared" si="27"/>
        <v>0</v>
      </c>
      <c r="AL65" s="265">
        <f t="shared" si="27"/>
        <v>0</v>
      </c>
      <c r="AM65" s="265">
        <f t="shared" si="27"/>
        <v>0</v>
      </c>
      <c r="AN65" s="265">
        <f t="shared" si="27"/>
        <v>0</v>
      </c>
      <c r="AO65" s="265">
        <f t="shared" ref="AO65:AU65" si="28">IF(SUM(AO54:AO64)&gt;8,SUM(AO54:AO64)-8,0)+IF(SUM(AO54:AO64)&gt;12,SUM(AO54:AO64)-12,0)</f>
        <v>0</v>
      </c>
      <c r="AP65" s="265">
        <f t="shared" si="28"/>
        <v>0</v>
      </c>
      <c r="AQ65" s="265">
        <f t="shared" si="28"/>
        <v>0</v>
      </c>
      <c r="AR65" s="265">
        <f t="shared" si="28"/>
        <v>0</v>
      </c>
      <c r="AS65" s="265">
        <f t="shared" si="28"/>
        <v>0</v>
      </c>
      <c r="AT65" s="265">
        <f t="shared" si="28"/>
        <v>0</v>
      </c>
      <c r="AU65" s="265">
        <f t="shared" si="28"/>
        <v>0</v>
      </c>
      <c r="AV65" s="265">
        <f t="shared" ref="AV65:AW65" si="29">IF(SUM(AV54:AV64)&gt;8,SUM(AV54:AV64)-8,0)+IF(SUM(AV54:AV64)&gt;12,SUM(AV54:AV64)-12,0)</f>
        <v>0</v>
      </c>
      <c r="AW65" s="265">
        <f t="shared" si="29"/>
        <v>0</v>
      </c>
      <c r="AX65" s="469">
        <f>IF(SUM(AX54:AX64)&gt;8,SUM(AX54:AX64)-8,0)+IF(SUM(AX54:AX64)&gt;12,SUM(AX54:AX64)-12,0)</f>
        <v>0</v>
      </c>
      <c r="AZ65" s="246"/>
    </row>
    <row r="66" spans="1:52" s="271" customFormat="1" x14ac:dyDescent="0.2">
      <c r="A66" s="266">
        <f t="shared" si="14"/>
        <v>42541</v>
      </c>
      <c r="B66" s="267" t="s">
        <v>86</v>
      </c>
      <c r="C66" s="268">
        <f t="shared" ref="C66:AN66" si="30">IFERROR((C$211*SUM(C54:C61)+C$212*SUM(C62:C64))/SUM(C54:C64)/2,0)*C65</f>
        <v>0</v>
      </c>
      <c r="D66" s="269">
        <f t="shared" si="30"/>
        <v>0</v>
      </c>
      <c r="E66" s="269">
        <f t="shared" si="30"/>
        <v>0</v>
      </c>
      <c r="F66" s="269">
        <f t="shared" si="30"/>
        <v>0</v>
      </c>
      <c r="G66" s="269">
        <f t="shared" si="30"/>
        <v>0</v>
      </c>
      <c r="H66" s="269">
        <f t="shared" si="30"/>
        <v>0</v>
      </c>
      <c r="I66" s="269">
        <f t="shared" si="30"/>
        <v>0</v>
      </c>
      <c r="J66" s="269">
        <f t="shared" si="30"/>
        <v>0</v>
      </c>
      <c r="K66" s="269">
        <f t="shared" si="30"/>
        <v>0</v>
      </c>
      <c r="L66" s="269">
        <f t="shared" si="30"/>
        <v>0</v>
      </c>
      <c r="M66" s="269">
        <f t="shared" si="30"/>
        <v>0</v>
      </c>
      <c r="N66" s="269">
        <f t="shared" si="30"/>
        <v>0</v>
      </c>
      <c r="O66" s="269">
        <f t="shared" si="30"/>
        <v>0</v>
      </c>
      <c r="P66" s="269">
        <f t="shared" si="30"/>
        <v>0</v>
      </c>
      <c r="Q66" s="269">
        <f t="shared" si="30"/>
        <v>0</v>
      </c>
      <c r="R66" s="269">
        <f t="shared" si="30"/>
        <v>0</v>
      </c>
      <c r="S66" s="269">
        <f t="shared" si="30"/>
        <v>0</v>
      </c>
      <c r="T66" s="269">
        <f t="shared" si="30"/>
        <v>0</v>
      </c>
      <c r="U66" s="269">
        <f t="shared" si="30"/>
        <v>0</v>
      </c>
      <c r="V66" s="269">
        <f t="shared" si="30"/>
        <v>0</v>
      </c>
      <c r="W66" s="269">
        <f t="shared" si="30"/>
        <v>0</v>
      </c>
      <c r="X66" s="269">
        <f t="shared" si="30"/>
        <v>0</v>
      </c>
      <c r="Y66" s="269">
        <f t="shared" si="30"/>
        <v>0</v>
      </c>
      <c r="Z66" s="269">
        <f t="shared" si="30"/>
        <v>0</v>
      </c>
      <c r="AA66" s="269">
        <f t="shared" si="30"/>
        <v>0</v>
      </c>
      <c r="AB66" s="269">
        <f t="shared" si="30"/>
        <v>0</v>
      </c>
      <c r="AC66" s="269">
        <f t="shared" si="30"/>
        <v>0</v>
      </c>
      <c r="AD66" s="269">
        <f t="shared" si="30"/>
        <v>0</v>
      </c>
      <c r="AE66" s="269">
        <f t="shared" si="30"/>
        <v>0</v>
      </c>
      <c r="AF66" s="269">
        <f t="shared" si="30"/>
        <v>0</v>
      </c>
      <c r="AG66" s="269">
        <f t="shared" si="30"/>
        <v>0</v>
      </c>
      <c r="AH66" s="269">
        <f t="shared" si="30"/>
        <v>0</v>
      </c>
      <c r="AI66" s="269">
        <f t="shared" si="30"/>
        <v>0</v>
      </c>
      <c r="AJ66" s="269">
        <f t="shared" si="30"/>
        <v>0</v>
      </c>
      <c r="AK66" s="269">
        <f t="shared" si="30"/>
        <v>0</v>
      </c>
      <c r="AL66" s="269">
        <f t="shared" si="30"/>
        <v>0</v>
      </c>
      <c r="AM66" s="269">
        <f t="shared" si="30"/>
        <v>0</v>
      </c>
      <c r="AN66" s="269">
        <f t="shared" si="30"/>
        <v>0</v>
      </c>
      <c r="AO66" s="269">
        <f t="shared" ref="AO66:AU66" si="31">IFERROR((AO$211*SUM(AO54:AO61)+AO$212*SUM(AO62:AO64))/SUM(AO54:AO64)/2,0)*AO65</f>
        <v>0</v>
      </c>
      <c r="AP66" s="269">
        <f t="shared" si="31"/>
        <v>0</v>
      </c>
      <c r="AQ66" s="269">
        <f t="shared" si="31"/>
        <v>0</v>
      </c>
      <c r="AR66" s="269">
        <f t="shared" si="31"/>
        <v>0</v>
      </c>
      <c r="AS66" s="269">
        <f t="shared" si="31"/>
        <v>0</v>
      </c>
      <c r="AT66" s="269">
        <f t="shared" si="31"/>
        <v>0</v>
      </c>
      <c r="AU66" s="269">
        <f t="shared" si="31"/>
        <v>0</v>
      </c>
      <c r="AV66" s="269">
        <f t="shared" ref="AV66:AW66" si="32">IFERROR((AV$211*SUM(AV54:AV61)+AV$212*SUM(AV62:AV64))/SUM(AV54:AV64)/2,0)*AV65</f>
        <v>0</v>
      </c>
      <c r="AW66" s="269">
        <f t="shared" si="32"/>
        <v>0</v>
      </c>
      <c r="AX66" s="470">
        <f>IFERROR((AX$211*SUM(AX54:AX61)+AX$212*SUM(AX62:AX64))/SUM(AX54:AX64)/2,0)*AX65</f>
        <v>0</v>
      </c>
      <c r="AZ66" s="246"/>
    </row>
    <row r="67" spans="1:52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467">
        <f>SUMPRODUCT((Driver!$A$2:$A$17=$A67)*(DriverEmp=AX$1),Driver!$C$2:$V$17)</f>
        <v>0</v>
      </c>
      <c r="AZ67" s="246"/>
    </row>
    <row r="68" spans="1:52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0</v>
      </c>
      <c r="T68" s="250">
        <f>SUMPRODUCT((PP!$A$2:$A$80=$A68)*(PPEmp=T$1),PP!$D$2:$BD$80)</f>
        <v>3.25</v>
      </c>
      <c r="U68" s="250">
        <f>SUMPRODUCT((PP!$A$2:$A$80=$A68)*(PPEmp=U$1),PP!$D$2:$BD$80)</f>
        <v>0</v>
      </c>
      <c r="V68" s="250">
        <f>SUMPRODUCT((PP!$A$2:$A$80=$A68)*(PPEmp=V$1),PP!$D$2:$BD$80)</f>
        <v>0</v>
      </c>
      <c r="W68" s="250">
        <f>SUMPRODUCT((PP!$A$2:$A$80=$A68)*(PPEmp=W$1),PP!$D$2:$BD$80)</f>
        <v>3.5</v>
      </c>
      <c r="X68" s="250">
        <f>SUMPRODUCT((PP!$A$2:$A$80=$A68)*(PPEmp=X$1),PP!$D$2:$BD$80)</f>
        <v>3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467">
        <f>SUMPRODUCT((PP!$A$2:$A$80=$A68)*(PPEmp=AX$1),PP!$D$2:$BD$80)</f>
        <v>0</v>
      </c>
      <c r="AZ68" s="246"/>
    </row>
    <row r="69" spans="1:52" s="271" customFormat="1" x14ac:dyDescent="0.2">
      <c r="A69" s="247">
        <f t="shared" si="14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0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0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467">
        <f>SUMPRODUCT((FH!$A$2:$A$97=$A69)*(FHEmp=AX$1),FH!$E$2:$AZ$97)</f>
        <v>0</v>
      </c>
      <c r="AZ69" s="246"/>
    </row>
    <row r="70" spans="1:52" s="271" customFormat="1" x14ac:dyDescent="0.2">
      <c r="A70" s="247">
        <f t="shared" si="14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0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0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467">
        <f>SUMPRODUCT(('T22'!$A$2:$A$97=$A70)*(T22Emp=AX$1),'T22'!$E$2:$AZ$97)</f>
        <v>0</v>
      </c>
      <c r="AZ70" s="246"/>
    </row>
    <row r="71" spans="1:52" s="271" customFormat="1" x14ac:dyDescent="0.2">
      <c r="A71" s="247">
        <f t="shared" si="14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467">
        <f>SUMPRODUCT((RF!$A$2:$A$17=$A71)*(RFEmp=AX$1)*(RF!$H$21:$AO$21="RF Valet"),RF!$H$2:$AO$17)</f>
        <v>0</v>
      </c>
      <c r="AZ71" s="246"/>
    </row>
    <row r="72" spans="1:52" s="271" customFormat="1" x14ac:dyDescent="0.2">
      <c r="A72" s="247">
        <f t="shared" si="14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467">
        <f>SUMPRODUCT(('RC'!$A$2:$A$17=$A72)*(RCEmp=AX$1),'RC'!$D$2:$AK$17)</f>
        <v>0</v>
      </c>
      <c r="AZ72" s="246"/>
    </row>
    <row r="73" spans="1:52" s="271" customFormat="1" x14ac:dyDescent="0.2">
      <c r="A73" s="247">
        <f t="shared" si="14"/>
        <v>42542</v>
      </c>
      <c r="B73" s="614" t="s">
        <v>155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467">
        <f>SUMPRODUCT((HoO!$A$2:$A$34=$A73)*(HoOEmp=AX$1),HoO!$E$2:$Y$34)</f>
        <v>0</v>
      </c>
      <c r="AZ73" s="246"/>
    </row>
    <row r="74" spans="1:52" s="271" customFormat="1" x14ac:dyDescent="0.2">
      <c r="A74" s="247">
        <f t="shared" si="14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467">
        <f>SUMPRODUCT((TM!$A$2:$A$17=$A74)*(TMEmp=AX$1),TM!$D$2:$AK$17)</f>
        <v>0</v>
      </c>
      <c r="AZ74" s="246"/>
    </row>
    <row r="75" spans="1:52" s="271" customFormat="1" x14ac:dyDescent="0.2">
      <c r="A75" s="256">
        <f t="shared" si="14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468">
        <f>SUMPRODUCT((PC!$A$2:$A$80=$A75)*(PCEmp=AX$1),PC!$D$2:$BD$80)</f>
        <v>0</v>
      </c>
      <c r="AZ75" s="246"/>
    </row>
    <row r="76" spans="1:52" s="271" customFormat="1" x14ac:dyDescent="0.2">
      <c r="A76" s="247">
        <f t="shared" si="14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467">
        <f>SUMPRODUCT((RF!$A$2:$A$17=$A76)*(RFEmp=AX$1)*(RF!$H$21:$AO$21="RF Lead"),RF!$H$2:$AO$17)</f>
        <v>0</v>
      </c>
      <c r="AZ76" s="246"/>
    </row>
    <row r="77" spans="1:52" s="271" customFormat="1" x14ac:dyDescent="0.2">
      <c r="A77" s="260">
        <f t="shared" si="14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0</v>
      </c>
      <c r="AC77" s="250">
        <f>SUMPRODUCT((SC!$A$2:$A$34=$A77)*(SCEmp=AC$1),SC!$F$2:$Z$34)</f>
        <v>3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467">
        <f>SUMPRODUCT((SC!$A$2:$A$34=$A77)*(SCEmp=AX$1),SC!$F$2:$Z$34)</f>
        <v>0</v>
      </c>
      <c r="AZ77" s="246"/>
    </row>
    <row r="78" spans="1:52" s="271" customFormat="1" x14ac:dyDescent="0.2">
      <c r="A78" s="262">
        <f t="shared" si="14"/>
        <v>42542</v>
      </c>
      <c r="B78" s="263" t="s">
        <v>87</v>
      </c>
      <c r="C78" s="264">
        <f t="shared" ref="C78:AN78" si="33">IF(SUM(C67:C77)&gt;8,SUM(C67:C77)-8,0)+IF(SUM(C67:C77)&gt;12,SUM(C67:C77)-12,0)</f>
        <v>0</v>
      </c>
      <c r="D78" s="265">
        <f t="shared" si="33"/>
        <v>0</v>
      </c>
      <c r="E78" s="265">
        <f t="shared" si="33"/>
        <v>0</v>
      </c>
      <c r="F78" s="265">
        <f t="shared" si="33"/>
        <v>0</v>
      </c>
      <c r="G78" s="265">
        <f t="shared" si="33"/>
        <v>0</v>
      </c>
      <c r="H78" s="265">
        <f t="shared" si="33"/>
        <v>0</v>
      </c>
      <c r="I78" s="265">
        <f t="shared" si="33"/>
        <v>0</v>
      </c>
      <c r="J78" s="265">
        <f t="shared" si="33"/>
        <v>0</v>
      </c>
      <c r="K78" s="265">
        <f t="shared" si="33"/>
        <v>0</v>
      </c>
      <c r="L78" s="265">
        <f t="shared" si="33"/>
        <v>0</v>
      </c>
      <c r="M78" s="265">
        <f t="shared" si="33"/>
        <v>0</v>
      </c>
      <c r="N78" s="265">
        <f t="shared" si="33"/>
        <v>0</v>
      </c>
      <c r="O78" s="265">
        <f t="shared" si="33"/>
        <v>0</v>
      </c>
      <c r="P78" s="265">
        <f t="shared" si="33"/>
        <v>0</v>
      </c>
      <c r="Q78" s="265">
        <f t="shared" si="33"/>
        <v>0</v>
      </c>
      <c r="R78" s="265">
        <f t="shared" si="33"/>
        <v>0</v>
      </c>
      <c r="S78" s="265">
        <f t="shared" si="33"/>
        <v>0</v>
      </c>
      <c r="T78" s="265">
        <f t="shared" si="33"/>
        <v>0</v>
      </c>
      <c r="U78" s="265">
        <f t="shared" si="33"/>
        <v>0</v>
      </c>
      <c r="V78" s="265">
        <f t="shared" si="33"/>
        <v>0</v>
      </c>
      <c r="W78" s="265">
        <f t="shared" si="33"/>
        <v>0</v>
      </c>
      <c r="X78" s="265">
        <f t="shared" si="33"/>
        <v>0</v>
      </c>
      <c r="Y78" s="265">
        <f t="shared" si="33"/>
        <v>0</v>
      </c>
      <c r="Z78" s="265">
        <f t="shared" si="33"/>
        <v>0</v>
      </c>
      <c r="AA78" s="265">
        <f t="shared" si="33"/>
        <v>0</v>
      </c>
      <c r="AB78" s="265">
        <f t="shared" si="33"/>
        <v>0</v>
      </c>
      <c r="AC78" s="265">
        <f t="shared" si="33"/>
        <v>0</v>
      </c>
      <c r="AD78" s="265">
        <f t="shared" si="33"/>
        <v>0</v>
      </c>
      <c r="AE78" s="265">
        <f t="shared" si="33"/>
        <v>0</v>
      </c>
      <c r="AF78" s="265">
        <f t="shared" si="33"/>
        <v>0</v>
      </c>
      <c r="AG78" s="265">
        <f t="shared" si="33"/>
        <v>0</v>
      </c>
      <c r="AH78" s="265">
        <f t="shared" si="33"/>
        <v>0</v>
      </c>
      <c r="AI78" s="265">
        <f t="shared" si="33"/>
        <v>0</v>
      </c>
      <c r="AJ78" s="265">
        <f t="shared" si="33"/>
        <v>0</v>
      </c>
      <c r="AK78" s="265">
        <f t="shared" si="33"/>
        <v>0</v>
      </c>
      <c r="AL78" s="265">
        <f t="shared" si="33"/>
        <v>0</v>
      </c>
      <c r="AM78" s="265">
        <f t="shared" si="33"/>
        <v>0</v>
      </c>
      <c r="AN78" s="265">
        <f t="shared" si="33"/>
        <v>0</v>
      </c>
      <c r="AO78" s="265">
        <f t="shared" ref="AO78:AU78" si="34">IF(SUM(AO67:AO77)&gt;8,SUM(AO67:AO77)-8,0)+IF(SUM(AO67:AO77)&gt;12,SUM(AO67:AO77)-12,0)</f>
        <v>0</v>
      </c>
      <c r="AP78" s="265">
        <f t="shared" si="34"/>
        <v>0</v>
      </c>
      <c r="AQ78" s="265">
        <f t="shared" si="34"/>
        <v>0</v>
      </c>
      <c r="AR78" s="265">
        <f t="shared" si="34"/>
        <v>0</v>
      </c>
      <c r="AS78" s="265">
        <f t="shared" si="34"/>
        <v>0</v>
      </c>
      <c r="AT78" s="265">
        <f t="shared" si="34"/>
        <v>0</v>
      </c>
      <c r="AU78" s="265">
        <f t="shared" si="34"/>
        <v>0</v>
      </c>
      <c r="AV78" s="265">
        <f t="shared" ref="AV78:AW78" si="35">IF(SUM(AV67:AV77)&gt;8,SUM(AV67:AV77)-8,0)+IF(SUM(AV67:AV77)&gt;12,SUM(AV67:AV77)-12,0)</f>
        <v>0</v>
      </c>
      <c r="AW78" s="265">
        <f t="shared" si="35"/>
        <v>0</v>
      </c>
      <c r="AX78" s="469">
        <f>IF(SUM(AX67:AX77)&gt;8,SUM(AX67:AX77)-8,0)+IF(SUM(AX67:AX77)&gt;12,SUM(AX67:AX77)-12,0)</f>
        <v>0</v>
      </c>
      <c r="AZ78" s="246"/>
    </row>
    <row r="79" spans="1:52" s="271" customFormat="1" x14ac:dyDescent="0.2">
      <c r="A79" s="266">
        <f t="shared" si="14"/>
        <v>42542</v>
      </c>
      <c r="B79" s="267" t="s">
        <v>86</v>
      </c>
      <c r="C79" s="268">
        <f t="shared" ref="C79:AN79" si="36">IFERROR((C$211*SUM(C67:C74)+C$212*SUM(C75:C77))/SUM(C67:C77)/2,0)*C78</f>
        <v>0</v>
      </c>
      <c r="D79" s="269">
        <f t="shared" si="36"/>
        <v>0</v>
      </c>
      <c r="E79" s="269">
        <f t="shared" si="36"/>
        <v>0</v>
      </c>
      <c r="F79" s="269">
        <f t="shared" si="36"/>
        <v>0</v>
      </c>
      <c r="G79" s="269">
        <f t="shared" si="36"/>
        <v>0</v>
      </c>
      <c r="H79" s="269">
        <f t="shared" si="36"/>
        <v>0</v>
      </c>
      <c r="I79" s="269">
        <f t="shared" si="36"/>
        <v>0</v>
      </c>
      <c r="J79" s="269">
        <f t="shared" si="36"/>
        <v>0</v>
      </c>
      <c r="K79" s="269">
        <f t="shared" si="36"/>
        <v>0</v>
      </c>
      <c r="L79" s="269">
        <f t="shared" si="36"/>
        <v>0</v>
      </c>
      <c r="M79" s="269">
        <f t="shared" si="36"/>
        <v>0</v>
      </c>
      <c r="N79" s="269">
        <f t="shared" si="36"/>
        <v>0</v>
      </c>
      <c r="O79" s="269">
        <f t="shared" si="36"/>
        <v>0</v>
      </c>
      <c r="P79" s="269">
        <f t="shared" si="36"/>
        <v>0</v>
      </c>
      <c r="Q79" s="269">
        <f t="shared" si="36"/>
        <v>0</v>
      </c>
      <c r="R79" s="269">
        <f t="shared" si="36"/>
        <v>0</v>
      </c>
      <c r="S79" s="269">
        <f t="shared" si="36"/>
        <v>0</v>
      </c>
      <c r="T79" s="269">
        <f t="shared" si="36"/>
        <v>0</v>
      </c>
      <c r="U79" s="269">
        <f t="shared" si="36"/>
        <v>0</v>
      </c>
      <c r="V79" s="269">
        <f t="shared" si="36"/>
        <v>0</v>
      </c>
      <c r="W79" s="269">
        <f t="shared" si="36"/>
        <v>0</v>
      </c>
      <c r="X79" s="269">
        <f t="shared" si="36"/>
        <v>0</v>
      </c>
      <c r="Y79" s="269">
        <f t="shared" si="36"/>
        <v>0</v>
      </c>
      <c r="Z79" s="269">
        <f t="shared" si="36"/>
        <v>0</v>
      </c>
      <c r="AA79" s="269">
        <f t="shared" si="36"/>
        <v>0</v>
      </c>
      <c r="AB79" s="269">
        <f t="shared" si="36"/>
        <v>0</v>
      </c>
      <c r="AC79" s="269">
        <f t="shared" si="36"/>
        <v>0</v>
      </c>
      <c r="AD79" s="269">
        <f t="shared" si="36"/>
        <v>0</v>
      </c>
      <c r="AE79" s="269">
        <f t="shared" si="36"/>
        <v>0</v>
      </c>
      <c r="AF79" s="269">
        <f t="shared" si="36"/>
        <v>0</v>
      </c>
      <c r="AG79" s="269">
        <f t="shared" si="36"/>
        <v>0</v>
      </c>
      <c r="AH79" s="269">
        <f t="shared" si="36"/>
        <v>0</v>
      </c>
      <c r="AI79" s="269">
        <f t="shared" si="36"/>
        <v>0</v>
      </c>
      <c r="AJ79" s="269">
        <f t="shared" si="36"/>
        <v>0</v>
      </c>
      <c r="AK79" s="269">
        <f t="shared" si="36"/>
        <v>0</v>
      </c>
      <c r="AL79" s="269">
        <f t="shared" si="36"/>
        <v>0</v>
      </c>
      <c r="AM79" s="269">
        <f t="shared" si="36"/>
        <v>0</v>
      </c>
      <c r="AN79" s="269">
        <f t="shared" si="36"/>
        <v>0</v>
      </c>
      <c r="AO79" s="269">
        <f t="shared" ref="AO79:AU79" si="37">IFERROR((AO$211*SUM(AO67:AO74)+AO$212*SUM(AO75:AO77))/SUM(AO67:AO77)/2,0)*AO78</f>
        <v>0</v>
      </c>
      <c r="AP79" s="269">
        <f t="shared" si="37"/>
        <v>0</v>
      </c>
      <c r="AQ79" s="269">
        <f t="shared" si="37"/>
        <v>0</v>
      </c>
      <c r="AR79" s="269">
        <f t="shared" si="37"/>
        <v>0</v>
      </c>
      <c r="AS79" s="269">
        <f t="shared" si="37"/>
        <v>0</v>
      </c>
      <c r="AT79" s="269">
        <f t="shared" si="37"/>
        <v>0</v>
      </c>
      <c r="AU79" s="269">
        <f t="shared" si="37"/>
        <v>0</v>
      </c>
      <c r="AV79" s="269">
        <f t="shared" ref="AV79:AW79" si="38">IFERROR((AV$211*SUM(AV67:AV74)+AV$212*SUM(AV75:AV77))/SUM(AV67:AV77)/2,0)*AV78</f>
        <v>0</v>
      </c>
      <c r="AW79" s="269">
        <f t="shared" si="38"/>
        <v>0</v>
      </c>
      <c r="AX79" s="470">
        <f>IFERROR((AX$211*SUM(AX67:AX74)+AX$212*SUM(AX75:AX77))/SUM(AX67:AX77)/2,0)*AX78</f>
        <v>0</v>
      </c>
      <c r="AZ79" s="246"/>
    </row>
    <row r="80" spans="1:52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467">
        <f>SUMPRODUCT((Driver!$A$2:$A$17=$A80)*(DriverEmp=AX$1),Driver!$C$2:$V$17)</f>
        <v>0</v>
      </c>
      <c r="AZ80" s="246"/>
    </row>
    <row r="81" spans="1:52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0</v>
      </c>
      <c r="W81" s="250">
        <f>SUMPRODUCT((PP!$A$2:$A$80=$A81)*(PPEmp=W$1),PP!$D$2:$BD$80)</f>
        <v>2.75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467">
        <f>SUMPRODUCT((PP!$A$2:$A$80=$A81)*(PPEmp=AX$1),PP!$D$2:$BD$80)</f>
        <v>0</v>
      </c>
      <c r="AZ81" s="246"/>
    </row>
    <row r="82" spans="1:52" s="271" customFormat="1" x14ac:dyDescent="0.2">
      <c r="A82" s="247">
        <f t="shared" si="14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0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0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0</v>
      </c>
      <c r="AJ82" s="250">
        <f>SUMPRODUCT((FH!$A$2:$A$97=$A82)*(FHEmp=AJ$1),FH!$E$2:$AZ$97)</f>
        <v>0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467">
        <f>SUMPRODUCT((FH!$A$2:$A$97=$A82)*(FHEmp=AX$1),FH!$E$2:$AZ$97)</f>
        <v>0</v>
      </c>
      <c r="AZ82" s="246"/>
    </row>
    <row r="83" spans="1:52" s="271" customFormat="1" x14ac:dyDescent="0.2">
      <c r="A83" s="247">
        <f t="shared" si="14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0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0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467">
        <f>SUMPRODUCT(('T22'!$A$2:$A$97=$A83)*(T22Emp=AX$1),'T22'!$E$2:$AZ$97)</f>
        <v>0</v>
      </c>
      <c r="AZ83" s="246"/>
    </row>
    <row r="84" spans="1:52" s="271" customFormat="1" x14ac:dyDescent="0.2">
      <c r="A84" s="247">
        <f t="shared" si="14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467">
        <f>SUMPRODUCT((RF!$A$2:$A$17=$A84)*(RFEmp=AX$1)*(RF!$H$21:$AO$21="RF Valet"),RF!$H$2:$AO$17)</f>
        <v>0</v>
      </c>
      <c r="AZ84" s="246"/>
    </row>
    <row r="85" spans="1:52" s="271" customFormat="1" x14ac:dyDescent="0.2">
      <c r="A85" s="247">
        <f t="shared" si="14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0</v>
      </c>
      <c r="N85" s="250">
        <f>SUMPRODUCT(('RC'!$A$2:$A$17=$A85)*(RCEmp=N$1),'RC'!$D$2:$AK$17)</f>
        <v>8.75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467">
        <f>SUMPRODUCT(('RC'!$A$2:$A$17=$A85)*(RCEmp=AX$1),'RC'!$D$2:$AK$17)</f>
        <v>0</v>
      </c>
      <c r="AZ85" s="246"/>
    </row>
    <row r="86" spans="1:52" s="271" customFormat="1" x14ac:dyDescent="0.2">
      <c r="A86" s="247">
        <f t="shared" si="14"/>
        <v>42543</v>
      </c>
      <c r="B86" s="614" t="s">
        <v>155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467">
        <f>SUMPRODUCT((HoO!$A$2:$A$34=$A86)*(HoOEmp=AX$1),HoO!$E$2:$Y$34)</f>
        <v>0</v>
      </c>
      <c r="AZ86" s="246"/>
    </row>
    <row r="87" spans="1:52" s="271" customFormat="1" x14ac:dyDescent="0.2">
      <c r="A87" s="247">
        <f t="shared" si="14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467">
        <f>SUMPRODUCT((TM!$A$2:$A$17=$A87)*(TMEmp=AX$1),TM!$D$2:$AK$17)</f>
        <v>0</v>
      </c>
      <c r="AZ87" s="246"/>
    </row>
    <row r="88" spans="1:52" s="271" customFormat="1" x14ac:dyDescent="0.2">
      <c r="A88" s="256">
        <f t="shared" si="14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468">
        <f>SUMPRODUCT((PC!$A$2:$A$80=$A88)*(PCEmp=AX$1),PC!$D$2:$BD$80)</f>
        <v>0</v>
      </c>
      <c r="AZ88" s="246"/>
    </row>
    <row r="89" spans="1:52" s="271" customFormat="1" x14ac:dyDescent="0.2">
      <c r="A89" s="247">
        <f t="shared" si="14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467">
        <f>SUMPRODUCT((RF!$A$2:$A$17=$A89)*(RFEmp=AX$1)*(RF!$H$21:$AO$21="RF Lead"),RF!$H$2:$AO$17)</f>
        <v>0</v>
      </c>
      <c r="AZ89" s="246"/>
    </row>
    <row r="90" spans="1:52" s="271" customFormat="1" x14ac:dyDescent="0.2">
      <c r="A90" s="260">
        <f t="shared" si="14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0</v>
      </c>
      <c r="AC90" s="250">
        <f>SUMPRODUCT((SC!$A$2:$A$34=$A90)*(SCEmp=AC$1),SC!$F$2:$Z$34)</f>
        <v>3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467">
        <f>SUMPRODUCT((SC!$A$2:$A$34=$A90)*(SCEmp=AX$1),SC!$F$2:$Z$34)</f>
        <v>0</v>
      </c>
      <c r="AZ90" s="246"/>
    </row>
    <row r="91" spans="1:52" s="271" customFormat="1" x14ac:dyDescent="0.2">
      <c r="A91" s="262">
        <f t="shared" si="14"/>
        <v>42543</v>
      </c>
      <c r="B91" s="263" t="s">
        <v>87</v>
      </c>
      <c r="C91" s="264">
        <f t="shared" ref="C91:AN91" si="39">IF(SUM(C80:C90)&gt;8,SUM(C80:C90)-8,0)+IF(SUM(C80:C90)&gt;12,SUM(C80:C90)-12,0)</f>
        <v>0</v>
      </c>
      <c r="D91" s="265">
        <f t="shared" si="39"/>
        <v>0</v>
      </c>
      <c r="E91" s="265">
        <f t="shared" si="39"/>
        <v>0</v>
      </c>
      <c r="F91" s="265">
        <f t="shared" si="39"/>
        <v>0</v>
      </c>
      <c r="G91" s="265">
        <f t="shared" si="39"/>
        <v>0</v>
      </c>
      <c r="H91" s="265">
        <f t="shared" si="39"/>
        <v>0</v>
      </c>
      <c r="I91" s="265">
        <f t="shared" si="39"/>
        <v>0</v>
      </c>
      <c r="J91" s="265">
        <f t="shared" si="39"/>
        <v>0</v>
      </c>
      <c r="K91" s="265">
        <f t="shared" si="39"/>
        <v>0</v>
      </c>
      <c r="L91" s="265">
        <f t="shared" si="39"/>
        <v>0</v>
      </c>
      <c r="M91" s="265">
        <f t="shared" si="39"/>
        <v>0</v>
      </c>
      <c r="N91" s="265">
        <f t="shared" si="39"/>
        <v>0.75</v>
      </c>
      <c r="O91" s="265">
        <f t="shared" si="39"/>
        <v>0</v>
      </c>
      <c r="P91" s="265">
        <f t="shared" si="39"/>
        <v>0</v>
      </c>
      <c r="Q91" s="265">
        <f t="shared" si="39"/>
        <v>0</v>
      </c>
      <c r="R91" s="265">
        <f t="shared" si="39"/>
        <v>0</v>
      </c>
      <c r="S91" s="265">
        <f t="shared" si="39"/>
        <v>0</v>
      </c>
      <c r="T91" s="265">
        <f t="shared" si="39"/>
        <v>0</v>
      </c>
      <c r="U91" s="265">
        <f t="shared" si="39"/>
        <v>0</v>
      </c>
      <c r="V91" s="265">
        <f t="shared" si="39"/>
        <v>0</v>
      </c>
      <c r="W91" s="265">
        <f t="shared" si="39"/>
        <v>0</v>
      </c>
      <c r="X91" s="265">
        <f t="shared" si="39"/>
        <v>0</v>
      </c>
      <c r="Y91" s="265">
        <f t="shared" si="39"/>
        <v>0</v>
      </c>
      <c r="Z91" s="265">
        <f t="shared" si="39"/>
        <v>0</v>
      </c>
      <c r="AA91" s="265">
        <f t="shared" si="39"/>
        <v>0</v>
      </c>
      <c r="AB91" s="265">
        <f t="shared" si="39"/>
        <v>0</v>
      </c>
      <c r="AC91" s="265">
        <f t="shared" si="39"/>
        <v>0</v>
      </c>
      <c r="AD91" s="265">
        <f t="shared" si="39"/>
        <v>0</v>
      </c>
      <c r="AE91" s="265">
        <f t="shared" si="39"/>
        <v>0</v>
      </c>
      <c r="AF91" s="265">
        <f t="shared" si="39"/>
        <v>0</v>
      </c>
      <c r="AG91" s="265">
        <f t="shared" si="39"/>
        <v>0</v>
      </c>
      <c r="AH91" s="265">
        <f t="shared" si="39"/>
        <v>0</v>
      </c>
      <c r="AI91" s="265">
        <f t="shared" si="39"/>
        <v>0</v>
      </c>
      <c r="AJ91" s="265">
        <f t="shared" si="39"/>
        <v>0</v>
      </c>
      <c r="AK91" s="265">
        <f t="shared" si="39"/>
        <v>0</v>
      </c>
      <c r="AL91" s="265">
        <f t="shared" si="39"/>
        <v>0</v>
      </c>
      <c r="AM91" s="265">
        <f t="shared" si="39"/>
        <v>0</v>
      </c>
      <c r="AN91" s="265">
        <f t="shared" si="39"/>
        <v>0</v>
      </c>
      <c r="AO91" s="265">
        <f t="shared" ref="AO91:AU91" si="40">IF(SUM(AO80:AO90)&gt;8,SUM(AO80:AO90)-8,0)+IF(SUM(AO80:AO90)&gt;12,SUM(AO80:AO90)-12,0)</f>
        <v>0</v>
      </c>
      <c r="AP91" s="265">
        <f t="shared" si="40"/>
        <v>0</v>
      </c>
      <c r="AQ91" s="265">
        <f t="shared" si="40"/>
        <v>0</v>
      </c>
      <c r="AR91" s="265">
        <f t="shared" si="40"/>
        <v>0</v>
      </c>
      <c r="AS91" s="265">
        <f t="shared" si="40"/>
        <v>0</v>
      </c>
      <c r="AT91" s="265">
        <f t="shared" si="40"/>
        <v>0</v>
      </c>
      <c r="AU91" s="265">
        <f t="shared" si="40"/>
        <v>0</v>
      </c>
      <c r="AV91" s="265">
        <f t="shared" ref="AV91:AW91" si="41">IF(SUM(AV80:AV90)&gt;8,SUM(AV80:AV90)-8,0)+IF(SUM(AV80:AV90)&gt;12,SUM(AV80:AV90)-12,0)</f>
        <v>0</v>
      </c>
      <c r="AW91" s="265">
        <f t="shared" si="41"/>
        <v>0</v>
      </c>
      <c r="AX91" s="469">
        <f>IF(SUM(AX80:AX90)&gt;8,SUM(AX80:AX90)-8,0)+IF(SUM(AX80:AX90)&gt;12,SUM(AX80:AX90)-12,0)</f>
        <v>0</v>
      </c>
      <c r="AZ91" s="246"/>
    </row>
    <row r="92" spans="1:52" s="271" customFormat="1" x14ac:dyDescent="0.2">
      <c r="A92" s="266">
        <f t="shared" si="14"/>
        <v>42543</v>
      </c>
      <c r="B92" s="267" t="s">
        <v>86</v>
      </c>
      <c r="C92" s="268">
        <f t="shared" ref="C92:AN92" si="42">IFERROR((C$211*SUM(C80:C87)+C$212*SUM(C88:C90))/SUM(C80:C90)/2,0)*C91</f>
        <v>0</v>
      </c>
      <c r="D92" s="269">
        <f t="shared" si="42"/>
        <v>0</v>
      </c>
      <c r="E92" s="269">
        <f t="shared" si="42"/>
        <v>0</v>
      </c>
      <c r="F92" s="269">
        <f t="shared" si="42"/>
        <v>0</v>
      </c>
      <c r="G92" s="269">
        <f t="shared" si="42"/>
        <v>0</v>
      </c>
      <c r="H92" s="269">
        <f t="shared" si="42"/>
        <v>0</v>
      </c>
      <c r="I92" s="269">
        <f t="shared" si="42"/>
        <v>0</v>
      </c>
      <c r="J92" s="269">
        <f t="shared" si="42"/>
        <v>0</v>
      </c>
      <c r="K92" s="269">
        <f t="shared" si="42"/>
        <v>0</v>
      </c>
      <c r="L92" s="269">
        <f t="shared" si="42"/>
        <v>0</v>
      </c>
      <c r="M92" s="269">
        <f t="shared" si="42"/>
        <v>0</v>
      </c>
      <c r="N92" s="269">
        <f t="shared" si="42"/>
        <v>3.75</v>
      </c>
      <c r="O92" s="269">
        <f t="shared" si="42"/>
        <v>0</v>
      </c>
      <c r="P92" s="269">
        <f t="shared" si="42"/>
        <v>0</v>
      </c>
      <c r="Q92" s="269">
        <f t="shared" si="42"/>
        <v>0</v>
      </c>
      <c r="R92" s="269">
        <f t="shared" si="42"/>
        <v>0</v>
      </c>
      <c r="S92" s="269">
        <f t="shared" si="42"/>
        <v>0</v>
      </c>
      <c r="T92" s="269">
        <f t="shared" si="42"/>
        <v>0</v>
      </c>
      <c r="U92" s="269">
        <f t="shared" si="42"/>
        <v>0</v>
      </c>
      <c r="V92" s="269">
        <f t="shared" si="42"/>
        <v>0</v>
      </c>
      <c r="W92" s="269">
        <f t="shared" si="42"/>
        <v>0</v>
      </c>
      <c r="X92" s="269">
        <f t="shared" si="42"/>
        <v>0</v>
      </c>
      <c r="Y92" s="269">
        <f t="shared" si="42"/>
        <v>0</v>
      </c>
      <c r="Z92" s="269">
        <f t="shared" si="42"/>
        <v>0</v>
      </c>
      <c r="AA92" s="269">
        <f t="shared" si="42"/>
        <v>0</v>
      </c>
      <c r="AB92" s="269">
        <f t="shared" si="42"/>
        <v>0</v>
      </c>
      <c r="AC92" s="269">
        <f t="shared" si="42"/>
        <v>0</v>
      </c>
      <c r="AD92" s="269">
        <f t="shared" si="42"/>
        <v>0</v>
      </c>
      <c r="AE92" s="269">
        <f t="shared" si="42"/>
        <v>0</v>
      </c>
      <c r="AF92" s="269">
        <f t="shared" si="42"/>
        <v>0</v>
      </c>
      <c r="AG92" s="269">
        <f t="shared" si="42"/>
        <v>0</v>
      </c>
      <c r="AH92" s="269">
        <f t="shared" si="42"/>
        <v>0</v>
      </c>
      <c r="AI92" s="269">
        <f t="shared" si="42"/>
        <v>0</v>
      </c>
      <c r="AJ92" s="269">
        <f t="shared" si="42"/>
        <v>0</v>
      </c>
      <c r="AK92" s="269">
        <f t="shared" si="42"/>
        <v>0</v>
      </c>
      <c r="AL92" s="269">
        <f t="shared" si="42"/>
        <v>0</v>
      </c>
      <c r="AM92" s="269">
        <f t="shared" si="42"/>
        <v>0</v>
      </c>
      <c r="AN92" s="269">
        <f t="shared" si="42"/>
        <v>0</v>
      </c>
      <c r="AO92" s="269">
        <f t="shared" ref="AO92:AU92" si="43">IFERROR((AO$211*SUM(AO80:AO87)+AO$212*SUM(AO88:AO90))/SUM(AO80:AO90)/2,0)*AO91</f>
        <v>0</v>
      </c>
      <c r="AP92" s="269">
        <f t="shared" si="43"/>
        <v>0</v>
      </c>
      <c r="AQ92" s="269">
        <f t="shared" si="43"/>
        <v>0</v>
      </c>
      <c r="AR92" s="269">
        <f t="shared" si="43"/>
        <v>0</v>
      </c>
      <c r="AS92" s="269">
        <f t="shared" si="43"/>
        <v>0</v>
      </c>
      <c r="AT92" s="269">
        <f t="shared" si="43"/>
        <v>0</v>
      </c>
      <c r="AU92" s="269">
        <f t="shared" si="43"/>
        <v>0</v>
      </c>
      <c r="AV92" s="269">
        <f t="shared" ref="AV92:AW92" si="44">IFERROR((AV$211*SUM(AV80:AV87)+AV$212*SUM(AV88:AV90))/SUM(AV80:AV90)/2,0)*AV91</f>
        <v>0</v>
      </c>
      <c r="AW92" s="269">
        <f t="shared" si="44"/>
        <v>0</v>
      </c>
      <c r="AX92" s="470">
        <f>IFERROR((AX$211*SUM(AX80:AX87)+AX$212*SUM(AX88:AX90))/SUM(AX80:AX90)/2,0)*AX91</f>
        <v>0</v>
      </c>
      <c r="AZ92" s="246"/>
    </row>
    <row r="93" spans="1:52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467">
        <f>SUMPRODUCT((Driver!$A$2:$A$17=$A93)*(DriverEmp=AX$1),Driver!$C$2:$V$17)</f>
        <v>0</v>
      </c>
      <c r="AZ93" s="246"/>
    </row>
    <row r="94" spans="1:52" s="271" customFormat="1" x14ac:dyDescent="0.2">
      <c r="A94" s="247">
        <f t="shared" ref="A94:A157" si="45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0</v>
      </c>
      <c r="M94" s="250">
        <f>SUMPRODUCT((PP!$A$2:$A$80=$A94)*(PPEmp=M$1),PP!$D$2:$BD$80)</f>
        <v>7.25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0</v>
      </c>
      <c r="R94" s="250">
        <f>SUMPRODUCT((PP!$A$2:$A$80=$A94)*(PPEmp=R$1),PP!$D$2:$BD$80)</f>
        <v>7.25</v>
      </c>
      <c r="S94" s="250">
        <f>SUMPRODUCT((PP!$A$2:$A$80=$A94)*(PPEmp=S$1),PP!$D$2:$BD$80)</f>
        <v>4.25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0</v>
      </c>
      <c r="W94" s="250">
        <f>SUMPRODUCT((PP!$A$2:$A$80=$A94)*(PPEmp=W$1),PP!$D$2:$BD$80)</f>
        <v>4.5</v>
      </c>
      <c r="X94" s="250">
        <f>SUMPRODUCT((PP!$A$2:$A$80=$A94)*(PPEmp=X$1),PP!$D$2:$BD$80)</f>
        <v>0</v>
      </c>
      <c r="Y94" s="250">
        <f>SUMPRODUCT((PP!$A$2:$A$80=$A94)*(PPEmp=Y$1),PP!$D$2:$BD$80)</f>
        <v>0</v>
      </c>
      <c r="Z94" s="250">
        <f>SUMPRODUCT((PP!$A$2:$A$80=$A94)*(PPEmp=Z$1),PP!$D$2:$BD$80)</f>
        <v>7.5</v>
      </c>
      <c r="AA94" s="250">
        <f>SUMPRODUCT((PP!$A$2:$A$80=$A94)*(PPEmp=AA$1),PP!$D$2:$BD$80)</f>
        <v>0</v>
      </c>
      <c r="AB94" s="250">
        <f>SUMPRODUCT((PP!$A$2:$A$80=$A94)*(PPEmp=AB$1),PP!$D$2:$BD$80)</f>
        <v>0</v>
      </c>
      <c r="AC94" s="250">
        <f>SUMPRODUCT((PP!$A$2:$A$80=$A94)*(PPEmp=AC$1),PP!$D$2:$BD$80)</f>
        <v>7.5</v>
      </c>
      <c r="AD94" s="250">
        <f>SUMPRODUCT((PP!$A$2:$A$80=$A94)*(PPEmp=AD$1),PP!$D$2:$BD$80)</f>
        <v>0</v>
      </c>
      <c r="AE94" s="250">
        <f>SUMPRODUCT((PP!$A$2:$A$80=$A94)*(PPEmp=AE$1),PP!$D$2:$BD$80)</f>
        <v>7.75</v>
      </c>
      <c r="AF94" s="250">
        <f>SUMPRODUCT((PP!$A$2:$A$80=$A94)*(PPEmp=AF$1),PP!$D$2:$BD$80)</f>
        <v>0</v>
      </c>
      <c r="AG94" s="250">
        <f>SUMPRODUCT((PP!$A$2:$A$80=$A94)*(PPEmp=AG$1),PP!$D$2:$BD$80)</f>
        <v>4.5</v>
      </c>
      <c r="AH94" s="250">
        <f>SUMPRODUCT((PP!$A$2:$A$80=$A94)*(PPEmp=AH$1),PP!$D$2:$BD$80)</f>
        <v>0</v>
      </c>
      <c r="AI94" s="250">
        <f>SUMPRODUCT((PP!$A$2:$A$80=$A94)*(PPEmp=AI$1),PP!$D$2:$BD$80)</f>
        <v>7.5</v>
      </c>
      <c r="AJ94" s="250">
        <f>SUMPRODUCT((PP!$A$2:$A$80=$A94)*(PPEmp=AJ$1),PP!$D$2:$BD$80)</f>
        <v>0</v>
      </c>
      <c r="AK94" s="250">
        <f>SUMPRODUCT((PP!$A$2:$A$80=$A94)*(PPEmp=AK$1),PP!$D$2:$BD$80)</f>
        <v>7.5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467">
        <f>SUMPRODUCT((PP!$A$2:$A$80=$A94)*(PPEmp=AX$1),PP!$D$2:$BD$80)</f>
        <v>0</v>
      </c>
      <c r="AZ94" s="246"/>
    </row>
    <row r="95" spans="1:52" s="271" customFormat="1" x14ac:dyDescent="0.2">
      <c r="A95" s="247">
        <f t="shared" si="45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0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0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467">
        <f>SUMPRODUCT((FH!$A$2:$A$97=$A95)*(FHEmp=AX$1),FH!$E$2:$AZ$97)</f>
        <v>0</v>
      </c>
      <c r="AZ95" s="246"/>
    </row>
    <row r="96" spans="1:52" s="271" customFormat="1" x14ac:dyDescent="0.2">
      <c r="A96" s="247">
        <f t="shared" si="45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0</v>
      </c>
      <c r="I96" s="250">
        <f>SUMPRODUCT(('T22'!$A$2:$A$97=$A96)*(T22Emp=I$1),'T22'!$E$2:$AZ$97)</f>
        <v>0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467">
        <f>SUMPRODUCT(('T22'!$A$2:$A$97=$A96)*(T22Emp=AX$1),'T22'!$E$2:$AZ$97)</f>
        <v>0</v>
      </c>
      <c r="AZ96" s="246"/>
    </row>
    <row r="97" spans="1:52" s="271" customFormat="1" x14ac:dyDescent="0.2">
      <c r="A97" s="247">
        <f t="shared" si="45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467">
        <f>SUMPRODUCT((RF!$A$2:$A$17=$A97)*(RFEmp=AX$1)*(RF!$H$21:$AO$21="RF Valet"),RF!$H$2:$AO$17)</f>
        <v>0</v>
      </c>
      <c r="AZ97" s="246"/>
    </row>
    <row r="98" spans="1:52" s="271" customFormat="1" x14ac:dyDescent="0.2">
      <c r="A98" s="247">
        <f t="shared" si="45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0</v>
      </c>
      <c r="P98" s="250">
        <f>SUMPRODUCT(('RC'!$A$2:$A$17=$A98)*(RCEmp=P$1),'RC'!$D$2:$AK$17)</f>
        <v>8.25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467">
        <f>SUMPRODUCT(('RC'!$A$2:$A$17=$A98)*(RCEmp=AX$1),'RC'!$D$2:$AK$17)</f>
        <v>0</v>
      </c>
      <c r="AZ98" s="246"/>
    </row>
    <row r="99" spans="1:52" s="271" customFormat="1" x14ac:dyDescent="0.2">
      <c r="A99" s="247">
        <f t="shared" si="45"/>
        <v>42544</v>
      </c>
      <c r="B99" s="614" t="s">
        <v>155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467">
        <f>SUMPRODUCT((HoO!$A$2:$A$34=$A99)*(HoOEmp=AX$1),HoO!$E$2:$Y$34)</f>
        <v>0</v>
      </c>
      <c r="AZ99" s="246"/>
    </row>
    <row r="100" spans="1:52" s="271" customFormat="1" x14ac:dyDescent="0.2">
      <c r="A100" s="247">
        <f t="shared" si="45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467">
        <f>SUMPRODUCT((TM!$A$2:$A$17=$A100)*(TMEmp=AX$1),TM!$D$2:$AK$17)</f>
        <v>0</v>
      </c>
      <c r="AZ100" s="246"/>
    </row>
    <row r="101" spans="1:52" s="271" customFormat="1" x14ac:dyDescent="0.2">
      <c r="A101" s="256">
        <f t="shared" si="45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468">
        <f>SUMPRODUCT((PC!$A$2:$A$80=$A101)*(PCEmp=AX$1),PC!$D$2:$BD$80)</f>
        <v>0</v>
      </c>
      <c r="AZ101" s="246"/>
    </row>
    <row r="102" spans="1:52" s="271" customFormat="1" x14ac:dyDescent="0.2">
      <c r="A102" s="247">
        <f t="shared" si="45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467">
        <f>SUMPRODUCT((RF!$A$2:$A$17=$A102)*(RFEmp=AX$1)*(RF!$H$21:$AO$21="RF Lead"),RF!$H$2:$AO$17)</f>
        <v>0</v>
      </c>
      <c r="AZ102" s="246"/>
    </row>
    <row r="103" spans="1:52" s="271" customFormat="1" x14ac:dyDescent="0.2">
      <c r="A103" s="260">
        <f t="shared" si="45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0</v>
      </c>
      <c r="AC103" s="250">
        <f>SUMPRODUCT((SC!$A$2:$A$34=$A103)*(SCEmp=AC$1),SC!$F$2:$Z$34)</f>
        <v>4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467">
        <f>SUMPRODUCT((SC!$A$2:$A$34=$A103)*(SCEmp=AX$1),SC!$F$2:$Z$34)</f>
        <v>0</v>
      </c>
      <c r="AZ103" s="246"/>
    </row>
    <row r="104" spans="1:52" s="271" customFormat="1" x14ac:dyDescent="0.2">
      <c r="A104" s="262">
        <f t="shared" si="45"/>
        <v>42544</v>
      </c>
      <c r="B104" s="263" t="s">
        <v>87</v>
      </c>
      <c r="C104" s="264">
        <f t="shared" ref="C104:AN104" si="46">IF(SUM(C93:C103)&gt;8,SUM(C93:C103)-8,0)+IF(SUM(C93:C103)&gt;12,SUM(C93:C103)-12,0)</f>
        <v>0</v>
      </c>
      <c r="D104" s="265">
        <f t="shared" si="46"/>
        <v>0</v>
      </c>
      <c r="E104" s="265">
        <f t="shared" si="46"/>
        <v>0</v>
      </c>
      <c r="F104" s="265">
        <f t="shared" si="46"/>
        <v>0</v>
      </c>
      <c r="G104" s="265">
        <f t="shared" si="46"/>
        <v>0</v>
      </c>
      <c r="H104" s="265">
        <f t="shared" si="46"/>
        <v>0</v>
      </c>
      <c r="I104" s="265">
        <f t="shared" si="46"/>
        <v>0</v>
      </c>
      <c r="J104" s="265">
        <f t="shared" si="46"/>
        <v>0</v>
      </c>
      <c r="K104" s="265">
        <f t="shared" si="46"/>
        <v>0</v>
      </c>
      <c r="L104" s="265">
        <f t="shared" si="46"/>
        <v>0</v>
      </c>
      <c r="M104" s="265">
        <f t="shared" si="46"/>
        <v>0</v>
      </c>
      <c r="N104" s="265">
        <f t="shared" si="46"/>
        <v>0</v>
      </c>
      <c r="O104" s="265">
        <f t="shared" si="46"/>
        <v>0</v>
      </c>
      <c r="P104" s="265">
        <f t="shared" si="46"/>
        <v>0.25</v>
      </c>
      <c r="Q104" s="265">
        <f t="shared" si="46"/>
        <v>0</v>
      </c>
      <c r="R104" s="265">
        <f t="shared" si="46"/>
        <v>0</v>
      </c>
      <c r="S104" s="265">
        <f t="shared" si="46"/>
        <v>0</v>
      </c>
      <c r="T104" s="265">
        <f t="shared" si="46"/>
        <v>0</v>
      </c>
      <c r="U104" s="265">
        <f t="shared" si="46"/>
        <v>0</v>
      </c>
      <c r="V104" s="265">
        <f t="shared" si="46"/>
        <v>0</v>
      </c>
      <c r="W104" s="265">
        <f t="shared" si="46"/>
        <v>0</v>
      </c>
      <c r="X104" s="265">
        <f t="shared" si="46"/>
        <v>0</v>
      </c>
      <c r="Y104" s="265">
        <f t="shared" si="46"/>
        <v>0</v>
      </c>
      <c r="Z104" s="265">
        <f t="shared" si="46"/>
        <v>0</v>
      </c>
      <c r="AA104" s="265">
        <f t="shared" si="46"/>
        <v>0</v>
      </c>
      <c r="AB104" s="265">
        <f t="shared" si="46"/>
        <v>0</v>
      </c>
      <c r="AC104" s="265">
        <f t="shared" si="46"/>
        <v>3.5</v>
      </c>
      <c r="AD104" s="265">
        <f t="shared" si="46"/>
        <v>0</v>
      </c>
      <c r="AE104" s="265">
        <f t="shared" si="46"/>
        <v>0</v>
      </c>
      <c r="AF104" s="265">
        <f t="shared" si="46"/>
        <v>0</v>
      </c>
      <c r="AG104" s="265">
        <f t="shared" si="46"/>
        <v>0</v>
      </c>
      <c r="AH104" s="265">
        <f t="shared" si="46"/>
        <v>0</v>
      </c>
      <c r="AI104" s="265">
        <f t="shared" si="46"/>
        <v>0</v>
      </c>
      <c r="AJ104" s="265">
        <f t="shared" si="46"/>
        <v>0</v>
      </c>
      <c r="AK104" s="265">
        <f t="shared" si="46"/>
        <v>0</v>
      </c>
      <c r="AL104" s="265">
        <f t="shared" si="46"/>
        <v>0</v>
      </c>
      <c r="AM104" s="265">
        <f t="shared" si="46"/>
        <v>0</v>
      </c>
      <c r="AN104" s="265">
        <f t="shared" si="46"/>
        <v>0</v>
      </c>
      <c r="AO104" s="265">
        <f t="shared" ref="AO104:AU104" si="47">IF(SUM(AO93:AO103)&gt;8,SUM(AO93:AO103)-8,0)+IF(SUM(AO93:AO103)&gt;12,SUM(AO93:AO103)-12,0)</f>
        <v>0</v>
      </c>
      <c r="AP104" s="265">
        <f t="shared" si="47"/>
        <v>0</v>
      </c>
      <c r="AQ104" s="265">
        <f t="shared" si="47"/>
        <v>0</v>
      </c>
      <c r="AR104" s="265">
        <f t="shared" si="47"/>
        <v>0</v>
      </c>
      <c r="AS104" s="265">
        <f t="shared" si="47"/>
        <v>0</v>
      </c>
      <c r="AT104" s="265">
        <f t="shared" si="47"/>
        <v>0</v>
      </c>
      <c r="AU104" s="265">
        <f t="shared" si="47"/>
        <v>0</v>
      </c>
      <c r="AV104" s="265">
        <f t="shared" ref="AV104:AW104" si="48">IF(SUM(AV93:AV103)&gt;8,SUM(AV93:AV103)-8,0)+IF(SUM(AV93:AV103)&gt;12,SUM(AV93:AV103)-12,0)</f>
        <v>0</v>
      </c>
      <c r="AW104" s="265">
        <f t="shared" si="48"/>
        <v>0</v>
      </c>
      <c r="AX104" s="469">
        <f>IF(SUM(AX93:AX103)&gt;8,SUM(AX93:AX103)-8,0)+IF(SUM(AX93:AX103)&gt;12,SUM(AX93:AX103)-12,0)</f>
        <v>0</v>
      </c>
      <c r="AZ104" s="246"/>
    </row>
    <row r="105" spans="1:52" s="271" customFormat="1" x14ac:dyDescent="0.2">
      <c r="A105" s="266">
        <f t="shared" si="45"/>
        <v>42544</v>
      </c>
      <c r="B105" s="267" t="s">
        <v>86</v>
      </c>
      <c r="C105" s="268">
        <f t="shared" ref="C105:AN105" si="49">IFERROR((C$211*SUM(C93:C100)+C$212*SUM(C101:C103))/SUM(C93:C103)/2,0)*C104</f>
        <v>0</v>
      </c>
      <c r="D105" s="269">
        <f t="shared" si="49"/>
        <v>0</v>
      </c>
      <c r="E105" s="269">
        <f t="shared" si="49"/>
        <v>0</v>
      </c>
      <c r="F105" s="269">
        <f t="shared" si="49"/>
        <v>0</v>
      </c>
      <c r="G105" s="269">
        <f t="shared" si="49"/>
        <v>0</v>
      </c>
      <c r="H105" s="269">
        <f t="shared" si="49"/>
        <v>0</v>
      </c>
      <c r="I105" s="269">
        <f t="shared" si="49"/>
        <v>0</v>
      </c>
      <c r="J105" s="269">
        <f t="shared" si="49"/>
        <v>0</v>
      </c>
      <c r="K105" s="269">
        <f t="shared" si="49"/>
        <v>0</v>
      </c>
      <c r="L105" s="269">
        <f t="shared" si="49"/>
        <v>0</v>
      </c>
      <c r="M105" s="269">
        <f t="shared" si="49"/>
        <v>0</v>
      </c>
      <c r="N105" s="269">
        <f t="shared" si="49"/>
        <v>0</v>
      </c>
      <c r="O105" s="269">
        <f t="shared" si="49"/>
        <v>0</v>
      </c>
      <c r="P105" s="269">
        <f t="shared" si="49"/>
        <v>1.25</v>
      </c>
      <c r="Q105" s="269">
        <f t="shared" si="49"/>
        <v>0</v>
      </c>
      <c r="R105" s="269">
        <f t="shared" si="49"/>
        <v>0</v>
      </c>
      <c r="S105" s="269">
        <f t="shared" si="49"/>
        <v>0</v>
      </c>
      <c r="T105" s="269">
        <f t="shared" si="49"/>
        <v>0</v>
      </c>
      <c r="U105" s="269">
        <f t="shared" si="49"/>
        <v>0</v>
      </c>
      <c r="V105" s="269">
        <f t="shared" si="49"/>
        <v>0</v>
      </c>
      <c r="W105" s="269">
        <f t="shared" si="49"/>
        <v>0</v>
      </c>
      <c r="X105" s="269">
        <f t="shared" si="49"/>
        <v>0</v>
      </c>
      <c r="Y105" s="269">
        <f t="shared" si="49"/>
        <v>0</v>
      </c>
      <c r="Z105" s="269">
        <f t="shared" si="49"/>
        <v>0</v>
      </c>
      <c r="AA105" s="269">
        <f t="shared" si="49"/>
        <v>0</v>
      </c>
      <c r="AB105" s="269">
        <f t="shared" si="49"/>
        <v>0</v>
      </c>
      <c r="AC105" s="269">
        <f t="shared" si="49"/>
        <v>19.630434782608695</v>
      </c>
      <c r="AD105" s="269">
        <f t="shared" si="49"/>
        <v>0</v>
      </c>
      <c r="AE105" s="269">
        <f t="shared" si="49"/>
        <v>0</v>
      </c>
      <c r="AF105" s="269">
        <f t="shared" si="49"/>
        <v>0</v>
      </c>
      <c r="AG105" s="269">
        <f t="shared" si="49"/>
        <v>0</v>
      </c>
      <c r="AH105" s="269">
        <f t="shared" si="49"/>
        <v>0</v>
      </c>
      <c r="AI105" s="269">
        <f t="shared" si="49"/>
        <v>0</v>
      </c>
      <c r="AJ105" s="269">
        <f t="shared" si="49"/>
        <v>0</v>
      </c>
      <c r="AK105" s="269">
        <f t="shared" si="49"/>
        <v>0</v>
      </c>
      <c r="AL105" s="269">
        <f t="shared" si="49"/>
        <v>0</v>
      </c>
      <c r="AM105" s="269">
        <f t="shared" si="49"/>
        <v>0</v>
      </c>
      <c r="AN105" s="269">
        <f t="shared" si="49"/>
        <v>0</v>
      </c>
      <c r="AO105" s="269">
        <f t="shared" ref="AO105:AU105" si="50">IFERROR((AO$211*SUM(AO93:AO100)+AO$212*SUM(AO101:AO103))/SUM(AO93:AO103)/2,0)*AO104</f>
        <v>0</v>
      </c>
      <c r="AP105" s="269">
        <f t="shared" si="50"/>
        <v>0</v>
      </c>
      <c r="AQ105" s="269">
        <f t="shared" si="50"/>
        <v>0</v>
      </c>
      <c r="AR105" s="269">
        <f t="shared" si="50"/>
        <v>0</v>
      </c>
      <c r="AS105" s="269">
        <f t="shared" si="50"/>
        <v>0</v>
      </c>
      <c r="AT105" s="269">
        <f t="shared" si="50"/>
        <v>0</v>
      </c>
      <c r="AU105" s="269">
        <f t="shared" si="50"/>
        <v>0</v>
      </c>
      <c r="AV105" s="269">
        <f t="shared" ref="AV105:AW105" si="51">IFERROR((AV$211*SUM(AV93:AV100)+AV$212*SUM(AV101:AV103))/SUM(AV93:AV103)/2,0)*AV104</f>
        <v>0</v>
      </c>
      <c r="AW105" s="269">
        <f t="shared" si="51"/>
        <v>0</v>
      </c>
      <c r="AX105" s="470">
        <f>IFERROR((AX$211*SUM(AX93:AX100)+AX$212*SUM(AX101:AX103))/SUM(AX93:AX103)/2,0)*AX104</f>
        <v>0</v>
      </c>
      <c r="AZ105" s="246"/>
    </row>
    <row r="106" spans="1:52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0</v>
      </c>
      <c r="AA106" s="250">
        <f>SUMPRODUCT((Driver!$A$2:$A$17=$A106)*(DriverEmp=AA$1),Driver!$C$2:$V$17)</f>
        <v>4.25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467">
        <f>SUMPRODUCT((Driver!$A$2:$A$17=$A106)*(DriverEmp=AX$1),Driver!$C$2:$V$17)</f>
        <v>0</v>
      </c>
      <c r="AZ106" s="246"/>
    </row>
    <row r="107" spans="1:52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0</v>
      </c>
      <c r="L107" s="250">
        <f>SUMPRODUCT((PP!$A$2:$A$80=$A107)*(PPEmp=L$1),PP!$D$2:$BD$80)</f>
        <v>8</v>
      </c>
      <c r="M107" s="250">
        <f>SUMPRODUCT((PP!$A$2:$A$80=$A107)*(PPEmp=M$1),PP!$D$2:$BD$80)</f>
        <v>6.67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0</v>
      </c>
      <c r="S107" s="250">
        <f>SUMPRODUCT((PP!$A$2:$A$80=$A107)*(PPEmp=S$1),PP!$D$2:$BD$80)</f>
        <v>6.5</v>
      </c>
      <c r="T107" s="250">
        <f>SUMPRODUCT((PP!$A$2:$A$80=$A107)*(PPEmp=T$1),PP!$D$2:$BD$80)</f>
        <v>0</v>
      </c>
      <c r="U107" s="250">
        <f>SUMPRODUCT((PP!$A$2:$A$80=$A107)*(PPEmp=U$1),PP!$D$2:$BD$80)</f>
        <v>0</v>
      </c>
      <c r="V107" s="250">
        <f>SUMPRODUCT((PP!$A$2:$A$80=$A107)*(PPEmp=V$1),PP!$D$2:$BD$80)</f>
        <v>7.5</v>
      </c>
      <c r="W107" s="250">
        <f>SUMPRODUCT((PP!$A$2:$A$80=$A107)*(PPEmp=W$1),PP!$D$2:$BD$80)</f>
        <v>8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0</v>
      </c>
      <c r="AC107" s="250">
        <f>SUMPRODUCT((PP!$A$2:$A$80=$A107)*(PPEmp=AC$1),PP!$D$2:$BD$80)</f>
        <v>8</v>
      </c>
      <c r="AD107" s="250">
        <f>SUMPRODUCT((PP!$A$2:$A$80=$A107)*(PPEmp=AD$1),PP!$D$2:$BD$80)</f>
        <v>0</v>
      </c>
      <c r="AE107" s="250">
        <f>SUMPRODUCT((PP!$A$2:$A$80=$A107)*(PPEmp=AE$1),PP!$D$2:$BD$80)</f>
        <v>7.5</v>
      </c>
      <c r="AF107" s="250">
        <f>SUMPRODUCT((PP!$A$2:$A$80=$A107)*(PPEmp=AF$1),PP!$D$2:$BD$80)</f>
        <v>0</v>
      </c>
      <c r="AG107" s="250">
        <f>SUMPRODUCT((PP!$A$2:$A$80=$A107)*(PPEmp=AG$1),PP!$D$2:$BD$80)</f>
        <v>7.75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467">
        <f>SUMPRODUCT((PP!$A$2:$A$80=$A107)*(PPEmp=AX$1),PP!$D$2:$BD$80)</f>
        <v>0</v>
      </c>
      <c r="AZ107" s="246"/>
    </row>
    <row r="108" spans="1:52" s="271" customFormat="1" x14ac:dyDescent="0.2">
      <c r="A108" s="247">
        <f t="shared" si="45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0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0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0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467">
        <f>SUMPRODUCT((FH!$A$2:$A$97=$A108)*(FHEmp=AX$1),FH!$E$2:$AZ$97)</f>
        <v>0</v>
      </c>
      <c r="AZ108" s="246"/>
    </row>
    <row r="109" spans="1:52" s="271" customFormat="1" x14ac:dyDescent="0.2">
      <c r="A109" s="247">
        <f t="shared" si="45"/>
        <v>42545</v>
      </c>
      <c r="B109" s="253" t="str">
        <f>Total!$K$1</f>
        <v>T22</v>
      </c>
      <c r="C109" s="249">
        <f>SUMPRODUCT(('T22'!$A$2:$A$97=$A109)*(T22Emp=C$1),'T22'!$E$2:$AZ$97)</f>
        <v>0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0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0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467">
        <f>SUMPRODUCT(('T22'!$A$2:$A$97=$A109)*(T22Emp=AX$1),'T22'!$E$2:$AZ$97)</f>
        <v>0</v>
      </c>
      <c r="AZ109" s="246"/>
    </row>
    <row r="110" spans="1:52" s="271" customFormat="1" x14ac:dyDescent="0.2">
      <c r="A110" s="247">
        <f t="shared" si="45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0</v>
      </c>
      <c r="O110" s="250">
        <f>SUMPRODUCT((RF!$A$2:$A$17=$A110)*(RFEmp=O$1)*(RF!$H$21:$AO$21="RF Valet"),RF!$H$2:$AO$17)</f>
        <v>5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467">
        <f>SUMPRODUCT((RF!$A$2:$A$17=$A110)*(RFEmp=AX$1)*(RF!$H$21:$AO$21="RF Valet"),RF!$H$2:$AO$17)</f>
        <v>0</v>
      </c>
      <c r="AZ110" s="246"/>
    </row>
    <row r="111" spans="1:52" s="271" customFormat="1" x14ac:dyDescent="0.2">
      <c r="A111" s="247">
        <f t="shared" si="45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0</v>
      </c>
      <c r="N111" s="250">
        <f>SUMPRODUCT(('RC'!$A$2:$A$17=$A111)*(RCEmp=N$1),'RC'!$D$2:$AK$17)</f>
        <v>7.75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467">
        <f>SUMPRODUCT(('RC'!$A$2:$A$17=$A111)*(RCEmp=AX$1),'RC'!$D$2:$AK$17)</f>
        <v>0</v>
      </c>
      <c r="AZ111" s="246"/>
    </row>
    <row r="112" spans="1:52" s="271" customFormat="1" x14ac:dyDescent="0.2">
      <c r="A112" s="247">
        <f t="shared" si="45"/>
        <v>42545</v>
      </c>
      <c r="B112" s="614" t="s">
        <v>155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467">
        <f>SUMPRODUCT((HoO!$A$2:$A$34=$A112)*(HoOEmp=AX$1),HoO!$E$2:$Y$34)</f>
        <v>0</v>
      </c>
      <c r="AZ112" s="246"/>
    </row>
    <row r="113" spans="1:52" s="271" customFormat="1" x14ac:dyDescent="0.2">
      <c r="A113" s="247">
        <f t="shared" si="45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467">
        <f>SUMPRODUCT((TM!$A$2:$A$17=$A113)*(TMEmp=AX$1),TM!$D$2:$AK$17)</f>
        <v>0</v>
      </c>
      <c r="AZ113" s="246"/>
    </row>
    <row r="114" spans="1:52" s="271" customFormat="1" x14ac:dyDescent="0.2">
      <c r="A114" s="256">
        <f t="shared" si="45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468">
        <f>SUMPRODUCT((PC!$A$2:$A$80=$A114)*(PCEmp=AX$1),PC!$D$2:$BD$80)</f>
        <v>0</v>
      </c>
      <c r="AZ114" s="246"/>
    </row>
    <row r="115" spans="1:52" s="271" customFormat="1" x14ac:dyDescent="0.2">
      <c r="A115" s="247">
        <f t="shared" si="45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467">
        <f>SUMPRODUCT((RF!$A$2:$A$17=$A115)*(RFEmp=AX$1)*(RF!$H$21:$AO$21="RF Lead"),RF!$H$2:$AO$17)</f>
        <v>0</v>
      </c>
    </row>
    <row r="116" spans="1:52" s="271" customFormat="1" x14ac:dyDescent="0.2">
      <c r="A116" s="260">
        <f t="shared" si="45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0</v>
      </c>
      <c r="AC116" s="250">
        <f>SUMPRODUCT((SC!$A$2:$A$34=$A116)*(SCEmp=AC$1),SC!$F$2:$Z$34)</f>
        <v>2.75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467">
        <f>SUMPRODUCT((SC!$A$2:$A$34=$A116)*(SCEmp=AX$1),SC!$F$2:$Z$34)</f>
        <v>0</v>
      </c>
    </row>
    <row r="117" spans="1:52" s="271" customFormat="1" x14ac:dyDescent="0.2">
      <c r="A117" s="262">
        <f t="shared" si="45"/>
        <v>42545</v>
      </c>
      <c r="B117" s="263" t="s">
        <v>87</v>
      </c>
      <c r="C117" s="264">
        <f t="shared" ref="C117:AN117" si="52">IF(SUM(C106:C116)&gt;8,SUM(C106:C116)-8,0)+IF(SUM(C106:C116)&gt;12,SUM(C106:C116)-12,0)</f>
        <v>0</v>
      </c>
      <c r="D117" s="265">
        <f t="shared" si="52"/>
        <v>0</v>
      </c>
      <c r="E117" s="265">
        <f t="shared" si="52"/>
        <v>0</v>
      </c>
      <c r="F117" s="265">
        <f t="shared" si="52"/>
        <v>0</v>
      </c>
      <c r="G117" s="265">
        <f t="shared" si="52"/>
        <v>0</v>
      </c>
      <c r="H117" s="265">
        <f t="shared" si="52"/>
        <v>0</v>
      </c>
      <c r="I117" s="265">
        <f t="shared" si="52"/>
        <v>0</v>
      </c>
      <c r="J117" s="265">
        <f t="shared" si="52"/>
        <v>0</v>
      </c>
      <c r="K117" s="265">
        <f t="shared" si="52"/>
        <v>0</v>
      </c>
      <c r="L117" s="265">
        <f t="shared" si="52"/>
        <v>0</v>
      </c>
      <c r="M117" s="265">
        <f t="shared" si="52"/>
        <v>0</v>
      </c>
      <c r="N117" s="265">
        <f t="shared" si="52"/>
        <v>0</v>
      </c>
      <c r="O117" s="265">
        <f t="shared" si="52"/>
        <v>0</v>
      </c>
      <c r="P117" s="265">
        <f t="shared" si="52"/>
        <v>0</v>
      </c>
      <c r="Q117" s="265">
        <f t="shared" si="52"/>
        <v>0</v>
      </c>
      <c r="R117" s="265">
        <f t="shared" si="52"/>
        <v>0</v>
      </c>
      <c r="S117" s="265">
        <f t="shared" si="52"/>
        <v>0</v>
      </c>
      <c r="T117" s="265">
        <f t="shared" si="52"/>
        <v>0</v>
      </c>
      <c r="U117" s="265">
        <f t="shared" si="52"/>
        <v>0</v>
      </c>
      <c r="V117" s="265">
        <f t="shared" si="52"/>
        <v>0</v>
      </c>
      <c r="W117" s="265">
        <f t="shared" si="52"/>
        <v>0</v>
      </c>
      <c r="X117" s="265">
        <f t="shared" si="52"/>
        <v>0</v>
      </c>
      <c r="Y117" s="265">
        <f t="shared" si="52"/>
        <v>0</v>
      </c>
      <c r="Z117" s="265">
        <f t="shared" si="52"/>
        <v>0</v>
      </c>
      <c r="AA117" s="265">
        <f t="shared" si="52"/>
        <v>0</v>
      </c>
      <c r="AB117" s="265">
        <f t="shared" si="52"/>
        <v>0</v>
      </c>
      <c r="AC117" s="265">
        <f t="shared" si="52"/>
        <v>2.75</v>
      </c>
      <c r="AD117" s="265">
        <f t="shared" si="52"/>
        <v>0</v>
      </c>
      <c r="AE117" s="265">
        <f t="shared" si="52"/>
        <v>0</v>
      </c>
      <c r="AF117" s="265">
        <f t="shared" si="52"/>
        <v>0</v>
      </c>
      <c r="AG117" s="265">
        <f t="shared" si="52"/>
        <v>0</v>
      </c>
      <c r="AH117" s="265">
        <f t="shared" si="52"/>
        <v>0</v>
      </c>
      <c r="AI117" s="265">
        <f t="shared" si="52"/>
        <v>0</v>
      </c>
      <c r="AJ117" s="265">
        <f t="shared" si="52"/>
        <v>0</v>
      </c>
      <c r="AK117" s="265">
        <f t="shared" si="52"/>
        <v>0</v>
      </c>
      <c r="AL117" s="265">
        <f t="shared" si="52"/>
        <v>0</v>
      </c>
      <c r="AM117" s="265">
        <f t="shared" si="52"/>
        <v>0</v>
      </c>
      <c r="AN117" s="265">
        <f t="shared" si="52"/>
        <v>0</v>
      </c>
      <c r="AO117" s="265">
        <f t="shared" ref="AO117:AU117" si="53">IF(SUM(AO106:AO116)&gt;8,SUM(AO106:AO116)-8,0)+IF(SUM(AO106:AO116)&gt;12,SUM(AO106:AO116)-12,0)</f>
        <v>0</v>
      </c>
      <c r="AP117" s="265">
        <f t="shared" si="53"/>
        <v>0</v>
      </c>
      <c r="AQ117" s="265">
        <f t="shared" si="53"/>
        <v>0</v>
      </c>
      <c r="AR117" s="265">
        <f t="shared" si="53"/>
        <v>0</v>
      </c>
      <c r="AS117" s="265">
        <f t="shared" si="53"/>
        <v>0</v>
      </c>
      <c r="AT117" s="265">
        <f t="shared" si="53"/>
        <v>0</v>
      </c>
      <c r="AU117" s="265">
        <f t="shared" si="53"/>
        <v>0</v>
      </c>
      <c r="AV117" s="265">
        <f t="shared" ref="AV117:AW117" si="54">IF(SUM(AV106:AV116)&gt;8,SUM(AV106:AV116)-8,0)+IF(SUM(AV106:AV116)&gt;12,SUM(AV106:AV116)-12,0)</f>
        <v>0</v>
      </c>
      <c r="AW117" s="265">
        <f t="shared" si="54"/>
        <v>0</v>
      </c>
      <c r="AX117" s="469">
        <f>IF(SUM(AX106:AX116)&gt;8,SUM(AX106:AX116)-8,0)+IF(SUM(AX106:AX116)&gt;12,SUM(AX106:AX116)-12,0)</f>
        <v>0</v>
      </c>
    </row>
    <row r="118" spans="1:52" s="271" customFormat="1" x14ac:dyDescent="0.2">
      <c r="A118" s="266">
        <f t="shared" si="45"/>
        <v>42545</v>
      </c>
      <c r="B118" s="267" t="s">
        <v>86</v>
      </c>
      <c r="C118" s="268">
        <f t="shared" ref="C118:AN118" si="55">IFERROR((C$211*SUM(C106:C113)+C$212*SUM(C114:C116))/SUM(C106:C116)/2,0)*C117</f>
        <v>0</v>
      </c>
      <c r="D118" s="269">
        <f t="shared" si="55"/>
        <v>0</v>
      </c>
      <c r="E118" s="269">
        <f t="shared" si="55"/>
        <v>0</v>
      </c>
      <c r="F118" s="269">
        <f t="shared" si="55"/>
        <v>0</v>
      </c>
      <c r="G118" s="269">
        <f t="shared" si="55"/>
        <v>0</v>
      </c>
      <c r="H118" s="269">
        <f t="shared" si="55"/>
        <v>0</v>
      </c>
      <c r="I118" s="269">
        <f t="shared" si="55"/>
        <v>0</v>
      </c>
      <c r="J118" s="269">
        <f t="shared" si="55"/>
        <v>0</v>
      </c>
      <c r="K118" s="269">
        <f t="shared" si="55"/>
        <v>0</v>
      </c>
      <c r="L118" s="269">
        <f t="shared" si="55"/>
        <v>0</v>
      </c>
      <c r="M118" s="269">
        <f t="shared" si="55"/>
        <v>0</v>
      </c>
      <c r="N118" s="269">
        <f t="shared" si="55"/>
        <v>0</v>
      </c>
      <c r="O118" s="269">
        <f t="shared" si="55"/>
        <v>0</v>
      </c>
      <c r="P118" s="269">
        <f t="shared" si="55"/>
        <v>0</v>
      </c>
      <c r="Q118" s="269">
        <f t="shared" si="55"/>
        <v>0</v>
      </c>
      <c r="R118" s="269">
        <f t="shared" si="55"/>
        <v>0</v>
      </c>
      <c r="S118" s="269">
        <f t="shared" si="55"/>
        <v>0</v>
      </c>
      <c r="T118" s="269">
        <f t="shared" si="55"/>
        <v>0</v>
      </c>
      <c r="U118" s="269">
        <f t="shared" si="55"/>
        <v>0</v>
      </c>
      <c r="V118" s="269">
        <f t="shared" si="55"/>
        <v>0</v>
      </c>
      <c r="W118" s="269">
        <f t="shared" si="55"/>
        <v>0</v>
      </c>
      <c r="X118" s="269">
        <f t="shared" si="55"/>
        <v>0</v>
      </c>
      <c r="Y118" s="269">
        <f t="shared" si="55"/>
        <v>0</v>
      </c>
      <c r="Z118" s="269">
        <f t="shared" si="55"/>
        <v>0</v>
      </c>
      <c r="AA118" s="269">
        <f t="shared" si="55"/>
        <v>0</v>
      </c>
      <c r="AB118" s="269">
        <f t="shared" si="55"/>
        <v>0</v>
      </c>
      <c r="AC118" s="269">
        <f t="shared" si="55"/>
        <v>14.981104651162791</v>
      </c>
      <c r="AD118" s="269">
        <f t="shared" si="55"/>
        <v>0</v>
      </c>
      <c r="AE118" s="269">
        <f t="shared" si="55"/>
        <v>0</v>
      </c>
      <c r="AF118" s="269">
        <f t="shared" si="55"/>
        <v>0</v>
      </c>
      <c r="AG118" s="269">
        <f t="shared" si="55"/>
        <v>0</v>
      </c>
      <c r="AH118" s="269">
        <f t="shared" si="55"/>
        <v>0</v>
      </c>
      <c r="AI118" s="269">
        <f t="shared" si="55"/>
        <v>0</v>
      </c>
      <c r="AJ118" s="269">
        <f t="shared" si="55"/>
        <v>0</v>
      </c>
      <c r="AK118" s="269">
        <f t="shared" si="55"/>
        <v>0</v>
      </c>
      <c r="AL118" s="269">
        <f t="shared" si="55"/>
        <v>0</v>
      </c>
      <c r="AM118" s="269">
        <f t="shared" si="55"/>
        <v>0</v>
      </c>
      <c r="AN118" s="269">
        <f t="shared" si="55"/>
        <v>0</v>
      </c>
      <c r="AO118" s="269">
        <f t="shared" ref="AO118:AU118" si="56">IFERROR((AO$211*SUM(AO106:AO113)+AO$212*SUM(AO114:AO116))/SUM(AO106:AO116)/2,0)*AO117</f>
        <v>0</v>
      </c>
      <c r="AP118" s="269">
        <f t="shared" si="56"/>
        <v>0</v>
      </c>
      <c r="AQ118" s="269">
        <f t="shared" si="56"/>
        <v>0</v>
      </c>
      <c r="AR118" s="269">
        <f t="shared" si="56"/>
        <v>0</v>
      </c>
      <c r="AS118" s="269">
        <f t="shared" si="56"/>
        <v>0</v>
      </c>
      <c r="AT118" s="269">
        <f t="shared" si="56"/>
        <v>0</v>
      </c>
      <c r="AU118" s="269">
        <f t="shared" si="56"/>
        <v>0</v>
      </c>
      <c r="AV118" s="269">
        <f t="shared" ref="AV118:AW118" si="57">IFERROR((AV$211*SUM(AV106:AV113)+AV$212*SUM(AV114:AV116))/SUM(AV106:AV116)/2,0)*AV117</f>
        <v>0</v>
      </c>
      <c r="AW118" s="269">
        <f t="shared" si="57"/>
        <v>0</v>
      </c>
      <c r="AX118" s="470">
        <f>IFERROR((AX$211*SUM(AX106:AX113)+AX$212*SUM(AX114:AX116))/SUM(AX106:AX116)/2,0)*AX117</f>
        <v>0</v>
      </c>
    </row>
    <row r="119" spans="1:52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0</v>
      </c>
      <c r="U119" s="250">
        <f>SUMPRODUCT((Driver!$A$2:$A$17=$A119)*(DriverEmp=U$1),Driver!$C$2:$V$17)</f>
        <v>7.75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0</v>
      </c>
      <c r="AA119" s="250">
        <f>SUMPRODUCT((Driver!$A$2:$A$17=$A119)*(DriverEmp=AA$1),Driver!$C$2:$V$17)</f>
        <v>4.75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467">
        <f>SUMPRODUCT((Driver!$A$2:$A$17=$A119)*(DriverEmp=AX$1),Driver!$C$2:$V$17)</f>
        <v>0</v>
      </c>
    </row>
    <row r="120" spans="1:52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0</v>
      </c>
      <c r="S120" s="250">
        <f>SUMPRODUCT((PP!$A$2:$A$80=$A120)*(PPEmp=S$1),PP!$D$2:$BD$80)</f>
        <v>2.5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0</v>
      </c>
      <c r="W120" s="250">
        <f>SUMPRODUCT((PP!$A$2:$A$80=$A120)*(PPEmp=W$1),PP!$D$2:$BD$80)</f>
        <v>8.5</v>
      </c>
      <c r="X120" s="250">
        <f>SUMPRODUCT((PP!$A$2:$A$80=$A120)*(PPEmp=X$1),PP!$D$2:$BD$80)</f>
        <v>0</v>
      </c>
      <c r="Y120" s="250">
        <f>SUMPRODUCT((PP!$A$2:$A$80=$A120)*(PPEmp=Y$1),PP!$D$2:$BD$80)</f>
        <v>0</v>
      </c>
      <c r="Z120" s="250">
        <f>SUMPRODUCT((PP!$A$2:$A$80=$A120)*(PPEmp=Z$1),PP!$D$2:$BD$80)</f>
        <v>8.5</v>
      </c>
      <c r="AA120" s="250">
        <f>SUMPRODUCT((PP!$A$2:$A$80=$A120)*(PPEmp=AA$1),PP!$D$2:$BD$80)</f>
        <v>0</v>
      </c>
      <c r="AB120" s="250">
        <f>SUMPRODUCT((PP!$A$2:$A$80=$A120)*(PPEmp=AB$1),PP!$D$2:$BD$80)</f>
        <v>15.25</v>
      </c>
      <c r="AC120" s="250">
        <f>SUMPRODUCT((PP!$A$2:$A$80=$A120)*(PPEmp=AC$1),PP!$D$2:$BD$80)</f>
        <v>0</v>
      </c>
      <c r="AD120" s="250">
        <f>SUMPRODUCT((PP!$A$2:$A$80=$A120)*(PPEmp=AD$1),PP!$D$2:$BD$80)</f>
        <v>0</v>
      </c>
      <c r="AE120" s="250">
        <f>SUMPRODUCT((PP!$A$2:$A$80=$A120)*(PPEmp=AE$1),PP!$D$2:$BD$80)</f>
        <v>9.5500000000000007</v>
      </c>
      <c r="AF120" s="250">
        <f>SUMPRODUCT((PP!$A$2:$A$80=$A120)*(PPEmp=AF$1),PP!$D$2:$BD$80)</f>
        <v>0</v>
      </c>
      <c r="AG120" s="250">
        <f>SUMPRODUCT((PP!$A$2:$A$80=$A120)*(PPEmp=AG$1),PP!$D$2:$BD$80)</f>
        <v>2.75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467">
        <f>SUMPRODUCT((PP!$A$2:$A$80=$A120)*(PPEmp=AX$1),PP!$D$2:$BD$80)</f>
        <v>0</v>
      </c>
    </row>
    <row r="121" spans="1:52" s="271" customFormat="1" x14ac:dyDescent="0.2">
      <c r="A121" s="247">
        <f t="shared" si="45"/>
        <v>42546</v>
      </c>
      <c r="B121" s="252" t="str">
        <f>Total!$J$1</f>
        <v>FH</v>
      </c>
      <c r="C121" s="249">
        <f>SUMPRODUCT((FH!$A$2:$A$97=$A121)*(FHEmp=C$1),FH!$E$2:$AZ$97)</f>
        <v>0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0</v>
      </c>
      <c r="H121" s="250">
        <f>SUMPRODUCT((FH!$A$2:$A$97=$A121)*(FHEmp=H$1),FH!$E$2:$AZ$97)</f>
        <v>0</v>
      </c>
      <c r="I121" s="250">
        <f>SUMPRODUCT((FH!$A$2:$A$97=$A121)*(FHEmp=I$1),FH!$E$2:$AZ$97)</f>
        <v>0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0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467">
        <f>SUMPRODUCT((FH!$A$2:$A$97=$A121)*(FHEmp=AX$1),FH!$E$2:$AZ$97)</f>
        <v>0</v>
      </c>
    </row>
    <row r="122" spans="1:52" s="271" customFormat="1" x14ac:dyDescent="0.2">
      <c r="A122" s="247">
        <f t="shared" si="45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0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0</v>
      </c>
      <c r="R122" s="250">
        <f>SUMPRODUCT(('T22'!$A$2:$A$97=$A122)*(T22Emp=R$1),'T22'!$E$2:$AZ$97)</f>
        <v>0</v>
      </c>
      <c r="S122" s="250">
        <f>SUMPRODUCT(('T22'!$A$2:$A$97=$A122)*(T22Emp=S$1),'T22'!$E$2:$AZ$97)</f>
        <v>0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467">
        <f>SUMPRODUCT(('T22'!$A$2:$A$97=$A122)*(T22Emp=AX$1),'T22'!$E$2:$AZ$97)</f>
        <v>0</v>
      </c>
    </row>
    <row r="123" spans="1:52" s="271" customFormat="1" x14ac:dyDescent="0.2">
      <c r="A123" s="247">
        <f t="shared" si="45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467">
        <f>SUMPRODUCT((RF!$A$2:$A$17=$A123)*(RFEmp=AX$1)*(RF!$H$21:$AO$21="RF Valet"),RF!$H$2:$AO$17)</f>
        <v>0</v>
      </c>
    </row>
    <row r="124" spans="1:52" s="271" customFormat="1" x14ac:dyDescent="0.2">
      <c r="A124" s="247">
        <f t="shared" si="45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0</v>
      </c>
      <c r="N124" s="250">
        <f>SUMPRODUCT(('RC'!$A$2:$A$17=$A124)*(RCEmp=N$1),'RC'!$D$2:$AK$17)</f>
        <v>10.25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0</v>
      </c>
      <c r="AK124" s="250">
        <f>SUMPRODUCT(('RC'!$A$2:$A$17=$A124)*(RCEmp=AK$1),'RC'!$D$2:$AK$17)</f>
        <v>4.5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467">
        <f>SUMPRODUCT(('RC'!$A$2:$A$17=$A124)*(RCEmp=AX$1),'RC'!$D$2:$AK$17)</f>
        <v>0</v>
      </c>
    </row>
    <row r="125" spans="1:52" s="271" customFormat="1" x14ac:dyDescent="0.2">
      <c r="A125" s="247">
        <f t="shared" si="45"/>
        <v>42546</v>
      </c>
      <c r="B125" s="614" t="s">
        <v>155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467">
        <f>SUMPRODUCT((HoO!$A$2:$A$34=$A125)*(HoOEmp=AX$1),HoO!$E$2:$Y$34)</f>
        <v>0</v>
      </c>
    </row>
    <row r="126" spans="1:52" s="271" customFormat="1" x14ac:dyDescent="0.2">
      <c r="A126" s="247">
        <f t="shared" si="45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467">
        <f>SUMPRODUCT((TM!$A$2:$A$17=$A126)*(TMEmp=AX$1),TM!$D$2:$AK$17)</f>
        <v>0</v>
      </c>
    </row>
    <row r="127" spans="1:52" s="271" customFormat="1" x14ac:dyDescent="0.2">
      <c r="A127" s="256">
        <f t="shared" si="45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468">
        <f>SUMPRODUCT((PC!$A$2:$A$80=$A127)*(PCEmp=AX$1),PC!$D$2:$BD$80)</f>
        <v>0</v>
      </c>
    </row>
    <row r="128" spans="1:52" s="271" customFormat="1" x14ac:dyDescent="0.2">
      <c r="A128" s="247">
        <f t="shared" si="45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467">
        <f>SUMPRODUCT((RF!$A$2:$A$17=$A128)*(RFEmp=AX$1)*(RF!$H$21:$AO$21="RF Lead"),RF!$H$2:$AO$17)</f>
        <v>0</v>
      </c>
    </row>
    <row r="129" spans="1:50" s="271" customFormat="1" x14ac:dyDescent="0.2">
      <c r="A129" s="260">
        <f t="shared" si="45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467">
        <f>SUMPRODUCT((SC!$A$2:$A$34=$A129)*(SCEmp=AX$1),SC!$F$2:$Z$34)</f>
        <v>0</v>
      </c>
    </row>
    <row r="130" spans="1:50" s="271" customFormat="1" x14ac:dyDescent="0.2">
      <c r="A130" s="262">
        <f t="shared" si="45"/>
        <v>42546</v>
      </c>
      <c r="B130" s="263" t="s">
        <v>87</v>
      </c>
      <c r="C130" s="264">
        <f t="shared" ref="C130:AN130" si="58">IF(SUM(C119:C129)&gt;8,SUM(C119:C129)-8,0)+IF(SUM(C119:C129)&gt;12,SUM(C119:C129)-12,0)</f>
        <v>0</v>
      </c>
      <c r="D130" s="265">
        <f t="shared" si="58"/>
        <v>0</v>
      </c>
      <c r="E130" s="265">
        <f t="shared" si="58"/>
        <v>0</v>
      </c>
      <c r="F130" s="265">
        <f t="shared" si="58"/>
        <v>0</v>
      </c>
      <c r="G130" s="265">
        <f t="shared" si="58"/>
        <v>0</v>
      </c>
      <c r="H130" s="265">
        <f t="shared" si="58"/>
        <v>0</v>
      </c>
      <c r="I130" s="265">
        <f t="shared" si="58"/>
        <v>0</v>
      </c>
      <c r="J130" s="265">
        <f t="shared" si="58"/>
        <v>0.5</v>
      </c>
      <c r="K130" s="265">
        <f t="shared" si="58"/>
        <v>0</v>
      </c>
      <c r="L130" s="265">
        <f t="shared" si="58"/>
        <v>0</v>
      </c>
      <c r="M130" s="265">
        <f t="shared" si="58"/>
        <v>0</v>
      </c>
      <c r="N130" s="265">
        <f t="shared" si="58"/>
        <v>2.25</v>
      </c>
      <c r="O130" s="265">
        <f t="shared" si="58"/>
        <v>0</v>
      </c>
      <c r="P130" s="265">
        <f t="shared" si="58"/>
        <v>0</v>
      </c>
      <c r="Q130" s="265">
        <f t="shared" si="58"/>
        <v>0</v>
      </c>
      <c r="R130" s="265">
        <f t="shared" si="58"/>
        <v>0</v>
      </c>
      <c r="S130" s="265">
        <f t="shared" si="58"/>
        <v>0</v>
      </c>
      <c r="T130" s="265">
        <f t="shared" si="58"/>
        <v>0</v>
      </c>
      <c r="U130" s="265">
        <f t="shared" si="58"/>
        <v>0</v>
      </c>
      <c r="V130" s="265">
        <f t="shared" si="58"/>
        <v>0</v>
      </c>
      <c r="W130" s="265">
        <f t="shared" si="58"/>
        <v>0.5</v>
      </c>
      <c r="X130" s="265">
        <f t="shared" si="58"/>
        <v>0</v>
      </c>
      <c r="Y130" s="265">
        <f t="shared" si="58"/>
        <v>0</v>
      </c>
      <c r="Z130" s="265">
        <f t="shared" si="58"/>
        <v>0.5</v>
      </c>
      <c r="AA130" s="265">
        <f t="shared" si="58"/>
        <v>0</v>
      </c>
      <c r="AB130" s="265">
        <f t="shared" si="58"/>
        <v>10.5</v>
      </c>
      <c r="AC130" s="265">
        <f t="shared" si="58"/>
        <v>0</v>
      </c>
      <c r="AD130" s="265">
        <f t="shared" si="58"/>
        <v>0</v>
      </c>
      <c r="AE130" s="265">
        <f t="shared" si="58"/>
        <v>1.5500000000000007</v>
      </c>
      <c r="AF130" s="265">
        <f t="shared" si="58"/>
        <v>0</v>
      </c>
      <c r="AG130" s="265">
        <f t="shared" si="58"/>
        <v>0</v>
      </c>
      <c r="AH130" s="265">
        <f t="shared" si="58"/>
        <v>0</v>
      </c>
      <c r="AI130" s="265">
        <f t="shared" si="58"/>
        <v>0</v>
      </c>
      <c r="AJ130" s="265">
        <f t="shared" si="58"/>
        <v>0</v>
      </c>
      <c r="AK130" s="265">
        <f t="shared" si="58"/>
        <v>0</v>
      </c>
      <c r="AL130" s="265">
        <f t="shared" si="58"/>
        <v>0</v>
      </c>
      <c r="AM130" s="265">
        <f t="shared" si="58"/>
        <v>0</v>
      </c>
      <c r="AN130" s="265">
        <f t="shared" si="58"/>
        <v>0</v>
      </c>
      <c r="AO130" s="265">
        <f t="shared" ref="AO130:AU130" si="59">IF(SUM(AO119:AO129)&gt;8,SUM(AO119:AO129)-8,0)+IF(SUM(AO119:AO129)&gt;12,SUM(AO119:AO129)-12,0)</f>
        <v>0</v>
      </c>
      <c r="AP130" s="265">
        <f t="shared" si="59"/>
        <v>0</v>
      </c>
      <c r="AQ130" s="265">
        <f t="shared" si="59"/>
        <v>0</v>
      </c>
      <c r="AR130" s="265">
        <f t="shared" si="59"/>
        <v>0</v>
      </c>
      <c r="AS130" s="265">
        <f t="shared" si="59"/>
        <v>0</v>
      </c>
      <c r="AT130" s="265">
        <f t="shared" si="59"/>
        <v>0</v>
      </c>
      <c r="AU130" s="265">
        <f t="shared" si="59"/>
        <v>0</v>
      </c>
      <c r="AV130" s="265">
        <f t="shared" ref="AV130:AW130" si="60">IF(SUM(AV119:AV129)&gt;8,SUM(AV119:AV129)-8,0)+IF(SUM(AV119:AV129)&gt;12,SUM(AV119:AV129)-12,0)</f>
        <v>0</v>
      </c>
      <c r="AW130" s="265">
        <f t="shared" si="60"/>
        <v>0</v>
      </c>
      <c r="AX130" s="469">
        <f>IF(SUM(AX119:AX129)&gt;8,SUM(AX119:AX129)-8,0)+IF(SUM(AX119:AX129)&gt;12,SUM(AX119:AX129)-12,0)</f>
        <v>0</v>
      </c>
    </row>
    <row r="131" spans="1:50" s="271" customFormat="1" x14ac:dyDescent="0.2">
      <c r="A131" s="266">
        <f t="shared" si="45"/>
        <v>42546</v>
      </c>
      <c r="B131" s="267" t="s">
        <v>86</v>
      </c>
      <c r="C131" s="268">
        <f t="shared" ref="C131:AN131" si="61">IFERROR((C$211*SUM(C119:C126)+C$212*SUM(C127:C129))/SUM(C119:C129)/2,0)*C130</f>
        <v>0</v>
      </c>
      <c r="D131" s="269">
        <f t="shared" si="61"/>
        <v>0</v>
      </c>
      <c r="E131" s="269">
        <f t="shared" si="61"/>
        <v>0</v>
      </c>
      <c r="F131" s="269">
        <f t="shared" si="61"/>
        <v>0</v>
      </c>
      <c r="G131" s="269">
        <f t="shared" si="61"/>
        <v>0</v>
      </c>
      <c r="H131" s="269">
        <f t="shared" si="61"/>
        <v>0</v>
      </c>
      <c r="I131" s="269">
        <f t="shared" si="61"/>
        <v>0</v>
      </c>
      <c r="J131" s="269">
        <f t="shared" si="61"/>
        <v>2.5</v>
      </c>
      <c r="K131" s="269">
        <f t="shared" si="61"/>
        <v>0</v>
      </c>
      <c r="L131" s="269">
        <f t="shared" si="61"/>
        <v>0</v>
      </c>
      <c r="M131" s="269">
        <f t="shared" si="61"/>
        <v>0</v>
      </c>
      <c r="N131" s="269">
        <f t="shared" si="61"/>
        <v>11.25</v>
      </c>
      <c r="O131" s="269">
        <f t="shared" si="61"/>
        <v>0</v>
      </c>
      <c r="P131" s="269">
        <f t="shared" si="61"/>
        <v>0</v>
      </c>
      <c r="Q131" s="269">
        <f t="shared" si="61"/>
        <v>0</v>
      </c>
      <c r="R131" s="269">
        <f t="shared" si="61"/>
        <v>0</v>
      </c>
      <c r="S131" s="269">
        <f t="shared" si="61"/>
        <v>0</v>
      </c>
      <c r="T131" s="269">
        <f t="shared" si="61"/>
        <v>0</v>
      </c>
      <c r="U131" s="269">
        <f t="shared" si="61"/>
        <v>0</v>
      </c>
      <c r="V131" s="269">
        <f t="shared" si="61"/>
        <v>0</v>
      </c>
      <c r="W131" s="269">
        <f t="shared" si="61"/>
        <v>2.5</v>
      </c>
      <c r="X131" s="269">
        <f t="shared" si="61"/>
        <v>0</v>
      </c>
      <c r="Y131" s="269">
        <f t="shared" si="61"/>
        <v>0</v>
      </c>
      <c r="Z131" s="269">
        <f t="shared" si="61"/>
        <v>2.5</v>
      </c>
      <c r="AA131" s="269">
        <f t="shared" si="61"/>
        <v>0</v>
      </c>
      <c r="AB131" s="269">
        <f t="shared" si="61"/>
        <v>0</v>
      </c>
      <c r="AC131" s="269">
        <f t="shared" si="61"/>
        <v>0</v>
      </c>
      <c r="AD131" s="269">
        <f t="shared" si="61"/>
        <v>0</v>
      </c>
      <c r="AE131" s="269">
        <f t="shared" si="61"/>
        <v>7.7500000000000036</v>
      </c>
      <c r="AF131" s="269">
        <f t="shared" si="61"/>
        <v>0</v>
      </c>
      <c r="AG131" s="269">
        <f t="shared" si="61"/>
        <v>0</v>
      </c>
      <c r="AH131" s="269">
        <f t="shared" si="61"/>
        <v>0</v>
      </c>
      <c r="AI131" s="269">
        <f t="shared" si="61"/>
        <v>0</v>
      </c>
      <c r="AJ131" s="269">
        <f t="shared" si="61"/>
        <v>0</v>
      </c>
      <c r="AK131" s="269">
        <f t="shared" si="61"/>
        <v>0</v>
      </c>
      <c r="AL131" s="269">
        <f t="shared" si="61"/>
        <v>0</v>
      </c>
      <c r="AM131" s="269">
        <f t="shared" si="61"/>
        <v>0</v>
      </c>
      <c r="AN131" s="269">
        <f t="shared" si="61"/>
        <v>0</v>
      </c>
      <c r="AO131" s="269">
        <f t="shared" ref="AO131:AU131" si="62">IFERROR((AO$211*SUM(AO119:AO126)+AO$212*SUM(AO127:AO129))/SUM(AO119:AO129)/2,0)*AO130</f>
        <v>0</v>
      </c>
      <c r="AP131" s="269">
        <f t="shared" si="62"/>
        <v>0</v>
      </c>
      <c r="AQ131" s="269">
        <f t="shared" si="62"/>
        <v>0</v>
      </c>
      <c r="AR131" s="269">
        <f t="shared" si="62"/>
        <v>0</v>
      </c>
      <c r="AS131" s="269">
        <f t="shared" si="62"/>
        <v>0</v>
      </c>
      <c r="AT131" s="269">
        <f t="shared" si="62"/>
        <v>0</v>
      </c>
      <c r="AU131" s="269">
        <f t="shared" si="62"/>
        <v>0</v>
      </c>
      <c r="AV131" s="269">
        <f t="shared" ref="AV131:AW131" si="63">IFERROR((AV$211*SUM(AV119:AV126)+AV$212*SUM(AV127:AV129))/SUM(AV119:AV129)/2,0)*AV130</f>
        <v>0</v>
      </c>
      <c r="AW131" s="269">
        <f t="shared" si="63"/>
        <v>0</v>
      </c>
      <c r="AX131" s="470">
        <f>IFERROR((AX$211*SUM(AX119:AX126)+AX$212*SUM(AX127:AX129))/SUM(AX119:AX129)/2,0)*AX130</f>
        <v>0</v>
      </c>
    </row>
    <row r="132" spans="1:50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0</v>
      </c>
      <c r="U132" s="250">
        <f>SUMPRODUCT((Driver!$A$2:$A$17=$A132)*(DriverEmp=U$1),Driver!$C$2:$V$17)</f>
        <v>1.5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467">
        <f>SUMPRODUCT((Driver!$A$2:$A$17=$A132)*(DriverEmp=AX$1),Driver!$C$2:$V$17)</f>
        <v>0</v>
      </c>
    </row>
    <row r="133" spans="1:50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0</v>
      </c>
      <c r="W133" s="250">
        <f>SUMPRODUCT((PP!$A$2:$A$80=$A133)*(PPEmp=W$1),PP!$D$2:$BD$80)</f>
        <v>6.5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0</v>
      </c>
      <c r="AK133" s="250">
        <f>SUMPRODUCT((PP!$A$2:$A$80=$A133)*(PPEmp=AK$1),PP!$D$2:$BD$80)</f>
        <v>6.5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467">
        <f>SUMPRODUCT((PP!$A$2:$A$80=$A133)*(PPEmp=AX$1),PP!$D$2:$BD$80)</f>
        <v>0</v>
      </c>
    </row>
    <row r="134" spans="1:50" s="271" customFormat="1" x14ac:dyDescent="0.2">
      <c r="A134" s="247">
        <f t="shared" si="45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0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0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467">
        <f>SUMPRODUCT((FH!$A$2:$A$97=$A134)*(FHEmp=AX$1),FH!$E$2:$AZ$97)</f>
        <v>0</v>
      </c>
    </row>
    <row r="135" spans="1:50" s="271" customFormat="1" x14ac:dyDescent="0.2">
      <c r="A135" s="247">
        <f t="shared" si="45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0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467">
        <f>SUMPRODUCT(('T22'!$A$2:$A$97=$A135)*(T22Emp=AX$1),'T22'!$E$2:$AZ$97)</f>
        <v>0</v>
      </c>
    </row>
    <row r="136" spans="1:50" s="271" customFormat="1" x14ac:dyDescent="0.2">
      <c r="A136" s="247">
        <f t="shared" si="45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467">
        <f>SUMPRODUCT((RF!$A$2:$A$17=$A136)*(RFEmp=AX$1)*(RF!$H$21:$AO$21="RF Valet"),RF!$H$2:$AO$17)</f>
        <v>0</v>
      </c>
    </row>
    <row r="137" spans="1:50" s="271" customFormat="1" x14ac:dyDescent="0.2">
      <c r="A137" s="247">
        <f t="shared" si="45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0</v>
      </c>
      <c r="N137" s="250">
        <f>SUMPRODUCT(('RC'!$A$2:$A$17=$A137)*(RCEmp=N$1),'RC'!$D$2:$AK$17)</f>
        <v>6.25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0</v>
      </c>
      <c r="Z137" s="250">
        <f>SUMPRODUCT(('RC'!$A$2:$A$17=$A137)*(RCEmp=Z$1),'RC'!$D$2:$AK$17)</f>
        <v>3.75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467">
        <f>SUMPRODUCT(('RC'!$A$2:$A$17=$A137)*(RCEmp=AX$1),'RC'!$D$2:$AK$17)</f>
        <v>0</v>
      </c>
    </row>
    <row r="138" spans="1:50" s="271" customFormat="1" x14ac:dyDescent="0.2">
      <c r="A138" s="247">
        <f t="shared" si="45"/>
        <v>42547</v>
      </c>
      <c r="B138" s="614" t="s">
        <v>155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467">
        <f>SUMPRODUCT((HoO!$A$2:$A$34=$A138)*(HoOEmp=AX$1),HoO!$E$2:$Y$34)</f>
        <v>0</v>
      </c>
    </row>
    <row r="139" spans="1:50" s="271" customFormat="1" x14ac:dyDescent="0.2">
      <c r="A139" s="247">
        <f t="shared" si="45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467">
        <f>SUMPRODUCT((TM!$A$2:$A$17=$A139)*(TMEmp=AX$1),TM!$D$2:$AK$17)</f>
        <v>0</v>
      </c>
    </row>
    <row r="140" spans="1:50" s="271" customFormat="1" x14ac:dyDescent="0.2">
      <c r="A140" s="256">
        <f t="shared" si="45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468">
        <f>SUMPRODUCT((PC!$A$2:$A$80=$A140)*(PCEmp=AX$1),PC!$D$2:$BD$80)</f>
        <v>0</v>
      </c>
    </row>
    <row r="141" spans="1:50" s="271" customFormat="1" x14ac:dyDescent="0.2">
      <c r="A141" s="247">
        <f t="shared" si="45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467">
        <f>SUMPRODUCT((RF!$A$2:$A$17=$A141)*(RFEmp=AX$1)*(RF!$H$21:$AO$21="RF Lead"),RF!$H$2:$AO$17)</f>
        <v>0</v>
      </c>
    </row>
    <row r="142" spans="1:50" s="271" customFormat="1" x14ac:dyDescent="0.2">
      <c r="A142" s="260">
        <f t="shared" si="45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467">
        <f>SUMPRODUCT((SC!$A$2:$A$34=$A142)*(SCEmp=AX$1),SC!$F$2:$Z$34)</f>
        <v>0</v>
      </c>
    </row>
    <row r="143" spans="1:50" s="271" customFormat="1" x14ac:dyDescent="0.2">
      <c r="A143" s="262">
        <f t="shared" si="45"/>
        <v>42547</v>
      </c>
      <c r="B143" s="263" t="s">
        <v>87</v>
      </c>
      <c r="C143" s="264">
        <f t="shared" ref="C143:AN143" si="64">IF(SUM(C132:C142)&gt;8,SUM(C132:C142)-8,0)+IF(SUM(C132:C142)&gt;12,SUM(C132:C142)-12,0)</f>
        <v>0</v>
      </c>
      <c r="D143" s="265">
        <f t="shared" si="64"/>
        <v>0</v>
      </c>
      <c r="E143" s="265">
        <f t="shared" si="64"/>
        <v>0</v>
      </c>
      <c r="F143" s="265">
        <f t="shared" si="64"/>
        <v>0</v>
      </c>
      <c r="G143" s="265">
        <f t="shared" si="64"/>
        <v>0</v>
      </c>
      <c r="H143" s="265">
        <f t="shared" si="64"/>
        <v>0</v>
      </c>
      <c r="I143" s="265">
        <f t="shared" si="64"/>
        <v>0</v>
      </c>
      <c r="J143" s="265">
        <f t="shared" si="64"/>
        <v>0</v>
      </c>
      <c r="K143" s="265">
        <f t="shared" si="64"/>
        <v>0</v>
      </c>
      <c r="L143" s="265">
        <f t="shared" si="64"/>
        <v>0</v>
      </c>
      <c r="M143" s="265">
        <f t="shared" si="64"/>
        <v>0</v>
      </c>
      <c r="N143" s="265">
        <f t="shared" si="64"/>
        <v>0</v>
      </c>
      <c r="O143" s="265">
        <f t="shared" si="64"/>
        <v>0</v>
      </c>
      <c r="P143" s="265">
        <f t="shared" si="64"/>
        <v>0</v>
      </c>
      <c r="Q143" s="265">
        <f t="shared" si="64"/>
        <v>0</v>
      </c>
      <c r="R143" s="265">
        <f t="shared" si="64"/>
        <v>0</v>
      </c>
      <c r="S143" s="265">
        <f t="shared" si="64"/>
        <v>0</v>
      </c>
      <c r="T143" s="265">
        <f t="shared" si="64"/>
        <v>0</v>
      </c>
      <c r="U143" s="265">
        <f t="shared" si="64"/>
        <v>0</v>
      </c>
      <c r="V143" s="265">
        <f t="shared" si="64"/>
        <v>0</v>
      </c>
      <c r="W143" s="265">
        <f t="shared" si="64"/>
        <v>0</v>
      </c>
      <c r="X143" s="265">
        <f t="shared" si="64"/>
        <v>0</v>
      </c>
      <c r="Y143" s="265">
        <f t="shared" si="64"/>
        <v>0</v>
      </c>
      <c r="Z143" s="265">
        <f t="shared" si="64"/>
        <v>0</v>
      </c>
      <c r="AA143" s="265">
        <f t="shared" si="64"/>
        <v>0</v>
      </c>
      <c r="AB143" s="265">
        <f t="shared" si="64"/>
        <v>0</v>
      </c>
      <c r="AC143" s="265">
        <f t="shared" si="64"/>
        <v>0</v>
      </c>
      <c r="AD143" s="265">
        <f t="shared" si="64"/>
        <v>0</v>
      </c>
      <c r="AE143" s="265">
        <f t="shared" si="64"/>
        <v>0</v>
      </c>
      <c r="AF143" s="265">
        <f t="shared" si="64"/>
        <v>0</v>
      </c>
      <c r="AG143" s="265">
        <f t="shared" si="64"/>
        <v>0</v>
      </c>
      <c r="AH143" s="265">
        <f t="shared" si="64"/>
        <v>0</v>
      </c>
      <c r="AI143" s="265">
        <f t="shared" si="64"/>
        <v>0</v>
      </c>
      <c r="AJ143" s="265">
        <f t="shared" si="64"/>
        <v>0</v>
      </c>
      <c r="AK143" s="265">
        <f t="shared" si="64"/>
        <v>0</v>
      </c>
      <c r="AL143" s="265">
        <f t="shared" si="64"/>
        <v>0</v>
      </c>
      <c r="AM143" s="265">
        <f t="shared" si="64"/>
        <v>0</v>
      </c>
      <c r="AN143" s="265">
        <f t="shared" si="64"/>
        <v>0</v>
      </c>
      <c r="AO143" s="265">
        <f t="shared" ref="AO143:AU143" si="65">IF(SUM(AO132:AO142)&gt;8,SUM(AO132:AO142)-8,0)+IF(SUM(AO132:AO142)&gt;12,SUM(AO132:AO142)-12,0)</f>
        <v>0</v>
      </c>
      <c r="AP143" s="265">
        <f t="shared" si="65"/>
        <v>0</v>
      </c>
      <c r="AQ143" s="265">
        <f t="shared" si="65"/>
        <v>0</v>
      </c>
      <c r="AR143" s="265">
        <f t="shared" si="65"/>
        <v>0</v>
      </c>
      <c r="AS143" s="265">
        <f t="shared" si="65"/>
        <v>0</v>
      </c>
      <c r="AT143" s="265">
        <f t="shared" si="65"/>
        <v>0</v>
      </c>
      <c r="AU143" s="265">
        <f t="shared" si="65"/>
        <v>0</v>
      </c>
      <c r="AV143" s="265">
        <f t="shared" ref="AV143:AW143" si="66">IF(SUM(AV132:AV142)&gt;8,SUM(AV132:AV142)-8,0)+IF(SUM(AV132:AV142)&gt;12,SUM(AV132:AV142)-12,0)</f>
        <v>0</v>
      </c>
      <c r="AW143" s="265">
        <f t="shared" si="66"/>
        <v>0</v>
      </c>
      <c r="AX143" s="469">
        <f>IF(SUM(AX132:AX142)&gt;8,SUM(AX132:AX142)-8,0)+IF(SUM(AX132:AX142)&gt;12,SUM(AX132:AX142)-12,0)</f>
        <v>0</v>
      </c>
    </row>
    <row r="144" spans="1:50" s="271" customFormat="1" x14ac:dyDescent="0.2">
      <c r="A144" s="266">
        <f t="shared" si="45"/>
        <v>42547</v>
      </c>
      <c r="B144" s="267" t="s">
        <v>86</v>
      </c>
      <c r="C144" s="268">
        <f t="shared" ref="C144:AN144" si="67">IFERROR((C$211*SUM(C132:C139)+C$212*SUM(C140:C142))/SUM(C132:C142)/2,0)*C143</f>
        <v>0</v>
      </c>
      <c r="D144" s="269">
        <f t="shared" si="67"/>
        <v>0</v>
      </c>
      <c r="E144" s="269">
        <f t="shared" si="67"/>
        <v>0</v>
      </c>
      <c r="F144" s="269">
        <f t="shared" si="67"/>
        <v>0</v>
      </c>
      <c r="G144" s="269">
        <f t="shared" si="67"/>
        <v>0</v>
      </c>
      <c r="H144" s="269">
        <f t="shared" si="67"/>
        <v>0</v>
      </c>
      <c r="I144" s="269">
        <f t="shared" si="67"/>
        <v>0</v>
      </c>
      <c r="J144" s="269">
        <f t="shared" si="67"/>
        <v>0</v>
      </c>
      <c r="K144" s="269">
        <f t="shared" si="67"/>
        <v>0</v>
      </c>
      <c r="L144" s="269">
        <f t="shared" si="67"/>
        <v>0</v>
      </c>
      <c r="M144" s="269">
        <f t="shared" si="67"/>
        <v>0</v>
      </c>
      <c r="N144" s="269">
        <f t="shared" si="67"/>
        <v>0</v>
      </c>
      <c r="O144" s="269">
        <f t="shared" si="67"/>
        <v>0</v>
      </c>
      <c r="P144" s="269">
        <f t="shared" si="67"/>
        <v>0</v>
      </c>
      <c r="Q144" s="269">
        <f t="shared" si="67"/>
        <v>0</v>
      </c>
      <c r="R144" s="269">
        <f t="shared" si="67"/>
        <v>0</v>
      </c>
      <c r="S144" s="269">
        <f t="shared" si="67"/>
        <v>0</v>
      </c>
      <c r="T144" s="269">
        <f t="shared" si="67"/>
        <v>0</v>
      </c>
      <c r="U144" s="269">
        <f t="shared" si="67"/>
        <v>0</v>
      </c>
      <c r="V144" s="269">
        <f t="shared" si="67"/>
        <v>0</v>
      </c>
      <c r="W144" s="269">
        <f t="shared" si="67"/>
        <v>0</v>
      </c>
      <c r="X144" s="269">
        <f t="shared" si="67"/>
        <v>0</v>
      </c>
      <c r="Y144" s="269">
        <f t="shared" si="67"/>
        <v>0</v>
      </c>
      <c r="Z144" s="269">
        <f t="shared" si="67"/>
        <v>0</v>
      </c>
      <c r="AA144" s="269">
        <f t="shared" si="67"/>
        <v>0</v>
      </c>
      <c r="AB144" s="269">
        <f t="shared" si="67"/>
        <v>0</v>
      </c>
      <c r="AC144" s="269">
        <f t="shared" si="67"/>
        <v>0</v>
      </c>
      <c r="AD144" s="269">
        <f t="shared" si="67"/>
        <v>0</v>
      </c>
      <c r="AE144" s="269">
        <f t="shared" si="67"/>
        <v>0</v>
      </c>
      <c r="AF144" s="269">
        <f t="shared" si="67"/>
        <v>0</v>
      </c>
      <c r="AG144" s="269">
        <f t="shared" si="67"/>
        <v>0</v>
      </c>
      <c r="AH144" s="269">
        <f t="shared" si="67"/>
        <v>0</v>
      </c>
      <c r="AI144" s="269">
        <f t="shared" si="67"/>
        <v>0</v>
      </c>
      <c r="AJ144" s="269">
        <f t="shared" si="67"/>
        <v>0</v>
      </c>
      <c r="AK144" s="269">
        <f t="shared" si="67"/>
        <v>0</v>
      </c>
      <c r="AL144" s="269">
        <f t="shared" si="67"/>
        <v>0</v>
      </c>
      <c r="AM144" s="269">
        <f t="shared" si="67"/>
        <v>0</v>
      </c>
      <c r="AN144" s="269">
        <f t="shared" si="67"/>
        <v>0</v>
      </c>
      <c r="AO144" s="269">
        <f t="shared" ref="AO144:AU144" si="68">IFERROR((AO$211*SUM(AO132:AO139)+AO$212*SUM(AO140:AO142))/SUM(AO132:AO142)/2,0)*AO143</f>
        <v>0</v>
      </c>
      <c r="AP144" s="269">
        <f t="shared" si="68"/>
        <v>0</v>
      </c>
      <c r="AQ144" s="269">
        <f t="shared" si="68"/>
        <v>0</v>
      </c>
      <c r="AR144" s="269">
        <f t="shared" si="68"/>
        <v>0</v>
      </c>
      <c r="AS144" s="269">
        <f t="shared" si="68"/>
        <v>0</v>
      </c>
      <c r="AT144" s="269">
        <f t="shared" si="68"/>
        <v>0</v>
      </c>
      <c r="AU144" s="269">
        <f t="shared" si="68"/>
        <v>0</v>
      </c>
      <c r="AV144" s="269">
        <f t="shared" ref="AV144:AW144" si="69">IFERROR((AV$211*SUM(AV132:AV139)+AV$212*SUM(AV140:AV142))/SUM(AV132:AV142)/2,0)*AV143</f>
        <v>0</v>
      </c>
      <c r="AW144" s="269">
        <f t="shared" si="69"/>
        <v>0</v>
      </c>
      <c r="AX144" s="470">
        <f>IFERROR((AX$211*SUM(AX132:AX139)+AX$212*SUM(AX140:AX142))/SUM(AX132:AX142)/2,0)*AX143</f>
        <v>0</v>
      </c>
    </row>
    <row r="145" spans="1:50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0</v>
      </c>
      <c r="U145" s="250">
        <f>SUMPRODUCT((Driver!$A$2:$A$17=$A145)*(DriverEmp=U$1),Driver!$C$2:$V$17)</f>
        <v>2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467">
        <f>SUMPRODUCT((Driver!$A$2:$A$17=$A145)*(DriverEmp=AX$1),Driver!$C$2:$V$17)</f>
        <v>0</v>
      </c>
    </row>
    <row r="146" spans="1:50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467">
        <f>SUMPRODUCT((PP!$A$2:$A$80=$A146)*(PPEmp=AX$1),PP!$D$2:$BD$80)</f>
        <v>0</v>
      </c>
    </row>
    <row r="147" spans="1:50" s="271" customFormat="1" x14ac:dyDescent="0.2">
      <c r="A147" s="247">
        <f t="shared" si="45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0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0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467">
        <f>SUMPRODUCT((FH!$A$2:$A$97=$A147)*(FHEmp=AX$1),FH!$E$2:$AZ$97)</f>
        <v>0</v>
      </c>
    </row>
    <row r="148" spans="1:50" s="271" customFormat="1" x14ac:dyDescent="0.2">
      <c r="A148" s="247">
        <f t="shared" si="45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0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0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467">
        <f>SUMPRODUCT(('T22'!$A$2:$A$97=$A148)*(T22Emp=AX$1),'T22'!$E$2:$AZ$97)</f>
        <v>0</v>
      </c>
    </row>
    <row r="149" spans="1:50" s="271" customFormat="1" x14ac:dyDescent="0.2">
      <c r="A149" s="247">
        <f t="shared" si="45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467">
        <f>SUMPRODUCT((RF!$A$2:$A$17=$A149)*(RFEmp=AX$1)*(RF!$H$21:$AO$21="RF Valet"),RF!$H$2:$AO$17)</f>
        <v>0</v>
      </c>
    </row>
    <row r="150" spans="1:50" s="271" customFormat="1" x14ac:dyDescent="0.2">
      <c r="A150" s="247">
        <f t="shared" si="45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467">
        <f>SUMPRODUCT(('RC'!$A$2:$A$17=$A150)*(RCEmp=AX$1),'RC'!$D$2:$AK$17)</f>
        <v>0</v>
      </c>
    </row>
    <row r="151" spans="1:50" s="271" customFormat="1" x14ac:dyDescent="0.2">
      <c r="A151" s="247">
        <f t="shared" si="45"/>
        <v>42548</v>
      </c>
      <c r="B151" s="614" t="s">
        <v>155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467">
        <f>SUMPRODUCT((HoO!$A$2:$A$34=$A151)*(HoOEmp=AX$1),HoO!$E$2:$Y$34)</f>
        <v>0</v>
      </c>
    </row>
    <row r="152" spans="1:50" s="271" customFormat="1" x14ac:dyDescent="0.2">
      <c r="A152" s="247">
        <f t="shared" si="45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0</v>
      </c>
      <c r="Q152" s="250">
        <f>SUMPRODUCT((TM!$A$2:$A$17=$A152)*(TMEmp=Q$1),TM!$D$2:$AK$17)</f>
        <v>2.25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0</v>
      </c>
      <c r="AE152" s="250">
        <f>SUMPRODUCT((TM!$A$2:$A$17=$A152)*(TMEmp=AE$1),TM!$D$2:$AK$17)</f>
        <v>1.5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467">
        <f>SUMPRODUCT((TM!$A$2:$A$17=$A152)*(TMEmp=AX$1),TM!$D$2:$AK$17)</f>
        <v>0</v>
      </c>
    </row>
    <row r="153" spans="1:50" s="271" customFormat="1" x14ac:dyDescent="0.2">
      <c r="A153" s="256">
        <f t="shared" si="45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468">
        <f>SUMPRODUCT((PC!$A$2:$A$80=$A153)*(PCEmp=AX$1),PC!$D$2:$BD$80)</f>
        <v>0</v>
      </c>
    </row>
    <row r="154" spans="1:50" s="271" customFormat="1" x14ac:dyDescent="0.2">
      <c r="A154" s="247">
        <f t="shared" si="45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467">
        <f>SUMPRODUCT((RF!$A$2:$A$17=$A154)*(RFEmp=AX$1)*(RF!$H$21:$AO$21="RF Lead"),RF!$H$2:$AO$17)</f>
        <v>0</v>
      </c>
    </row>
    <row r="155" spans="1:50" s="271" customFormat="1" x14ac:dyDescent="0.2">
      <c r="A155" s="260">
        <f t="shared" si="45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0</v>
      </c>
      <c r="AC155" s="250">
        <f>SUMPRODUCT((SC!$A$2:$A$34=$A155)*(SCEmp=AC$1),SC!$F$2:$Z$34)</f>
        <v>3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467">
        <f>SUMPRODUCT((SC!$A$2:$A$34=$A155)*(SCEmp=AX$1),SC!$F$2:$Z$34)</f>
        <v>0</v>
      </c>
    </row>
    <row r="156" spans="1:50" s="271" customFormat="1" x14ac:dyDescent="0.2">
      <c r="A156" s="262">
        <f t="shared" si="45"/>
        <v>42548</v>
      </c>
      <c r="B156" s="263" t="s">
        <v>87</v>
      </c>
      <c r="C156" s="264">
        <f t="shared" ref="C156:AN156" si="70">IF(SUM(C145:C155)&gt;8,SUM(C145:C155)-8,0)+IF(SUM(C145:C155)&gt;12,SUM(C145:C155)-12,0)</f>
        <v>0</v>
      </c>
      <c r="D156" s="265">
        <f t="shared" si="70"/>
        <v>0</v>
      </c>
      <c r="E156" s="265">
        <f t="shared" si="70"/>
        <v>0</v>
      </c>
      <c r="F156" s="265">
        <f t="shared" si="70"/>
        <v>0</v>
      </c>
      <c r="G156" s="265">
        <f t="shared" si="70"/>
        <v>0</v>
      </c>
      <c r="H156" s="265">
        <f t="shared" si="70"/>
        <v>0</v>
      </c>
      <c r="I156" s="265">
        <f t="shared" si="70"/>
        <v>0</v>
      </c>
      <c r="J156" s="265">
        <f t="shared" si="70"/>
        <v>0</v>
      </c>
      <c r="K156" s="265">
        <f t="shared" si="70"/>
        <v>0</v>
      </c>
      <c r="L156" s="265">
        <f t="shared" si="70"/>
        <v>0</v>
      </c>
      <c r="M156" s="265">
        <f t="shared" si="70"/>
        <v>0</v>
      </c>
      <c r="N156" s="265">
        <f t="shared" si="70"/>
        <v>0</v>
      </c>
      <c r="O156" s="265">
        <f t="shared" si="70"/>
        <v>0</v>
      </c>
      <c r="P156" s="265">
        <f t="shared" si="70"/>
        <v>0</v>
      </c>
      <c r="Q156" s="265">
        <f t="shared" si="70"/>
        <v>0</v>
      </c>
      <c r="R156" s="265">
        <f t="shared" si="70"/>
        <v>0</v>
      </c>
      <c r="S156" s="265">
        <f t="shared" si="70"/>
        <v>0</v>
      </c>
      <c r="T156" s="265">
        <f t="shared" si="70"/>
        <v>0</v>
      </c>
      <c r="U156" s="265">
        <f t="shared" si="70"/>
        <v>0</v>
      </c>
      <c r="V156" s="265">
        <f t="shared" si="70"/>
        <v>0</v>
      </c>
      <c r="W156" s="265">
        <f t="shared" si="70"/>
        <v>0</v>
      </c>
      <c r="X156" s="265">
        <f t="shared" si="70"/>
        <v>0</v>
      </c>
      <c r="Y156" s="265">
        <f t="shared" si="70"/>
        <v>0</v>
      </c>
      <c r="Z156" s="265">
        <f t="shared" si="70"/>
        <v>0</v>
      </c>
      <c r="AA156" s="265">
        <f t="shared" si="70"/>
        <v>0</v>
      </c>
      <c r="AB156" s="265">
        <f t="shared" si="70"/>
        <v>0</v>
      </c>
      <c r="AC156" s="265">
        <f t="shared" si="70"/>
        <v>0</v>
      </c>
      <c r="AD156" s="265">
        <f t="shared" si="70"/>
        <v>0</v>
      </c>
      <c r="AE156" s="265">
        <f t="shared" si="70"/>
        <v>0</v>
      </c>
      <c r="AF156" s="265">
        <f t="shared" si="70"/>
        <v>0</v>
      </c>
      <c r="AG156" s="265">
        <f t="shared" si="70"/>
        <v>0</v>
      </c>
      <c r="AH156" s="265">
        <f t="shared" si="70"/>
        <v>0</v>
      </c>
      <c r="AI156" s="265">
        <f t="shared" si="70"/>
        <v>0</v>
      </c>
      <c r="AJ156" s="265">
        <f t="shared" si="70"/>
        <v>0</v>
      </c>
      <c r="AK156" s="265">
        <f t="shared" si="70"/>
        <v>0</v>
      </c>
      <c r="AL156" s="265">
        <f t="shared" si="70"/>
        <v>0</v>
      </c>
      <c r="AM156" s="265">
        <f t="shared" si="70"/>
        <v>0</v>
      </c>
      <c r="AN156" s="265">
        <f t="shared" si="70"/>
        <v>0</v>
      </c>
      <c r="AO156" s="265">
        <f t="shared" ref="AO156:AU156" si="71">IF(SUM(AO145:AO155)&gt;8,SUM(AO145:AO155)-8,0)+IF(SUM(AO145:AO155)&gt;12,SUM(AO145:AO155)-12,0)</f>
        <v>0</v>
      </c>
      <c r="AP156" s="265">
        <f t="shared" si="71"/>
        <v>0</v>
      </c>
      <c r="AQ156" s="265">
        <f t="shared" si="71"/>
        <v>0</v>
      </c>
      <c r="AR156" s="265">
        <f t="shared" si="71"/>
        <v>0</v>
      </c>
      <c r="AS156" s="265">
        <f t="shared" si="71"/>
        <v>0</v>
      </c>
      <c r="AT156" s="265">
        <f t="shared" si="71"/>
        <v>0</v>
      </c>
      <c r="AU156" s="265">
        <f t="shared" si="71"/>
        <v>0</v>
      </c>
      <c r="AV156" s="265">
        <f t="shared" ref="AV156:AW156" si="72">IF(SUM(AV145:AV155)&gt;8,SUM(AV145:AV155)-8,0)+IF(SUM(AV145:AV155)&gt;12,SUM(AV145:AV155)-12,0)</f>
        <v>0</v>
      </c>
      <c r="AW156" s="265">
        <f t="shared" si="72"/>
        <v>0</v>
      </c>
      <c r="AX156" s="469">
        <f>IF(SUM(AX145:AX155)&gt;8,SUM(AX145:AX155)-8,0)+IF(SUM(AX145:AX155)&gt;12,SUM(AX145:AX155)-12,0)</f>
        <v>0</v>
      </c>
    </row>
    <row r="157" spans="1:50" s="271" customFormat="1" x14ac:dyDescent="0.2">
      <c r="A157" s="266">
        <f t="shared" si="45"/>
        <v>42548</v>
      </c>
      <c r="B157" s="267" t="s">
        <v>86</v>
      </c>
      <c r="C157" s="268">
        <f t="shared" ref="C157:AN157" si="73">IFERROR((C$211*SUM(C145:C152)+C$212*SUM(C153:C155))/SUM(C145:C155)/2,0)*C156</f>
        <v>0</v>
      </c>
      <c r="D157" s="269">
        <f t="shared" si="73"/>
        <v>0</v>
      </c>
      <c r="E157" s="269">
        <f t="shared" si="73"/>
        <v>0</v>
      </c>
      <c r="F157" s="269">
        <f t="shared" si="73"/>
        <v>0</v>
      </c>
      <c r="G157" s="269">
        <f t="shared" si="73"/>
        <v>0</v>
      </c>
      <c r="H157" s="269">
        <f t="shared" si="73"/>
        <v>0</v>
      </c>
      <c r="I157" s="269">
        <f t="shared" si="73"/>
        <v>0</v>
      </c>
      <c r="J157" s="269">
        <f t="shared" si="73"/>
        <v>0</v>
      </c>
      <c r="K157" s="269">
        <f t="shared" si="73"/>
        <v>0</v>
      </c>
      <c r="L157" s="269">
        <f t="shared" si="73"/>
        <v>0</v>
      </c>
      <c r="M157" s="269">
        <f t="shared" si="73"/>
        <v>0</v>
      </c>
      <c r="N157" s="269">
        <f t="shared" si="73"/>
        <v>0</v>
      </c>
      <c r="O157" s="269">
        <f t="shared" si="73"/>
        <v>0</v>
      </c>
      <c r="P157" s="269">
        <f t="shared" si="73"/>
        <v>0</v>
      </c>
      <c r="Q157" s="269">
        <f t="shared" si="73"/>
        <v>0</v>
      </c>
      <c r="R157" s="269">
        <f t="shared" si="73"/>
        <v>0</v>
      </c>
      <c r="S157" s="269">
        <f t="shared" si="73"/>
        <v>0</v>
      </c>
      <c r="T157" s="269">
        <f t="shared" si="73"/>
        <v>0</v>
      </c>
      <c r="U157" s="269">
        <f t="shared" si="73"/>
        <v>0</v>
      </c>
      <c r="V157" s="269">
        <f t="shared" si="73"/>
        <v>0</v>
      </c>
      <c r="W157" s="269">
        <f t="shared" si="73"/>
        <v>0</v>
      </c>
      <c r="X157" s="269">
        <f t="shared" si="73"/>
        <v>0</v>
      </c>
      <c r="Y157" s="269">
        <f t="shared" si="73"/>
        <v>0</v>
      </c>
      <c r="Z157" s="269">
        <f t="shared" si="73"/>
        <v>0</v>
      </c>
      <c r="AA157" s="269">
        <f t="shared" si="73"/>
        <v>0</v>
      </c>
      <c r="AB157" s="269">
        <f t="shared" si="73"/>
        <v>0</v>
      </c>
      <c r="AC157" s="269">
        <f t="shared" si="73"/>
        <v>0</v>
      </c>
      <c r="AD157" s="269">
        <f t="shared" si="73"/>
        <v>0</v>
      </c>
      <c r="AE157" s="269">
        <f t="shared" si="73"/>
        <v>0</v>
      </c>
      <c r="AF157" s="269">
        <f t="shared" si="73"/>
        <v>0</v>
      </c>
      <c r="AG157" s="269">
        <f t="shared" si="73"/>
        <v>0</v>
      </c>
      <c r="AH157" s="269">
        <f t="shared" si="73"/>
        <v>0</v>
      </c>
      <c r="AI157" s="269">
        <f t="shared" si="73"/>
        <v>0</v>
      </c>
      <c r="AJ157" s="269">
        <f t="shared" si="73"/>
        <v>0</v>
      </c>
      <c r="AK157" s="269">
        <f t="shared" si="73"/>
        <v>0</v>
      </c>
      <c r="AL157" s="269">
        <f t="shared" si="73"/>
        <v>0</v>
      </c>
      <c r="AM157" s="269">
        <f t="shared" si="73"/>
        <v>0</v>
      </c>
      <c r="AN157" s="269">
        <f t="shared" si="73"/>
        <v>0</v>
      </c>
      <c r="AO157" s="269">
        <f t="shared" ref="AO157:AU157" si="74">IFERROR((AO$211*SUM(AO145:AO152)+AO$212*SUM(AO153:AO155))/SUM(AO145:AO155)/2,0)*AO156</f>
        <v>0</v>
      </c>
      <c r="AP157" s="269">
        <f t="shared" si="74"/>
        <v>0</v>
      </c>
      <c r="AQ157" s="269">
        <f t="shared" si="74"/>
        <v>0</v>
      </c>
      <c r="AR157" s="269">
        <f t="shared" si="74"/>
        <v>0</v>
      </c>
      <c r="AS157" s="269">
        <f t="shared" si="74"/>
        <v>0</v>
      </c>
      <c r="AT157" s="269">
        <f t="shared" si="74"/>
        <v>0</v>
      </c>
      <c r="AU157" s="269">
        <f t="shared" si="74"/>
        <v>0</v>
      </c>
      <c r="AV157" s="269">
        <f t="shared" ref="AV157:AW157" si="75">IFERROR((AV$211*SUM(AV145:AV152)+AV$212*SUM(AV153:AV155))/SUM(AV145:AV155)/2,0)*AV156</f>
        <v>0</v>
      </c>
      <c r="AW157" s="269">
        <f t="shared" si="75"/>
        <v>0</v>
      </c>
      <c r="AX157" s="470">
        <f>IFERROR((AX$211*SUM(AX145:AX152)+AX$212*SUM(AX153:AX155))/SUM(AX145:AX155)/2,0)*AX156</f>
        <v>0</v>
      </c>
    </row>
    <row r="158" spans="1:50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0</v>
      </c>
      <c r="U158" s="250">
        <f>SUMPRODUCT((Driver!$A$2:$A$17=$A158)*(DriverEmp=U$1),Driver!$C$2:$V$17)</f>
        <v>8.4499999999999993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467">
        <f>SUMPRODUCT((Driver!$A$2:$A$17=$A158)*(DriverEmp=AX$1),Driver!$C$2:$V$17)</f>
        <v>0</v>
      </c>
    </row>
    <row r="159" spans="1:50" s="271" customFormat="1" x14ac:dyDescent="0.2">
      <c r="A159" s="247">
        <f t="shared" ref="A159:A209" si="76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467">
        <f>SUMPRODUCT((PP!$A$2:$A$80=$A159)*(PPEmp=AX$1),PP!$D$2:$BD$80)</f>
        <v>0</v>
      </c>
    </row>
    <row r="160" spans="1:50" s="271" customFormat="1" x14ac:dyDescent="0.2">
      <c r="A160" s="247">
        <f t="shared" si="76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0</v>
      </c>
      <c r="F160" s="250">
        <f>SUMPRODUCT((FH!$A$2:$A$97=$A160)*(FHEmp=F$1),FH!$E$2:$AZ$97)</f>
        <v>0</v>
      </c>
      <c r="G160" s="250">
        <f>SUMPRODUCT((FH!$A$2:$A$97=$A160)*(FHEmp=G$1),FH!$E$2:$AZ$97)</f>
        <v>0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0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467">
        <f>SUMPRODUCT((FH!$A$2:$A$97=$A160)*(FHEmp=AX$1),FH!$E$2:$AZ$97)</f>
        <v>0</v>
      </c>
    </row>
    <row r="161" spans="1:50" s="271" customFormat="1" x14ac:dyDescent="0.2">
      <c r="A161" s="247">
        <f t="shared" si="76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0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0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467">
        <f>SUMPRODUCT(('T22'!$A$2:$A$97=$A161)*(T22Emp=AX$1),'T22'!$E$2:$AZ$97)</f>
        <v>0</v>
      </c>
    </row>
    <row r="162" spans="1:50" s="271" customFormat="1" x14ac:dyDescent="0.2">
      <c r="A162" s="247">
        <f t="shared" si="76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467">
        <f>SUMPRODUCT((RF!$A$2:$A$17=$A162)*(RFEmp=AX$1)*(RF!$H$21:$AO$21="RF Valet"),RF!$H$2:$AO$17)</f>
        <v>0</v>
      </c>
    </row>
    <row r="163" spans="1:50" s="271" customFormat="1" x14ac:dyDescent="0.2">
      <c r="A163" s="247">
        <f t="shared" si="76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467">
        <f>SUMPRODUCT(('RC'!$A$2:$A$17=$A163)*(RCEmp=AX$1),'RC'!$D$2:$AK$17)</f>
        <v>0</v>
      </c>
    </row>
    <row r="164" spans="1:50" s="271" customFormat="1" x14ac:dyDescent="0.2">
      <c r="A164" s="247">
        <f t="shared" si="76"/>
        <v>42549</v>
      </c>
      <c r="B164" s="614" t="s">
        <v>155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467">
        <f>SUMPRODUCT((HoO!$A$2:$A$34=$A164)*(HoOEmp=AX$1),HoO!$E$2:$Y$34)</f>
        <v>0</v>
      </c>
    </row>
    <row r="165" spans="1:50" s="271" customFormat="1" x14ac:dyDescent="0.2">
      <c r="A165" s="247">
        <f t="shared" si="76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467">
        <f>SUMPRODUCT((TM!$A$2:$A$17=$A165)*(TMEmp=AX$1),TM!$D$2:$AK$17)</f>
        <v>0</v>
      </c>
    </row>
    <row r="166" spans="1:50" s="271" customFormat="1" x14ac:dyDescent="0.2">
      <c r="A166" s="256">
        <f t="shared" si="76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468">
        <f>SUMPRODUCT((PC!$A$2:$A$80=$A166)*(PCEmp=AX$1),PC!$D$2:$BD$80)</f>
        <v>0</v>
      </c>
    </row>
    <row r="167" spans="1:50" s="271" customFormat="1" x14ac:dyDescent="0.2">
      <c r="A167" s="247">
        <f t="shared" si="76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467">
        <f>SUMPRODUCT((RF!$A$2:$A$17=$A167)*(RFEmp=AX$1)*(RF!$H$21:$AO$21="RF Lead"),RF!$H$2:$AO$17)</f>
        <v>0</v>
      </c>
    </row>
    <row r="168" spans="1:50" s="271" customFormat="1" x14ac:dyDescent="0.2">
      <c r="A168" s="260">
        <f t="shared" si="76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0</v>
      </c>
      <c r="AC168" s="250">
        <f>SUMPRODUCT((SC!$A$2:$A$34=$A168)*(SCEmp=AC$1),SC!$F$2:$Z$34)</f>
        <v>3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467">
        <f>SUMPRODUCT((SC!$A$2:$A$34=$A168)*(SCEmp=AX$1),SC!$F$2:$Z$34)</f>
        <v>0</v>
      </c>
    </row>
    <row r="169" spans="1:50" s="271" customFormat="1" x14ac:dyDescent="0.2">
      <c r="A169" s="262">
        <f t="shared" si="76"/>
        <v>42549</v>
      </c>
      <c r="B169" s="263" t="s">
        <v>87</v>
      </c>
      <c r="C169" s="264">
        <f t="shared" ref="C169:AN169" si="77">IF(SUM(C158:C168)&gt;8,SUM(C158:C168)-8,0)+IF(SUM(C158:C168)&gt;12,SUM(C158:C168)-12,0)</f>
        <v>0</v>
      </c>
      <c r="D169" s="265">
        <f t="shared" si="77"/>
        <v>0</v>
      </c>
      <c r="E169" s="265">
        <f t="shared" si="77"/>
        <v>0</v>
      </c>
      <c r="F169" s="265">
        <f t="shared" si="77"/>
        <v>0</v>
      </c>
      <c r="G169" s="265">
        <f t="shared" si="77"/>
        <v>0</v>
      </c>
      <c r="H169" s="265">
        <f t="shared" si="77"/>
        <v>0</v>
      </c>
      <c r="I169" s="265">
        <f t="shared" si="77"/>
        <v>0</v>
      </c>
      <c r="J169" s="265">
        <f t="shared" si="77"/>
        <v>0</v>
      </c>
      <c r="K169" s="265">
        <f t="shared" si="77"/>
        <v>0</v>
      </c>
      <c r="L169" s="265">
        <f t="shared" si="77"/>
        <v>0</v>
      </c>
      <c r="M169" s="265">
        <f t="shared" si="77"/>
        <v>0</v>
      </c>
      <c r="N169" s="265">
        <f t="shared" si="77"/>
        <v>0</v>
      </c>
      <c r="O169" s="265">
        <f t="shared" si="77"/>
        <v>0</v>
      </c>
      <c r="P169" s="265">
        <f t="shared" si="77"/>
        <v>0</v>
      </c>
      <c r="Q169" s="265">
        <f t="shared" si="77"/>
        <v>0</v>
      </c>
      <c r="R169" s="265">
        <f t="shared" si="77"/>
        <v>0</v>
      </c>
      <c r="S169" s="265">
        <f t="shared" si="77"/>
        <v>0</v>
      </c>
      <c r="T169" s="265">
        <f t="shared" si="77"/>
        <v>0</v>
      </c>
      <c r="U169" s="265">
        <f t="shared" si="77"/>
        <v>0.44999999999999929</v>
      </c>
      <c r="V169" s="265">
        <f t="shared" si="77"/>
        <v>0</v>
      </c>
      <c r="W169" s="265">
        <f t="shared" si="77"/>
        <v>0</v>
      </c>
      <c r="X169" s="265">
        <f t="shared" si="77"/>
        <v>0</v>
      </c>
      <c r="Y169" s="265">
        <f t="shared" si="77"/>
        <v>0</v>
      </c>
      <c r="Z169" s="265">
        <f t="shared" si="77"/>
        <v>0</v>
      </c>
      <c r="AA169" s="265">
        <f t="shared" si="77"/>
        <v>0</v>
      </c>
      <c r="AB169" s="265">
        <f t="shared" si="77"/>
        <v>0</v>
      </c>
      <c r="AC169" s="265">
        <f t="shared" si="77"/>
        <v>0</v>
      </c>
      <c r="AD169" s="265">
        <f t="shared" si="77"/>
        <v>0</v>
      </c>
      <c r="AE169" s="265">
        <f t="shared" si="77"/>
        <v>0</v>
      </c>
      <c r="AF169" s="265">
        <f t="shared" si="77"/>
        <v>0</v>
      </c>
      <c r="AG169" s="265">
        <f t="shared" si="77"/>
        <v>0</v>
      </c>
      <c r="AH169" s="265">
        <f t="shared" si="77"/>
        <v>0</v>
      </c>
      <c r="AI169" s="265">
        <f t="shared" si="77"/>
        <v>0</v>
      </c>
      <c r="AJ169" s="265">
        <f t="shared" si="77"/>
        <v>0</v>
      </c>
      <c r="AK169" s="265">
        <f t="shared" si="77"/>
        <v>0</v>
      </c>
      <c r="AL169" s="265">
        <f t="shared" si="77"/>
        <v>0</v>
      </c>
      <c r="AM169" s="265">
        <f t="shared" si="77"/>
        <v>0</v>
      </c>
      <c r="AN169" s="265">
        <f t="shared" si="77"/>
        <v>0</v>
      </c>
      <c r="AO169" s="265">
        <f t="shared" ref="AO169:AU169" si="78">IF(SUM(AO158:AO168)&gt;8,SUM(AO158:AO168)-8,0)+IF(SUM(AO158:AO168)&gt;12,SUM(AO158:AO168)-12,0)</f>
        <v>0</v>
      </c>
      <c r="AP169" s="265">
        <f t="shared" si="78"/>
        <v>0</v>
      </c>
      <c r="AQ169" s="265">
        <f t="shared" si="78"/>
        <v>0</v>
      </c>
      <c r="AR169" s="265">
        <f t="shared" si="78"/>
        <v>0</v>
      </c>
      <c r="AS169" s="265">
        <f t="shared" si="78"/>
        <v>0</v>
      </c>
      <c r="AT169" s="265">
        <f t="shared" si="78"/>
        <v>0</v>
      </c>
      <c r="AU169" s="265">
        <f t="shared" si="78"/>
        <v>0</v>
      </c>
      <c r="AV169" s="265">
        <f t="shared" ref="AV169:AW169" si="79">IF(SUM(AV158:AV168)&gt;8,SUM(AV158:AV168)-8,0)+IF(SUM(AV158:AV168)&gt;12,SUM(AV158:AV168)-12,0)</f>
        <v>0</v>
      </c>
      <c r="AW169" s="265">
        <f t="shared" si="79"/>
        <v>0</v>
      </c>
      <c r="AX169" s="469">
        <f>IF(SUM(AX158:AX168)&gt;8,SUM(AX158:AX168)-8,0)+IF(SUM(AX158:AX168)&gt;12,SUM(AX158:AX168)-12,0)</f>
        <v>0</v>
      </c>
    </row>
    <row r="170" spans="1:50" s="271" customFormat="1" x14ac:dyDescent="0.2">
      <c r="A170" s="266">
        <f t="shared" si="76"/>
        <v>42549</v>
      </c>
      <c r="B170" s="267" t="s">
        <v>86</v>
      </c>
      <c r="C170" s="268">
        <f t="shared" ref="C170:AN170" si="80">IFERROR((C$211*SUM(C158:C165)+C$212*SUM(C166:C168))/SUM(C158:C168)/2,0)*C169</f>
        <v>0</v>
      </c>
      <c r="D170" s="269">
        <f t="shared" si="80"/>
        <v>0</v>
      </c>
      <c r="E170" s="269">
        <f t="shared" si="80"/>
        <v>0</v>
      </c>
      <c r="F170" s="269">
        <f t="shared" si="80"/>
        <v>0</v>
      </c>
      <c r="G170" s="269">
        <f t="shared" si="80"/>
        <v>0</v>
      </c>
      <c r="H170" s="269">
        <f t="shared" si="80"/>
        <v>0</v>
      </c>
      <c r="I170" s="269">
        <f t="shared" si="80"/>
        <v>0</v>
      </c>
      <c r="J170" s="269">
        <f t="shared" si="80"/>
        <v>0</v>
      </c>
      <c r="K170" s="269">
        <f t="shared" si="80"/>
        <v>0</v>
      </c>
      <c r="L170" s="269">
        <f t="shared" si="80"/>
        <v>0</v>
      </c>
      <c r="M170" s="269">
        <f t="shared" si="80"/>
        <v>0</v>
      </c>
      <c r="N170" s="269">
        <f t="shared" si="80"/>
        <v>0</v>
      </c>
      <c r="O170" s="269">
        <f t="shared" si="80"/>
        <v>0</v>
      </c>
      <c r="P170" s="269">
        <f t="shared" si="80"/>
        <v>0</v>
      </c>
      <c r="Q170" s="269">
        <f t="shared" si="80"/>
        <v>0</v>
      </c>
      <c r="R170" s="269">
        <f t="shared" si="80"/>
        <v>0</v>
      </c>
      <c r="S170" s="269">
        <f t="shared" si="80"/>
        <v>0</v>
      </c>
      <c r="T170" s="269">
        <f t="shared" si="80"/>
        <v>0</v>
      </c>
      <c r="U170" s="269">
        <f t="shared" si="80"/>
        <v>0</v>
      </c>
      <c r="V170" s="269">
        <f t="shared" si="80"/>
        <v>0</v>
      </c>
      <c r="W170" s="269">
        <f t="shared" si="80"/>
        <v>0</v>
      </c>
      <c r="X170" s="269">
        <f t="shared" si="80"/>
        <v>0</v>
      </c>
      <c r="Y170" s="269">
        <f t="shared" si="80"/>
        <v>0</v>
      </c>
      <c r="Z170" s="269">
        <f t="shared" si="80"/>
        <v>0</v>
      </c>
      <c r="AA170" s="269">
        <f t="shared" si="80"/>
        <v>0</v>
      </c>
      <c r="AB170" s="269">
        <f t="shared" si="80"/>
        <v>0</v>
      </c>
      <c r="AC170" s="269">
        <f t="shared" si="80"/>
        <v>0</v>
      </c>
      <c r="AD170" s="269">
        <f t="shared" si="80"/>
        <v>0</v>
      </c>
      <c r="AE170" s="269">
        <f t="shared" si="80"/>
        <v>0</v>
      </c>
      <c r="AF170" s="269">
        <f t="shared" si="80"/>
        <v>0</v>
      </c>
      <c r="AG170" s="269">
        <f t="shared" si="80"/>
        <v>0</v>
      </c>
      <c r="AH170" s="269">
        <f t="shared" si="80"/>
        <v>0</v>
      </c>
      <c r="AI170" s="269">
        <f t="shared" si="80"/>
        <v>0</v>
      </c>
      <c r="AJ170" s="269">
        <f t="shared" si="80"/>
        <v>0</v>
      </c>
      <c r="AK170" s="269">
        <f t="shared" si="80"/>
        <v>0</v>
      </c>
      <c r="AL170" s="269">
        <f t="shared" si="80"/>
        <v>0</v>
      </c>
      <c r="AM170" s="269">
        <f t="shared" si="80"/>
        <v>0</v>
      </c>
      <c r="AN170" s="269">
        <f t="shared" si="80"/>
        <v>0</v>
      </c>
      <c r="AO170" s="269">
        <f t="shared" ref="AO170:AU170" si="81">IFERROR((AO$211*SUM(AO158:AO165)+AO$212*SUM(AO166:AO168))/SUM(AO158:AO168)/2,0)*AO169</f>
        <v>0</v>
      </c>
      <c r="AP170" s="269">
        <f t="shared" si="81"/>
        <v>0</v>
      </c>
      <c r="AQ170" s="269">
        <f t="shared" si="81"/>
        <v>0</v>
      </c>
      <c r="AR170" s="269">
        <f t="shared" si="81"/>
        <v>0</v>
      </c>
      <c r="AS170" s="269">
        <f t="shared" si="81"/>
        <v>0</v>
      </c>
      <c r="AT170" s="269">
        <f t="shared" si="81"/>
        <v>0</v>
      </c>
      <c r="AU170" s="269">
        <f t="shared" si="81"/>
        <v>0</v>
      </c>
      <c r="AV170" s="269">
        <f t="shared" ref="AV170:AW170" si="82">IFERROR((AV$211*SUM(AV158:AV165)+AV$212*SUM(AV166:AV168))/SUM(AV158:AV168)/2,0)*AV169</f>
        <v>0</v>
      </c>
      <c r="AW170" s="269">
        <f t="shared" si="82"/>
        <v>0</v>
      </c>
      <c r="AX170" s="470">
        <f>IFERROR((AX$211*SUM(AX158:AX165)+AX$212*SUM(AX166:AX168))/SUM(AX158:AX168)/2,0)*AX169</f>
        <v>0</v>
      </c>
    </row>
    <row r="171" spans="1:50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467">
        <f>SUMPRODUCT((Driver!$A$2:$A$17=$A171)*(DriverEmp=AX$1),Driver!$C$2:$V$17)</f>
        <v>0</v>
      </c>
    </row>
    <row r="172" spans="1:50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0</v>
      </c>
      <c r="L172" s="250">
        <f>SUMPRODUCT((PP!$A$2:$A$80=$A172)*(PPEmp=L$1),PP!$D$2:$BD$80)</f>
        <v>3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0</v>
      </c>
      <c r="W172" s="250">
        <f>SUMPRODUCT((PP!$A$2:$A$80=$A172)*(PPEmp=W$1),PP!$D$2:$BD$80)</f>
        <v>3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467">
        <f>SUMPRODUCT((PP!$A$2:$A$80=$A172)*(PPEmp=AX$1),PP!$D$2:$BD$80)</f>
        <v>0</v>
      </c>
    </row>
    <row r="173" spans="1:50" s="271" customFormat="1" x14ac:dyDescent="0.2">
      <c r="A173" s="247">
        <f t="shared" si="76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0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0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467">
        <f>SUMPRODUCT((FH!$A$2:$A$97=$A173)*(FHEmp=AX$1),FH!$E$2:$AZ$97)</f>
        <v>0</v>
      </c>
    </row>
    <row r="174" spans="1:50" s="271" customFormat="1" x14ac:dyDescent="0.2">
      <c r="A174" s="247">
        <f t="shared" si="76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0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0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467">
        <f>SUMPRODUCT(('T22'!$A$2:$A$97=$A174)*(T22Emp=AX$1),'T22'!$E$2:$AZ$97)</f>
        <v>0</v>
      </c>
    </row>
    <row r="175" spans="1:50" s="271" customFormat="1" x14ac:dyDescent="0.2">
      <c r="A175" s="247">
        <f t="shared" si="76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467">
        <f>SUMPRODUCT((RF!$A$2:$A$17=$A175)*(RFEmp=AX$1)*(RF!$H$21:$AO$21="RF Valet"),RF!$H$2:$AO$17)</f>
        <v>0</v>
      </c>
    </row>
    <row r="176" spans="1:50" s="271" customFormat="1" x14ac:dyDescent="0.2">
      <c r="A176" s="247">
        <f t="shared" si="76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0</v>
      </c>
      <c r="AH176" s="250">
        <f>SUMPRODUCT(('RC'!$A$2:$A$17=$A176)*(RCEmp=AH$1),'RC'!$D$2:$AK$17)</f>
        <v>8.5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467">
        <f>SUMPRODUCT(('RC'!$A$2:$A$17=$A176)*(RCEmp=AX$1),'RC'!$D$2:$AK$17)</f>
        <v>0</v>
      </c>
    </row>
    <row r="177" spans="1:50" s="271" customFormat="1" x14ac:dyDescent="0.2">
      <c r="A177" s="247">
        <f t="shared" si="76"/>
        <v>42550</v>
      </c>
      <c r="B177" s="614" t="s">
        <v>155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467">
        <f>SUMPRODUCT((HoO!$A$2:$A$34=$A177)*(HoOEmp=AX$1),HoO!$E$2:$Y$34)</f>
        <v>0</v>
      </c>
    </row>
    <row r="178" spans="1:50" s="271" customFormat="1" x14ac:dyDescent="0.2">
      <c r="A178" s="247">
        <f t="shared" si="76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467">
        <f>SUMPRODUCT((TM!$A$2:$A$17=$A178)*(TMEmp=AX$1),TM!$D$2:$AK$17)</f>
        <v>0</v>
      </c>
    </row>
    <row r="179" spans="1:50" s="271" customFormat="1" x14ac:dyDescent="0.2">
      <c r="A179" s="256">
        <f t="shared" si="76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468">
        <f>SUMPRODUCT((PC!$A$2:$A$80=$A179)*(PCEmp=AX$1),PC!$D$2:$BD$80)</f>
        <v>0</v>
      </c>
    </row>
    <row r="180" spans="1:50" s="271" customFormat="1" x14ac:dyDescent="0.2">
      <c r="A180" s="247">
        <f t="shared" si="76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467">
        <f>SUMPRODUCT((RF!$A$2:$A$17=$A180)*(RFEmp=AX$1)*(RF!$H$21:$AO$21="RF Lead"),RF!$H$2:$AO$17)</f>
        <v>0</v>
      </c>
    </row>
    <row r="181" spans="1:50" s="271" customFormat="1" x14ac:dyDescent="0.2">
      <c r="A181" s="260">
        <f t="shared" si="76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0</v>
      </c>
      <c r="AC181" s="250">
        <f>SUMPRODUCT((SC!$A$2:$A$34=$A181)*(SCEmp=AC$1),SC!$F$2:$Z$34)</f>
        <v>3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467">
        <f>SUMPRODUCT((SC!$A$2:$A$34=$A181)*(SCEmp=AX$1),SC!$F$2:$Z$34)</f>
        <v>0</v>
      </c>
    </row>
    <row r="182" spans="1:50" s="271" customFormat="1" x14ac:dyDescent="0.2">
      <c r="A182" s="262">
        <f t="shared" si="76"/>
        <v>42550</v>
      </c>
      <c r="B182" s="263" t="s">
        <v>87</v>
      </c>
      <c r="C182" s="264">
        <f t="shared" ref="C182:AN182" si="83">IF(SUM(C171:C181)&gt;8,SUM(C171:C181)-8,0)+IF(SUM(C171:C181)&gt;12,SUM(C171:C181)-12,0)</f>
        <v>0</v>
      </c>
      <c r="D182" s="265">
        <f t="shared" si="83"/>
        <v>0</v>
      </c>
      <c r="E182" s="265">
        <f t="shared" si="83"/>
        <v>0</v>
      </c>
      <c r="F182" s="265">
        <f t="shared" si="83"/>
        <v>0</v>
      </c>
      <c r="G182" s="265">
        <f t="shared" si="83"/>
        <v>0</v>
      </c>
      <c r="H182" s="265">
        <f t="shared" si="83"/>
        <v>0</v>
      </c>
      <c r="I182" s="265">
        <f t="shared" si="83"/>
        <v>0</v>
      </c>
      <c r="J182" s="265">
        <f t="shared" si="83"/>
        <v>0</v>
      </c>
      <c r="K182" s="265">
        <f t="shared" si="83"/>
        <v>0</v>
      </c>
      <c r="L182" s="265">
        <f t="shared" si="83"/>
        <v>0</v>
      </c>
      <c r="M182" s="265">
        <f t="shared" si="83"/>
        <v>0</v>
      </c>
      <c r="N182" s="265">
        <f t="shared" si="83"/>
        <v>0</v>
      </c>
      <c r="O182" s="265">
        <f t="shared" si="83"/>
        <v>0</v>
      </c>
      <c r="P182" s="265">
        <f t="shared" si="83"/>
        <v>0</v>
      </c>
      <c r="Q182" s="265">
        <f t="shared" si="83"/>
        <v>0</v>
      </c>
      <c r="R182" s="265">
        <f t="shared" si="83"/>
        <v>0</v>
      </c>
      <c r="S182" s="265">
        <f t="shared" si="83"/>
        <v>0</v>
      </c>
      <c r="T182" s="265">
        <f t="shared" si="83"/>
        <v>0</v>
      </c>
      <c r="U182" s="265">
        <f t="shared" si="83"/>
        <v>0</v>
      </c>
      <c r="V182" s="265">
        <f t="shared" si="83"/>
        <v>0</v>
      </c>
      <c r="W182" s="265">
        <f t="shared" si="83"/>
        <v>0</v>
      </c>
      <c r="X182" s="265">
        <f t="shared" si="83"/>
        <v>0</v>
      </c>
      <c r="Y182" s="265">
        <f t="shared" si="83"/>
        <v>0</v>
      </c>
      <c r="Z182" s="265">
        <f t="shared" si="83"/>
        <v>0</v>
      </c>
      <c r="AA182" s="265">
        <f t="shared" si="83"/>
        <v>0</v>
      </c>
      <c r="AB182" s="265">
        <f t="shared" si="83"/>
        <v>0</v>
      </c>
      <c r="AC182" s="265">
        <f t="shared" si="83"/>
        <v>0</v>
      </c>
      <c r="AD182" s="265">
        <f t="shared" si="83"/>
        <v>0</v>
      </c>
      <c r="AE182" s="265">
        <f t="shared" si="83"/>
        <v>0</v>
      </c>
      <c r="AF182" s="265">
        <f t="shared" si="83"/>
        <v>0</v>
      </c>
      <c r="AG182" s="265">
        <f t="shared" si="83"/>
        <v>0</v>
      </c>
      <c r="AH182" s="265">
        <f t="shared" si="83"/>
        <v>0.5</v>
      </c>
      <c r="AI182" s="265">
        <f t="shared" si="83"/>
        <v>0</v>
      </c>
      <c r="AJ182" s="265">
        <f t="shared" si="83"/>
        <v>0</v>
      </c>
      <c r="AK182" s="265">
        <f t="shared" si="83"/>
        <v>0</v>
      </c>
      <c r="AL182" s="265">
        <f t="shared" si="83"/>
        <v>0</v>
      </c>
      <c r="AM182" s="265">
        <f t="shared" si="83"/>
        <v>0</v>
      </c>
      <c r="AN182" s="265">
        <f t="shared" si="83"/>
        <v>0</v>
      </c>
      <c r="AO182" s="265">
        <f t="shared" ref="AO182:AU182" si="84">IF(SUM(AO171:AO181)&gt;8,SUM(AO171:AO181)-8,0)+IF(SUM(AO171:AO181)&gt;12,SUM(AO171:AO181)-12,0)</f>
        <v>0</v>
      </c>
      <c r="AP182" s="265">
        <f t="shared" si="84"/>
        <v>0</v>
      </c>
      <c r="AQ182" s="265">
        <f t="shared" si="84"/>
        <v>0</v>
      </c>
      <c r="AR182" s="265">
        <f t="shared" si="84"/>
        <v>0</v>
      </c>
      <c r="AS182" s="265">
        <f t="shared" si="84"/>
        <v>0</v>
      </c>
      <c r="AT182" s="265">
        <f t="shared" si="84"/>
        <v>0</v>
      </c>
      <c r="AU182" s="265">
        <f t="shared" si="84"/>
        <v>0</v>
      </c>
      <c r="AV182" s="265">
        <f t="shared" ref="AV182:AW182" si="85">IF(SUM(AV171:AV181)&gt;8,SUM(AV171:AV181)-8,0)+IF(SUM(AV171:AV181)&gt;12,SUM(AV171:AV181)-12,0)</f>
        <v>0</v>
      </c>
      <c r="AW182" s="265">
        <f t="shared" si="85"/>
        <v>0</v>
      </c>
      <c r="AX182" s="469">
        <f>IF(SUM(AX171:AX181)&gt;8,SUM(AX171:AX181)-8,0)+IF(SUM(AX171:AX181)&gt;12,SUM(AX171:AX181)-12,0)</f>
        <v>0</v>
      </c>
    </row>
    <row r="183" spans="1:50" s="271" customFormat="1" x14ac:dyDescent="0.2">
      <c r="A183" s="266">
        <f t="shared" si="76"/>
        <v>42550</v>
      </c>
      <c r="B183" s="267" t="s">
        <v>86</v>
      </c>
      <c r="C183" s="268">
        <f t="shared" ref="C183:AN183" si="86">IFERROR((C$211*SUM(C171:C178)+C$212*SUM(C179:C181))/SUM(C171:C181)/2,0)*C182</f>
        <v>0</v>
      </c>
      <c r="D183" s="269">
        <f t="shared" si="86"/>
        <v>0</v>
      </c>
      <c r="E183" s="269">
        <f t="shared" si="86"/>
        <v>0</v>
      </c>
      <c r="F183" s="269">
        <f t="shared" si="86"/>
        <v>0</v>
      </c>
      <c r="G183" s="269">
        <f t="shared" si="86"/>
        <v>0</v>
      </c>
      <c r="H183" s="269">
        <f t="shared" si="86"/>
        <v>0</v>
      </c>
      <c r="I183" s="269">
        <f t="shared" si="86"/>
        <v>0</v>
      </c>
      <c r="J183" s="269">
        <f t="shared" si="86"/>
        <v>0</v>
      </c>
      <c r="K183" s="269">
        <f t="shared" si="86"/>
        <v>0</v>
      </c>
      <c r="L183" s="269">
        <f t="shared" si="86"/>
        <v>0</v>
      </c>
      <c r="M183" s="269">
        <f t="shared" si="86"/>
        <v>0</v>
      </c>
      <c r="N183" s="269">
        <f t="shared" si="86"/>
        <v>0</v>
      </c>
      <c r="O183" s="269">
        <f t="shared" si="86"/>
        <v>0</v>
      </c>
      <c r="P183" s="269">
        <f t="shared" si="86"/>
        <v>0</v>
      </c>
      <c r="Q183" s="269">
        <f t="shared" si="86"/>
        <v>0</v>
      </c>
      <c r="R183" s="269">
        <f t="shared" si="86"/>
        <v>0</v>
      </c>
      <c r="S183" s="269">
        <f t="shared" si="86"/>
        <v>0</v>
      </c>
      <c r="T183" s="269">
        <f t="shared" si="86"/>
        <v>0</v>
      </c>
      <c r="U183" s="269">
        <f t="shared" si="86"/>
        <v>0</v>
      </c>
      <c r="V183" s="269">
        <f t="shared" si="86"/>
        <v>0</v>
      </c>
      <c r="W183" s="269">
        <f t="shared" si="86"/>
        <v>0</v>
      </c>
      <c r="X183" s="269">
        <f t="shared" si="86"/>
        <v>0</v>
      </c>
      <c r="Y183" s="269">
        <f t="shared" si="86"/>
        <v>0</v>
      </c>
      <c r="Z183" s="269">
        <f t="shared" si="86"/>
        <v>0</v>
      </c>
      <c r="AA183" s="269">
        <f t="shared" si="86"/>
        <v>0</v>
      </c>
      <c r="AB183" s="269">
        <f t="shared" si="86"/>
        <v>0</v>
      </c>
      <c r="AC183" s="269">
        <f t="shared" si="86"/>
        <v>0</v>
      </c>
      <c r="AD183" s="269">
        <f t="shared" si="86"/>
        <v>0</v>
      </c>
      <c r="AE183" s="269">
        <f t="shared" si="86"/>
        <v>0</v>
      </c>
      <c r="AF183" s="269">
        <f t="shared" si="86"/>
        <v>0</v>
      </c>
      <c r="AG183" s="269">
        <f t="shared" si="86"/>
        <v>0</v>
      </c>
      <c r="AH183" s="269">
        <f t="shared" si="86"/>
        <v>2.5</v>
      </c>
      <c r="AI183" s="269">
        <f t="shared" si="86"/>
        <v>0</v>
      </c>
      <c r="AJ183" s="269">
        <f t="shared" si="86"/>
        <v>0</v>
      </c>
      <c r="AK183" s="269">
        <f t="shared" si="86"/>
        <v>0</v>
      </c>
      <c r="AL183" s="269">
        <f t="shared" si="86"/>
        <v>0</v>
      </c>
      <c r="AM183" s="269">
        <f t="shared" si="86"/>
        <v>0</v>
      </c>
      <c r="AN183" s="269">
        <f t="shared" si="86"/>
        <v>0</v>
      </c>
      <c r="AO183" s="269">
        <f t="shared" ref="AO183:AU183" si="87">IFERROR((AO$211*SUM(AO171:AO178)+AO$212*SUM(AO179:AO181))/SUM(AO171:AO181)/2,0)*AO182</f>
        <v>0</v>
      </c>
      <c r="AP183" s="269">
        <f t="shared" si="87"/>
        <v>0</v>
      </c>
      <c r="AQ183" s="269">
        <f t="shared" si="87"/>
        <v>0</v>
      </c>
      <c r="AR183" s="269">
        <f t="shared" si="87"/>
        <v>0</v>
      </c>
      <c r="AS183" s="269">
        <f t="shared" si="87"/>
        <v>0</v>
      </c>
      <c r="AT183" s="269">
        <f t="shared" si="87"/>
        <v>0</v>
      </c>
      <c r="AU183" s="269">
        <f t="shared" si="87"/>
        <v>0</v>
      </c>
      <c r="AV183" s="269">
        <f t="shared" ref="AV183:AW183" si="88">IFERROR((AV$211*SUM(AV171:AV178)+AV$212*SUM(AV179:AV181))/SUM(AV171:AV181)/2,0)*AV182</f>
        <v>0</v>
      </c>
      <c r="AW183" s="269">
        <f t="shared" si="88"/>
        <v>0</v>
      </c>
      <c r="AX183" s="470">
        <f>IFERROR((AX$211*SUM(AX171:AX178)+AX$212*SUM(AX179:AX181))/SUM(AX171:AX181)/2,0)*AX182</f>
        <v>0</v>
      </c>
    </row>
    <row r="184" spans="1:50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467">
        <f>SUMPRODUCT((Driver!$A$2:$A$17=$A184)*(DriverEmp=AX$1),Driver!$C$2:$V$17)</f>
        <v>0</v>
      </c>
    </row>
    <row r="185" spans="1:50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467">
        <f>SUMPRODUCT((PP!$A$2:$A$80=$A185)*(PPEmp=AX$1),PP!$D$2:$BD$80)</f>
        <v>0</v>
      </c>
    </row>
    <row r="186" spans="1:50" s="271" customFormat="1" x14ac:dyDescent="0.2">
      <c r="A186" s="247">
        <f t="shared" si="76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0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0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467">
        <f>SUMPRODUCT((FH!$A$2:$A$97=$A186)*(FHEmp=AX$1),FH!$E$2:$AZ$97)</f>
        <v>0</v>
      </c>
    </row>
    <row r="187" spans="1:50" s="271" customFormat="1" x14ac:dyDescent="0.2">
      <c r="A187" s="247">
        <f t="shared" si="76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0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0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467">
        <f>SUMPRODUCT(('T22'!$A$2:$A$97=$A187)*(T22Emp=AX$1),'T22'!$E$2:$AZ$97)</f>
        <v>0</v>
      </c>
    </row>
    <row r="188" spans="1:50" s="271" customFormat="1" x14ac:dyDescent="0.2">
      <c r="A188" s="247">
        <f t="shared" si="76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467">
        <f>SUMPRODUCT((RF!$A$2:$A$17=$A188)*(RFEmp=AX$1)*(RF!$H$21:$AO$21="RF Valet"),RF!$H$2:$AO$17)</f>
        <v>0</v>
      </c>
    </row>
    <row r="189" spans="1:50" s="271" customFormat="1" x14ac:dyDescent="0.2">
      <c r="A189" s="247">
        <f t="shared" si="76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0</v>
      </c>
      <c r="N189" s="250">
        <f>SUMPRODUCT(('RC'!$A$2:$A$17=$A189)*(RCEmp=N$1),'RC'!$D$2:$AK$17)</f>
        <v>7.25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467">
        <f>SUMPRODUCT(('RC'!$A$2:$A$17=$A189)*(RCEmp=AX$1),'RC'!$D$2:$AK$17)</f>
        <v>0</v>
      </c>
    </row>
    <row r="190" spans="1:50" s="271" customFormat="1" x14ac:dyDescent="0.2">
      <c r="A190" s="247">
        <f t="shared" si="76"/>
        <v>42551</v>
      </c>
      <c r="B190" s="614" t="s">
        <v>155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467">
        <f>SUMPRODUCT((HoO!$A$2:$A$34=$A190)*(HoOEmp=AX$1),HoO!$E$2:$Y$34)</f>
        <v>0</v>
      </c>
    </row>
    <row r="191" spans="1:50" s="271" customFormat="1" x14ac:dyDescent="0.2">
      <c r="A191" s="247">
        <f t="shared" si="76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467">
        <f>SUMPRODUCT((TM!$A$2:$A$17=$A191)*(TMEmp=AX$1),TM!$D$2:$AK$17)</f>
        <v>0</v>
      </c>
    </row>
    <row r="192" spans="1:50" s="271" customFormat="1" x14ac:dyDescent="0.2">
      <c r="A192" s="256">
        <f t="shared" si="76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468">
        <f>SUMPRODUCT((PC!$A$2:$A$80=$A192)*(PCEmp=AX$1),PC!$D$2:$BD$80)</f>
        <v>0</v>
      </c>
    </row>
    <row r="193" spans="1:50" s="271" customFormat="1" x14ac:dyDescent="0.2">
      <c r="A193" s="247">
        <f t="shared" si="76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467">
        <f>SUMPRODUCT((RF!$A$2:$A$17=$A193)*(RFEmp=AX$1)*(RF!$H$21:$AO$21="RF Lead"),RF!$H$2:$AO$17)</f>
        <v>0</v>
      </c>
    </row>
    <row r="194" spans="1:50" s="271" customFormat="1" x14ac:dyDescent="0.2">
      <c r="A194" s="260">
        <f t="shared" si="76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0</v>
      </c>
      <c r="AC194" s="250">
        <f>SUMPRODUCT((SC!$A$2:$A$34=$A194)*(SCEmp=AC$1),SC!$F$2:$Z$34)</f>
        <v>3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467">
        <f>SUMPRODUCT((SC!$A$2:$A$34=$A194)*(SCEmp=AX$1),SC!$F$2:$Z$34)</f>
        <v>0</v>
      </c>
    </row>
    <row r="195" spans="1:50" s="271" customFormat="1" x14ac:dyDescent="0.2">
      <c r="A195" s="262">
        <f t="shared" si="76"/>
        <v>42551</v>
      </c>
      <c r="B195" s="263" t="s">
        <v>87</v>
      </c>
      <c r="C195" s="264">
        <f t="shared" ref="C195:AN195" si="89">IF(SUM(C184:C194)&gt;8,SUM(C184:C194)-8,0)+IF(SUM(C184:C194)&gt;12,SUM(C184:C194)-12,0)</f>
        <v>0</v>
      </c>
      <c r="D195" s="265">
        <f t="shared" si="89"/>
        <v>0</v>
      </c>
      <c r="E195" s="265">
        <f t="shared" si="89"/>
        <v>0</v>
      </c>
      <c r="F195" s="265">
        <f t="shared" si="89"/>
        <v>0</v>
      </c>
      <c r="G195" s="265">
        <f t="shared" si="89"/>
        <v>0</v>
      </c>
      <c r="H195" s="265">
        <f t="shared" si="89"/>
        <v>0</v>
      </c>
      <c r="I195" s="265">
        <f t="shared" si="89"/>
        <v>0</v>
      </c>
      <c r="J195" s="265">
        <f t="shared" si="89"/>
        <v>0</v>
      </c>
      <c r="K195" s="265">
        <f t="shared" si="89"/>
        <v>0</v>
      </c>
      <c r="L195" s="265">
        <f t="shared" si="89"/>
        <v>0</v>
      </c>
      <c r="M195" s="265">
        <f t="shared" si="89"/>
        <v>0</v>
      </c>
      <c r="N195" s="265">
        <f t="shared" si="89"/>
        <v>0</v>
      </c>
      <c r="O195" s="265">
        <f t="shared" si="89"/>
        <v>0</v>
      </c>
      <c r="P195" s="265">
        <f t="shared" si="89"/>
        <v>0</v>
      </c>
      <c r="Q195" s="265">
        <f t="shared" si="89"/>
        <v>0</v>
      </c>
      <c r="R195" s="265">
        <f t="shared" si="89"/>
        <v>0</v>
      </c>
      <c r="S195" s="265">
        <f t="shared" si="89"/>
        <v>0</v>
      </c>
      <c r="T195" s="265">
        <f t="shared" si="89"/>
        <v>0</v>
      </c>
      <c r="U195" s="265">
        <f t="shared" si="89"/>
        <v>0</v>
      </c>
      <c r="V195" s="265">
        <f t="shared" si="89"/>
        <v>0</v>
      </c>
      <c r="W195" s="265">
        <f t="shared" si="89"/>
        <v>0</v>
      </c>
      <c r="X195" s="265">
        <f t="shared" si="89"/>
        <v>0</v>
      </c>
      <c r="Y195" s="265">
        <f t="shared" si="89"/>
        <v>0</v>
      </c>
      <c r="Z195" s="265">
        <f t="shared" si="89"/>
        <v>0</v>
      </c>
      <c r="AA195" s="265">
        <f t="shared" si="89"/>
        <v>0</v>
      </c>
      <c r="AB195" s="265">
        <f t="shared" si="89"/>
        <v>0</v>
      </c>
      <c r="AC195" s="265">
        <f t="shared" si="89"/>
        <v>0</v>
      </c>
      <c r="AD195" s="265">
        <f t="shared" si="89"/>
        <v>0</v>
      </c>
      <c r="AE195" s="265">
        <f t="shared" si="89"/>
        <v>0</v>
      </c>
      <c r="AF195" s="265">
        <f t="shared" si="89"/>
        <v>0</v>
      </c>
      <c r="AG195" s="265">
        <f t="shared" si="89"/>
        <v>0</v>
      </c>
      <c r="AH195" s="265">
        <f t="shared" si="89"/>
        <v>0</v>
      </c>
      <c r="AI195" s="265">
        <f t="shared" si="89"/>
        <v>0</v>
      </c>
      <c r="AJ195" s="265">
        <f t="shared" si="89"/>
        <v>0</v>
      </c>
      <c r="AK195" s="265">
        <f t="shared" si="89"/>
        <v>0</v>
      </c>
      <c r="AL195" s="265">
        <f t="shared" si="89"/>
        <v>0</v>
      </c>
      <c r="AM195" s="265">
        <f t="shared" si="89"/>
        <v>0</v>
      </c>
      <c r="AN195" s="265">
        <f t="shared" si="89"/>
        <v>0</v>
      </c>
      <c r="AO195" s="265">
        <f t="shared" ref="AO195:AU195" si="90">IF(SUM(AO184:AO194)&gt;8,SUM(AO184:AO194)-8,0)+IF(SUM(AO184:AO194)&gt;12,SUM(AO184:AO194)-12,0)</f>
        <v>0</v>
      </c>
      <c r="AP195" s="265">
        <f t="shared" si="90"/>
        <v>0</v>
      </c>
      <c r="AQ195" s="265">
        <f t="shared" si="90"/>
        <v>0</v>
      </c>
      <c r="AR195" s="265">
        <f t="shared" si="90"/>
        <v>0</v>
      </c>
      <c r="AS195" s="265">
        <f t="shared" si="90"/>
        <v>0</v>
      </c>
      <c r="AT195" s="265">
        <f t="shared" si="90"/>
        <v>0</v>
      </c>
      <c r="AU195" s="265">
        <f t="shared" si="90"/>
        <v>0</v>
      </c>
      <c r="AV195" s="265">
        <f t="shared" ref="AV195:AW195" si="91">IF(SUM(AV184:AV194)&gt;8,SUM(AV184:AV194)-8,0)+IF(SUM(AV184:AV194)&gt;12,SUM(AV184:AV194)-12,0)</f>
        <v>0</v>
      </c>
      <c r="AW195" s="265">
        <f t="shared" si="91"/>
        <v>0</v>
      </c>
      <c r="AX195" s="469">
        <f>IF(SUM(AX184:AX194)&gt;8,SUM(AX184:AX194)-8,0)+IF(SUM(AX184:AX194)&gt;12,SUM(AX184:AX194)-12,0)</f>
        <v>0</v>
      </c>
    </row>
    <row r="196" spans="1:50" s="271" customFormat="1" x14ac:dyDescent="0.2">
      <c r="A196" s="266">
        <f t="shared" si="76"/>
        <v>42551</v>
      </c>
      <c r="B196" s="267" t="s">
        <v>86</v>
      </c>
      <c r="C196" s="268">
        <f t="shared" ref="C196:AN196" si="92">IFERROR((C$211*SUM(C184:C191)+C$212*SUM(C192:C194))/SUM(C184:C194)/2,0)*C195</f>
        <v>0</v>
      </c>
      <c r="D196" s="269">
        <f t="shared" si="92"/>
        <v>0</v>
      </c>
      <c r="E196" s="269">
        <f t="shared" si="92"/>
        <v>0</v>
      </c>
      <c r="F196" s="269">
        <f t="shared" si="92"/>
        <v>0</v>
      </c>
      <c r="G196" s="269">
        <f t="shared" si="92"/>
        <v>0</v>
      </c>
      <c r="H196" s="269">
        <f t="shared" si="92"/>
        <v>0</v>
      </c>
      <c r="I196" s="269">
        <f t="shared" si="92"/>
        <v>0</v>
      </c>
      <c r="J196" s="269">
        <f t="shared" si="92"/>
        <v>0</v>
      </c>
      <c r="K196" s="269">
        <f t="shared" si="92"/>
        <v>0</v>
      </c>
      <c r="L196" s="269">
        <f t="shared" si="92"/>
        <v>0</v>
      </c>
      <c r="M196" s="269">
        <f t="shared" si="92"/>
        <v>0</v>
      </c>
      <c r="N196" s="269">
        <f t="shared" si="92"/>
        <v>0</v>
      </c>
      <c r="O196" s="269">
        <f t="shared" si="92"/>
        <v>0</v>
      </c>
      <c r="P196" s="269">
        <f t="shared" si="92"/>
        <v>0</v>
      </c>
      <c r="Q196" s="269">
        <f t="shared" si="92"/>
        <v>0</v>
      </c>
      <c r="R196" s="269">
        <f t="shared" si="92"/>
        <v>0</v>
      </c>
      <c r="S196" s="269">
        <f t="shared" si="92"/>
        <v>0</v>
      </c>
      <c r="T196" s="269">
        <f t="shared" si="92"/>
        <v>0</v>
      </c>
      <c r="U196" s="269">
        <f t="shared" si="92"/>
        <v>0</v>
      </c>
      <c r="V196" s="269">
        <f t="shared" si="92"/>
        <v>0</v>
      </c>
      <c r="W196" s="269">
        <f t="shared" si="92"/>
        <v>0</v>
      </c>
      <c r="X196" s="269">
        <f t="shared" si="92"/>
        <v>0</v>
      </c>
      <c r="Y196" s="269">
        <f t="shared" si="92"/>
        <v>0</v>
      </c>
      <c r="Z196" s="269">
        <f t="shared" si="92"/>
        <v>0</v>
      </c>
      <c r="AA196" s="269">
        <f t="shared" si="92"/>
        <v>0</v>
      </c>
      <c r="AB196" s="269">
        <f t="shared" si="92"/>
        <v>0</v>
      </c>
      <c r="AC196" s="269">
        <f t="shared" si="92"/>
        <v>0</v>
      </c>
      <c r="AD196" s="269">
        <f t="shared" si="92"/>
        <v>0</v>
      </c>
      <c r="AE196" s="269">
        <f t="shared" si="92"/>
        <v>0</v>
      </c>
      <c r="AF196" s="269">
        <f t="shared" si="92"/>
        <v>0</v>
      </c>
      <c r="AG196" s="269">
        <f t="shared" si="92"/>
        <v>0</v>
      </c>
      <c r="AH196" s="269">
        <f t="shared" si="92"/>
        <v>0</v>
      </c>
      <c r="AI196" s="269">
        <f t="shared" si="92"/>
        <v>0</v>
      </c>
      <c r="AJ196" s="269">
        <f t="shared" si="92"/>
        <v>0</v>
      </c>
      <c r="AK196" s="269">
        <f t="shared" si="92"/>
        <v>0</v>
      </c>
      <c r="AL196" s="269">
        <f t="shared" si="92"/>
        <v>0</v>
      </c>
      <c r="AM196" s="269">
        <f t="shared" si="92"/>
        <v>0</v>
      </c>
      <c r="AN196" s="269">
        <f t="shared" si="92"/>
        <v>0</v>
      </c>
      <c r="AO196" s="269">
        <f t="shared" ref="AO196:AU196" si="93">IFERROR((AO$211*SUM(AO184:AO191)+AO$212*SUM(AO192:AO194))/SUM(AO184:AO194)/2,0)*AO195</f>
        <v>0</v>
      </c>
      <c r="AP196" s="269">
        <f t="shared" si="93"/>
        <v>0</v>
      </c>
      <c r="AQ196" s="269">
        <f t="shared" si="93"/>
        <v>0</v>
      </c>
      <c r="AR196" s="269">
        <f t="shared" si="93"/>
        <v>0</v>
      </c>
      <c r="AS196" s="269">
        <f t="shared" si="93"/>
        <v>0</v>
      </c>
      <c r="AT196" s="269">
        <f t="shared" si="93"/>
        <v>0</v>
      </c>
      <c r="AU196" s="269">
        <f t="shared" si="93"/>
        <v>0</v>
      </c>
      <c r="AV196" s="269">
        <f t="shared" ref="AV196:AW196" si="94">IFERROR((AV$211*SUM(AV184:AV191)+AV$212*SUM(AV192:AV194))/SUM(AV184:AV194)/2,0)*AV195</f>
        <v>0</v>
      </c>
      <c r="AW196" s="269">
        <f t="shared" si="94"/>
        <v>0</v>
      </c>
      <c r="AX196" s="470">
        <f>IFERROR((AX$211*SUM(AX184:AX191)+AX$212*SUM(AX192:AX194))/SUM(AX184:AX194)/2,0)*AX195</f>
        <v>0</v>
      </c>
    </row>
    <row r="197" spans="1:50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467">
        <f>SUMPRODUCT((Driver!$A$2:$A$17=$A197)*(DriverEmp=AX$1),Driver!$C$2:$V$17)</f>
        <v>0</v>
      </c>
    </row>
    <row r="198" spans="1:50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467">
        <f>SUMPRODUCT((PP!$A$2:$A$80=$A198)*(PPEmp=AX$1),PP!$D$2:$BD$80)</f>
        <v>0</v>
      </c>
    </row>
    <row r="199" spans="1:50" s="271" customFormat="1" x14ac:dyDescent="0.2">
      <c r="A199" s="247">
        <f t="shared" si="76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467">
        <f>SUMPRODUCT((FH!$A$2:$A$97=$A199)*(FHEmp=AX$1),FH!$E$2:$AZ$97)</f>
        <v>0</v>
      </c>
    </row>
    <row r="200" spans="1:50" s="271" customFormat="1" x14ac:dyDescent="0.2">
      <c r="A200" s="247">
        <f t="shared" si="76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467">
        <f>SUMPRODUCT(('T22'!$A$2:$A$97=$A200)*(T22Emp=AX$1),'T22'!$E$2:$AZ$97)</f>
        <v>0</v>
      </c>
    </row>
    <row r="201" spans="1:50" s="271" customFormat="1" x14ac:dyDescent="0.2">
      <c r="A201" s="247">
        <f t="shared" si="76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467">
        <f>SUMPRODUCT((RF!$A$2:$A$17=$A201)*(RFEmp=AX$1)*(RF!$H$21:$AO$21="RF Valet"),RF!$H$2:$AO$17)</f>
        <v>0</v>
      </c>
    </row>
    <row r="202" spans="1:50" s="271" customFormat="1" x14ac:dyDescent="0.2">
      <c r="A202" s="247">
        <f t="shared" si="76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467">
        <f>SUMPRODUCT(('RC'!$A$2:$A$17=$A202)*(RCEmp=AX$1),'RC'!$D$2:$AK$17)</f>
        <v>0</v>
      </c>
    </row>
    <row r="203" spans="1:50" s="271" customFormat="1" x14ac:dyDescent="0.2">
      <c r="A203" s="247">
        <f t="shared" si="76"/>
        <v>42552</v>
      </c>
      <c r="B203" s="614" t="s">
        <v>155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467">
        <f>SUMPRODUCT((HoO!$A$2:$A$34=$A203)*(HoOEmp=AX$1),HoO!$E$2:$Y$34)</f>
        <v>0</v>
      </c>
    </row>
    <row r="204" spans="1:50" s="271" customFormat="1" x14ac:dyDescent="0.2">
      <c r="A204" s="247">
        <f t="shared" si="76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467">
        <f>SUMPRODUCT((TM!$A$2:$A$17=$A204)*(TMEmp=AX$1),TM!$D$2:$AK$17)</f>
        <v>0</v>
      </c>
    </row>
    <row r="205" spans="1:50" s="271" customFormat="1" x14ac:dyDescent="0.2">
      <c r="A205" s="256">
        <f t="shared" si="76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468">
        <f>SUMPRODUCT((PC!$A$2:$A$80=$A205)*(PCEmp=AX$1),PC!$D$2:$BD$80)</f>
        <v>0</v>
      </c>
    </row>
    <row r="206" spans="1:50" s="271" customFormat="1" x14ac:dyDescent="0.2">
      <c r="A206" s="247">
        <f t="shared" si="76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467">
        <f>SUMPRODUCT((RF!$A$2:$A$17=$A206)*(RFEmp=AX$1)*(RF!$H$21:$AO$21="RF Lead"),RF!$H$2:$AO$17)</f>
        <v>0</v>
      </c>
    </row>
    <row r="207" spans="1:50" s="271" customFormat="1" x14ac:dyDescent="0.2">
      <c r="A207" s="260">
        <f t="shared" si="76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467">
        <f>SUMPRODUCT((SC!$A$2:$A$34=$A207)*(SCEmp=AX$1),SC!$F$2:$Z$34)</f>
        <v>0</v>
      </c>
    </row>
    <row r="208" spans="1:50" s="271" customFormat="1" x14ac:dyDescent="0.2">
      <c r="A208" s="262">
        <f t="shared" si="76"/>
        <v>42552</v>
      </c>
      <c r="B208" s="263" t="s">
        <v>87</v>
      </c>
      <c r="C208" s="264">
        <f t="shared" ref="C208:AN208" si="95">IF(SUM(C197:C207)&gt;8,SUM(C197:C207)-8,0)+IF(SUM(C197:C207)&gt;12,SUM(C197:C207)-12,0)</f>
        <v>0</v>
      </c>
      <c r="D208" s="265">
        <f t="shared" si="95"/>
        <v>0</v>
      </c>
      <c r="E208" s="265">
        <f t="shared" si="95"/>
        <v>0</v>
      </c>
      <c r="F208" s="265">
        <f t="shared" si="95"/>
        <v>0</v>
      </c>
      <c r="G208" s="265">
        <f t="shared" si="95"/>
        <v>0</v>
      </c>
      <c r="H208" s="265">
        <f t="shared" si="95"/>
        <v>0</v>
      </c>
      <c r="I208" s="265">
        <f t="shared" si="95"/>
        <v>0</v>
      </c>
      <c r="J208" s="265">
        <f t="shared" si="95"/>
        <v>0</v>
      </c>
      <c r="K208" s="265">
        <f t="shared" si="95"/>
        <v>0</v>
      </c>
      <c r="L208" s="265">
        <f t="shared" si="95"/>
        <v>0</v>
      </c>
      <c r="M208" s="265">
        <f t="shared" si="95"/>
        <v>0</v>
      </c>
      <c r="N208" s="265">
        <f t="shared" si="95"/>
        <v>0</v>
      </c>
      <c r="O208" s="265">
        <f t="shared" si="95"/>
        <v>0</v>
      </c>
      <c r="P208" s="265">
        <f t="shared" si="95"/>
        <v>0</v>
      </c>
      <c r="Q208" s="265">
        <f t="shared" si="95"/>
        <v>0</v>
      </c>
      <c r="R208" s="265">
        <f t="shared" si="95"/>
        <v>0</v>
      </c>
      <c r="S208" s="265">
        <f t="shared" si="95"/>
        <v>0</v>
      </c>
      <c r="T208" s="265">
        <f t="shared" si="95"/>
        <v>0</v>
      </c>
      <c r="U208" s="265">
        <f t="shared" si="95"/>
        <v>0</v>
      </c>
      <c r="V208" s="265">
        <f t="shared" si="95"/>
        <v>0</v>
      </c>
      <c r="W208" s="265">
        <f t="shared" si="95"/>
        <v>0</v>
      </c>
      <c r="X208" s="265">
        <f t="shared" si="95"/>
        <v>0</v>
      </c>
      <c r="Y208" s="265">
        <f t="shared" si="95"/>
        <v>0</v>
      </c>
      <c r="Z208" s="265">
        <f t="shared" si="95"/>
        <v>0</v>
      </c>
      <c r="AA208" s="265">
        <f t="shared" si="95"/>
        <v>0</v>
      </c>
      <c r="AB208" s="265">
        <f t="shared" si="95"/>
        <v>0</v>
      </c>
      <c r="AC208" s="265">
        <f t="shared" si="95"/>
        <v>0</v>
      </c>
      <c r="AD208" s="265">
        <f t="shared" si="95"/>
        <v>0</v>
      </c>
      <c r="AE208" s="265">
        <f t="shared" si="95"/>
        <v>0</v>
      </c>
      <c r="AF208" s="265">
        <f t="shared" si="95"/>
        <v>0</v>
      </c>
      <c r="AG208" s="265">
        <f t="shared" si="95"/>
        <v>0</v>
      </c>
      <c r="AH208" s="265">
        <f t="shared" si="95"/>
        <v>0</v>
      </c>
      <c r="AI208" s="265">
        <f t="shared" si="95"/>
        <v>0</v>
      </c>
      <c r="AJ208" s="265">
        <f t="shared" si="95"/>
        <v>0</v>
      </c>
      <c r="AK208" s="265">
        <f t="shared" si="95"/>
        <v>0</v>
      </c>
      <c r="AL208" s="265">
        <f t="shared" si="95"/>
        <v>0</v>
      </c>
      <c r="AM208" s="265">
        <f t="shared" si="95"/>
        <v>0</v>
      </c>
      <c r="AN208" s="265">
        <f t="shared" si="95"/>
        <v>0</v>
      </c>
      <c r="AO208" s="265">
        <f t="shared" ref="AO208:AU208" si="96">IF(SUM(AO197:AO207)&gt;8,SUM(AO197:AO207)-8,0)+IF(SUM(AO197:AO207)&gt;12,SUM(AO197:AO207)-12,0)</f>
        <v>0</v>
      </c>
      <c r="AP208" s="265">
        <f t="shared" si="96"/>
        <v>0</v>
      </c>
      <c r="AQ208" s="265">
        <f t="shared" si="96"/>
        <v>0</v>
      </c>
      <c r="AR208" s="265">
        <f t="shared" si="96"/>
        <v>0</v>
      </c>
      <c r="AS208" s="265">
        <f t="shared" si="96"/>
        <v>0</v>
      </c>
      <c r="AT208" s="265">
        <f t="shared" si="96"/>
        <v>0</v>
      </c>
      <c r="AU208" s="265">
        <f t="shared" si="96"/>
        <v>0</v>
      </c>
      <c r="AV208" s="265">
        <f t="shared" ref="AV208:AW208" si="97">IF(SUM(AV197:AV207)&gt;8,SUM(AV197:AV207)-8,0)+IF(SUM(AV197:AV207)&gt;12,SUM(AV197:AV207)-12,0)</f>
        <v>0</v>
      </c>
      <c r="AW208" s="265">
        <f t="shared" si="97"/>
        <v>0</v>
      </c>
      <c r="AX208" s="469">
        <f>IF(SUM(AX197:AX207)&gt;8,SUM(AX197:AX207)-8,0)+IF(SUM(AX197:AX207)&gt;12,SUM(AX197:AX207)-12,0)</f>
        <v>0</v>
      </c>
    </row>
    <row r="209" spans="1:50" s="271" customFormat="1" x14ac:dyDescent="0.2">
      <c r="A209" s="266">
        <f t="shared" si="76"/>
        <v>42552</v>
      </c>
      <c r="B209" s="267" t="s">
        <v>86</v>
      </c>
      <c r="C209" s="268">
        <f t="shared" ref="C209:AN209" si="98">IFERROR((C$211*SUM(C197:C204)+C$212*SUM(C205:C207))/SUM(C197:C207)/2,0)*C208</f>
        <v>0</v>
      </c>
      <c r="D209" s="269">
        <f t="shared" si="98"/>
        <v>0</v>
      </c>
      <c r="E209" s="269">
        <f t="shared" si="98"/>
        <v>0</v>
      </c>
      <c r="F209" s="269">
        <f t="shared" si="98"/>
        <v>0</v>
      </c>
      <c r="G209" s="269">
        <f t="shared" si="98"/>
        <v>0</v>
      </c>
      <c r="H209" s="269">
        <f t="shared" si="98"/>
        <v>0</v>
      </c>
      <c r="I209" s="269">
        <f t="shared" si="98"/>
        <v>0</v>
      </c>
      <c r="J209" s="269">
        <f t="shared" si="98"/>
        <v>0</v>
      </c>
      <c r="K209" s="269">
        <f t="shared" si="98"/>
        <v>0</v>
      </c>
      <c r="L209" s="269">
        <f t="shared" si="98"/>
        <v>0</v>
      </c>
      <c r="M209" s="269">
        <f t="shared" si="98"/>
        <v>0</v>
      </c>
      <c r="N209" s="269">
        <f t="shared" si="98"/>
        <v>0</v>
      </c>
      <c r="O209" s="269">
        <f t="shared" si="98"/>
        <v>0</v>
      </c>
      <c r="P209" s="269">
        <f t="shared" si="98"/>
        <v>0</v>
      </c>
      <c r="Q209" s="269">
        <f t="shared" si="98"/>
        <v>0</v>
      </c>
      <c r="R209" s="269">
        <f t="shared" si="98"/>
        <v>0</v>
      </c>
      <c r="S209" s="269">
        <f t="shared" si="98"/>
        <v>0</v>
      </c>
      <c r="T209" s="269">
        <f t="shared" si="98"/>
        <v>0</v>
      </c>
      <c r="U209" s="269">
        <f t="shared" si="98"/>
        <v>0</v>
      </c>
      <c r="V209" s="269">
        <f t="shared" si="98"/>
        <v>0</v>
      </c>
      <c r="W209" s="269">
        <f t="shared" si="98"/>
        <v>0</v>
      </c>
      <c r="X209" s="269">
        <f t="shared" si="98"/>
        <v>0</v>
      </c>
      <c r="Y209" s="269">
        <f t="shared" si="98"/>
        <v>0</v>
      </c>
      <c r="Z209" s="269">
        <f t="shared" si="98"/>
        <v>0</v>
      </c>
      <c r="AA209" s="269">
        <f t="shared" si="98"/>
        <v>0</v>
      </c>
      <c r="AB209" s="269">
        <f t="shared" si="98"/>
        <v>0</v>
      </c>
      <c r="AC209" s="269">
        <f t="shared" si="98"/>
        <v>0</v>
      </c>
      <c r="AD209" s="269">
        <f t="shared" si="98"/>
        <v>0</v>
      </c>
      <c r="AE209" s="269">
        <f t="shared" si="98"/>
        <v>0</v>
      </c>
      <c r="AF209" s="269">
        <f t="shared" si="98"/>
        <v>0</v>
      </c>
      <c r="AG209" s="269">
        <f t="shared" si="98"/>
        <v>0</v>
      </c>
      <c r="AH209" s="269">
        <f t="shared" si="98"/>
        <v>0</v>
      </c>
      <c r="AI209" s="269">
        <f t="shared" si="98"/>
        <v>0</v>
      </c>
      <c r="AJ209" s="269">
        <f t="shared" si="98"/>
        <v>0</v>
      </c>
      <c r="AK209" s="269">
        <f t="shared" si="98"/>
        <v>0</v>
      </c>
      <c r="AL209" s="269">
        <f t="shared" si="98"/>
        <v>0</v>
      </c>
      <c r="AM209" s="269">
        <f t="shared" si="98"/>
        <v>0</v>
      </c>
      <c r="AN209" s="269">
        <f t="shared" si="98"/>
        <v>0</v>
      </c>
      <c r="AO209" s="269">
        <f t="shared" ref="AO209:AU209" si="99">IFERROR((AO$211*SUM(AO197:AO204)+AO$212*SUM(AO205:AO207))/SUM(AO197:AO207)/2,0)*AO208</f>
        <v>0</v>
      </c>
      <c r="AP209" s="269">
        <f t="shared" si="99"/>
        <v>0</v>
      </c>
      <c r="AQ209" s="269">
        <f t="shared" si="99"/>
        <v>0</v>
      </c>
      <c r="AR209" s="269">
        <f t="shared" si="99"/>
        <v>0</v>
      </c>
      <c r="AS209" s="269">
        <f t="shared" si="99"/>
        <v>0</v>
      </c>
      <c r="AT209" s="269">
        <f t="shared" si="99"/>
        <v>0</v>
      </c>
      <c r="AU209" s="269">
        <f t="shared" si="99"/>
        <v>0</v>
      </c>
      <c r="AV209" s="269">
        <f t="shared" ref="AV209:AW209" si="100">IFERROR((AV$211*SUM(AV197:AV204)+AV$212*SUM(AV205:AV207))/SUM(AV197:AV207)/2,0)*AV208</f>
        <v>0</v>
      </c>
      <c r="AW209" s="269">
        <f t="shared" si="100"/>
        <v>0</v>
      </c>
      <c r="AX209" s="470">
        <f>IFERROR((AX$211*SUM(AX197:AX204)+AX$212*SUM(AX205:AX207))/SUM(AX197:AX207)/2,0)*AX208</f>
        <v>0</v>
      </c>
    </row>
    <row r="210" spans="1:50" s="271" customFormat="1" ht="10.8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471"/>
    </row>
    <row r="211" spans="1:50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0</v>
      </c>
      <c r="AC211" s="278">
        <f>SUMIF(Total!$Z:$Z,AC$1,Total!$B:$B)</f>
        <v>10</v>
      </c>
      <c r="AD211" s="278">
        <f>SUMIF(Total!$Z:$Z,AD$1,Total!$B:$B)</f>
        <v>10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10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472">
        <f>SUMIF(Total!$Z:$Z,AX$1,Total!$B:$B)</f>
        <v>0</v>
      </c>
    </row>
    <row r="212" spans="1:50" s="271" customFormat="1" ht="10.8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13.5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0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0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0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13.5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473">
        <f>SUMIF(Total!$Z:$Z,AX$1,Total!$C:$C)</f>
        <v>0</v>
      </c>
    </row>
    <row r="213" spans="1:50" s="271" customFormat="1" ht="10.8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471"/>
    </row>
    <row r="214" spans="1:50" s="271" customFormat="1" ht="10.8" thickBot="1" x14ac:dyDescent="0.25">
      <c r="A214" s="283" t="s">
        <v>4</v>
      </c>
      <c r="B214" s="284">
        <f>SUM(C214:AX214)</f>
        <v>147.16153943377151</v>
      </c>
      <c r="C214" s="285">
        <f t="shared" ref="C214:AU214" si="101">SUM(C14,C27,C40,C53,C66,C79,C92,C105,C118,C131,C144,C157,C170,C183,C196,C209)</f>
        <v>0</v>
      </c>
      <c r="D214" s="284">
        <f t="shared" si="101"/>
        <v>0</v>
      </c>
      <c r="E214" s="284">
        <f t="shared" si="101"/>
        <v>0</v>
      </c>
      <c r="F214" s="284">
        <f t="shared" si="101"/>
        <v>0</v>
      </c>
      <c r="G214" s="284">
        <f t="shared" si="101"/>
        <v>0</v>
      </c>
      <c r="H214" s="284">
        <f t="shared" si="101"/>
        <v>0</v>
      </c>
      <c r="I214" s="284">
        <f t="shared" si="101"/>
        <v>0</v>
      </c>
      <c r="J214" s="284">
        <f t="shared" si="101"/>
        <v>21.25</v>
      </c>
      <c r="K214" s="284">
        <f t="shared" si="101"/>
        <v>0</v>
      </c>
      <c r="L214" s="284">
        <f t="shared" si="101"/>
        <v>0</v>
      </c>
      <c r="M214" s="284">
        <f t="shared" si="101"/>
        <v>0</v>
      </c>
      <c r="N214" s="284">
        <f t="shared" si="101"/>
        <v>22.300000000000004</v>
      </c>
      <c r="O214" s="284">
        <f t="shared" si="101"/>
        <v>0</v>
      </c>
      <c r="P214" s="284">
        <f t="shared" si="101"/>
        <v>1.25</v>
      </c>
      <c r="Q214" s="284">
        <f t="shared" si="101"/>
        <v>0</v>
      </c>
      <c r="R214" s="284">
        <f t="shared" si="101"/>
        <v>0</v>
      </c>
      <c r="S214" s="284">
        <f t="shared" si="101"/>
        <v>0</v>
      </c>
      <c r="T214" s="284">
        <f t="shared" si="101"/>
        <v>0</v>
      </c>
      <c r="U214" s="284">
        <f t="shared" si="101"/>
        <v>0</v>
      </c>
      <c r="V214" s="284">
        <f t="shared" si="101"/>
        <v>0</v>
      </c>
      <c r="W214" s="284">
        <f t="shared" si="101"/>
        <v>17.5</v>
      </c>
      <c r="X214" s="284">
        <f t="shared" si="101"/>
        <v>0</v>
      </c>
      <c r="Y214" s="284">
        <f t="shared" si="101"/>
        <v>0</v>
      </c>
      <c r="Z214" s="284">
        <f t="shared" si="101"/>
        <v>2.5</v>
      </c>
      <c r="AA214" s="284">
        <f t="shared" si="101"/>
        <v>0</v>
      </c>
      <c r="AB214" s="284">
        <f t="shared" si="101"/>
        <v>0</v>
      </c>
      <c r="AC214" s="284">
        <f t="shared" si="101"/>
        <v>53.361539433771483</v>
      </c>
      <c r="AD214" s="284">
        <f t="shared" si="101"/>
        <v>0</v>
      </c>
      <c r="AE214" s="284">
        <f t="shared" si="101"/>
        <v>26.500000000000004</v>
      </c>
      <c r="AF214" s="284">
        <f t="shared" si="101"/>
        <v>0</v>
      </c>
      <c r="AG214" s="284">
        <f t="shared" si="101"/>
        <v>0</v>
      </c>
      <c r="AH214" s="284">
        <f t="shared" si="101"/>
        <v>2.5</v>
      </c>
      <c r="AI214" s="284">
        <f t="shared" si="101"/>
        <v>0</v>
      </c>
      <c r="AJ214" s="284">
        <f t="shared" si="101"/>
        <v>0</v>
      </c>
      <c r="AK214" s="284">
        <f t="shared" si="101"/>
        <v>0</v>
      </c>
      <c r="AL214" s="284">
        <f t="shared" si="101"/>
        <v>0</v>
      </c>
      <c r="AM214" s="284">
        <f t="shared" si="101"/>
        <v>0</v>
      </c>
      <c r="AN214" s="284">
        <f t="shared" si="101"/>
        <v>0</v>
      </c>
      <c r="AO214" s="284">
        <f t="shared" si="101"/>
        <v>0</v>
      </c>
      <c r="AP214" s="284">
        <f t="shared" si="101"/>
        <v>0</v>
      </c>
      <c r="AQ214" s="284">
        <f t="shared" si="101"/>
        <v>0</v>
      </c>
      <c r="AR214" s="284">
        <f t="shared" si="101"/>
        <v>0</v>
      </c>
      <c r="AS214" s="284">
        <f t="shared" si="101"/>
        <v>0</v>
      </c>
      <c r="AT214" s="284">
        <f t="shared" si="101"/>
        <v>0</v>
      </c>
      <c r="AU214" s="284">
        <f t="shared" si="101"/>
        <v>0</v>
      </c>
      <c r="AV214" s="284">
        <f t="shared" ref="AV214:AW214" si="102">SUM(AV14,AV27,AV40,AV53,AV66,AV79,AV92,AV105,AV118,AV131,AV144,AV157,AV170,AV183,AV196,AV209)</f>
        <v>0</v>
      </c>
      <c r="AW214" s="284">
        <f t="shared" si="102"/>
        <v>0</v>
      </c>
      <c r="AX214" s="474">
        <f>SUM(AX14,AX27,AX40,AX53,AX66,AX79,AX92,AX105,AX118,AX131,AX144,AX157,AX170,AX183,AX196,AX209)</f>
        <v>0</v>
      </c>
    </row>
    <row r="215" spans="1:50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0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0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0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0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0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0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0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0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0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4hKE9At+b/VIDOrfK6nQam5skK+w08Wi231J3oyw19K2LsacCQujnP650C6TZLrbNIZwQ39zVSlaKD8gvowQcg==" saltValue="7+9JqN7sEKGkahr2AoIWmA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abSelected="1" workbookViewId="0">
      <selection activeCell="A39" sqref="A39"/>
    </sheetView>
  </sheetViews>
  <sheetFormatPr defaultColWidth="9.109375" defaultRowHeight="10.199999999999999" x14ac:dyDescent="0.2"/>
  <cols>
    <col min="1" max="1" width="11.44140625" style="440" bestFit="1" customWidth="1"/>
    <col min="2" max="2" width="6.77734375" style="440" bestFit="1" customWidth="1"/>
    <col min="3" max="3" width="10.21875" style="440" bestFit="1" customWidth="1"/>
    <col min="4" max="4" width="14.33203125" style="440" bestFit="1" customWidth="1"/>
    <col min="5" max="5" width="6.88671875" style="440" bestFit="1" customWidth="1"/>
    <col min="6" max="6" width="6.5546875" style="440" bestFit="1" customWidth="1"/>
    <col min="7" max="7" width="6.88671875" style="440" bestFit="1" customWidth="1"/>
    <col min="8" max="8" width="5.44140625" style="443" bestFit="1" customWidth="1"/>
    <col min="9" max="9" width="7.5546875" style="241" customWidth="1"/>
    <col min="10" max="10" width="9.109375" style="241" bestFit="1" customWidth="1"/>
    <col min="11" max="11" width="7.6640625" style="241" bestFit="1" customWidth="1"/>
    <col min="12" max="12" width="5.44140625" style="241" bestFit="1" customWidth="1"/>
    <col min="13" max="13" width="5.88671875" style="411" bestFit="1" customWidth="1"/>
    <col min="14" max="14" width="3.6640625" style="409" bestFit="1" customWidth="1"/>
    <col min="15" max="15" width="5.88671875" style="409" bestFit="1" customWidth="1"/>
    <col min="16" max="16" width="5.88671875" style="410" bestFit="1" customWidth="1"/>
    <col min="17" max="18" width="5.109375" style="241" bestFit="1" customWidth="1"/>
    <col min="19" max="19" width="5.88671875" style="241" bestFit="1" customWidth="1"/>
    <col min="20" max="21" width="5.109375" style="241" bestFit="1" customWidth="1"/>
    <col min="22" max="22" width="13.33203125" style="62" bestFit="1" customWidth="1"/>
    <col min="23" max="23" width="9.109375" style="241"/>
    <col min="24" max="25" width="8.44140625" style="409" bestFit="1" customWidth="1"/>
    <col min="26" max="26" width="7" style="410" bestFit="1" customWidth="1"/>
    <col min="27" max="27" width="17.109375" style="414" bestFit="1" customWidth="1"/>
    <col min="28" max="16384" width="9.109375" style="241"/>
  </cols>
  <sheetData>
    <row r="1" spans="1:27" ht="10.8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155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240</v>
      </c>
      <c r="B2" s="439">
        <v>42546</v>
      </c>
      <c r="C2" s="440" t="s">
        <v>77</v>
      </c>
      <c r="D2" s="440" t="s">
        <v>238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1022.3800000000001</v>
      </c>
      <c r="L2" s="401">
        <f>SUMIF($C:$C,"Driver",$G:$G)</f>
        <v>33.200000000000003</v>
      </c>
      <c r="M2" s="401">
        <f>SUMIF($C:$C,"Private Party",$G:$G)</f>
        <v>366.46999999999997</v>
      </c>
      <c r="N2" s="401">
        <f>SUMIF($C:$C,"Parking Control",$G:$G)</f>
        <v>0</v>
      </c>
      <c r="O2" s="401">
        <f>SUMIF($C:$C,"The Firehouse",$G:$G)</f>
        <v>218.5</v>
      </c>
      <c r="P2" s="401">
        <f>SUMIF($C:$C,"Ten22",$G:$G)</f>
        <v>155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106.46000000000001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648.88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40" t="s">
        <v>240</v>
      </c>
      <c r="B3" s="439">
        <v>42547</v>
      </c>
      <c r="C3" s="440" t="s">
        <v>77</v>
      </c>
      <c r="D3" s="440" t="s">
        <v>238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Total!D52</f>
        <v>648.87999999999988</v>
      </c>
      <c r="L3" s="304">
        <f>Total!G52</f>
        <v>33.200000000000003</v>
      </c>
      <c r="M3" s="304">
        <f>Total!H52</f>
        <v>366.46999999999997</v>
      </c>
      <c r="N3" s="304">
        <f>Total!I52</f>
        <v>0</v>
      </c>
      <c r="O3" s="304">
        <f>Total!J52</f>
        <v>0</v>
      </c>
      <c r="P3" s="304">
        <f>Total!K52</f>
        <v>0</v>
      </c>
      <c r="Q3" s="304">
        <f>Total!L52</f>
        <v>73.75</v>
      </c>
      <c r="R3" s="304">
        <f>Total!M52</f>
        <v>32.75</v>
      </c>
      <c r="S3" s="304">
        <f>Total!N52</f>
        <v>106.46000000000001</v>
      </c>
      <c r="T3" s="304">
        <f>Total!O52</f>
        <v>19.75</v>
      </c>
      <c r="U3" s="304">
        <f>Total!P52</f>
        <v>16.5</v>
      </c>
      <c r="V3" s="625">
        <f>SUM(L3:N3,Q3:U3)</f>
        <v>648.88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0.8" thickBot="1" x14ac:dyDescent="0.25">
      <c r="A4" s="438" t="s">
        <v>240</v>
      </c>
      <c r="B4" s="439">
        <v>42548</v>
      </c>
      <c r="C4" s="440" t="s">
        <v>77</v>
      </c>
      <c r="D4" s="440" t="s">
        <v>238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373.50000000000023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218.5</v>
      </c>
      <c r="P4" s="307">
        <f t="shared" si="1"/>
        <v>155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0.8" thickBot="1" x14ac:dyDescent="0.25">
      <c r="A5" s="438" t="s">
        <v>240</v>
      </c>
      <c r="B5" s="439">
        <v>42549</v>
      </c>
      <c r="C5" s="440" t="s">
        <v>77</v>
      </c>
      <c r="D5" s="440" t="s">
        <v>238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0.8" thickBot="1" x14ac:dyDescent="0.25">
      <c r="A6" s="440" t="s">
        <v>240</v>
      </c>
      <c r="B6" s="439">
        <v>42549</v>
      </c>
      <c r="C6" s="440" t="s">
        <v>77</v>
      </c>
      <c r="D6" s="440" t="s">
        <v>238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0.8" thickBot="1" x14ac:dyDescent="0.25">
      <c r="A7" s="438" t="s">
        <v>190</v>
      </c>
      <c r="B7" s="439">
        <v>42538</v>
      </c>
      <c r="C7" s="440" t="s">
        <v>77</v>
      </c>
      <c r="D7" s="440" t="s">
        <v>176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0.8" thickBot="1" x14ac:dyDescent="0.25">
      <c r="A8" s="438" t="s">
        <v>190</v>
      </c>
      <c r="B8" s="439">
        <v>42545</v>
      </c>
      <c r="C8" s="440" t="s">
        <v>77</v>
      </c>
      <c r="D8" s="440" t="s">
        <v>176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21.952499999999986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190</v>
      </c>
      <c r="B9" s="439">
        <v>42546</v>
      </c>
      <c r="C9" s="440" t="s">
        <v>77</v>
      </c>
      <c r="D9" s="440" t="s">
        <v>176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38" t="s">
        <v>178</v>
      </c>
      <c r="B10" s="439">
        <v>42545</v>
      </c>
      <c r="C10" s="440" t="s">
        <v>154</v>
      </c>
      <c r="D10" s="440" t="s">
        <v>175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178</v>
      </c>
      <c r="B11" s="439">
        <v>42546</v>
      </c>
      <c r="C11" s="440" t="s">
        <v>154</v>
      </c>
      <c r="D11" s="440" t="s">
        <v>175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177</v>
      </c>
      <c r="B12" s="439">
        <v>42538</v>
      </c>
      <c r="C12" s="440" t="s">
        <v>154</v>
      </c>
      <c r="D12" s="440" t="s">
        <v>175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177</v>
      </c>
      <c r="B13" s="439">
        <v>42539</v>
      </c>
      <c r="C13" s="440" t="s">
        <v>154</v>
      </c>
      <c r="D13" s="440" t="s">
        <v>175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208</v>
      </c>
      <c r="B14" s="439">
        <v>42537</v>
      </c>
      <c r="C14" s="440" t="s">
        <v>119</v>
      </c>
      <c r="D14" s="440" t="s">
        <v>170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40" t="s">
        <v>208</v>
      </c>
      <c r="B15" s="439">
        <v>42541</v>
      </c>
      <c r="C15" s="440" t="s">
        <v>119</v>
      </c>
      <c r="D15" s="440" t="s">
        <v>170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40" t="s">
        <v>208</v>
      </c>
      <c r="B16" s="439">
        <v>42548</v>
      </c>
      <c r="C16" s="440" t="s">
        <v>119</v>
      </c>
      <c r="D16" s="440" t="s">
        <v>170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214</v>
      </c>
      <c r="B17" s="439">
        <v>42541</v>
      </c>
      <c r="C17" s="440" t="s">
        <v>119</v>
      </c>
      <c r="D17" s="440" t="s">
        <v>206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234</v>
      </c>
      <c r="B18" s="439">
        <v>42541</v>
      </c>
      <c r="C18" s="440" t="s">
        <v>119</v>
      </c>
      <c r="D18" s="440" t="s">
        <v>206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38" t="s">
        <v>177</v>
      </c>
      <c r="B19" s="439">
        <v>42537</v>
      </c>
      <c r="C19" s="440" t="s">
        <v>119</v>
      </c>
      <c r="D19" s="440" t="s">
        <v>170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177</v>
      </c>
      <c r="B20" s="439">
        <v>42541</v>
      </c>
      <c r="C20" s="440" t="s">
        <v>119</v>
      </c>
      <c r="D20" s="440" t="s">
        <v>206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177</v>
      </c>
      <c r="B21" s="439">
        <v>42541</v>
      </c>
      <c r="C21" s="440" t="s">
        <v>119</v>
      </c>
      <c r="D21" s="440" t="s">
        <v>170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0.8" thickBot="1" x14ac:dyDescent="0.25">
      <c r="A22" s="440" t="s">
        <v>177</v>
      </c>
      <c r="B22" s="439">
        <v>42548</v>
      </c>
      <c r="C22" s="440" t="s">
        <v>119</v>
      </c>
      <c r="D22" s="440" t="s">
        <v>170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3.2" x14ac:dyDescent="0.25">
      <c r="A23" s="438" t="s">
        <v>187</v>
      </c>
      <c r="B23" s="439">
        <v>42541</v>
      </c>
      <c r="C23" s="440" t="s">
        <v>119</v>
      </c>
      <c r="D23" s="440" t="s">
        <v>170</v>
      </c>
      <c r="E23" s="441">
        <v>0.64583333333333337</v>
      </c>
      <c r="F23" s="441">
        <v>0.6875</v>
      </c>
      <c r="G23" s="440">
        <v>1</v>
      </c>
      <c r="V23" s="629" t="s">
        <v>169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187</v>
      </c>
      <c r="B24" s="439">
        <v>42548</v>
      </c>
      <c r="C24" s="440" t="s">
        <v>119</v>
      </c>
      <c r="D24" s="440" t="s">
        <v>170</v>
      </c>
      <c r="E24" s="441">
        <v>0.63541666666666663</v>
      </c>
      <c r="F24" s="441">
        <v>0.69791666666666663</v>
      </c>
      <c r="G24" s="440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186</v>
      </c>
      <c r="B25" s="439">
        <v>42543</v>
      </c>
      <c r="C25" s="440" t="s">
        <v>118</v>
      </c>
      <c r="D25" s="440" t="s">
        <v>199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186</v>
      </c>
      <c r="B26" s="439">
        <v>42544</v>
      </c>
      <c r="C26" s="440" t="s">
        <v>118</v>
      </c>
      <c r="D26" s="440" t="s">
        <v>199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186</v>
      </c>
      <c r="B27" s="439">
        <v>42550</v>
      </c>
      <c r="C27" s="440" t="s">
        <v>118</v>
      </c>
      <c r="D27" s="440" t="s">
        <v>199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38" t="s">
        <v>208</v>
      </c>
      <c r="B28" s="439">
        <v>42544</v>
      </c>
      <c r="C28" s="440" t="s">
        <v>118</v>
      </c>
      <c r="D28" s="440" t="s">
        <v>199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208</v>
      </c>
      <c r="B29" s="439">
        <v>42545</v>
      </c>
      <c r="C29" s="440" t="s">
        <v>118</v>
      </c>
      <c r="D29" s="440" t="s">
        <v>197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208</v>
      </c>
      <c r="B30" s="439">
        <v>42546</v>
      </c>
      <c r="C30" s="440" t="s">
        <v>118</v>
      </c>
      <c r="D30" s="440" t="s">
        <v>197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156</v>
      </c>
      <c r="B31" s="439">
        <v>42543</v>
      </c>
      <c r="C31" s="440" t="s">
        <v>118</v>
      </c>
      <c r="D31" s="440" t="s">
        <v>199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40" t="s">
        <v>156</v>
      </c>
      <c r="B32" s="439">
        <v>42546</v>
      </c>
      <c r="C32" s="440" t="s">
        <v>118</v>
      </c>
      <c r="D32" s="440" t="s">
        <v>199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40" t="s">
        <v>156</v>
      </c>
      <c r="B33" s="439">
        <v>42550</v>
      </c>
      <c r="C33" s="440" t="s">
        <v>118</v>
      </c>
      <c r="D33" s="440" t="s">
        <v>199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189</v>
      </c>
      <c r="B34" s="439">
        <v>42543</v>
      </c>
      <c r="C34" s="440" t="s">
        <v>118</v>
      </c>
      <c r="D34" s="440" t="s">
        <v>199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189</v>
      </c>
      <c r="B35" s="439">
        <v>42545</v>
      </c>
      <c r="C35" s="440" t="s">
        <v>118</v>
      </c>
      <c r="D35" s="440" t="s">
        <v>199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189</v>
      </c>
      <c r="B36" s="439">
        <v>42546</v>
      </c>
      <c r="C36" s="440" t="s">
        <v>118</v>
      </c>
      <c r="D36" s="440" t="s">
        <v>199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188</v>
      </c>
      <c r="B37" s="439">
        <v>42539</v>
      </c>
      <c r="C37" s="440" t="s">
        <v>118</v>
      </c>
      <c r="D37" s="440" t="s">
        <v>199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40" t="s">
        <v>188</v>
      </c>
      <c r="B38" s="439">
        <v>42542</v>
      </c>
      <c r="C38" s="440" t="s">
        <v>118</v>
      </c>
      <c r="D38" s="440" t="s">
        <v>199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40" t="s">
        <v>188</v>
      </c>
      <c r="B39" s="439">
        <v>42545</v>
      </c>
      <c r="C39" s="440" t="s">
        <v>118</v>
      </c>
      <c r="D39" s="440" t="s">
        <v>199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178</v>
      </c>
      <c r="B40" s="439">
        <v>42539</v>
      </c>
      <c r="C40" s="440" t="s">
        <v>118</v>
      </c>
      <c r="D40" s="440" t="s">
        <v>199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179</v>
      </c>
      <c r="B41" s="439">
        <v>42547</v>
      </c>
      <c r="C41" s="440" t="s">
        <v>118</v>
      </c>
      <c r="D41" s="440" t="s">
        <v>199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184</v>
      </c>
      <c r="B42" s="439">
        <v>42539</v>
      </c>
      <c r="C42" s="440" t="s">
        <v>118</v>
      </c>
      <c r="D42" s="440" t="s">
        <v>199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38" t="s">
        <v>184</v>
      </c>
      <c r="B43" s="439">
        <v>42545</v>
      </c>
      <c r="C43" s="440" t="s">
        <v>118</v>
      </c>
      <c r="D43" s="440" t="s">
        <v>199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184</v>
      </c>
      <c r="B44" s="439">
        <v>42546</v>
      </c>
      <c r="C44" s="440" t="s">
        <v>118</v>
      </c>
      <c r="D44" s="440" t="s">
        <v>199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38" t="s">
        <v>214</v>
      </c>
      <c r="B45" s="439">
        <v>42545</v>
      </c>
      <c r="C45" s="440" t="s">
        <v>118</v>
      </c>
      <c r="D45" s="440" t="s">
        <v>199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214</v>
      </c>
      <c r="B46" s="439">
        <v>42550</v>
      </c>
      <c r="C46" s="440" t="s">
        <v>118</v>
      </c>
      <c r="D46" s="440" t="s">
        <v>199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234</v>
      </c>
      <c r="B47" s="439">
        <v>42544</v>
      </c>
      <c r="C47" s="440" t="s">
        <v>118</v>
      </c>
      <c r="D47" s="440" t="s">
        <v>199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38" t="s">
        <v>234</v>
      </c>
      <c r="B48" s="439">
        <v>42545</v>
      </c>
      <c r="C48" s="440" t="s">
        <v>118</v>
      </c>
      <c r="D48" s="440" t="s">
        <v>199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210</v>
      </c>
      <c r="B49" s="439">
        <v>42539</v>
      </c>
      <c r="C49" s="440" t="s">
        <v>118</v>
      </c>
      <c r="D49" s="440" t="s">
        <v>199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210</v>
      </c>
      <c r="B50" s="439">
        <v>42544</v>
      </c>
      <c r="C50" s="440" t="s">
        <v>118</v>
      </c>
      <c r="D50" s="440" t="s">
        <v>199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185</v>
      </c>
      <c r="B51" s="439">
        <v>42544</v>
      </c>
      <c r="C51" s="440" t="s">
        <v>118</v>
      </c>
      <c r="D51" s="440" t="s">
        <v>199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38" t="s">
        <v>185</v>
      </c>
      <c r="B52" s="439">
        <v>42545</v>
      </c>
      <c r="C52" s="440" t="s">
        <v>118</v>
      </c>
      <c r="D52" s="440" t="s">
        <v>199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38" t="s">
        <v>185</v>
      </c>
      <c r="B53" s="439">
        <v>42546</v>
      </c>
      <c r="C53" s="440" t="s">
        <v>118</v>
      </c>
      <c r="D53" s="440" t="s">
        <v>199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220</v>
      </c>
      <c r="B54" s="439">
        <v>42542</v>
      </c>
      <c r="C54" s="440" t="s">
        <v>118</v>
      </c>
      <c r="D54" s="440" t="s">
        <v>199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40" t="s">
        <v>212</v>
      </c>
      <c r="B55" s="439">
        <v>42545</v>
      </c>
      <c r="C55" s="440" t="s">
        <v>118</v>
      </c>
      <c r="D55" s="440" t="s">
        <v>199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180</v>
      </c>
      <c r="B56" s="439">
        <v>42539</v>
      </c>
      <c r="C56" s="440" t="s">
        <v>118</v>
      </c>
      <c r="D56" s="440" t="s">
        <v>197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180</v>
      </c>
      <c r="B57" s="439">
        <v>42539</v>
      </c>
      <c r="C57" s="440" t="s">
        <v>118</v>
      </c>
      <c r="D57" s="440" t="s">
        <v>199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40" t="s">
        <v>180</v>
      </c>
      <c r="B58" s="439">
        <v>42542</v>
      </c>
      <c r="C58" s="440" t="s">
        <v>118</v>
      </c>
      <c r="D58" s="440" t="s">
        <v>197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180</v>
      </c>
      <c r="B59" s="439">
        <v>42543</v>
      </c>
      <c r="C59" s="440" t="s">
        <v>118</v>
      </c>
      <c r="D59" s="440" t="s">
        <v>197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180</v>
      </c>
      <c r="B60" s="439">
        <v>42544</v>
      </c>
      <c r="C60" s="440" t="s">
        <v>118</v>
      </c>
      <c r="D60" s="440" t="s">
        <v>197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40" t="s">
        <v>180</v>
      </c>
      <c r="B61" s="439">
        <v>42545</v>
      </c>
      <c r="C61" s="440" t="s">
        <v>118</v>
      </c>
      <c r="D61" s="440" t="s">
        <v>199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40" t="s">
        <v>180</v>
      </c>
      <c r="B62" s="439">
        <v>42546</v>
      </c>
      <c r="C62" s="440" t="s">
        <v>118</v>
      </c>
      <c r="D62" s="440" t="s">
        <v>199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180</v>
      </c>
      <c r="B63" s="439">
        <v>42547</v>
      </c>
      <c r="C63" s="440" t="s">
        <v>118</v>
      </c>
      <c r="D63" s="440" t="s">
        <v>197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180</v>
      </c>
      <c r="B64" s="439">
        <v>42550</v>
      </c>
      <c r="C64" s="440" t="s">
        <v>118</v>
      </c>
      <c r="D64" s="440" t="s">
        <v>197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40" t="s">
        <v>227</v>
      </c>
      <c r="B65" s="439">
        <v>42542</v>
      </c>
      <c r="C65" s="440" t="s">
        <v>118</v>
      </c>
      <c r="D65" s="440" t="s">
        <v>199</v>
      </c>
      <c r="E65" s="441">
        <v>0.69791666666666663</v>
      </c>
      <c r="F65" s="441">
        <v>0.82291666666666663</v>
      </c>
      <c r="G65" s="440">
        <v>3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38" t="s">
        <v>233</v>
      </c>
      <c r="B66" s="439">
        <v>42539</v>
      </c>
      <c r="C66" s="440" t="s">
        <v>118</v>
      </c>
      <c r="D66" s="440" t="s">
        <v>229</v>
      </c>
      <c r="E66" s="441">
        <v>0.44791666666666669</v>
      </c>
      <c r="F66" s="441">
        <v>0.52083333333333337</v>
      </c>
      <c r="G66" s="440">
        <v>1.75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215</v>
      </c>
      <c r="B67" s="439">
        <v>42544</v>
      </c>
      <c r="C67" s="440" t="s">
        <v>118</v>
      </c>
      <c r="D67" s="440" t="s">
        <v>199</v>
      </c>
      <c r="E67" s="441">
        <v>0.64583333333333337</v>
      </c>
      <c r="F67" s="441">
        <v>0.97916666666666663</v>
      </c>
      <c r="G67" s="440">
        <v>7.5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38" t="s">
        <v>215</v>
      </c>
      <c r="B68" s="439">
        <v>42546</v>
      </c>
      <c r="C68" s="440" t="s">
        <v>118</v>
      </c>
      <c r="D68" s="440" t="s">
        <v>199</v>
      </c>
      <c r="E68" s="441">
        <v>0.5625</v>
      </c>
      <c r="F68" s="441">
        <v>0</v>
      </c>
      <c r="G68" s="440">
        <v>8.5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239</v>
      </c>
      <c r="B69" s="439">
        <v>42546</v>
      </c>
      <c r="C69" s="440" t="s">
        <v>118</v>
      </c>
      <c r="D69" s="440" t="s">
        <v>199</v>
      </c>
      <c r="E69" s="441">
        <v>0.30208333333333331</v>
      </c>
      <c r="F69" s="441">
        <v>2.0833333333333332E-2</v>
      </c>
      <c r="G69" s="440">
        <v>15.25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157</v>
      </c>
      <c r="B70" s="439">
        <v>42539</v>
      </c>
      <c r="C70" s="440" t="s">
        <v>118</v>
      </c>
      <c r="D70" s="440" t="s">
        <v>199</v>
      </c>
      <c r="E70" s="441">
        <v>0.35416666666666669</v>
      </c>
      <c r="F70" s="441">
        <v>0.88541666666666663</v>
      </c>
      <c r="G70" s="440">
        <v>11.75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38" t="s">
        <v>157</v>
      </c>
      <c r="B71" s="439">
        <v>42544</v>
      </c>
      <c r="C71" s="440" t="s">
        <v>118</v>
      </c>
      <c r="D71" s="440" t="s">
        <v>199</v>
      </c>
      <c r="E71" s="441">
        <v>0.64583333333333337</v>
      </c>
      <c r="F71" s="441">
        <v>0.97916666666666663</v>
      </c>
      <c r="G71" s="440">
        <v>7.5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157</v>
      </c>
      <c r="B72" s="439">
        <v>42545</v>
      </c>
      <c r="C72" s="440" t="s">
        <v>118</v>
      </c>
      <c r="D72" s="440" t="s">
        <v>199</v>
      </c>
      <c r="E72" s="441">
        <v>0.58333333333333337</v>
      </c>
      <c r="F72" s="441">
        <v>0.9375</v>
      </c>
      <c r="G72" s="440">
        <v>8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211</v>
      </c>
      <c r="B73" s="439">
        <v>42539</v>
      </c>
      <c r="C73" s="440" t="s">
        <v>118</v>
      </c>
      <c r="D73" s="440" t="s">
        <v>199</v>
      </c>
      <c r="E73" s="441">
        <v>0.73958333333333337</v>
      </c>
      <c r="F73" s="441">
        <v>0.9375</v>
      </c>
      <c r="G73" s="440">
        <v>4.75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40" t="s">
        <v>187</v>
      </c>
      <c r="B74" s="439">
        <v>42539</v>
      </c>
      <c r="C74" s="440" t="s">
        <v>118</v>
      </c>
      <c r="D74" s="440" t="s">
        <v>197</v>
      </c>
      <c r="E74" s="441">
        <v>0.35416666666666669</v>
      </c>
      <c r="F74" s="441">
        <v>0.88541666666666663</v>
      </c>
      <c r="G74" s="440">
        <v>11.75</v>
      </c>
      <c r="H74" s="630">
        <v>15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187</v>
      </c>
      <c r="B75" s="439">
        <v>42544</v>
      </c>
      <c r="C75" s="440" t="s">
        <v>118</v>
      </c>
      <c r="D75" s="440" t="s">
        <v>197</v>
      </c>
      <c r="E75" s="441">
        <v>0.64583333333333337</v>
      </c>
      <c r="F75" s="441">
        <v>0.98958333333333337</v>
      </c>
      <c r="G75" s="440">
        <v>7.75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38" t="s">
        <v>187</v>
      </c>
      <c r="B76" s="439">
        <v>42545</v>
      </c>
      <c r="C76" s="440" t="s">
        <v>118</v>
      </c>
      <c r="D76" s="440" t="s">
        <v>197</v>
      </c>
      <c r="E76" s="441">
        <v>0.59375</v>
      </c>
      <c r="F76" s="441">
        <v>0.92708333333333337</v>
      </c>
      <c r="G76" s="440">
        <v>7.5</v>
      </c>
      <c r="H76" s="443">
        <v>25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38" t="s">
        <v>187</v>
      </c>
      <c r="B77" s="439">
        <v>42546</v>
      </c>
      <c r="C77" s="440" t="s">
        <v>118</v>
      </c>
      <c r="D77" s="440" t="s">
        <v>197</v>
      </c>
      <c r="E77" s="441">
        <v>0.53125</v>
      </c>
      <c r="F77" s="441">
        <v>1.0416666666666666E-2</v>
      </c>
      <c r="G77" s="440">
        <v>9.5500000000000007</v>
      </c>
      <c r="H77" s="443">
        <v>15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40" t="s">
        <v>209</v>
      </c>
      <c r="B78" s="439">
        <v>42539</v>
      </c>
      <c r="C78" s="440" t="s">
        <v>118</v>
      </c>
      <c r="D78" s="440" t="s">
        <v>199</v>
      </c>
      <c r="E78" s="441">
        <v>0.375</v>
      </c>
      <c r="F78" s="441">
        <v>0.57291666666666663</v>
      </c>
      <c r="G78" s="440">
        <v>4.75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40" t="s">
        <v>158</v>
      </c>
      <c r="B79" s="439">
        <v>42544</v>
      </c>
      <c r="C79" s="440" t="s">
        <v>118</v>
      </c>
      <c r="D79" s="440" t="s">
        <v>199</v>
      </c>
      <c r="E79" s="441">
        <v>0.63541666666666663</v>
      </c>
      <c r="F79" s="441">
        <v>0.82291666666666663</v>
      </c>
      <c r="G79" s="440">
        <v>4.5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158</v>
      </c>
      <c r="B80" s="439">
        <v>42545</v>
      </c>
      <c r="C80" s="440" t="s">
        <v>118</v>
      </c>
      <c r="D80" s="440" t="s">
        <v>199</v>
      </c>
      <c r="E80" s="441">
        <v>0.58333333333333337</v>
      </c>
      <c r="F80" s="441">
        <v>0.92708333333333337</v>
      </c>
      <c r="G80" s="440">
        <v>7.75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38" t="s">
        <v>158</v>
      </c>
      <c r="B81" s="439">
        <v>42546</v>
      </c>
      <c r="C81" s="440" t="s">
        <v>118</v>
      </c>
      <c r="D81" s="440" t="s">
        <v>199</v>
      </c>
      <c r="E81" s="441">
        <v>0.60416666666666663</v>
      </c>
      <c r="F81" s="441">
        <v>0.71875</v>
      </c>
      <c r="G81" s="440">
        <v>2.75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40" t="s">
        <v>182</v>
      </c>
      <c r="B82" s="439">
        <v>42539</v>
      </c>
      <c r="C82" s="440" t="s">
        <v>118</v>
      </c>
      <c r="D82" s="440" t="s">
        <v>199</v>
      </c>
      <c r="E82" s="441">
        <v>0.39583333333333331</v>
      </c>
      <c r="F82" s="441">
        <v>0.54166666666666663</v>
      </c>
      <c r="G82" s="440">
        <v>3.5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192</v>
      </c>
      <c r="B83" s="439">
        <v>42544</v>
      </c>
      <c r="C83" s="440" t="s">
        <v>118</v>
      </c>
      <c r="D83" s="440" t="s">
        <v>199</v>
      </c>
      <c r="E83" s="441">
        <v>0.64583333333333337</v>
      </c>
      <c r="F83" s="441">
        <v>0.97916666666666663</v>
      </c>
      <c r="G83" s="440">
        <v>7.5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183</v>
      </c>
      <c r="B84" s="439">
        <v>42539</v>
      </c>
      <c r="C84" s="440" t="s">
        <v>118</v>
      </c>
      <c r="D84" s="440" t="s">
        <v>199</v>
      </c>
      <c r="E84" s="441">
        <v>0.73958333333333337</v>
      </c>
      <c r="F84" s="441">
        <v>0.9375</v>
      </c>
      <c r="G84" s="440">
        <v>4.75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183</v>
      </c>
      <c r="B85" s="439">
        <v>42544</v>
      </c>
      <c r="C85" s="440" t="s">
        <v>118</v>
      </c>
      <c r="D85" s="440" t="s">
        <v>199</v>
      </c>
      <c r="E85" s="441">
        <v>0.64583333333333337</v>
      </c>
      <c r="F85" s="441">
        <v>0.97916666666666663</v>
      </c>
      <c r="G85" s="440">
        <v>7.5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183</v>
      </c>
      <c r="B86" s="439">
        <v>42547</v>
      </c>
      <c r="C86" s="440" t="s">
        <v>118</v>
      </c>
      <c r="D86" s="440" t="s">
        <v>199</v>
      </c>
      <c r="E86" s="441">
        <v>0.72916666666666663</v>
      </c>
      <c r="F86" s="441">
        <v>2.0833333333333332E-2</v>
      </c>
      <c r="G86" s="440">
        <v>6.5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208</v>
      </c>
      <c r="B87" s="439">
        <v>42537</v>
      </c>
      <c r="C87" s="440" t="s">
        <v>16</v>
      </c>
      <c r="D87" s="440" t="s">
        <v>67</v>
      </c>
      <c r="E87" s="441">
        <v>0.70833333333333337</v>
      </c>
      <c r="F87" s="441">
        <v>0.91666666666666663</v>
      </c>
      <c r="G87" s="440">
        <v>5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38" t="s">
        <v>208</v>
      </c>
      <c r="B88" s="439">
        <v>42538</v>
      </c>
      <c r="C88" s="440" t="s">
        <v>16</v>
      </c>
      <c r="D88" s="440" t="s">
        <v>67</v>
      </c>
      <c r="E88" s="441">
        <v>0.6875</v>
      </c>
      <c r="F88" s="441">
        <v>0.9375</v>
      </c>
      <c r="G88" s="440">
        <v>6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208</v>
      </c>
      <c r="B89" s="439">
        <v>42539</v>
      </c>
      <c r="C89" s="440" t="s">
        <v>16</v>
      </c>
      <c r="D89" s="440" t="s">
        <v>67</v>
      </c>
      <c r="E89" s="441">
        <v>0.6875</v>
      </c>
      <c r="F89" s="441">
        <v>0.94791666666666663</v>
      </c>
      <c r="G89" s="440">
        <v>6.25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38" t="s">
        <v>208</v>
      </c>
      <c r="B90" s="439">
        <v>42540</v>
      </c>
      <c r="C90" s="440" t="s">
        <v>16</v>
      </c>
      <c r="D90" s="440" t="s">
        <v>67</v>
      </c>
      <c r="E90" s="441">
        <v>0.45833333333333331</v>
      </c>
      <c r="F90" s="441">
        <v>0.67708333333333337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40" t="s">
        <v>208</v>
      </c>
      <c r="B91" s="439">
        <v>42543</v>
      </c>
      <c r="C91" s="440" t="s">
        <v>16</v>
      </c>
      <c r="D91" s="440" t="s">
        <v>67</v>
      </c>
      <c r="E91" s="441">
        <v>0.70833333333333337</v>
      </c>
      <c r="F91" s="441">
        <v>0.92708333333333337</v>
      </c>
      <c r="G91" s="440">
        <v>5.25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208</v>
      </c>
      <c r="B92" s="439">
        <v>42551</v>
      </c>
      <c r="C92" s="440" t="s">
        <v>16</v>
      </c>
      <c r="D92" s="440" t="s">
        <v>67</v>
      </c>
      <c r="E92" s="441">
        <v>0.70833333333333337</v>
      </c>
      <c r="F92" s="441">
        <v>0.94791666666666663</v>
      </c>
      <c r="G92" s="440">
        <v>5.75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156</v>
      </c>
      <c r="B93" s="439">
        <v>42538</v>
      </c>
      <c r="C93" s="440" t="s">
        <v>16</v>
      </c>
      <c r="D93" s="440" t="s">
        <v>97</v>
      </c>
      <c r="E93" s="441">
        <v>0.72916666666666663</v>
      </c>
      <c r="F93" s="441">
        <v>0.9375</v>
      </c>
      <c r="G93" s="440">
        <v>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38" t="s">
        <v>156</v>
      </c>
      <c r="B94" s="439">
        <v>42539</v>
      </c>
      <c r="C94" s="440" t="s">
        <v>16</v>
      </c>
      <c r="D94" s="440" t="s">
        <v>97</v>
      </c>
      <c r="E94" s="441">
        <v>0.72916666666666663</v>
      </c>
      <c r="F94" s="441">
        <v>0.94791666666666663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156</v>
      </c>
      <c r="B95" s="439">
        <v>42542</v>
      </c>
      <c r="C95" s="440" t="s">
        <v>16</v>
      </c>
      <c r="D95" s="440" t="s">
        <v>67</v>
      </c>
      <c r="E95" s="441">
        <v>0.70833333333333337</v>
      </c>
      <c r="F95" s="441">
        <v>0.92708333333333337</v>
      </c>
      <c r="G95" s="440">
        <v>5.25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38" t="s">
        <v>156</v>
      </c>
      <c r="B96" s="439">
        <v>42544</v>
      </c>
      <c r="C96" s="440" t="s">
        <v>16</v>
      </c>
      <c r="D96" s="440" t="s">
        <v>67</v>
      </c>
      <c r="E96" s="441">
        <v>0.70833333333333337</v>
      </c>
      <c r="F96" s="441">
        <v>0.91666666666666663</v>
      </c>
      <c r="G96" s="440">
        <v>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156</v>
      </c>
      <c r="B97" s="439">
        <v>42545</v>
      </c>
      <c r="C97" s="440" t="s">
        <v>16</v>
      </c>
      <c r="D97" s="440" t="s">
        <v>67</v>
      </c>
      <c r="E97" s="441">
        <v>0.70833333333333337</v>
      </c>
      <c r="F97" s="441">
        <v>0.94791666666666663</v>
      </c>
      <c r="G97" s="440">
        <v>5.75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40" t="s">
        <v>193</v>
      </c>
      <c r="B98" s="439">
        <v>42539</v>
      </c>
      <c r="C98" s="440" t="s">
        <v>16</v>
      </c>
      <c r="D98" s="440" t="s">
        <v>97</v>
      </c>
      <c r="E98" s="441">
        <v>0.75</v>
      </c>
      <c r="F98" s="441">
        <v>0.9375</v>
      </c>
      <c r="G98" s="440">
        <v>4.5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193</v>
      </c>
      <c r="B99" s="439">
        <v>42545</v>
      </c>
      <c r="C99" s="440" t="s">
        <v>16</v>
      </c>
      <c r="D99" s="440" t="s">
        <v>97</v>
      </c>
      <c r="E99" s="441">
        <v>0.75</v>
      </c>
      <c r="F99" s="441">
        <v>0.95833333333333337</v>
      </c>
      <c r="G99" s="440">
        <v>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177</v>
      </c>
      <c r="B100" s="439">
        <v>42540</v>
      </c>
      <c r="C100" s="440" t="s">
        <v>16</v>
      </c>
      <c r="D100" s="440" t="s">
        <v>97</v>
      </c>
      <c r="E100" s="441">
        <v>0.5</v>
      </c>
      <c r="F100" s="441">
        <v>0.6875</v>
      </c>
      <c r="G100" s="440">
        <v>4.5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40" t="s">
        <v>191</v>
      </c>
      <c r="B101" s="439">
        <v>42539</v>
      </c>
      <c r="C101" s="440" t="s">
        <v>145</v>
      </c>
      <c r="D101" s="440" t="s">
        <v>173</v>
      </c>
      <c r="E101" s="441">
        <v>0.6875</v>
      </c>
      <c r="F101" s="441">
        <v>0.90625</v>
      </c>
      <c r="G101" s="440">
        <v>5.25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181</v>
      </c>
      <c r="B102" s="439">
        <v>42537</v>
      </c>
      <c r="C102" s="440" t="s">
        <v>145</v>
      </c>
      <c r="D102" s="440" t="s">
        <v>173</v>
      </c>
      <c r="E102" s="441">
        <v>0.46875</v>
      </c>
      <c r="F102" s="441">
        <v>0.66666666666666663</v>
      </c>
      <c r="G102" s="440">
        <v>4.71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181</v>
      </c>
      <c r="B103" s="439">
        <v>42537</v>
      </c>
      <c r="C103" s="440" t="s">
        <v>145</v>
      </c>
      <c r="D103" s="440" t="s">
        <v>173</v>
      </c>
      <c r="E103" s="441">
        <v>0.6875</v>
      </c>
      <c r="F103" s="441">
        <v>0.86458333333333337</v>
      </c>
      <c r="G103" s="440">
        <v>4.25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181</v>
      </c>
      <c r="B104" s="439">
        <v>42538</v>
      </c>
      <c r="C104" s="440" t="s">
        <v>145</v>
      </c>
      <c r="D104" s="440" t="s">
        <v>173</v>
      </c>
      <c r="E104" s="441">
        <v>0.45833333333333331</v>
      </c>
      <c r="F104" s="441">
        <v>0.60416666666666663</v>
      </c>
      <c r="G104" s="440">
        <v>3.5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181</v>
      </c>
      <c r="B105" s="439">
        <v>42538</v>
      </c>
      <c r="C105" s="440" t="s">
        <v>145</v>
      </c>
      <c r="D105" s="440" t="s">
        <v>173</v>
      </c>
      <c r="E105" s="441">
        <v>0.6875</v>
      </c>
      <c r="F105" s="441">
        <v>0.89583333333333337</v>
      </c>
      <c r="G105" s="440">
        <v>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40" t="s">
        <v>181</v>
      </c>
      <c r="B106" s="439">
        <v>42539</v>
      </c>
      <c r="C106" s="440" t="s">
        <v>145</v>
      </c>
      <c r="D106" s="440" t="s">
        <v>173</v>
      </c>
      <c r="E106" s="441">
        <v>0.41666666666666669</v>
      </c>
      <c r="F106" s="441">
        <v>0.58333333333333337</v>
      </c>
      <c r="G106" s="440">
        <v>4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181</v>
      </c>
      <c r="B107" s="439">
        <v>42540</v>
      </c>
      <c r="C107" s="440" t="s">
        <v>145</v>
      </c>
      <c r="D107" s="440" t="s">
        <v>173</v>
      </c>
      <c r="E107" s="441">
        <v>0.42708333333333331</v>
      </c>
      <c r="F107" s="441">
        <v>0.6875</v>
      </c>
      <c r="G107" s="440">
        <v>6.25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40" t="s">
        <v>181</v>
      </c>
      <c r="B108" s="439">
        <v>42543</v>
      </c>
      <c r="C108" s="440" t="s">
        <v>145</v>
      </c>
      <c r="D108" s="440" t="s">
        <v>173</v>
      </c>
      <c r="E108" s="441">
        <v>0.45833333333333331</v>
      </c>
      <c r="F108" s="441">
        <v>0.60416666666666663</v>
      </c>
      <c r="G108" s="440">
        <v>3.5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181</v>
      </c>
      <c r="B109" s="439">
        <v>42543</v>
      </c>
      <c r="C109" s="440" t="s">
        <v>145</v>
      </c>
      <c r="D109" s="440" t="s">
        <v>173</v>
      </c>
      <c r="E109" s="441">
        <v>0.6875</v>
      </c>
      <c r="F109" s="441">
        <v>0.90625</v>
      </c>
      <c r="G109" s="440">
        <v>5.25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181</v>
      </c>
      <c r="B110" s="439">
        <v>42545</v>
      </c>
      <c r="C110" s="440" t="s">
        <v>145</v>
      </c>
      <c r="D110" s="440" t="s">
        <v>173</v>
      </c>
      <c r="E110" s="441">
        <v>0.45833333333333331</v>
      </c>
      <c r="F110" s="441">
        <v>0.61458333333333337</v>
      </c>
      <c r="G110" s="440">
        <v>3.75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181</v>
      </c>
      <c r="B111" s="439">
        <v>42545</v>
      </c>
      <c r="C111" s="440" t="s">
        <v>145</v>
      </c>
      <c r="D111" s="440" t="s">
        <v>173</v>
      </c>
      <c r="E111" s="441">
        <v>0.6875</v>
      </c>
      <c r="F111" s="441">
        <v>0.85416666666666663</v>
      </c>
      <c r="G111" s="440">
        <v>4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181</v>
      </c>
      <c r="B112" s="439">
        <v>42546</v>
      </c>
      <c r="C112" s="440" t="s">
        <v>145</v>
      </c>
      <c r="D112" s="440" t="s">
        <v>173</v>
      </c>
      <c r="E112" s="441">
        <v>0.4375</v>
      </c>
      <c r="F112" s="441">
        <v>0.64583333333333337</v>
      </c>
      <c r="G112" s="440">
        <v>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181</v>
      </c>
      <c r="B113" s="439">
        <v>42546</v>
      </c>
      <c r="C113" s="440" t="s">
        <v>145</v>
      </c>
      <c r="D113" s="440" t="s">
        <v>173</v>
      </c>
      <c r="E113" s="441">
        <v>0.6875</v>
      </c>
      <c r="F113" s="441">
        <v>0.90625</v>
      </c>
      <c r="G113" s="440">
        <v>5.25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181</v>
      </c>
      <c r="B114" s="439">
        <v>42547</v>
      </c>
      <c r="C114" s="440" t="s">
        <v>145</v>
      </c>
      <c r="D114" s="440" t="s">
        <v>173</v>
      </c>
      <c r="E114" s="441">
        <v>0.42708333333333331</v>
      </c>
      <c r="F114" s="441">
        <v>0.6875</v>
      </c>
      <c r="G114" s="440">
        <v>6.25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38" t="s">
        <v>181</v>
      </c>
      <c r="B115" s="439">
        <v>42551</v>
      </c>
      <c r="C115" s="440" t="s">
        <v>145</v>
      </c>
      <c r="D115" s="440" t="s">
        <v>173</v>
      </c>
      <c r="E115" s="441">
        <v>0.46875</v>
      </c>
      <c r="F115" s="441">
        <v>0.5625</v>
      </c>
      <c r="G115" s="440">
        <v>2.25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181</v>
      </c>
      <c r="B116" s="439">
        <v>42551</v>
      </c>
      <c r="C116" s="440" t="s">
        <v>145</v>
      </c>
      <c r="D116" s="440" t="s">
        <v>173</v>
      </c>
      <c r="E116" s="441">
        <v>0.6875</v>
      </c>
      <c r="F116" s="441">
        <v>0.89583333333333337</v>
      </c>
      <c r="G116" s="440">
        <v>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213</v>
      </c>
      <c r="B117" s="439">
        <v>42540</v>
      </c>
      <c r="C117" s="440" t="s">
        <v>145</v>
      </c>
      <c r="D117" s="440" t="s">
        <v>173</v>
      </c>
      <c r="E117" s="441">
        <v>0.6875</v>
      </c>
      <c r="F117" s="441">
        <v>0.91666666666666663</v>
      </c>
      <c r="G117" s="440">
        <v>5.5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213</v>
      </c>
      <c r="B118" s="439">
        <v>42544</v>
      </c>
      <c r="C118" s="440" t="s">
        <v>145</v>
      </c>
      <c r="D118" s="440" t="s">
        <v>173</v>
      </c>
      <c r="E118" s="441">
        <v>0.45833333333333331</v>
      </c>
      <c r="F118" s="441">
        <v>0.63541666666666663</v>
      </c>
      <c r="G118" s="440">
        <v>4.25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213</v>
      </c>
      <c r="B119" s="439">
        <v>42544</v>
      </c>
      <c r="C119" s="440" t="s">
        <v>145</v>
      </c>
      <c r="D119" s="440" t="s">
        <v>173</v>
      </c>
      <c r="E119" s="441">
        <v>0.6875</v>
      </c>
      <c r="F119" s="441">
        <v>0.85416666666666663</v>
      </c>
      <c r="G119" s="440">
        <v>4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215</v>
      </c>
      <c r="B120" s="439">
        <v>42547</v>
      </c>
      <c r="C120" s="440" t="s">
        <v>145</v>
      </c>
      <c r="D120" s="440" t="s">
        <v>173</v>
      </c>
      <c r="E120" s="441">
        <v>0.67708333333333337</v>
      </c>
      <c r="F120" s="441">
        <v>0.83333333333333337</v>
      </c>
      <c r="G120" s="440">
        <v>3.75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40" t="s">
        <v>182</v>
      </c>
      <c r="B121" s="439">
        <v>42539</v>
      </c>
      <c r="C121" s="440" t="s">
        <v>145</v>
      </c>
      <c r="D121" s="440" t="s">
        <v>173</v>
      </c>
      <c r="E121" s="441">
        <v>0.58333333333333337</v>
      </c>
      <c r="F121" s="441">
        <v>0.69791666666666663</v>
      </c>
      <c r="G121" s="440">
        <v>2.75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42550</v>
      </c>
      <c r="C122" s="440" t="s">
        <v>145</v>
      </c>
      <c r="D122" s="440" t="s">
        <v>173</v>
      </c>
      <c r="E122" s="441">
        <v>0.45833333333333331</v>
      </c>
      <c r="F122" s="441">
        <v>0.60416666666666663</v>
      </c>
      <c r="G122" s="440">
        <v>3.5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182</v>
      </c>
      <c r="B123" s="439">
        <v>42550</v>
      </c>
      <c r="C123" s="440" t="s">
        <v>145</v>
      </c>
      <c r="D123" s="440" t="s">
        <v>173</v>
      </c>
      <c r="E123" s="441">
        <v>0.6875</v>
      </c>
      <c r="F123" s="441">
        <v>0.89583333333333337</v>
      </c>
      <c r="G123" s="440">
        <v>5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183</v>
      </c>
      <c r="B124" s="439">
        <v>42546</v>
      </c>
      <c r="C124" s="440" t="s">
        <v>145</v>
      </c>
      <c r="D124" s="440" t="s">
        <v>173</v>
      </c>
      <c r="E124" s="441">
        <v>0.72916666666666663</v>
      </c>
      <c r="F124" s="441">
        <v>0.91666666666666663</v>
      </c>
      <c r="G124" s="440">
        <v>4.5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40" t="s">
        <v>157</v>
      </c>
      <c r="B125" s="439">
        <v>42537</v>
      </c>
      <c r="C125" s="440" t="s">
        <v>50</v>
      </c>
      <c r="D125" s="440" t="s">
        <v>196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157</v>
      </c>
      <c r="B126" s="439">
        <v>42538</v>
      </c>
      <c r="C126" s="440" t="s">
        <v>50</v>
      </c>
      <c r="D126" s="440" t="s">
        <v>196</v>
      </c>
      <c r="E126" s="441">
        <v>0.46875</v>
      </c>
      <c r="F126" s="441">
        <v>0.55208333333333337</v>
      </c>
      <c r="G126" s="440">
        <v>2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40" t="s">
        <v>157</v>
      </c>
      <c r="B127" s="439">
        <v>42541</v>
      </c>
      <c r="C127" s="440" t="s">
        <v>50</v>
      </c>
      <c r="D127" s="440" t="s">
        <v>196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157</v>
      </c>
      <c r="B128" s="439">
        <v>42542</v>
      </c>
      <c r="C128" s="440" t="s">
        <v>50</v>
      </c>
      <c r="D128" s="440" t="s">
        <v>196</v>
      </c>
      <c r="E128" s="441">
        <v>0.45833333333333331</v>
      </c>
      <c r="F128" s="441">
        <v>0.58333333333333337</v>
      </c>
      <c r="G128" s="440">
        <v>3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157</v>
      </c>
      <c r="B129" s="439">
        <v>42543</v>
      </c>
      <c r="C129" s="440" t="s">
        <v>50</v>
      </c>
      <c r="D129" s="440" t="s">
        <v>196</v>
      </c>
      <c r="E129" s="441">
        <v>0.45833333333333331</v>
      </c>
      <c r="F129" s="441">
        <v>0.58333333333333337</v>
      </c>
      <c r="G129" s="440">
        <v>3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157</v>
      </c>
      <c r="B130" s="439">
        <v>42544</v>
      </c>
      <c r="C130" s="440" t="s">
        <v>50</v>
      </c>
      <c r="D130" s="440" t="s">
        <v>196</v>
      </c>
      <c r="E130" s="441">
        <v>0.45833333333333331</v>
      </c>
      <c r="F130" s="441">
        <v>0.625</v>
      </c>
      <c r="G130" s="440">
        <v>4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157</v>
      </c>
      <c r="B131" s="439">
        <v>42545</v>
      </c>
      <c r="C131" s="440" t="s">
        <v>50</v>
      </c>
      <c r="D131" s="440" t="s">
        <v>196</v>
      </c>
      <c r="E131" s="441">
        <v>0.45833333333333331</v>
      </c>
      <c r="F131" s="441">
        <v>0.57291666666666663</v>
      </c>
      <c r="G131" s="440">
        <v>2.75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40" t="s">
        <v>157</v>
      </c>
      <c r="B132" s="439">
        <v>42548</v>
      </c>
      <c r="C132" s="440" t="s">
        <v>50</v>
      </c>
      <c r="D132" s="440" t="s">
        <v>196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40" t="s">
        <v>157</v>
      </c>
      <c r="B133" s="439">
        <v>42549</v>
      </c>
      <c r="C133" s="440" t="s">
        <v>50</v>
      </c>
      <c r="D133" s="440" t="s">
        <v>196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157</v>
      </c>
      <c r="B134" s="439">
        <v>42550</v>
      </c>
      <c r="C134" s="440" t="s">
        <v>50</v>
      </c>
      <c r="D134" s="440" t="s">
        <v>196</v>
      </c>
      <c r="E134" s="441">
        <v>0.45833333333333331</v>
      </c>
      <c r="F134" s="441">
        <v>0.58333333333333337</v>
      </c>
      <c r="G134" s="440">
        <v>3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40" t="s">
        <v>157</v>
      </c>
      <c r="B135" s="439">
        <v>42551</v>
      </c>
      <c r="C135" s="440" t="s">
        <v>50</v>
      </c>
      <c r="D135" s="440" t="s">
        <v>196</v>
      </c>
      <c r="E135" s="441">
        <v>0.45833333333333331</v>
      </c>
      <c r="F135" s="441">
        <v>0.58333333333333337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186</v>
      </c>
      <c r="B136" s="439">
        <v>42538</v>
      </c>
      <c r="C136" s="440" t="s">
        <v>5</v>
      </c>
      <c r="D136" s="440" t="s">
        <v>174</v>
      </c>
      <c r="E136" s="441">
        <v>0.6875</v>
      </c>
      <c r="F136" s="441">
        <v>0.875</v>
      </c>
      <c r="G136" s="440">
        <v>4.5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186</v>
      </c>
      <c r="B137" s="439">
        <v>42539</v>
      </c>
      <c r="C137" s="440" t="s">
        <v>5</v>
      </c>
      <c r="D137" s="440" t="s">
        <v>174</v>
      </c>
      <c r="E137" s="441">
        <v>0.6875</v>
      </c>
      <c r="F137" s="441">
        <v>0.8125</v>
      </c>
      <c r="G137" s="440">
        <v>3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40" t="s">
        <v>186</v>
      </c>
      <c r="B138" s="439">
        <v>42545</v>
      </c>
      <c r="C138" s="440" t="s">
        <v>5</v>
      </c>
      <c r="D138" s="440" t="s">
        <v>174</v>
      </c>
      <c r="E138" s="441">
        <v>0.6875</v>
      </c>
      <c r="F138" s="441">
        <v>0.90625</v>
      </c>
      <c r="G138" s="440">
        <v>5.25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40" t="s">
        <v>208</v>
      </c>
      <c r="B139" s="439">
        <v>42551</v>
      </c>
      <c r="C139" s="440" t="s">
        <v>5</v>
      </c>
      <c r="D139" s="440" t="s">
        <v>174</v>
      </c>
      <c r="E139" s="441">
        <v>0.46875</v>
      </c>
      <c r="F139" s="441">
        <v>0.63541666666666663</v>
      </c>
      <c r="G139" s="440">
        <v>4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40" t="s">
        <v>156</v>
      </c>
      <c r="B140" s="439">
        <v>42549</v>
      </c>
      <c r="C140" s="440" t="s">
        <v>5</v>
      </c>
      <c r="D140" s="440" t="s">
        <v>174</v>
      </c>
      <c r="E140" s="441">
        <v>0.46875</v>
      </c>
      <c r="F140" s="441">
        <v>0.60416666666666663</v>
      </c>
      <c r="G140" s="440">
        <v>3.25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189</v>
      </c>
      <c r="B141" s="439">
        <v>42541</v>
      </c>
      <c r="C141" s="440" t="s">
        <v>5</v>
      </c>
      <c r="D141" s="440" t="s">
        <v>174</v>
      </c>
      <c r="E141" s="441">
        <v>0.6875</v>
      </c>
      <c r="F141" s="441">
        <v>0.8125</v>
      </c>
      <c r="G141" s="440">
        <v>3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188</v>
      </c>
      <c r="B142" s="439">
        <v>42541</v>
      </c>
      <c r="C142" s="440" t="s">
        <v>5</v>
      </c>
      <c r="D142" s="440" t="s">
        <v>174</v>
      </c>
      <c r="E142" s="441">
        <v>0.45833333333333331</v>
      </c>
      <c r="F142" s="441">
        <v>0.63541666666666663</v>
      </c>
      <c r="G142" s="440">
        <v>4.25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38" t="s">
        <v>178</v>
      </c>
      <c r="B143" s="439">
        <v>42544</v>
      </c>
      <c r="C143" s="440" t="s">
        <v>5</v>
      </c>
      <c r="D143" s="440" t="s">
        <v>174</v>
      </c>
      <c r="E143" s="441">
        <v>0.46875</v>
      </c>
      <c r="F143" s="441">
        <v>0.60416666666666663</v>
      </c>
      <c r="G143" s="440">
        <v>3.25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179</v>
      </c>
      <c r="B144" s="439">
        <v>42544</v>
      </c>
      <c r="C144" s="440" t="s">
        <v>5</v>
      </c>
      <c r="D144" s="440" t="s">
        <v>174</v>
      </c>
      <c r="E144" s="441">
        <v>0.6875</v>
      </c>
      <c r="F144" s="441">
        <v>0.89583333333333337</v>
      </c>
      <c r="G144" s="440">
        <v>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40" t="s">
        <v>184</v>
      </c>
      <c r="B145" s="439">
        <v>42538</v>
      </c>
      <c r="C145" s="440" t="s">
        <v>5</v>
      </c>
      <c r="D145" s="440" t="s">
        <v>174</v>
      </c>
      <c r="E145" s="441">
        <v>0.46875</v>
      </c>
      <c r="F145" s="441">
        <v>0.61458333333333337</v>
      </c>
      <c r="G145" s="440">
        <v>3.5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40" t="s">
        <v>234</v>
      </c>
      <c r="B146" s="439">
        <v>42546</v>
      </c>
      <c r="C146" s="440" t="s">
        <v>5</v>
      </c>
      <c r="D146" s="440" t="s">
        <v>174</v>
      </c>
      <c r="E146" s="441">
        <v>0.70833333333333337</v>
      </c>
      <c r="F146" s="441">
        <v>0.9375</v>
      </c>
      <c r="G146" s="440">
        <v>5.5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213</v>
      </c>
      <c r="B147" s="439">
        <v>42547</v>
      </c>
      <c r="C147" s="440" t="s">
        <v>5</v>
      </c>
      <c r="D147" s="440" t="s">
        <v>174</v>
      </c>
      <c r="E147" s="441">
        <v>0.46875</v>
      </c>
      <c r="F147" s="441">
        <v>0.64583333333333337</v>
      </c>
      <c r="G147" s="440">
        <v>4.25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38" t="s">
        <v>213</v>
      </c>
      <c r="B148" s="439">
        <v>42547</v>
      </c>
      <c r="C148" s="440" t="s">
        <v>5</v>
      </c>
      <c r="D148" s="440" t="s">
        <v>174</v>
      </c>
      <c r="E148" s="441">
        <v>0.6875</v>
      </c>
      <c r="F148" s="441">
        <v>0.875</v>
      </c>
      <c r="G148" s="440">
        <v>4.5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40" t="s">
        <v>177</v>
      </c>
      <c r="B149" s="439">
        <v>42537</v>
      </c>
      <c r="C149" s="440" t="s">
        <v>5</v>
      </c>
      <c r="D149" s="440" t="s">
        <v>174</v>
      </c>
      <c r="E149" s="441">
        <v>0.46875</v>
      </c>
      <c r="F149" s="441">
        <v>0.60416666666666663</v>
      </c>
      <c r="G149" s="440">
        <v>3.25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177</v>
      </c>
      <c r="B150" s="439">
        <v>42542</v>
      </c>
      <c r="C150" s="440" t="s">
        <v>5</v>
      </c>
      <c r="D150" s="440" t="s">
        <v>174</v>
      </c>
      <c r="E150" s="441">
        <v>0.46875</v>
      </c>
      <c r="F150" s="441">
        <v>0.59375</v>
      </c>
      <c r="G150" s="440">
        <v>3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177</v>
      </c>
      <c r="B151" s="439">
        <v>42549</v>
      </c>
      <c r="C151" s="440" t="s">
        <v>5</v>
      </c>
      <c r="D151" s="440" t="s">
        <v>174</v>
      </c>
      <c r="E151" s="441">
        <v>0.6875</v>
      </c>
      <c r="F151" s="441">
        <v>0.85416666666666663</v>
      </c>
      <c r="G151" s="440">
        <v>4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210</v>
      </c>
      <c r="B152" s="439">
        <v>42545</v>
      </c>
      <c r="C152" s="440" t="s">
        <v>5</v>
      </c>
      <c r="D152" s="440" t="s">
        <v>174</v>
      </c>
      <c r="E152" s="441">
        <v>0.47916666666666669</v>
      </c>
      <c r="F152" s="441">
        <v>0.63541666666666663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210</v>
      </c>
      <c r="B153" s="439">
        <v>42546</v>
      </c>
      <c r="C153" s="440" t="s">
        <v>5</v>
      </c>
      <c r="D153" s="440" t="s">
        <v>174</v>
      </c>
      <c r="E153" s="441">
        <v>0.46875</v>
      </c>
      <c r="F153" s="441">
        <v>0.69791666666666663</v>
      </c>
      <c r="G153" s="440">
        <v>5.5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185</v>
      </c>
      <c r="B154" s="439">
        <v>42540</v>
      </c>
      <c r="C154" s="440" t="s">
        <v>5</v>
      </c>
      <c r="D154" s="440" t="s">
        <v>174</v>
      </c>
      <c r="E154" s="441">
        <v>0.6875</v>
      </c>
      <c r="F154" s="441">
        <v>0.84375</v>
      </c>
      <c r="G154" s="440">
        <v>3.75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185</v>
      </c>
      <c r="B155" s="439">
        <v>42548</v>
      </c>
      <c r="C155" s="440" t="s">
        <v>5</v>
      </c>
      <c r="D155" s="440" t="s">
        <v>174</v>
      </c>
      <c r="E155" s="441">
        <v>0.46875</v>
      </c>
      <c r="F155" s="441">
        <v>0.64583333333333337</v>
      </c>
      <c r="G155" s="440">
        <v>4.25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38" t="s">
        <v>185</v>
      </c>
      <c r="B156" s="439">
        <v>42550</v>
      </c>
      <c r="C156" s="440" t="s">
        <v>5</v>
      </c>
      <c r="D156" s="440" t="s">
        <v>174</v>
      </c>
      <c r="E156" s="441">
        <v>0.46875</v>
      </c>
      <c r="F156" s="441">
        <v>0.60416666666666663</v>
      </c>
      <c r="G156" s="440">
        <v>3.25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40" t="s">
        <v>220</v>
      </c>
      <c r="B157" s="439">
        <v>42546</v>
      </c>
      <c r="C157" s="440" t="s">
        <v>5</v>
      </c>
      <c r="D157" s="440" t="s">
        <v>174</v>
      </c>
      <c r="E157" s="441">
        <v>0.6875</v>
      </c>
      <c r="F157" s="441">
        <v>0.85416666666666663</v>
      </c>
      <c r="G157" s="440">
        <v>4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220</v>
      </c>
      <c r="B158" s="439">
        <v>42551</v>
      </c>
      <c r="C158" s="440" t="s">
        <v>5</v>
      </c>
      <c r="D158" s="440" t="s">
        <v>174</v>
      </c>
      <c r="E158" s="441">
        <v>0.6875</v>
      </c>
      <c r="F158" s="441">
        <v>0.875</v>
      </c>
      <c r="G158" s="440">
        <v>4.5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180</v>
      </c>
      <c r="B159" s="439">
        <v>42538</v>
      </c>
      <c r="C159" s="440" t="s">
        <v>5</v>
      </c>
      <c r="D159" s="440" t="s">
        <v>174</v>
      </c>
      <c r="E159" s="441">
        <v>0.71875</v>
      </c>
      <c r="F159" s="441">
        <v>0.84375</v>
      </c>
      <c r="G159" s="440">
        <v>3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227</v>
      </c>
      <c r="B160" s="439">
        <v>42548</v>
      </c>
      <c r="C160" s="440" t="s">
        <v>5</v>
      </c>
      <c r="D160" s="440" t="s">
        <v>174</v>
      </c>
      <c r="E160" s="441">
        <v>0.6875</v>
      </c>
      <c r="F160" s="441">
        <v>0.83333333333333337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215</v>
      </c>
      <c r="B161" s="439">
        <v>42542</v>
      </c>
      <c r="C161" s="440" t="s">
        <v>5</v>
      </c>
      <c r="D161" s="440" t="s">
        <v>174</v>
      </c>
      <c r="E161" s="441">
        <v>0.6875</v>
      </c>
      <c r="F161" s="441">
        <v>0.84375</v>
      </c>
      <c r="G161" s="440">
        <v>3.75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38" t="s">
        <v>187</v>
      </c>
      <c r="B162" s="439">
        <v>42540</v>
      </c>
      <c r="C162" s="440" t="s">
        <v>5</v>
      </c>
      <c r="D162" s="440" t="s">
        <v>174</v>
      </c>
      <c r="E162" s="441">
        <v>0.47916666666666669</v>
      </c>
      <c r="F162" s="441">
        <v>0.6875</v>
      </c>
      <c r="G162" s="440">
        <v>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187</v>
      </c>
      <c r="B163" s="439">
        <v>42543</v>
      </c>
      <c r="C163" s="440" t="s">
        <v>5</v>
      </c>
      <c r="D163" s="440" t="s">
        <v>174</v>
      </c>
      <c r="E163" s="441">
        <v>0.45833333333333331</v>
      </c>
      <c r="F163" s="441">
        <v>0.60416666666666663</v>
      </c>
      <c r="G163" s="440">
        <v>3.5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158</v>
      </c>
      <c r="B164" s="439">
        <v>42539</v>
      </c>
      <c r="C164" s="440" t="s">
        <v>5</v>
      </c>
      <c r="D164" s="440" t="s">
        <v>174</v>
      </c>
      <c r="E164" s="441">
        <v>0.45833333333333331</v>
      </c>
      <c r="F164" s="441">
        <v>0.66666666666666663</v>
      </c>
      <c r="G164" s="440">
        <v>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158</v>
      </c>
      <c r="B165" s="439">
        <v>42540</v>
      </c>
      <c r="C165" s="440" t="s">
        <v>5</v>
      </c>
      <c r="D165" s="440" t="s">
        <v>174</v>
      </c>
      <c r="E165" s="441">
        <v>0.46875</v>
      </c>
      <c r="F165" s="441">
        <v>0.65625</v>
      </c>
      <c r="G165" s="440">
        <v>4.5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182</v>
      </c>
      <c r="B166" s="439">
        <v>42537</v>
      </c>
      <c r="C166" s="440" t="s">
        <v>5</v>
      </c>
      <c r="D166" s="440" t="s">
        <v>174</v>
      </c>
      <c r="E166" s="441">
        <v>0.6875</v>
      </c>
      <c r="F166" s="441">
        <v>0.92708333333333337</v>
      </c>
      <c r="G166" s="440">
        <v>5.75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 t="s">
        <v>182</v>
      </c>
      <c r="B167" s="439">
        <v>42539</v>
      </c>
      <c r="C167" s="440" t="s">
        <v>5</v>
      </c>
      <c r="D167" s="440" t="s">
        <v>174</v>
      </c>
      <c r="E167" s="441">
        <v>0.70833333333333337</v>
      </c>
      <c r="F167" s="441">
        <v>0.9375</v>
      </c>
      <c r="G167" s="440">
        <v>5.5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192</v>
      </c>
      <c r="B168" s="439">
        <v>42539</v>
      </c>
      <c r="C168" s="440" t="s">
        <v>5</v>
      </c>
      <c r="D168" s="440" t="s">
        <v>174</v>
      </c>
      <c r="E168" s="441">
        <v>0.71875</v>
      </c>
      <c r="F168" s="441">
        <v>0.94791666666666663</v>
      </c>
      <c r="G168" s="440">
        <v>5.5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192</v>
      </c>
      <c r="B169" s="439">
        <v>42540</v>
      </c>
      <c r="C169" s="440" t="s">
        <v>5</v>
      </c>
      <c r="D169" s="440" t="s">
        <v>174</v>
      </c>
      <c r="E169" s="441">
        <v>0.6875</v>
      </c>
      <c r="F169" s="441">
        <v>0.83333333333333337</v>
      </c>
      <c r="G169" s="440">
        <v>3.5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38" t="s">
        <v>192</v>
      </c>
      <c r="B170" s="439">
        <v>42543</v>
      </c>
      <c r="C170" s="440" t="s">
        <v>5</v>
      </c>
      <c r="D170" s="440" t="s">
        <v>174</v>
      </c>
      <c r="E170" s="441">
        <v>0.69791666666666663</v>
      </c>
      <c r="F170" s="441">
        <v>0.85416666666666663</v>
      </c>
      <c r="G170" s="440">
        <v>3.75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38" t="s">
        <v>192</v>
      </c>
      <c r="B171" s="439">
        <v>42550</v>
      </c>
      <c r="C171" s="440" t="s">
        <v>5</v>
      </c>
      <c r="D171" s="440" t="s">
        <v>174</v>
      </c>
      <c r="E171" s="441">
        <v>0.6875</v>
      </c>
      <c r="F171" s="441">
        <v>0.94791666666666663</v>
      </c>
      <c r="G171" s="440">
        <v>6.25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183</v>
      </c>
      <c r="B172" s="439">
        <v>42545</v>
      </c>
      <c r="C172" s="440" t="s">
        <v>5</v>
      </c>
      <c r="D172" s="440" t="s">
        <v>174</v>
      </c>
      <c r="E172" s="441">
        <v>0.70833333333333337</v>
      </c>
      <c r="F172" s="441">
        <v>0.875</v>
      </c>
      <c r="G172" s="440">
        <v>4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186</v>
      </c>
      <c r="B173" s="439">
        <v>42540</v>
      </c>
      <c r="C173" s="440" t="s">
        <v>24</v>
      </c>
      <c r="D173" s="440" t="s">
        <v>171</v>
      </c>
      <c r="E173" s="441">
        <v>0.6875</v>
      </c>
      <c r="F173" s="441">
        <v>0.90625</v>
      </c>
      <c r="G173" s="440">
        <v>5.25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38" t="s">
        <v>186</v>
      </c>
      <c r="B174" s="439">
        <v>42546</v>
      </c>
      <c r="C174" s="440" t="s">
        <v>24</v>
      </c>
      <c r="D174" s="440" t="s">
        <v>171</v>
      </c>
      <c r="E174" s="441">
        <v>0.65625</v>
      </c>
      <c r="F174" s="441">
        <v>0.9375</v>
      </c>
      <c r="G174" s="440">
        <v>6.75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156</v>
      </c>
      <c r="B175" s="439">
        <v>42549</v>
      </c>
      <c r="C175" s="440" t="s">
        <v>24</v>
      </c>
      <c r="D175" s="440" t="s">
        <v>171</v>
      </c>
      <c r="E175" s="441">
        <v>0.69791666666666663</v>
      </c>
      <c r="F175" s="441">
        <v>0.9375</v>
      </c>
      <c r="G175" s="440">
        <v>5.75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156</v>
      </c>
      <c r="B176" s="439">
        <v>42551</v>
      </c>
      <c r="C176" s="440" t="s">
        <v>24</v>
      </c>
      <c r="D176" s="440" t="s">
        <v>171</v>
      </c>
      <c r="E176" s="441">
        <v>0.69791666666666663</v>
      </c>
      <c r="F176" s="441">
        <v>0.90625</v>
      </c>
      <c r="G176" s="440">
        <v>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38" t="s">
        <v>189</v>
      </c>
      <c r="B177" s="439">
        <v>42538</v>
      </c>
      <c r="C177" s="440" t="s">
        <v>24</v>
      </c>
      <c r="D177" s="440" t="s">
        <v>171</v>
      </c>
      <c r="E177" s="441">
        <v>0.73958333333333337</v>
      </c>
      <c r="F177" s="441">
        <v>0.9375</v>
      </c>
      <c r="G177" s="440">
        <v>4.75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189</v>
      </c>
      <c r="B178" s="439">
        <v>42539</v>
      </c>
      <c r="C178" s="440" t="s">
        <v>24</v>
      </c>
      <c r="D178" s="440" t="s">
        <v>171</v>
      </c>
      <c r="E178" s="441">
        <v>0.69791666666666663</v>
      </c>
      <c r="F178" s="441">
        <v>2.0833333333333332E-2</v>
      </c>
      <c r="G178" s="440">
        <v>7.25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38" t="s">
        <v>189</v>
      </c>
      <c r="B179" s="439">
        <v>42550</v>
      </c>
      <c r="C179" s="440" t="s">
        <v>24</v>
      </c>
      <c r="D179" s="440" t="s">
        <v>171</v>
      </c>
      <c r="E179" s="441">
        <v>0.69791666666666663</v>
      </c>
      <c r="F179" s="441">
        <v>0.91666666666666663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40" t="s">
        <v>188</v>
      </c>
      <c r="B180" s="439">
        <v>42538</v>
      </c>
      <c r="C180" s="440" t="s">
        <v>24</v>
      </c>
      <c r="D180" s="440" t="s">
        <v>171</v>
      </c>
      <c r="E180" s="441">
        <v>0.72916666666666663</v>
      </c>
      <c r="F180" s="441">
        <v>0</v>
      </c>
      <c r="G180" s="440">
        <v>6.5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40" t="s">
        <v>188</v>
      </c>
      <c r="B181" s="439">
        <v>42543</v>
      </c>
      <c r="C181" s="440" t="s">
        <v>24</v>
      </c>
      <c r="D181" s="440" t="s">
        <v>171</v>
      </c>
      <c r="E181" s="441">
        <v>0.42708333333333331</v>
      </c>
      <c r="F181" s="441">
        <v>0.63541666666666663</v>
      </c>
      <c r="G181" s="440">
        <v>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188</v>
      </c>
      <c r="B182" s="439">
        <v>42543</v>
      </c>
      <c r="C182" s="440" t="s">
        <v>24</v>
      </c>
      <c r="D182" s="440" t="s">
        <v>171</v>
      </c>
      <c r="E182" s="441">
        <v>0.71875</v>
      </c>
      <c r="F182" s="441">
        <v>0.9375</v>
      </c>
      <c r="G182" s="445">
        <v>5.25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38" t="s">
        <v>188</v>
      </c>
      <c r="B183" s="439">
        <v>42544</v>
      </c>
      <c r="C183" s="440" t="s">
        <v>24</v>
      </c>
      <c r="D183" s="440" t="s">
        <v>171</v>
      </c>
      <c r="E183" s="441">
        <v>0.45833333333333331</v>
      </c>
      <c r="F183" s="441">
        <v>0.64583333333333337</v>
      </c>
      <c r="G183" s="440">
        <v>4.5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188</v>
      </c>
      <c r="B184" s="439">
        <v>42546</v>
      </c>
      <c r="C184" s="440" t="s">
        <v>24</v>
      </c>
      <c r="D184" s="440" t="s">
        <v>171</v>
      </c>
      <c r="E184" s="441">
        <v>0.65625</v>
      </c>
      <c r="F184" s="441">
        <v>0.97916666666666663</v>
      </c>
      <c r="G184" s="440">
        <v>7.25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40" t="s">
        <v>188</v>
      </c>
      <c r="B185" s="439">
        <v>42547</v>
      </c>
      <c r="C185" s="440" t="s">
        <v>24</v>
      </c>
      <c r="D185" s="440" t="s">
        <v>171</v>
      </c>
      <c r="E185" s="441">
        <v>0.69791666666666663</v>
      </c>
      <c r="F185" s="441">
        <v>0.92708333333333337</v>
      </c>
      <c r="G185" s="440">
        <v>5.5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188</v>
      </c>
      <c r="B186" s="439">
        <v>42549</v>
      </c>
      <c r="C186" s="440" t="s">
        <v>24</v>
      </c>
      <c r="D186" s="440" t="s">
        <v>171</v>
      </c>
      <c r="E186" s="441">
        <v>0.69791666666666663</v>
      </c>
      <c r="F186" s="441">
        <v>0.8125</v>
      </c>
      <c r="G186" s="440">
        <v>2.75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42537</v>
      </c>
      <c r="C187" s="440" t="s">
        <v>24</v>
      </c>
      <c r="D187" s="440" t="s">
        <v>171</v>
      </c>
      <c r="E187" s="441">
        <v>0.4375</v>
      </c>
      <c r="F187" s="441">
        <v>0.61458333333333337</v>
      </c>
      <c r="G187" s="440">
        <v>4.25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40" t="s">
        <v>179</v>
      </c>
      <c r="B188" s="439">
        <v>42537</v>
      </c>
      <c r="C188" s="440" t="s">
        <v>24</v>
      </c>
      <c r="D188" s="440" t="s">
        <v>171</v>
      </c>
      <c r="E188" s="441">
        <v>0.4375</v>
      </c>
      <c r="F188" s="441">
        <v>0.61458333333333337</v>
      </c>
      <c r="G188" s="440">
        <v>4.25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179</v>
      </c>
      <c r="B189" s="439">
        <v>42539</v>
      </c>
      <c r="C189" s="440" t="s">
        <v>24</v>
      </c>
      <c r="D189" s="440" t="s">
        <v>171</v>
      </c>
      <c r="E189" s="441">
        <v>0.72916666666666663</v>
      </c>
      <c r="F189" s="441">
        <v>0.94791666666666663</v>
      </c>
      <c r="G189" s="440">
        <v>5.25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179</v>
      </c>
      <c r="B190" s="439">
        <v>42545</v>
      </c>
      <c r="C190" s="440" t="s">
        <v>24</v>
      </c>
      <c r="D190" s="440" t="s">
        <v>171</v>
      </c>
      <c r="E190" s="441">
        <v>0.72916666666666663</v>
      </c>
      <c r="F190" s="441">
        <v>0.91666666666666663</v>
      </c>
      <c r="G190" s="440">
        <v>4.5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40" t="s">
        <v>179</v>
      </c>
      <c r="B191" s="439">
        <v>42546</v>
      </c>
      <c r="C191" s="440" t="s">
        <v>24</v>
      </c>
      <c r="D191" s="440" t="s">
        <v>171</v>
      </c>
      <c r="E191" s="441">
        <v>0.625</v>
      </c>
      <c r="F191" s="441">
        <v>0.94791666666666663</v>
      </c>
      <c r="G191" s="440">
        <v>7.25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38" t="s">
        <v>184</v>
      </c>
      <c r="B192" s="439">
        <v>42540</v>
      </c>
      <c r="C192" s="440" t="s">
        <v>24</v>
      </c>
      <c r="D192" s="440" t="s">
        <v>171</v>
      </c>
      <c r="E192" s="441">
        <v>0.65625</v>
      </c>
      <c r="F192" s="441">
        <v>0.78125</v>
      </c>
      <c r="G192" s="440">
        <v>3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38" t="s">
        <v>181</v>
      </c>
      <c r="B193" s="439">
        <v>42542</v>
      </c>
      <c r="C193" s="440" t="s">
        <v>24</v>
      </c>
      <c r="D193" s="440" t="s">
        <v>171</v>
      </c>
      <c r="E193" s="441">
        <v>0.69791666666666663</v>
      </c>
      <c r="F193" s="441">
        <v>0.90625</v>
      </c>
      <c r="G193" s="440">
        <v>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38" t="s">
        <v>177</v>
      </c>
      <c r="B194" s="439">
        <v>42541</v>
      </c>
      <c r="C194" s="440" t="s">
        <v>24</v>
      </c>
      <c r="D194" s="440" t="s">
        <v>171</v>
      </c>
      <c r="E194" s="441">
        <v>0.69791666666666663</v>
      </c>
      <c r="F194" s="441">
        <v>0.90625</v>
      </c>
      <c r="G194" s="440">
        <v>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177</v>
      </c>
      <c r="B195" s="439">
        <v>42548</v>
      </c>
      <c r="C195" s="440" t="s">
        <v>24</v>
      </c>
      <c r="D195" s="440" t="s">
        <v>171</v>
      </c>
      <c r="E195" s="441">
        <v>0.69791666666666663</v>
      </c>
      <c r="F195" s="441">
        <v>0.91666666666666663</v>
      </c>
      <c r="G195" s="440">
        <v>5.25</v>
      </c>
      <c r="X195" s="409">
        <v>0.95392361111111112</v>
      </c>
      <c r="Y195" s="409">
        <v>0.95849537037037036</v>
      </c>
      <c r="Z195" s="410">
        <f t="shared" ref="Z195:Z201" si="17">HRS(X195,Y195)</f>
        <v>0.10972222222222161</v>
      </c>
      <c r="AA195" s="414">
        <v>42553</v>
      </c>
    </row>
    <row r="196" spans="1:27" x14ac:dyDescent="0.2">
      <c r="A196" s="438" t="s">
        <v>177</v>
      </c>
      <c r="B196" s="439">
        <v>42549</v>
      </c>
      <c r="C196" s="440" t="s">
        <v>24</v>
      </c>
      <c r="D196" s="440" t="s">
        <v>171</v>
      </c>
      <c r="E196" s="441">
        <v>0.46875</v>
      </c>
      <c r="F196" s="441">
        <v>0.625</v>
      </c>
      <c r="G196" s="440">
        <v>3.75</v>
      </c>
      <c r="X196" s="409">
        <v>0.95849537037037036</v>
      </c>
      <c r="Y196" s="409">
        <v>0.9662384259259259</v>
      </c>
      <c r="Z196" s="410">
        <f t="shared" si="17"/>
        <v>0.18583333333333307</v>
      </c>
      <c r="AA196" s="414">
        <v>42553</v>
      </c>
    </row>
    <row r="197" spans="1:27" x14ac:dyDescent="0.2">
      <c r="A197" s="438" t="s">
        <v>210</v>
      </c>
      <c r="B197" s="439">
        <v>42540</v>
      </c>
      <c r="C197" s="440" t="s">
        <v>24</v>
      </c>
      <c r="D197" s="440" t="s">
        <v>171</v>
      </c>
      <c r="E197" s="441">
        <v>0.69791666666666663</v>
      </c>
      <c r="F197" s="441">
        <v>0.84375</v>
      </c>
      <c r="G197" s="440">
        <v>3.5</v>
      </c>
      <c r="X197" s="409">
        <v>0.9662384259259259</v>
      </c>
      <c r="Y197" s="409">
        <v>0.96774305555555562</v>
      </c>
      <c r="Z197" s="410">
        <f t="shared" si="17"/>
        <v>3.6111111111113203E-2</v>
      </c>
      <c r="AA197" s="414">
        <v>42553</v>
      </c>
    </row>
    <row r="198" spans="1:27" x14ac:dyDescent="0.2">
      <c r="A198" s="438" t="s">
        <v>210</v>
      </c>
      <c r="B198" s="439">
        <v>42547</v>
      </c>
      <c r="C198" s="440" t="s">
        <v>24</v>
      </c>
      <c r="D198" s="440" t="s">
        <v>171</v>
      </c>
      <c r="E198" s="441">
        <v>0.69791666666666663</v>
      </c>
      <c r="F198" s="441">
        <v>0.83333333333333337</v>
      </c>
      <c r="G198" s="440">
        <v>3.25</v>
      </c>
      <c r="X198" s="409">
        <v>0.96774305555555562</v>
      </c>
      <c r="Y198" s="409">
        <v>0.96790509259259261</v>
      </c>
      <c r="Z198" s="410">
        <f t="shared" si="17"/>
        <v>3.8888888888877204E-3</v>
      </c>
      <c r="AA198" s="414">
        <v>42553</v>
      </c>
    </row>
    <row r="199" spans="1:27" x14ac:dyDescent="0.2">
      <c r="A199" s="438" t="s">
        <v>185</v>
      </c>
      <c r="B199" s="439">
        <v>42538</v>
      </c>
      <c r="C199" s="440" t="s">
        <v>24</v>
      </c>
      <c r="D199" s="440" t="s">
        <v>171</v>
      </c>
      <c r="E199" s="441">
        <v>0.46875</v>
      </c>
      <c r="F199" s="441">
        <v>0.63541666666666663</v>
      </c>
      <c r="G199" s="440">
        <v>4</v>
      </c>
      <c r="X199" s="409">
        <v>0.96790509259259261</v>
      </c>
      <c r="Y199" s="409">
        <v>0.97384259259259265</v>
      </c>
      <c r="Z199" s="410">
        <f t="shared" si="17"/>
        <v>0.14250000000000096</v>
      </c>
      <c r="AA199" s="414">
        <v>42553</v>
      </c>
    </row>
    <row r="200" spans="1:27" x14ac:dyDescent="0.2">
      <c r="A200" s="440" t="s">
        <v>220</v>
      </c>
      <c r="B200" s="439">
        <v>42543</v>
      </c>
      <c r="C200" s="440" t="s">
        <v>24</v>
      </c>
      <c r="D200" s="440" t="s">
        <v>171</v>
      </c>
      <c r="E200" s="441">
        <v>0.72916666666666663</v>
      </c>
      <c r="F200" s="441">
        <v>0.91666666666666663</v>
      </c>
      <c r="G200" s="440">
        <v>4.5</v>
      </c>
      <c r="X200" s="409">
        <v>0.97384259259259265</v>
      </c>
      <c r="Y200" s="409">
        <v>0.97608796296296296</v>
      </c>
      <c r="Z200" s="410">
        <f t="shared" si="17"/>
        <v>5.3888888888887543E-2</v>
      </c>
      <c r="AA200" s="414">
        <v>42553</v>
      </c>
    </row>
    <row r="201" spans="1:27" x14ac:dyDescent="0.2">
      <c r="A201" s="438" t="s">
        <v>220</v>
      </c>
      <c r="B201" s="439">
        <v>42544</v>
      </c>
      <c r="C201" s="440" t="s">
        <v>24</v>
      </c>
      <c r="D201" s="440" t="s">
        <v>171</v>
      </c>
      <c r="E201" s="441">
        <v>0.69791666666666663</v>
      </c>
      <c r="F201" s="441">
        <v>0</v>
      </c>
      <c r="G201" s="440">
        <v>6.75</v>
      </c>
      <c r="X201" s="409">
        <v>0.97608796296296296</v>
      </c>
      <c r="Y201" s="409">
        <v>0.97696759259259258</v>
      </c>
      <c r="Z201" s="410">
        <f t="shared" si="17"/>
        <v>2.1111111111110858E-2</v>
      </c>
      <c r="AA201" s="414">
        <v>42553</v>
      </c>
    </row>
    <row r="202" spans="1:27" x14ac:dyDescent="0.2">
      <c r="A202" s="438" t="s">
        <v>220</v>
      </c>
      <c r="B202" s="439">
        <v>42545</v>
      </c>
      <c r="C202" s="440" t="s">
        <v>24</v>
      </c>
      <c r="D202" s="440" t="s">
        <v>171</v>
      </c>
      <c r="E202" s="441">
        <v>0.69791666666666663</v>
      </c>
      <c r="F202" s="441">
        <v>0.84375</v>
      </c>
      <c r="G202" s="440">
        <v>3.5</v>
      </c>
      <c r="X202" s="409">
        <v>0.98642361111111121</v>
      </c>
      <c r="Y202" s="409">
        <v>0.99140046296296302</v>
      </c>
      <c r="Z202" s="410">
        <f t="shared" ref="Z202:Z208" si="18">HRS(X202,Y202)</f>
        <v>0.11944444444444358</v>
      </c>
      <c r="AA202" s="414">
        <v>42553</v>
      </c>
    </row>
    <row r="203" spans="1:27" x14ac:dyDescent="0.2">
      <c r="A203" s="438" t="s">
        <v>212</v>
      </c>
      <c r="B203" s="439">
        <v>42540</v>
      </c>
      <c r="C203" s="440" t="s">
        <v>24</v>
      </c>
      <c r="D203" s="440" t="s">
        <v>203</v>
      </c>
      <c r="E203" s="441">
        <v>0.625</v>
      </c>
      <c r="F203" s="441">
        <v>0.83333333333333337</v>
      </c>
      <c r="G203" s="440">
        <v>5</v>
      </c>
      <c r="X203" s="409">
        <v>0.99140046296296302</v>
      </c>
      <c r="Y203" s="409">
        <v>0.99170138888888892</v>
      </c>
      <c r="Z203" s="410">
        <f t="shared" si="18"/>
        <v>7.2222222222215748E-3</v>
      </c>
      <c r="AA203" s="414">
        <v>42553</v>
      </c>
    </row>
    <row r="204" spans="1:27" x14ac:dyDescent="0.2">
      <c r="A204" s="438" t="s">
        <v>180</v>
      </c>
      <c r="B204" s="439">
        <v>42537</v>
      </c>
      <c r="C204" s="440" t="s">
        <v>24</v>
      </c>
      <c r="D204" s="440" t="s">
        <v>171</v>
      </c>
      <c r="E204" s="441">
        <v>0.4375</v>
      </c>
      <c r="F204" s="441">
        <v>0.625</v>
      </c>
      <c r="G204" s="440">
        <v>4.5</v>
      </c>
      <c r="X204" s="409">
        <v>0.99262731481481481</v>
      </c>
      <c r="Y204" s="409">
        <v>0.99502314814814818</v>
      </c>
      <c r="Z204" s="410">
        <f t="shared" si="18"/>
        <v>5.7500000000000995E-2</v>
      </c>
      <c r="AA204" s="414">
        <v>42553</v>
      </c>
    </row>
    <row r="205" spans="1:27" x14ac:dyDescent="0.2">
      <c r="A205" s="438" t="s">
        <v>180</v>
      </c>
      <c r="B205" s="439">
        <v>42548</v>
      </c>
      <c r="C205" s="440" t="s">
        <v>24</v>
      </c>
      <c r="D205" s="440" t="s">
        <v>171</v>
      </c>
      <c r="E205" s="441">
        <v>0.46875</v>
      </c>
      <c r="F205" s="441">
        <v>0.61458333333333337</v>
      </c>
      <c r="G205" s="440">
        <v>3.5</v>
      </c>
      <c r="X205" s="409">
        <v>0.99502314814814818</v>
      </c>
      <c r="Y205" s="409">
        <v>0.99559027777777775</v>
      </c>
      <c r="Z205" s="410">
        <f t="shared" si="18"/>
        <v>1.3611111111109686E-2</v>
      </c>
      <c r="AA205" s="414">
        <v>42553</v>
      </c>
    </row>
    <row r="206" spans="1:27" x14ac:dyDescent="0.2">
      <c r="A206" s="438" t="s">
        <v>227</v>
      </c>
      <c r="B206" s="439">
        <v>42539</v>
      </c>
      <c r="C206" s="440" t="s">
        <v>24</v>
      </c>
      <c r="D206" s="440" t="s">
        <v>203</v>
      </c>
      <c r="E206" s="441">
        <v>0.625</v>
      </c>
      <c r="F206" s="441">
        <v>0.79166666666666663</v>
      </c>
      <c r="G206" s="440">
        <v>4</v>
      </c>
      <c r="X206" s="409">
        <v>0.99559027777777775</v>
      </c>
      <c r="Y206" s="409">
        <v>0.99665509259259266</v>
      </c>
      <c r="Z206" s="410">
        <f t="shared" si="18"/>
        <v>2.5555555555557774E-2</v>
      </c>
      <c r="AA206" s="414">
        <v>42553</v>
      </c>
    </row>
    <row r="207" spans="1:27" x14ac:dyDescent="0.2">
      <c r="A207" s="438" t="s">
        <v>227</v>
      </c>
      <c r="B207" s="439">
        <v>42545</v>
      </c>
      <c r="C207" s="440" t="s">
        <v>24</v>
      </c>
      <c r="D207" s="440" t="s">
        <v>171</v>
      </c>
      <c r="E207" s="441">
        <v>0.46875</v>
      </c>
      <c r="F207" s="441">
        <v>0.64583333333333337</v>
      </c>
      <c r="G207" s="440">
        <v>4.25</v>
      </c>
      <c r="X207" s="409">
        <v>0.9966666666666667</v>
      </c>
      <c r="Y207" s="409">
        <v>0.99700231481481483</v>
      </c>
      <c r="Z207" s="410">
        <f t="shared" si="18"/>
        <v>8.0555555555550384E-3</v>
      </c>
      <c r="AA207" s="414">
        <v>42553</v>
      </c>
    </row>
    <row r="208" spans="1:27" x14ac:dyDescent="0.2">
      <c r="A208" s="438" t="s">
        <v>227</v>
      </c>
      <c r="B208" s="439">
        <v>42546</v>
      </c>
      <c r="C208" s="440" t="s">
        <v>24</v>
      </c>
      <c r="D208" s="440" t="s">
        <v>203</v>
      </c>
      <c r="E208" s="441">
        <v>0.65625</v>
      </c>
      <c r="F208" s="441">
        <v>0.82291666666666663</v>
      </c>
      <c r="G208" s="440">
        <v>4</v>
      </c>
      <c r="X208" s="409">
        <v>0.99700231481481483</v>
      </c>
      <c r="Y208" s="409">
        <v>0.99848379629629624</v>
      </c>
      <c r="Z208" s="410">
        <f t="shared" si="18"/>
        <v>3.5555555555554008E-2</v>
      </c>
      <c r="AA208" s="414">
        <v>42553</v>
      </c>
    </row>
    <row r="209" spans="1:27" x14ac:dyDescent="0.2">
      <c r="A209" s="440" t="s">
        <v>187</v>
      </c>
      <c r="B209" s="439">
        <v>42538</v>
      </c>
      <c r="C209" s="440" t="s">
        <v>24</v>
      </c>
      <c r="D209" s="440" t="s">
        <v>171</v>
      </c>
      <c r="E209" s="441">
        <v>0.6875</v>
      </c>
      <c r="F209" s="441">
        <v>3.125E-2</v>
      </c>
      <c r="G209" s="440">
        <v>7.75</v>
      </c>
      <c r="X209" s="409">
        <v>0.59709490740740734</v>
      </c>
      <c r="Y209" s="409">
        <v>0.59714120370370372</v>
      </c>
      <c r="Z209" s="410">
        <f>HRS(X209,Y209)</f>
        <v>1.1111111111130612E-3</v>
      </c>
      <c r="AA209" s="414">
        <v>42556</v>
      </c>
    </row>
    <row r="210" spans="1:27" x14ac:dyDescent="0.2">
      <c r="A210" s="438" t="s">
        <v>187</v>
      </c>
      <c r="B210" s="439">
        <v>42541</v>
      </c>
      <c r="C210" s="440" t="s">
        <v>24</v>
      </c>
      <c r="D210" s="440" t="s">
        <v>171</v>
      </c>
      <c r="E210" s="441">
        <v>0.45833333333333331</v>
      </c>
      <c r="F210" s="441">
        <v>0.60416666666666663</v>
      </c>
      <c r="G210" s="440">
        <v>3.5</v>
      </c>
      <c r="X210" s="409">
        <v>0.59714120370370372</v>
      </c>
      <c r="AA210" s="414">
        <v>42556</v>
      </c>
    </row>
    <row r="211" spans="1:27" x14ac:dyDescent="0.2">
      <c r="A211" s="438" t="s">
        <v>187</v>
      </c>
      <c r="B211" s="439">
        <v>42542</v>
      </c>
      <c r="C211" s="440" t="s">
        <v>24</v>
      </c>
      <c r="D211" s="440" t="s">
        <v>171</v>
      </c>
      <c r="E211" s="441">
        <v>0.46875</v>
      </c>
      <c r="F211" s="441">
        <v>0.64583333333333337</v>
      </c>
      <c r="G211" s="440">
        <v>4.25</v>
      </c>
    </row>
    <row r="212" spans="1:27" x14ac:dyDescent="0.2">
      <c r="A212" s="438" t="s">
        <v>187</v>
      </c>
      <c r="B212" s="439">
        <v>42550</v>
      </c>
      <c r="C212" s="440" t="s">
        <v>24</v>
      </c>
      <c r="D212" s="440" t="s">
        <v>171</v>
      </c>
      <c r="E212" s="441">
        <v>0.46875</v>
      </c>
      <c r="F212" s="441">
        <v>0.58333333333333337</v>
      </c>
      <c r="G212" s="440">
        <v>2.75</v>
      </c>
    </row>
    <row r="213" spans="1:27" x14ac:dyDescent="0.2">
      <c r="A213" s="438" t="s">
        <v>182</v>
      </c>
      <c r="B213" s="439">
        <v>42540</v>
      </c>
      <c r="C213" s="440" t="s">
        <v>24</v>
      </c>
      <c r="D213" s="440" t="s">
        <v>171</v>
      </c>
      <c r="E213" s="441">
        <v>0.65625</v>
      </c>
      <c r="F213" s="441">
        <v>0.94791666666666663</v>
      </c>
      <c r="G213" s="440">
        <v>6.5</v>
      </c>
    </row>
    <row r="214" spans="1:27" x14ac:dyDescent="0.2">
      <c r="A214" s="438" t="s">
        <v>219</v>
      </c>
      <c r="B214" s="439">
        <v>42543</v>
      </c>
      <c r="C214" s="440" t="s">
        <v>24</v>
      </c>
      <c r="D214" s="440" t="s">
        <v>171</v>
      </c>
      <c r="E214" s="441">
        <v>0.42708333333333331</v>
      </c>
      <c r="F214" s="441">
        <v>0.63541666666666663</v>
      </c>
      <c r="G214" s="440">
        <v>5</v>
      </c>
    </row>
    <row r="215" spans="1:27" x14ac:dyDescent="0.2">
      <c r="A215" s="438" t="s">
        <v>183</v>
      </c>
      <c r="B215" s="439">
        <v>42537</v>
      </c>
      <c r="C215" s="440" t="s">
        <v>24</v>
      </c>
      <c r="D215" s="440" t="s">
        <v>171</v>
      </c>
      <c r="E215" s="441">
        <v>0.69791666666666663</v>
      </c>
      <c r="F215" s="441">
        <v>0.91666666666666663</v>
      </c>
      <c r="G215" s="440">
        <v>5.25</v>
      </c>
    </row>
    <row r="216" spans="1:27" x14ac:dyDescent="0.2">
      <c r="A216" s="438" t="s">
        <v>183</v>
      </c>
      <c r="B216" s="439">
        <v>42543</v>
      </c>
      <c r="C216" s="440" t="s">
        <v>24</v>
      </c>
      <c r="D216" s="440" t="s">
        <v>171</v>
      </c>
      <c r="E216" s="441">
        <v>0.42708333333333331</v>
      </c>
      <c r="F216" s="441">
        <v>0.63541666666666663</v>
      </c>
      <c r="G216" s="440">
        <v>5</v>
      </c>
    </row>
    <row r="217" spans="1:27" x14ac:dyDescent="0.2">
      <c r="A217" s="438" t="s">
        <v>183</v>
      </c>
      <c r="B217" s="439">
        <v>42551</v>
      </c>
      <c r="C217" s="440" t="s">
        <v>24</v>
      </c>
      <c r="D217" s="440" t="s">
        <v>171</v>
      </c>
      <c r="E217" s="441">
        <v>0.46875</v>
      </c>
      <c r="F217" s="441">
        <v>0.61458333333333337</v>
      </c>
      <c r="G217" s="440">
        <v>3.5</v>
      </c>
    </row>
    <row r="218" spans="1:27" x14ac:dyDescent="0.2">
      <c r="A218" s="438"/>
      <c r="B218" s="439"/>
      <c r="E218" s="441"/>
      <c r="F218" s="441"/>
    </row>
    <row r="219" spans="1:27" x14ac:dyDescent="0.2">
      <c r="A219" s="438"/>
      <c r="B219" s="439"/>
      <c r="E219" s="441"/>
      <c r="F219" s="441"/>
    </row>
    <row r="220" spans="1:27" x14ac:dyDescent="0.2">
      <c r="A220" s="438"/>
      <c r="B220" s="439"/>
      <c r="E220" s="441"/>
      <c r="F220" s="441"/>
    </row>
    <row r="221" spans="1:27" x14ac:dyDescent="0.2">
      <c r="A221" s="438"/>
      <c r="B221" s="439"/>
      <c r="E221" s="441"/>
      <c r="F221" s="441"/>
    </row>
    <row r="222" spans="1:27" x14ac:dyDescent="0.2">
      <c r="A222" s="438"/>
      <c r="B222" s="439"/>
      <c r="E222" s="441"/>
      <c r="F222" s="441"/>
    </row>
    <row r="223" spans="1:27" x14ac:dyDescent="0.2">
      <c r="A223" s="438"/>
      <c r="B223" s="439"/>
      <c r="E223" s="441"/>
      <c r="F223" s="441"/>
    </row>
    <row r="224" spans="1:27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aqpOVCKg3Ysn9IAaGT76m5M5gVNfy3ugm4HQXA5tRqxcqvpsz5/8Da9AYCWL5o5LX2ybQqT3ZxMhwuP/wirTFQ==" saltValue="LNH1eMRnBDgEcS71oYAJcg==" spinCount="100000" sheet="1" objects="1" scenarios="1"/>
  <sortState ref="A2:H217">
    <sortCondition ref="C2:C217"/>
    <sortCondition ref="A2:A217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1" priority="3">
      <formula>AND(OR(G1&lt;2,G1&gt;10),G1&lt;&gt;"regular",G1&lt;&gt;"")</formula>
    </cfRule>
  </conditionalFormatting>
  <conditionalFormatting sqref="A1:G1048576">
    <cfRule type="expression" dxfId="10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7"/>
  <sheetViews>
    <sheetView topLeftCell="A55" workbookViewId="0">
      <selection activeCell="A43" sqref="A43:H43"/>
    </sheetView>
  </sheetViews>
  <sheetFormatPr defaultColWidth="9.109375" defaultRowHeight="10.199999999999999" x14ac:dyDescent="0.2"/>
  <cols>
    <col min="1" max="1" width="12.5546875" style="573" bestFit="1" customWidth="1"/>
    <col min="2" max="2" width="19.33203125" style="575" bestFit="1" customWidth="1"/>
    <col min="3" max="3" width="11.109375" style="573" bestFit="1" customWidth="1"/>
    <col min="4" max="4" width="16" style="573" bestFit="1" customWidth="1"/>
    <col min="5" max="8" width="7.33203125" style="574" bestFit="1" customWidth="1"/>
    <col min="9" max="9" width="8.33203125" style="579" bestFit="1" customWidth="1"/>
    <col min="10" max="10" width="8.33203125" style="581" bestFit="1" customWidth="1"/>
    <col min="11" max="12" width="9.109375" style="573"/>
    <col min="13" max="13" width="9.88671875" style="573" bestFit="1" customWidth="1"/>
    <col min="14" max="14" width="8.109375" style="573" bestFit="1" customWidth="1"/>
    <col min="15" max="15" width="7.6640625" style="573" bestFit="1" customWidth="1"/>
    <col min="16" max="16" width="16.33203125" style="574" bestFit="1" customWidth="1"/>
    <col min="17" max="17" width="8.33203125" style="573" bestFit="1" customWidth="1"/>
    <col min="18" max="16384" width="9.109375" style="573"/>
  </cols>
  <sheetData>
    <row r="1" spans="1:17" ht="10.8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149</v>
      </c>
      <c r="F1" s="577" t="s">
        <v>150</v>
      </c>
      <c r="G1" s="577" t="s">
        <v>147</v>
      </c>
      <c r="H1" s="577" t="s">
        <v>148</v>
      </c>
      <c r="I1" s="578" t="s">
        <v>151</v>
      </c>
      <c r="J1" s="580" t="s">
        <v>152</v>
      </c>
      <c r="K1" s="246"/>
      <c r="M1" s="619" t="s">
        <v>69</v>
      </c>
      <c r="N1" s="620" t="s">
        <v>65</v>
      </c>
      <c r="O1" s="620" t="s">
        <v>120</v>
      </c>
      <c r="P1" s="622" t="s">
        <v>216</v>
      </c>
      <c r="Q1" s="621" t="s">
        <v>222</v>
      </c>
    </row>
    <row r="2" spans="1:17" x14ac:dyDescent="0.2">
      <c r="A2" s="573" t="s">
        <v>186</v>
      </c>
      <c r="B2" s="575">
        <v>42538</v>
      </c>
      <c r="C2" s="573" t="s">
        <v>5</v>
      </c>
      <c r="D2" s="573" t="s">
        <v>174</v>
      </c>
      <c r="E2" s="574">
        <v>0.6875</v>
      </c>
      <c r="F2" s="574">
        <v>0.875</v>
      </c>
      <c r="G2" s="574">
        <v>0.69791666666666663</v>
      </c>
      <c r="H2" s="574">
        <v>0.86458333333333326</v>
      </c>
      <c r="I2" s="579">
        <f t="shared" ref="I2:I65" si="0">IF(G2="",-9999,ABS(ROUND((IF(E2&lt;0.25,E2+1,E2)-IF(G2&lt;0.25,G2+1,G2))*24,2)))</f>
        <v>0.25</v>
      </c>
      <c r="J2" s="581">
        <f t="shared" ref="J2:J65" si="1">IF(H2="",-9999,ABS(ROUND((IF(F2&lt;0.25,F2+1,F2)-IF(H2&lt;0.25,H2+1,H2))*24,2)))</f>
        <v>0.25</v>
      </c>
      <c r="M2" s="573" t="s">
        <v>221</v>
      </c>
      <c r="N2" s="618">
        <v>42540</v>
      </c>
      <c r="O2" s="573" t="s">
        <v>218</v>
      </c>
      <c r="P2" s="574">
        <v>0.44791666666666663</v>
      </c>
      <c r="Q2" s="573" t="s">
        <v>223</v>
      </c>
    </row>
    <row r="3" spans="1:17" x14ac:dyDescent="0.2">
      <c r="A3" s="573" t="s">
        <v>186</v>
      </c>
      <c r="B3" s="575">
        <v>42539</v>
      </c>
      <c r="C3" s="573" t="s">
        <v>5</v>
      </c>
      <c r="D3" s="573" t="s">
        <v>174</v>
      </c>
      <c r="E3" s="574">
        <v>0.6875</v>
      </c>
      <c r="F3" s="574">
        <v>0.8125</v>
      </c>
      <c r="G3" s="574">
        <v>0.6875</v>
      </c>
      <c r="H3" s="574">
        <v>0.8125</v>
      </c>
      <c r="I3" s="579">
        <f t="shared" si="0"/>
        <v>0</v>
      </c>
      <c r="J3" s="581">
        <f t="shared" si="1"/>
        <v>0</v>
      </c>
      <c r="M3" s="573" t="s">
        <v>221</v>
      </c>
      <c r="N3" s="618">
        <v>42540</v>
      </c>
      <c r="O3" s="573" t="s">
        <v>218</v>
      </c>
      <c r="P3" s="574">
        <v>0.83333333333333326</v>
      </c>
      <c r="Q3" s="573" t="s">
        <v>224</v>
      </c>
    </row>
    <row r="4" spans="1:17" x14ac:dyDescent="0.2">
      <c r="A4" s="573" t="s">
        <v>186</v>
      </c>
      <c r="B4" s="575">
        <v>42540</v>
      </c>
      <c r="C4" s="573" t="s">
        <v>24</v>
      </c>
      <c r="D4" s="573" t="s">
        <v>171</v>
      </c>
      <c r="E4" s="574">
        <v>0.6875</v>
      </c>
      <c r="F4" s="574">
        <v>0.90625</v>
      </c>
      <c r="G4" s="574">
        <v>0.69791666666666663</v>
      </c>
      <c r="H4" s="574">
        <v>0.90625</v>
      </c>
      <c r="I4" s="579">
        <f t="shared" si="0"/>
        <v>0.25</v>
      </c>
      <c r="J4" s="581">
        <f t="shared" si="1"/>
        <v>0</v>
      </c>
      <c r="M4" s="573" t="s">
        <v>221</v>
      </c>
      <c r="N4" s="618">
        <v>42540</v>
      </c>
      <c r="O4" s="573" t="s">
        <v>5</v>
      </c>
      <c r="P4" s="574">
        <v>0.83333333333333326</v>
      </c>
      <c r="Q4" s="573" t="s">
        <v>225</v>
      </c>
    </row>
    <row r="5" spans="1:17" x14ac:dyDescent="0.2">
      <c r="A5" s="573" t="s">
        <v>186</v>
      </c>
      <c r="B5" s="575">
        <v>42543</v>
      </c>
      <c r="C5" s="573" t="s">
        <v>118</v>
      </c>
      <c r="D5" s="573" t="s">
        <v>199</v>
      </c>
      <c r="E5" s="574">
        <v>0.69791666666666663</v>
      </c>
      <c r="F5" s="574">
        <v>0.80208333333333337</v>
      </c>
      <c r="I5" s="579">
        <f t="shared" si="0"/>
        <v>-9999</v>
      </c>
      <c r="J5" s="581">
        <f t="shared" si="1"/>
        <v>-9999</v>
      </c>
      <c r="M5" s="573" t="s">
        <v>221</v>
      </c>
      <c r="N5" s="618">
        <v>42540</v>
      </c>
      <c r="O5" s="573" t="s">
        <v>5</v>
      </c>
      <c r="P5" s="574">
        <v>0.16666666666666666</v>
      </c>
      <c r="Q5" s="573" t="s">
        <v>226</v>
      </c>
    </row>
    <row r="6" spans="1:17" x14ac:dyDescent="0.2">
      <c r="A6" s="573" t="s">
        <v>186</v>
      </c>
      <c r="B6" s="575">
        <v>42544</v>
      </c>
      <c r="C6" s="573" t="s">
        <v>118</v>
      </c>
      <c r="D6" s="573" t="s">
        <v>199</v>
      </c>
      <c r="E6" s="574">
        <v>0.63541666666666663</v>
      </c>
      <c r="F6" s="574">
        <v>0.82291666666666663</v>
      </c>
      <c r="I6" s="579">
        <f t="shared" si="0"/>
        <v>-9999</v>
      </c>
      <c r="J6" s="581">
        <f t="shared" si="1"/>
        <v>-9999</v>
      </c>
      <c r="M6" s="573" t="s">
        <v>188</v>
      </c>
      <c r="N6" s="618">
        <v>42541</v>
      </c>
      <c r="O6" s="573" t="s">
        <v>5</v>
      </c>
      <c r="P6" s="574">
        <v>0.625</v>
      </c>
      <c r="Q6" s="573" t="s">
        <v>225</v>
      </c>
    </row>
    <row r="7" spans="1:17" x14ac:dyDescent="0.2">
      <c r="A7" s="573" t="s">
        <v>186</v>
      </c>
      <c r="B7" s="575">
        <v>42545</v>
      </c>
      <c r="C7" s="573" t="s">
        <v>5</v>
      </c>
      <c r="D7" s="573" t="s">
        <v>174</v>
      </c>
      <c r="E7" s="574">
        <v>0.6875</v>
      </c>
      <c r="F7" s="574">
        <v>0.90625</v>
      </c>
      <c r="G7" s="574">
        <v>0.6875</v>
      </c>
      <c r="H7" s="574">
        <v>0.89583333333333326</v>
      </c>
      <c r="I7" s="579">
        <f t="shared" si="0"/>
        <v>0</v>
      </c>
      <c r="J7" s="581">
        <f t="shared" si="1"/>
        <v>0.25</v>
      </c>
      <c r="M7" s="573" t="s">
        <v>188</v>
      </c>
      <c r="N7" s="618">
        <v>42541</v>
      </c>
      <c r="O7" s="573" t="s">
        <v>5</v>
      </c>
      <c r="P7" s="574">
        <v>0.625</v>
      </c>
      <c r="Q7" s="573" t="s">
        <v>226</v>
      </c>
    </row>
    <row r="8" spans="1:17" x14ac:dyDescent="0.2">
      <c r="A8" s="573" t="s">
        <v>186</v>
      </c>
      <c r="B8" s="575">
        <v>42546</v>
      </c>
      <c r="C8" s="573" t="s">
        <v>24</v>
      </c>
      <c r="D8" s="573" t="s">
        <v>171</v>
      </c>
      <c r="E8" s="574">
        <v>0.65625</v>
      </c>
      <c r="F8" s="574">
        <v>0.9375</v>
      </c>
      <c r="G8" s="574">
        <v>0.65625</v>
      </c>
      <c r="H8" s="574">
        <v>0.9375</v>
      </c>
      <c r="I8" s="579">
        <f t="shared" si="0"/>
        <v>0</v>
      </c>
      <c r="J8" s="581">
        <f t="shared" si="1"/>
        <v>0</v>
      </c>
      <c r="M8" s="573" t="s">
        <v>179</v>
      </c>
      <c r="N8" s="618">
        <v>42545</v>
      </c>
      <c r="O8" s="573" t="s">
        <v>5</v>
      </c>
      <c r="P8" s="574">
        <v>0.90625</v>
      </c>
      <c r="Q8" s="573" t="s">
        <v>225</v>
      </c>
    </row>
    <row r="9" spans="1:17" x14ac:dyDescent="0.2">
      <c r="A9" s="573" t="s">
        <v>186</v>
      </c>
      <c r="B9" s="575">
        <v>42550</v>
      </c>
      <c r="C9" s="573" t="s">
        <v>118</v>
      </c>
      <c r="D9" s="573" t="s">
        <v>199</v>
      </c>
      <c r="E9" s="574">
        <v>0.69791666666666663</v>
      </c>
      <c r="F9" s="574">
        <v>0.82291666666666663</v>
      </c>
      <c r="I9" s="579">
        <f t="shared" si="0"/>
        <v>-9999</v>
      </c>
      <c r="J9" s="581">
        <f t="shared" si="1"/>
        <v>-9999</v>
      </c>
      <c r="M9" s="573" t="s">
        <v>179</v>
      </c>
      <c r="N9" s="618">
        <v>42545</v>
      </c>
      <c r="O9" s="573" t="s">
        <v>5</v>
      </c>
      <c r="P9" s="574">
        <v>0.16666666666666666</v>
      </c>
      <c r="Q9" s="573" t="s">
        <v>226</v>
      </c>
    </row>
    <row r="10" spans="1:17" x14ac:dyDescent="0.2">
      <c r="A10" s="573" t="s">
        <v>208</v>
      </c>
      <c r="B10" s="575">
        <v>42537</v>
      </c>
      <c r="C10" s="573" t="s">
        <v>119</v>
      </c>
      <c r="D10" s="573" t="s">
        <v>170</v>
      </c>
      <c r="E10" s="574">
        <v>0.29166666666666669</v>
      </c>
      <c r="F10" s="574">
        <v>0.36458333333333331</v>
      </c>
      <c r="I10" s="579">
        <f t="shared" si="0"/>
        <v>-9999</v>
      </c>
      <c r="J10" s="581">
        <f t="shared" si="1"/>
        <v>-9999</v>
      </c>
      <c r="M10" s="573" t="s">
        <v>184</v>
      </c>
      <c r="N10" s="618">
        <v>42538</v>
      </c>
      <c r="O10" s="573" t="s">
        <v>5</v>
      </c>
      <c r="P10" s="574">
        <v>0.61458333333333326</v>
      </c>
      <c r="Q10" s="573" t="s">
        <v>225</v>
      </c>
    </row>
    <row r="11" spans="1:17" x14ac:dyDescent="0.2">
      <c r="A11" s="573" t="s">
        <v>208</v>
      </c>
      <c r="B11" s="575">
        <v>42537</v>
      </c>
      <c r="C11" s="573" t="s">
        <v>16</v>
      </c>
      <c r="D11" s="573" t="s">
        <v>67</v>
      </c>
      <c r="E11" s="574">
        <v>0.70833333333333337</v>
      </c>
      <c r="F11" s="574">
        <v>0.91666666666666663</v>
      </c>
      <c r="I11" s="579">
        <f t="shared" si="0"/>
        <v>-9999</v>
      </c>
      <c r="J11" s="581">
        <f t="shared" si="1"/>
        <v>-9999</v>
      </c>
      <c r="M11" s="573" t="s">
        <v>184</v>
      </c>
      <c r="N11" s="618">
        <v>42538</v>
      </c>
      <c r="O11" s="573" t="s">
        <v>5</v>
      </c>
      <c r="P11" s="574">
        <v>0.61458333333333326</v>
      </c>
      <c r="Q11" s="573" t="s">
        <v>226</v>
      </c>
    </row>
    <row r="12" spans="1:17" x14ac:dyDescent="0.2">
      <c r="A12" s="573" t="s">
        <v>208</v>
      </c>
      <c r="B12" s="575">
        <v>42538</v>
      </c>
      <c r="C12" s="573" t="s">
        <v>16</v>
      </c>
      <c r="D12" s="573" t="s">
        <v>67</v>
      </c>
      <c r="E12" s="574">
        <v>0.6875</v>
      </c>
      <c r="F12" s="574">
        <v>0.9375</v>
      </c>
      <c r="I12" s="579">
        <f t="shared" si="0"/>
        <v>-9999</v>
      </c>
      <c r="J12" s="581">
        <f t="shared" si="1"/>
        <v>-9999</v>
      </c>
      <c r="M12" s="573" t="s">
        <v>181</v>
      </c>
      <c r="N12" s="618">
        <v>42543</v>
      </c>
      <c r="O12" s="573" t="s">
        <v>217</v>
      </c>
      <c r="P12" s="574">
        <v>0.5625</v>
      </c>
      <c r="Q12" s="573" t="s">
        <v>224</v>
      </c>
    </row>
    <row r="13" spans="1:17" x14ac:dyDescent="0.2">
      <c r="A13" s="573" t="s">
        <v>208</v>
      </c>
      <c r="B13" s="575">
        <v>42539</v>
      </c>
      <c r="C13" s="573" t="s">
        <v>16</v>
      </c>
      <c r="D13" s="573" t="s">
        <v>67</v>
      </c>
      <c r="E13" s="574">
        <v>0.6875</v>
      </c>
      <c r="F13" s="574">
        <v>0.94791666666666663</v>
      </c>
      <c r="I13" s="579">
        <f t="shared" si="0"/>
        <v>-9999</v>
      </c>
      <c r="J13" s="581">
        <f t="shared" si="1"/>
        <v>-9999</v>
      </c>
      <c r="M13" s="573" t="s">
        <v>181</v>
      </c>
      <c r="N13" s="618">
        <v>42543</v>
      </c>
      <c r="O13" s="573" t="s">
        <v>217</v>
      </c>
      <c r="P13" s="574">
        <v>0.57291666666666663</v>
      </c>
      <c r="Q13" s="573" t="s">
        <v>223</v>
      </c>
    </row>
    <row r="14" spans="1:17" x14ac:dyDescent="0.2">
      <c r="A14" s="573" t="s">
        <v>208</v>
      </c>
      <c r="B14" s="575">
        <v>42540</v>
      </c>
      <c r="C14" s="573" t="s">
        <v>16</v>
      </c>
      <c r="D14" s="573" t="s">
        <v>67</v>
      </c>
      <c r="E14" s="574">
        <v>0.45833333333333331</v>
      </c>
      <c r="F14" s="574">
        <v>0.67708333333333337</v>
      </c>
      <c r="I14" s="579">
        <f t="shared" si="0"/>
        <v>-9999</v>
      </c>
      <c r="J14" s="581">
        <f t="shared" si="1"/>
        <v>-9999</v>
      </c>
      <c r="M14" s="573" t="s">
        <v>181</v>
      </c>
      <c r="N14" s="618">
        <v>42543</v>
      </c>
      <c r="O14" s="573" t="s">
        <v>217</v>
      </c>
      <c r="P14" s="574">
        <v>0.57291666666666663</v>
      </c>
      <c r="Q14" s="573" t="s">
        <v>224</v>
      </c>
    </row>
    <row r="15" spans="1:17" x14ac:dyDescent="0.2">
      <c r="A15" s="573" t="s">
        <v>208</v>
      </c>
      <c r="B15" s="575">
        <v>42541</v>
      </c>
      <c r="C15" s="573" t="s">
        <v>119</v>
      </c>
      <c r="D15" s="573" t="s">
        <v>170</v>
      </c>
      <c r="E15" s="574">
        <v>0.63541666666666663</v>
      </c>
      <c r="F15" s="574">
        <v>0.69791666666666663</v>
      </c>
      <c r="I15" s="579">
        <f t="shared" si="0"/>
        <v>-9999</v>
      </c>
      <c r="J15" s="581">
        <f t="shared" si="1"/>
        <v>-9999</v>
      </c>
      <c r="M15" s="573" t="s">
        <v>181</v>
      </c>
      <c r="N15" s="618">
        <v>42543</v>
      </c>
      <c r="O15" s="573" t="s">
        <v>217</v>
      </c>
      <c r="P15" s="574">
        <v>0.625</v>
      </c>
      <c r="Q15" s="573" t="s">
        <v>225</v>
      </c>
    </row>
    <row r="16" spans="1:17" x14ac:dyDescent="0.2">
      <c r="A16" s="573" t="s">
        <v>208</v>
      </c>
      <c r="B16" s="575">
        <v>42543</v>
      </c>
      <c r="C16" s="573" t="s">
        <v>16</v>
      </c>
      <c r="D16" s="573" t="s">
        <v>67</v>
      </c>
      <c r="E16" s="574">
        <v>0.70833333333333337</v>
      </c>
      <c r="F16" s="574">
        <v>0.92708333333333337</v>
      </c>
      <c r="I16" s="579">
        <f t="shared" si="0"/>
        <v>-9999</v>
      </c>
      <c r="J16" s="581">
        <f t="shared" si="1"/>
        <v>-9999</v>
      </c>
      <c r="M16" s="573" t="s">
        <v>181</v>
      </c>
      <c r="N16" s="618">
        <v>42543</v>
      </c>
      <c r="O16" s="573" t="s">
        <v>217</v>
      </c>
      <c r="P16" s="574">
        <v>0.6875</v>
      </c>
      <c r="Q16" s="573" t="s">
        <v>226</v>
      </c>
    </row>
    <row r="17" spans="1:17" x14ac:dyDescent="0.2">
      <c r="A17" s="573" t="s">
        <v>208</v>
      </c>
      <c r="B17" s="575">
        <v>42544</v>
      </c>
      <c r="C17" s="573" t="s">
        <v>118</v>
      </c>
      <c r="D17" s="573" t="s">
        <v>199</v>
      </c>
      <c r="E17" s="574">
        <v>0.64583333333333337</v>
      </c>
      <c r="F17" s="574">
        <v>0.97916666666666663</v>
      </c>
      <c r="I17" s="579">
        <f t="shared" si="0"/>
        <v>-9999</v>
      </c>
      <c r="J17" s="581">
        <f t="shared" si="1"/>
        <v>-9999</v>
      </c>
      <c r="M17" s="573" t="s">
        <v>181</v>
      </c>
      <c r="N17" s="618">
        <v>42539</v>
      </c>
      <c r="O17" s="573" t="s">
        <v>218</v>
      </c>
      <c r="P17" s="574">
        <v>0.83333333333333326</v>
      </c>
      <c r="Q17" s="573" t="s">
        <v>226</v>
      </c>
    </row>
    <row r="18" spans="1:17" x14ac:dyDescent="0.2">
      <c r="A18" s="573" t="s">
        <v>208</v>
      </c>
      <c r="B18" s="575">
        <v>42545</v>
      </c>
      <c r="C18" s="573" t="s">
        <v>118</v>
      </c>
      <c r="D18" s="573" t="s">
        <v>197</v>
      </c>
      <c r="E18" s="574">
        <v>0.625</v>
      </c>
      <c r="F18" s="574">
        <v>0.95833333333333337</v>
      </c>
      <c r="I18" s="579">
        <f t="shared" si="0"/>
        <v>-9999</v>
      </c>
      <c r="J18" s="581">
        <f t="shared" si="1"/>
        <v>-9999</v>
      </c>
      <c r="M18" s="573" t="s">
        <v>181</v>
      </c>
      <c r="N18" s="618">
        <v>42542</v>
      </c>
      <c r="O18" s="573" t="s">
        <v>218</v>
      </c>
      <c r="P18" s="574">
        <v>0.78125</v>
      </c>
      <c r="Q18" s="573" t="s">
        <v>225</v>
      </c>
    </row>
    <row r="19" spans="1:17" x14ac:dyDescent="0.2">
      <c r="A19" s="573" t="s">
        <v>208</v>
      </c>
      <c r="B19" s="575">
        <v>42546</v>
      </c>
      <c r="C19" s="573" t="s">
        <v>118</v>
      </c>
      <c r="D19" s="573" t="s">
        <v>197</v>
      </c>
      <c r="E19" s="574">
        <v>0.59375</v>
      </c>
      <c r="F19" s="574">
        <v>0.72916666666666663</v>
      </c>
      <c r="I19" s="579">
        <f t="shared" si="0"/>
        <v>-9999</v>
      </c>
      <c r="J19" s="581">
        <f t="shared" si="1"/>
        <v>-9999</v>
      </c>
      <c r="M19" s="573" t="s">
        <v>181</v>
      </c>
      <c r="N19" s="618">
        <v>42542</v>
      </c>
      <c r="O19" s="573" t="s">
        <v>218</v>
      </c>
      <c r="P19" s="574">
        <v>0.78125</v>
      </c>
      <c r="Q19" s="573" t="s">
        <v>226</v>
      </c>
    </row>
    <row r="20" spans="1:17" x14ac:dyDescent="0.2">
      <c r="A20" s="573" t="s">
        <v>208</v>
      </c>
      <c r="B20" s="575">
        <v>42548</v>
      </c>
      <c r="C20" s="573" t="s">
        <v>119</v>
      </c>
      <c r="D20" s="573" t="s">
        <v>170</v>
      </c>
      <c r="E20" s="574">
        <v>0.63541666666666663</v>
      </c>
      <c r="F20" s="574">
        <v>0.69791666666666663</v>
      </c>
      <c r="I20" s="579">
        <f t="shared" si="0"/>
        <v>-9999</v>
      </c>
      <c r="J20" s="581">
        <f t="shared" si="1"/>
        <v>-9999</v>
      </c>
      <c r="M20" s="573" t="s">
        <v>177</v>
      </c>
      <c r="N20" s="618">
        <v>42541</v>
      </c>
      <c r="O20" s="573" t="s">
        <v>5</v>
      </c>
      <c r="P20" s="574">
        <v>0.34375</v>
      </c>
      <c r="Q20" s="573" t="s">
        <v>223</v>
      </c>
    </row>
    <row r="21" spans="1:17" x14ac:dyDescent="0.2">
      <c r="A21" s="573" t="s">
        <v>208</v>
      </c>
      <c r="B21" s="575">
        <v>42551</v>
      </c>
      <c r="C21" s="573" t="s">
        <v>16</v>
      </c>
      <c r="D21" s="573" t="s">
        <v>67</v>
      </c>
      <c r="E21" s="574">
        <v>0.70833333333333337</v>
      </c>
      <c r="F21" s="574">
        <v>0.94791666666666663</v>
      </c>
      <c r="I21" s="579">
        <f t="shared" si="0"/>
        <v>-9999</v>
      </c>
      <c r="J21" s="581">
        <f t="shared" si="1"/>
        <v>-9999</v>
      </c>
      <c r="M21" s="573" t="s">
        <v>177</v>
      </c>
      <c r="N21" s="618">
        <v>42541</v>
      </c>
      <c r="O21" s="573" t="s">
        <v>5</v>
      </c>
      <c r="P21" s="574">
        <v>0.34375</v>
      </c>
      <c r="Q21" s="573" t="s">
        <v>224</v>
      </c>
    </row>
    <row r="22" spans="1:17" x14ac:dyDescent="0.2">
      <c r="A22" s="573" t="s">
        <v>208</v>
      </c>
      <c r="B22" s="575">
        <v>42551</v>
      </c>
      <c r="C22" s="573" t="s">
        <v>5</v>
      </c>
      <c r="D22" s="573" t="s">
        <v>174</v>
      </c>
      <c r="E22" s="574">
        <v>0.46875</v>
      </c>
      <c r="F22" s="574">
        <v>0.63541666666666663</v>
      </c>
      <c r="G22" s="574">
        <v>0.46875</v>
      </c>
      <c r="H22" s="574">
        <v>0.625</v>
      </c>
      <c r="I22" s="579">
        <f t="shared" si="0"/>
        <v>0</v>
      </c>
      <c r="J22" s="581">
        <f t="shared" si="1"/>
        <v>0.25</v>
      </c>
      <c r="M22" s="573" t="s">
        <v>220</v>
      </c>
      <c r="N22" s="618">
        <v>42546</v>
      </c>
      <c r="O22" s="573" t="s">
        <v>217</v>
      </c>
      <c r="P22" s="574">
        <v>0.69791666666666663</v>
      </c>
      <c r="Q22" s="573" t="s">
        <v>225</v>
      </c>
    </row>
    <row r="23" spans="1:17" x14ac:dyDescent="0.2">
      <c r="A23" s="573" t="s">
        <v>156</v>
      </c>
      <c r="B23" s="575">
        <v>42538</v>
      </c>
      <c r="C23" s="573" t="s">
        <v>16</v>
      </c>
      <c r="D23" s="573" t="s">
        <v>97</v>
      </c>
      <c r="E23" s="574">
        <v>0.72916666666666663</v>
      </c>
      <c r="F23" s="574">
        <v>0.9375</v>
      </c>
      <c r="I23" s="579">
        <f t="shared" si="0"/>
        <v>-9999</v>
      </c>
      <c r="J23" s="581">
        <f t="shared" si="1"/>
        <v>-9999</v>
      </c>
      <c r="M23" s="573" t="s">
        <v>220</v>
      </c>
      <c r="N23" s="618">
        <v>42546</v>
      </c>
      <c r="O23" s="573" t="s">
        <v>217</v>
      </c>
      <c r="P23" s="574">
        <v>0.69791666666666663</v>
      </c>
      <c r="Q23" s="573" t="s">
        <v>226</v>
      </c>
    </row>
    <row r="24" spans="1:17" x14ac:dyDescent="0.2">
      <c r="A24" s="573" t="s">
        <v>156</v>
      </c>
      <c r="B24" s="575">
        <v>42539</v>
      </c>
      <c r="C24" s="573" t="s">
        <v>16</v>
      </c>
      <c r="D24" s="573" t="s">
        <v>97</v>
      </c>
      <c r="E24" s="574">
        <v>0.72916666666666663</v>
      </c>
      <c r="F24" s="574">
        <v>0.94791666666666663</v>
      </c>
      <c r="I24" s="579">
        <f t="shared" si="0"/>
        <v>-9999</v>
      </c>
      <c r="J24" s="581">
        <f t="shared" si="1"/>
        <v>-9999</v>
      </c>
      <c r="M24" s="573" t="s">
        <v>187</v>
      </c>
      <c r="N24" s="618">
        <v>42540</v>
      </c>
      <c r="O24" s="573" t="s">
        <v>217</v>
      </c>
      <c r="P24" s="574">
        <v>0.52083333333333326</v>
      </c>
      <c r="Q24" s="573" t="s">
        <v>223</v>
      </c>
    </row>
    <row r="25" spans="1:17" x14ac:dyDescent="0.2">
      <c r="A25" s="573" t="s">
        <v>156</v>
      </c>
      <c r="B25" s="575">
        <v>42542</v>
      </c>
      <c r="C25" s="573" t="s">
        <v>16</v>
      </c>
      <c r="D25" s="573" t="s">
        <v>67</v>
      </c>
      <c r="E25" s="574">
        <v>0.70833333333333337</v>
      </c>
      <c r="F25" s="574">
        <v>0.92708333333333337</v>
      </c>
      <c r="I25" s="579">
        <f t="shared" si="0"/>
        <v>-9999</v>
      </c>
      <c r="J25" s="581">
        <f t="shared" si="1"/>
        <v>-9999</v>
      </c>
      <c r="M25" s="573" t="s">
        <v>187</v>
      </c>
      <c r="N25" s="618">
        <v>42540</v>
      </c>
      <c r="O25" s="573" t="s">
        <v>217</v>
      </c>
      <c r="P25" s="574">
        <v>0.52083333333333326</v>
      </c>
      <c r="Q25" s="573" t="s">
        <v>224</v>
      </c>
    </row>
    <row r="26" spans="1:17" x14ac:dyDescent="0.2">
      <c r="A26" s="573" t="s">
        <v>156</v>
      </c>
      <c r="B26" s="575">
        <v>42543</v>
      </c>
      <c r="C26" s="573" t="s">
        <v>118</v>
      </c>
      <c r="D26" s="573" t="s">
        <v>199</v>
      </c>
      <c r="E26" s="574">
        <v>0.69791666666666663</v>
      </c>
      <c r="F26" s="574">
        <v>0.80208333333333337</v>
      </c>
      <c r="I26" s="579">
        <f t="shared" si="0"/>
        <v>-9999</v>
      </c>
      <c r="J26" s="581">
        <f t="shared" si="1"/>
        <v>-9999</v>
      </c>
      <c r="M26" s="573" t="s">
        <v>182</v>
      </c>
      <c r="N26" s="618">
        <v>42539</v>
      </c>
      <c r="O26" s="573" t="s">
        <v>218</v>
      </c>
      <c r="P26" s="574">
        <v>0.58333333333333326</v>
      </c>
      <c r="Q26" s="573" t="s">
        <v>223</v>
      </c>
    </row>
    <row r="27" spans="1:17" x14ac:dyDescent="0.2">
      <c r="A27" s="573" t="s">
        <v>156</v>
      </c>
      <c r="B27" s="575">
        <v>42544</v>
      </c>
      <c r="C27" s="573" t="s">
        <v>16</v>
      </c>
      <c r="D27" s="573" t="s">
        <v>67</v>
      </c>
      <c r="E27" s="574">
        <v>0.70833333333333337</v>
      </c>
      <c r="F27" s="574">
        <v>0.91666666666666663</v>
      </c>
      <c r="I27" s="579">
        <f t="shared" si="0"/>
        <v>-9999</v>
      </c>
      <c r="J27" s="581">
        <f t="shared" si="1"/>
        <v>-9999</v>
      </c>
      <c r="M27" s="573" t="s">
        <v>182</v>
      </c>
      <c r="N27" s="618">
        <v>42539</v>
      </c>
      <c r="O27" s="573" t="s">
        <v>218</v>
      </c>
      <c r="P27" s="574">
        <v>0.69791666666666663</v>
      </c>
      <c r="Q27" s="573" t="s">
        <v>224</v>
      </c>
    </row>
    <row r="28" spans="1:17" x14ac:dyDescent="0.2">
      <c r="A28" s="573" t="s">
        <v>156</v>
      </c>
      <c r="B28" s="575">
        <v>42545</v>
      </c>
      <c r="C28" s="573" t="s">
        <v>16</v>
      </c>
      <c r="D28" s="573" t="s">
        <v>67</v>
      </c>
      <c r="E28" s="574">
        <v>0.70833333333333337</v>
      </c>
      <c r="F28" s="574">
        <v>0.94791666666666663</v>
      </c>
      <c r="I28" s="579">
        <f t="shared" si="0"/>
        <v>-9999</v>
      </c>
      <c r="J28" s="581">
        <f t="shared" si="1"/>
        <v>-9999</v>
      </c>
      <c r="N28" s="618"/>
    </row>
    <row r="29" spans="1:17" x14ac:dyDescent="0.2">
      <c r="A29" s="573" t="s">
        <v>156</v>
      </c>
      <c r="B29" s="575">
        <v>42546</v>
      </c>
      <c r="C29" s="573" t="s">
        <v>118</v>
      </c>
      <c r="D29" s="573" t="s">
        <v>199</v>
      </c>
      <c r="E29" s="574">
        <v>0.58333333333333337</v>
      </c>
      <c r="F29" s="574">
        <v>0.73958333333333337</v>
      </c>
      <c r="I29" s="579">
        <f t="shared" si="0"/>
        <v>-9999</v>
      </c>
      <c r="J29" s="581">
        <f t="shared" si="1"/>
        <v>-9999</v>
      </c>
      <c r="N29" s="618"/>
    </row>
    <row r="30" spans="1:17" x14ac:dyDescent="0.2">
      <c r="A30" s="573" t="s">
        <v>156</v>
      </c>
      <c r="B30" s="575">
        <v>42549</v>
      </c>
      <c r="C30" s="573" t="s">
        <v>5</v>
      </c>
      <c r="D30" s="573" t="s">
        <v>174</v>
      </c>
      <c r="E30" s="574">
        <v>0.46875</v>
      </c>
      <c r="F30" s="574">
        <v>0.60416666666666663</v>
      </c>
      <c r="G30" s="574">
        <v>0.47916666666666663</v>
      </c>
      <c r="H30" s="574">
        <v>0.60416666666666663</v>
      </c>
      <c r="I30" s="579">
        <f t="shared" si="0"/>
        <v>0.25</v>
      </c>
      <c r="J30" s="581">
        <f t="shared" si="1"/>
        <v>0</v>
      </c>
      <c r="N30" s="618"/>
    </row>
    <row r="31" spans="1:17" x14ac:dyDescent="0.2">
      <c r="A31" s="573" t="s">
        <v>156</v>
      </c>
      <c r="B31" s="575">
        <v>42549</v>
      </c>
      <c r="C31" s="573" t="s">
        <v>24</v>
      </c>
      <c r="D31" s="573" t="s">
        <v>171</v>
      </c>
      <c r="E31" s="574">
        <v>0.69791666666666663</v>
      </c>
      <c r="F31" s="574">
        <v>0.9375</v>
      </c>
      <c r="G31" s="574">
        <v>0.73958333333333326</v>
      </c>
      <c r="H31" s="574">
        <v>0.9375</v>
      </c>
      <c r="I31" s="579">
        <f t="shared" si="0"/>
        <v>1</v>
      </c>
      <c r="J31" s="581">
        <f t="shared" si="1"/>
        <v>0</v>
      </c>
      <c r="N31" s="618"/>
    </row>
    <row r="32" spans="1:17" x14ac:dyDescent="0.2">
      <c r="A32" s="573" t="s">
        <v>156</v>
      </c>
      <c r="B32" s="575">
        <v>42550</v>
      </c>
      <c r="C32" s="573" t="s">
        <v>118</v>
      </c>
      <c r="D32" s="573" t="s">
        <v>199</v>
      </c>
      <c r="E32" s="574">
        <v>0.70833333333333337</v>
      </c>
      <c r="F32" s="574">
        <v>0.82291666666666663</v>
      </c>
      <c r="I32" s="579">
        <f t="shared" si="0"/>
        <v>-9999</v>
      </c>
      <c r="J32" s="581">
        <f t="shared" si="1"/>
        <v>-9999</v>
      </c>
      <c r="N32" s="618"/>
    </row>
    <row r="33" spans="1:14" x14ac:dyDescent="0.2">
      <c r="A33" s="573" t="s">
        <v>156</v>
      </c>
      <c r="B33" s="575">
        <v>42551</v>
      </c>
      <c r="C33" s="573" t="s">
        <v>24</v>
      </c>
      <c r="D33" s="573" t="s">
        <v>171</v>
      </c>
      <c r="E33" s="574">
        <v>0.69791666666666663</v>
      </c>
      <c r="F33" s="574">
        <v>0.90625</v>
      </c>
      <c r="G33" s="574">
        <v>0.69791666666666663</v>
      </c>
      <c r="H33" s="574">
        <v>0.90625</v>
      </c>
      <c r="I33" s="579">
        <f t="shared" si="0"/>
        <v>0</v>
      </c>
      <c r="J33" s="581">
        <f t="shared" si="1"/>
        <v>0</v>
      </c>
      <c r="N33" s="618"/>
    </row>
    <row r="34" spans="1:14" x14ac:dyDescent="0.2">
      <c r="A34" s="573" t="s">
        <v>189</v>
      </c>
      <c r="B34" s="575">
        <v>42538</v>
      </c>
      <c r="C34" s="573" t="s">
        <v>24</v>
      </c>
      <c r="D34" s="573" t="s">
        <v>171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 t="shared" si="0"/>
        <v>0</v>
      </c>
      <c r="J34" s="581">
        <f t="shared" si="1"/>
        <v>0</v>
      </c>
      <c r="N34" s="618"/>
    </row>
    <row r="35" spans="1:14" x14ac:dyDescent="0.2">
      <c r="A35" s="573" t="s">
        <v>189</v>
      </c>
      <c r="B35" s="575">
        <v>42539</v>
      </c>
      <c r="C35" s="573" t="s">
        <v>24</v>
      </c>
      <c r="D35" s="573" t="s">
        <v>171</v>
      </c>
      <c r="E35" s="574">
        <v>0.69791666666666663</v>
      </c>
      <c r="F35" s="574">
        <v>2.0833333333333332E-2</v>
      </c>
      <c r="G35" s="574">
        <v>0.69791666666666663</v>
      </c>
      <c r="H35" s="574">
        <v>1</v>
      </c>
      <c r="I35" s="579">
        <f t="shared" si="0"/>
        <v>0</v>
      </c>
      <c r="J35" s="581">
        <f t="shared" si="1"/>
        <v>0.5</v>
      </c>
      <c r="N35" s="618"/>
    </row>
    <row r="36" spans="1:14" x14ac:dyDescent="0.2">
      <c r="A36" s="573" t="s">
        <v>189</v>
      </c>
      <c r="B36" s="575">
        <v>42541</v>
      </c>
      <c r="C36" s="573" t="s">
        <v>5</v>
      </c>
      <c r="D36" s="573" t="s">
        <v>174</v>
      </c>
      <c r="E36" s="574">
        <v>0.6875</v>
      </c>
      <c r="F36" s="574">
        <v>0.8125</v>
      </c>
      <c r="G36" s="574">
        <v>0.6875</v>
      </c>
      <c r="H36" s="574">
        <v>0.80208333333333326</v>
      </c>
      <c r="I36" s="579">
        <f t="shared" si="0"/>
        <v>0</v>
      </c>
      <c r="J36" s="581">
        <f t="shared" si="1"/>
        <v>0.25</v>
      </c>
      <c r="N36" s="618"/>
    </row>
    <row r="37" spans="1:14" x14ac:dyDescent="0.2">
      <c r="A37" s="573" t="s">
        <v>189</v>
      </c>
      <c r="B37" s="575">
        <v>42543</v>
      </c>
      <c r="C37" s="573" t="s">
        <v>118</v>
      </c>
      <c r="D37" s="573" t="s">
        <v>199</v>
      </c>
      <c r="E37" s="574">
        <v>0.69791666666666663</v>
      </c>
      <c r="F37" s="574">
        <v>0.80208333333333337</v>
      </c>
      <c r="I37" s="579">
        <f t="shared" si="0"/>
        <v>-9999</v>
      </c>
      <c r="J37" s="581">
        <f t="shared" si="1"/>
        <v>-9999</v>
      </c>
      <c r="N37" s="618"/>
    </row>
    <row r="38" spans="1:14" x14ac:dyDescent="0.2">
      <c r="A38" s="573" t="s">
        <v>189</v>
      </c>
      <c r="B38" s="575">
        <v>42545</v>
      </c>
      <c r="C38" s="573" t="s">
        <v>118</v>
      </c>
      <c r="D38" s="573" t="s">
        <v>199</v>
      </c>
      <c r="E38" s="574">
        <v>0.64583333333333337</v>
      </c>
      <c r="F38" s="574">
        <v>0.95833333333333337</v>
      </c>
      <c r="I38" s="579">
        <f t="shared" si="0"/>
        <v>-9999</v>
      </c>
      <c r="J38" s="581">
        <f t="shared" si="1"/>
        <v>-9999</v>
      </c>
      <c r="N38" s="618"/>
    </row>
    <row r="39" spans="1:14" x14ac:dyDescent="0.2">
      <c r="A39" s="573" t="s">
        <v>189</v>
      </c>
      <c r="B39" s="575">
        <v>42546</v>
      </c>
      <c r="C39" s="573" t="s">
        <v>118</v>
      </c>
      <c r="D39" s="573" t="s">
        <v>199</v>
      </c>
      <c r="E39" s="574">
        <v>0.60416666666666663</v>
      </c>
      <c r="F39" s="574">
        <v>0.71875</v>
      </c>
      <c r="I39" s="579">
        <f t="shared" si="0"/>
        <v>-9999</v>
      </c>
      <c r="J39" s="581">
        <f t="shared" si="1"/>
        <v>-9999</v>
      </c>
      <c r="N39" s="618"/>
    </row>
    <row r="40" spans="1:14" x14ac:dyDescent="0.2">
      <c r="A40" s="573" t="s">
        <v>189</v>
      </c>
      <c r="B40" s="575">
        <v>42550</v>
      </c>
      <c r="C40" s="573" t="s">
        <v>24</v>
      </c>
      <c r="D40" s="573" t="s">
        <v>171</v>
      </c>
      <c r="E40" s="574">
        <v>0.69791666666666663</v>
      </c>
      <c r="F40" s="574">
        <v>0.91666666666666663</v>
      </c>
      <c r="G40" s="574">
        <v>0.69791666666666663</v>
      </c>
      <c r="H40" s="574">
        <v>0.90625</v>
      </c>
      <c r="I40" s="579">
        <f t="shared" si="0"/>
        <v>0</v>
      </c>
      <c r="J40" s="581">
        <f t="shared" si="1"/>
        <v>0.25</v>
      </c>
      <c r="N40" s="618"/>
    </row>
    <row r="41" spans="1:14" x14ac:dyDescent="0.2">
      <c r="A41" s="573" t="s">
        <v>188</v>
      </c>
      <c r="B41" s="575">
        <v>42538</v>
      </c>
      <c r="C41" s="573" t="s">
        <v>24</v>
      </c>
      <c r="D41" s="573" t="s">
        <v>171</v>
      </c>
      <c r="E41" s="574">
        <v>0.72916666666666663</v>
      </c>
      <c r="F41" s="574">
        <v>0</v>
      </c>
      <c r="G41" s="574">
        <v>0.72916666666666663</v>
      </c>
      <c r="H41" s="574">
        <v>1</v>
      </c>
      <c r="I41" s="579">
        <f t="shared" si="0"/>
        <v>0</v>
      </c>
      <c r="J41" s="581">
        <f t="shared" si="1"/>
        <v>0</v>
      </c>
      <c r="N41" s="618"/>
    </row>
    <row r="42" spans="1:14" x14ac:dyDescent="0.2">
      <c r="A42" s="573" t="s">
        <v>188</v>
      </c>
      <c r="B42" s="575">
        <v>42539</v>
      </c>
      <c r="C42" s="573" t="s">
        <v>118</v>
      </c>
      <c r="D42" s="573" t="s">
        <v>199</v>
      </c>
      <c r="E42" s="574">
        <v>0.73958333333333337</v>
      </c>
      <c r="F42" s="574">
        <v>0.95833333333333337</v>
      </c>
      <c r="I42" s="579">
        <f t="shared" si="0"/>
        <v>-9999</v>
      </c>
      <c r="J42" s="581">
        <f t="shared" si="1"/>
        <v>-9999</v>
      </c>
      <c r="N42" s="618"/>
    </row>
    <row r="43" spans="1:14" x14ac:dyDescent="0.2">
      <c r="A43" s="573" t="s">
        <v>188</v>
      </c>
      <c r="B43" s="575">
        <v>42541</v>
      </c>
      <c r="C43" s="573" t="s">
        <v>5</v>
      </c>
      <c r="D43" s="573" t="s">
        <v>174</v>
      </c>
      <c r="E43" s="574">
        <v>0.45833333333333331</v>
      </c>
      <c r="F43" s="574">
        <v>0.63541666666666663</v>
      </c>
      <c r="G43" s="574">
        <v>0.45833333333333331</v>
      </c>
      <c r="H43" s="574">
        <v>0.625</v>
      </c>
      <c r="I43" s="579">
        <f t="shared" si="0"/>
        <v>0</v>
      </c>
      <c r="J43" s="581">
        <f t="shared" si="1"/>
        <v>0.25</v>
      </c>
      <c r="N43" s="618"/>
    </row>
    <row r="44" spans="1:14" x14ac:dyDescent="0.2">
      <c r="A44" s="573" t="s">
        <v>188</v>
      </c>
      <c r="B44" s="575">
        <v>42542</v>
      </c>
      <c r="C44" s="573" t="s">
        <v>118</v>
      </c>
      <c r="D44" s="573" t="s">
        <v>199</v>
      </c>
      <c r="E44" s="574">
        <v>0.6875</v>
      </c>
      <c r="F44" s="574">
        <v>0.79166666666666663</v>
      </c>
      <c r="I44" s="579">
        <f t="shared" si="0"/>
        <v>-9999</v>
      </c>
      <c r="J44" s="581">
        <f t="shared" si="1"/>
        <v>-9999</v>
      </c>
      <c r="N44" s="618"/>
    </row>
    <row r="45" spans="1:14" x14ac:dyDescent="0.2">
      <c r="A45" s="573" t="s">
        <v>188</v>
      </c>
      <c r="B45" s="575">
        <v>42543</v>
      </c>
      <c r="C45" s="573" t="s">
        <v>24</v>
      </c>
      <c r="D45" s="573" t="s">
        <v>171</v>
      </c>
      <c r="E45" s="574">
        <v>0.42708333333333331</v>
      </c>
      <c r="F45" s="574">
        <v>0.63541666666666663</v>
      </c>
      <c r="G45" s="574">
        <v>0.42708333333333331</v>
      </c>
      <c r="H45" s="574">
        <v>0.625</v>
      </c>
      <c r="I45" s="579">
        <f t="shared" si="0"/>
        <v>0</v>
      </c>
      <c r="J45" s="581">
        <f t="shared" si="1"/>
        <v>0.25</v>
      </c>
      <c r="N45" s="618"/>
    </row>
    <row r="46" spans="1:14" x14ac:dyDescent="0.2">
      <c r="A46" s="573" t="s">
        <v>188</v>
      </c>
      <c r="B46" s="575">
        <v>42543</v>
      </c>
      <c r="C46" s="573" t="s">
        <v>24</v>
      </c>
      <c r="D46" s="573" t="s">
        <v>171</v>
      </c>
      <c r="E46" s="574">
        <v>0.71875</v>
      </c>
      <c r="F46" s="574">
        <v>0.9375</v>
      </c>
      <c r="G46" s="574">
        <v>0.71875</v>
      </c>
      <c r="H46" s="574">
        <v>0.92708333333333326</v>
      </c>
      <c r="I46" s="579">
        <f t="shared" si="0"/>
        <v>0</v>
      </c>
      <c r="J46" s="581">
        <f t="shared" si="1"/>
        <v>0.25</v>
      </c>
      <c r="N46" s="618"/>
    </row>
    <row r="47" spans="1:14" x14ac:dyDescent="0.2">
      <c r="A47" s="573" t="s">
        <v>188</v>
      </c>
      <c r="B47" s="575">
        <v>42544</v>
      </c>
      <c r="C47" s="573" t="s">
        <v>24</v>
      </c>
      <c r="D47" s="573" t="s">
        <v>171</v>
      </c>
      <c r="E47" s="574">
        <v>0.45833333333333331</v>
      </c>
      <c r="F47" s="574">
        <v>0.64583333333333337</v>
      </c>
      <c r="G47" s="574">
        <v>0.46875</v>
      </c>
      <c r="H47" s="574">
        <v>0.64583333333333326</v>
      </c>
      <c r="I47" s="579">
        <f t="shared" si="0"/>
        <v>0.25</v>
      </c>
      <c r="J47" s="581">
        <f t="shared" si="1"/>
        <v>0</v>
      </c>
      <c r="N47" s="618"/>
    </row>
    <row r="48" spans="1:14" x14ac:dyDescent="0.2">
      <c r="A48" s="573" t="s">
        <v>188</v>
      </c>
      <c r="B48" s="575">
        <v>42545</v>
      </c>
      <c r="C48" s="573" t="s">
        <v>118</v>
      </c>
      <c r="D48" s="573" t="s">
        <v>199</v>
      </c>
      <c r="E48" s="574">
        <v>0.58333333333333337</v>
      </c>
      <c r="F48" s="574">
        <v>0.9375</v>
      </c>
      <c r="I48" s="579">
        <f t="shared" si="0"/>
        <v>-9999</v>
      </c>
      <c r="J48" s="581">
        <f t="shared" si="1"/>
        <v>-9999</v>
      </c>
      <c r="N48" s="618"/>
    </row>
    <row r="49" spans="1:14" x14ac:dyDescent="0.2">
      <c r="A49" s="573" t="s">
        <v>188</v>
      </c>
      <c r="B49" s="575">
        <v>42546</v>
      </c>
      <c r="C49" s="573" t="s">
        <v>24</v>
      </c>
      <c r="D49" s="573" t="s">
        <v>171</v>
      </c>
      <c r="E49" s="574">
        <v>0.65625</v>
      </c>
      <c r="F49" s="574">
        <v>0.97916666666666663</v>
      </c>
      <c r="G49" s="574">
        <v>0.65625</v>
      </c>
      <c r="H49" s="574">
        <v>0.96875</v>
      </c>
      <c r="I49" s="579">
        <f t="shared" si="0"/>
        <v>0</v>
      </c>
      <c r="J49" s="581">
        <f t="shared" si="1"/>
        <v>0.25</v>
      </c>
      <c r="N49" s="618"/>
    </row>
    <row r="50" spans="1:14" x14ac:dyDescent="0.2">
      <c r="A50" s="573" t="s">
        <v>188</v>
      </c>
      <c r="B50" s="575">
        <v>42547</v>
      </c>
      <c r="C50" s="573" t="s">
        <v>24</v>
      </c>
      <c r="D50" s="573" t="s">
        <v>171</v>
      </c>
      <c r="E50" s="574">
        <v>0.69791666666666663</v>
      </c>
      <c r="F50" s="574">
        <v>0.92708333333333337</v>
      </c>
      <c r="G50" s="574">
        <v>0.69791666666666663</v>
      </c>
      <c r="H50" s="574">
        <v>0.92708333333333326</v>
      </c>
      <c r="I50" s="579">
        <f t="shared" si="0"/>
        <v>0</v>
      </c>
      <c r="J50" s="581">
        <f t="shared" si="1"/>
        <v>0</v>
      </c>
      <c r="N50" s="618"/>
    </row>
    <row r="51" spans="1:14" x14ac:dyDescent="0.2">
      <c r="A51" s="573" t="s">
        <v>188</v>
      </c>
      <c r="B51" s="575">
        <v>42549</v>
      </c>
      <c r="C51" s="573" t="s">
        <v>24</v>
      </c>
      <c r="D51" s="573" t="s">
        <v>171</v>
      </c>
      <c r="E51" s="574">
        <v>0.69791666666666663</v>
      </c>
      <c r="F51" s="574">
        <v>0.8125</v>
      </c>
      <c r="G51" s="574">
        <v>0.69791666666666663</v>
      </c>
      <c r="H51" s="574">
        <v>0.8125</v>
      </c>
      <c r="I51" s="579">
        <f t="shared" si="0"/>
        <v>0</v>
      </c>
      <c r="J51" s="581">
        <f t="shared" si="1"/>
        <v>0</v>
      </c>
      <c r="N51" s="618"/>
    </row>
    <row r="52" spans="1:14" x14ac:dyDescent="0.2">
      <c r="A52" s="573" t="s">
        <v>178</v>
      </c>
      <c r="B52" s="575">
        <v>42537</v>
      </c>
      <c r="C52" s="573" t="s">
        <v>24</v>
      </c>
      <c r="D52" s="573" t="s">
        <v>171</v>
      </c>
      <c r="E52" s="574">
        <v>0.4375</v>
      </c>
      <c r="F52" s="574">
        <v>0.61458333333333337</v>
      </c>
      <c r="I52" s="579">
        <f t="shared" si="0"/>
        <v>-9999</v>
      </c>
      <c r="J52" s="581">
        <f t="shared" si="1"/>
        <v>-9999</v>
      </c>
      <c r="N52" s="618"/>
    </row>
    <row r="53" spans="1:14" x14ac:dyDescent="0.2">
      <c r="A53" s="573" t="s">
        <v>178</v>
      </c>
      <c r="B53" s="575">
        <v>42539</v>
      </c>
      <c r="C53" s="573" t="s">
        <v>118</v>
      </c>
      <c r="D53" s="573" t="s">
        <v>199</v>
      </c>
      <c r="E53" s="574">
        <v>0.73958333333333337</v>
      </c>
      <c r="F53" s="574">
        <v>0.9375</v>
      </c>
      <c r="I53" s="579">
        <f t="shared" si="0"/>
        <v>-9999</v>
      </c>
      <c r="J53" s="581">
        <f t="shared" si="1"/>
        <v>-9999</v>
      </c>
      <c r="N53" s="618"/>
    </row>
    <row r="54" spans="1:14" x14ac:dyDescent="0.2">
      <c r="A54" s="573" t="s">
        <v>178</v>
      </c>
      <c r="B54" s="575">
        <v>42544</v>
      </c>
      <c r="C54" s="573" t="s">
        <v>5</v>
      </c>
      <c r="D54" s="573" t="s">
        <v>174</v>
      </c>
      <c r="E54" s="574">
        <v>0.46875</v>
      </c>
      <c r="F54" s="574">
        <v>0.60416666666666663</v>
      </c>
      <c r="G54" s="574">
        <v>0.51041666666666663</v>
      </c>
      <c r="H54" s="574">
        <v>0.60416666666666663</v>
      </c>
      <c r="I54" s="579">
        <f t="shared" si="0"/>
        <v>1</v>
      </c>
      <c r="J54" s="581">
        <f t="shared" si="1"/>
        <v>0</v>
      </c>
      <c r="N54" s="618"/>
    </row>
    <row r="55" spans="1:14" x14ac:dyDescent="0.2">
      <c r="A55" s="573" t="s">
        <v>178</v>
      </c>
      <c r="B55" s="575">
        <v>42545</v>
      </c>
      <c r="C55" s="573" t="s">
        <v>154</v>
      </c>
      <c r="D55" s="573" t="s">
        <v>175</v>
      </c>
      <c r="E55" s="574">
        <v>0.70833333333333337</v>
      </c>
      <c r="F55" s="574">
        <v>0.89583333333333337</v>
      </c>
      <c r="I55" s="579">
        <f t="shared" si="0"/>
        <v>-9999</v>
      </c>
      <c r="J55" s="581">
        <f t="shared" si="1"/>
        <v>-9999</v>
      </c>
      <c r="N55" s="618"/>
    </row>
    <row r="56" spans="1:14" x14ac:dyDescent="0.2">
      <c r="A56" s="573" t="s">
        <v>178</v>
      </c>
      <c r="B56" s="575">
        <v>42546</v>
      </c>
      <c r="C56" s="573" t="s">
        <v>154</v>
      </c>
      <c r="D56" s="573" t="s">
        <v>175</v>
      </c>
      <c r="E56" s="574">
        <v>0.70833333333333337</v>
      </c>
      <c r="F56" s="574">
        <v>0.88541666666666663</v>
      </c>
      <c r="I56" s="579">
        <f t="shared" si="0"/>
        <v>-9999</v>
      </c>
      <c r="J56" s="581">
        <f t="shared" si="1"/>
        <v>-9999</v>
      </c>
      <c r="N56" s="618"/>
    </row>
    <row r="57" spans="1:14" x14ac:dyDescent="0.2">
      <c r="A57" s="573" t="s">
        <v>179</v>
      </c>
      <c r="B57" s="575">
        <v>42537</v>
      </c>
      <c r="C57" s="573" t="s">
        <v>24</v>
      </c>
      <c r="D57" s="573" t="s">
        <v>171</v>
      </c>
      <c r="E57" s="574">
        <v>0.4375</v>
      </c>
      <c r="F57" s="574">
        <v>0.61458333333333337</v>
      </c>
      <c r="I57" s="579">
        <f t="shared" si="0"/>
        <v>-9999</v>
      </c>
      <c r="J57" s="581">
        <f t="shared" si="1"/>
        <v>-9999</v>
      </c>
      <c r="N57" s="618"/>
    </row>
    <row r="58" spans="1:14" x14ac:dyDescent="0.2">
      <c r="A58" s="573" t="s">
        <v>179</v>
      </c>
      <c r="B58" s="575">
        <v>42539</v>
      </c>
      <c r="C58" s="573" t="s">
        <v>24</v>
      </c>
      <c r="D58" s="573" t="s">
        <v>171</v>
      </c>
      <c r="E58" s="574">
        <v>0.72916666666666663</v>
      </c>
      <c r="F58" s="574">
        <v>0.94791666666666663</v>
      </c>
      <c r="I58" s="579">
        <f t="shared" si="0"/>
        <v>-9999</v>
      </c>
      <c r="J58" s="581">
        <f t="shared" si="1"/>
        <v>-9999</v>
      </c>
      <c r="N58" s="618"/>
    </row>
    <row r="59" spans="1:14" x14ac:dyDescent="0.2">
      <c r="A59" s="573" t="s">
        <v>179</v>
      </c>
      <c r="B59" s="575">
        <v>42544</v>
      </c>
      <c r="C59" s="573" t="s">
        <v>5</v>
      </c>
      <c r="D59" s="573" t="s">
        <v>174</v>
      </c>
      <c r="E59" s="574">
        <v>0.6875</v>
      </c>
      <c r="F59" s="574">
        <v>0.89583333333333337</v>
      </c>
      <c r="G59" s="574">
        <v>0.69791666666666663</v>
      </c>
      <c r="H59" s="574">
        <v>0.89583333333333326</v>
      </c>
      <c r="I59" s="579">
        <f t="shared" si="0"/>
        <v>0.25</v>
      </c>
      <c r="J59" s="581">
        <f t="shared" si="1"/>
        <v>0</v>
      </c>
      <c r="N59" s="618"/>
    </row>
    <row r="60" spans="1:14" x14ac:dyDescent="0.2">
      <c r="A60" s="573" t="s">
        <v>179</v>
      </c>
      <c r="B60" s="575">
        <v>42545</v>
      </c>
      <c r="C60" s="573" t="s">
        <v>24</v>
      </c>
      <c r="D60" s="573" t="s">
        <v>171</v>
      </c>
      <c r="E60" s="574">
        <v>0.72916666666666663</v>
      </c>
      <c r="F60" s="574">
        <v>0.91666666666666663</v>
      </c>
      <c r="G60" s="574">
        <v>0.72916666666666663</v>
      </c>
      <c r="H60" s="574">
        <v>0.90625</v>
      </c>
      <c r="I60" s="579">
        <f t="shared" si="0"/>
        <v>0</v>
      </c>
      <c r="J60" s="581">
        <f t="shared" si="1"/>
        <v>0.25</v>
      </c>
      <c r="N60" s="618"/>
    </row>
    <row r="61" spans="1:14" x14ac:dyDescent="0.2">
      <c r="A61" s="573" t="s">
        <v>179</v>
      </c>
      <c r="B61" s="575">
        <v>42546</v>
      </c>
      <c r="C61" s="573" t="s">
        <v>24</v>
      </c>
      <c r="D61" s="573" t="s">
        <v>171</v>
      </c>
      <c r="E61" s="574">
        <v>0.625</v>
      </c>
      <c r="F61" s="574">
        <v>0.94791666666666663</v>
      </c>
      <c r="I61" s="579">
        <f t="shared" si="0"/>
        <v>-9999</v>
      </c>
      <c r="J61" s="581">
        <f t="shared" si="1"/>
        <v>-9999</v>
      </c>
      <c r="N61" s="618"/>
    </row>
    <row r="62" spans="1:14" x14ac:dyDescent="0.2">
      <c r="A62" s="573" t="s">
        <v>179</v>
      </c>
      <c r="B62" s="575">
        <v>42547</v>
      </c>
      <c r="C62" s="573" t="s">
        <v>118</v>
      </c>
      <c r="D62" s="573" t="s">
        <v>199</v>
      </c>
      <c r="E62" s="574">
        <v>0.72916666666666663</v>
      </c>
      <c r="F62" s="574">
        <v>2.0833333333333332E-2</v>
      </c>
      <c r="I62" s="579">
        <f t="shared" si="0"/>
        <v>-9999</v>
      </c>
      <c r="J62" s="581">
        <f t="shared" si="1"/>
        <v>-9999</v>
      </c>
      <c r="N62" s="618"/>
    </row>
    <row r="63" spans="1:14" x14ac:dyDescent="0.2">
      <c r="A63" s="573" t="s">
        <v>184</v>
      </c>
      <c r="B63" s="575">
        <v>42538</v>
      </c>
      <c r="C63" s="573" t="s">
        <v>5</v>
      </c>
      <c r="D63" s="573" t="s">
        <v>174</v>
      </c>
      <c r="E63" s="574">
        <v>0.46875</v>
      </c>
      <c r="F63" s="574">
        <v>0.61458333333333337</v>
      </c>
      <c r="G63" s="574">
        <v>0.46875</v>
      </c>
      <c r="H63" s="574">
        <v>0.60416666666666663</v>
      </c>
      <c r="I63" s="579">
        <f t="shared" si="0"/>
        <v>0</v>
      </c>
      <c r="J63" s="581">
        <f t="shared" si="1"/>
        <v>0.25</v>
      </c>
      <c r="N63" s="618"/>
    </row>
    <row r="64" spans="1:14" x14ac:dyDescent="0.2">
      <c r="A64" s="573" t="s">
        <v>184</v>
      </c>
      <c r="B64" s="575">
        <v>42539</v>
      </c>
      <c r="C64" s="573" t="s">
        <v>118</v>
      </c>
      <c r="D64" s="573" t="s">
        <v>199</v>
      </c>
      <c r="E64" s="574">
        <v>0.35416666666666669</v>
      </c>
      <c r="F64" s="574">
        <v>0.88541666666666663</v>
      </c>
      <c r="I64" s="579">
        <f t="shared" si="0"/>
        <v>-9999</v>
      </c>
      <c r="J64" s="581">
        <f t="shared" si="1"/>
        <v>-9999</v>
      </c>
      <c r="N64" s="618"/>
    </row>
    <row r="65" spans="1:14" x14ac:dyDescent="0.2">
      <c r="A65" s="573" t="s">
        <v>184</v>
      </c>
      <c r="B65" s="575">
        <v>42540</v>
      </c>
      <c r="C65" s="573" t="s">
        <v>24</v>
      </c>
      <c r="D65" s="573" t="s">
        <v>171</v>
      </c>
      <c r="E65" s="574">
        <v>0.65625</v>
      </c>
      <c r="F65" s="574">
        <v>0.78125</v>
      </c>
      <c r="G65" s="574">
        <v>0.65625</v>
      </c>
      <c r="H65" s="574">
        <v>0.78125</v>
      </c>
      <c r="I65" s="579">
        <f t="shared" si="0"/>
        <v>0</v>
      </c>
      <c r="J65" s="581">
        <f t="shared" si="1"/>
        <v>0</v>
      </c>
      <c r="N65" s="618"/>
    </row>
    <row r="66" spans="1:14" x14ac:dyDescent="0.2">
      <c r="A66" s="573" t="s">
        <v>184</v>
      </c>
      <c r="B66" s="575">
        <v>42545</v>
      </c>
      <c r="C66" s="573" t="s">
        <v>118</v>
      </c>
      <c r="D66" s="573" t="s">
        <v>199</v>
      </c>
      <c r="E66" s="574">
        <v>0.63541666666666663</v>
      </c>
      <c r="F66" s="574">
        <v>0.94791666666666663</v>
      </c>
      <c r="I66" s="579">
        <f t="shared" ref="I66:I129" si="2">IF(G66="",-9999,ABS(ROUND((IF(E66&lt;0.25,E66+1,E66)-IF(G66&lt;0.25,G66+1,G66))*24,2)))</f>
        <v>-9999</v>
      </c>
      <c r="J66" s="581">
        <f t="shared" ref="J66:J129" si="3">IF(H66="",-9999,ABS(ROUND((IF(F66&lt;0.25,F66+1,F66)-IF(H66&lt;0.25,H66+1,H66))*24,2)))</f>
        <v>-9999</v>
      </c>
      <c r="N66" s="618"/>
    </row>
    <row r="67" spans="1:14" x14ac:dyDescent="0.2">
      <c r="A67" s="573" t="s">
        <v>184</v>
      </c>
      <c r="B67" s="575">
        <v>42546</v>
      </c>
      <c r="C67" s="573" t="s">
        <v>118</v>
      </c>
      <c r="D67" s="573" t="s">
        <v>199</v>
      </c>
      <c r="E67" s="574">
        <v>0.5625</v>
      </c>
      <c r="F67" s="574">
        <v>0</v>
      </c>
      <c r="I67" s="579">
        <f t="shared" si="2"/>
        <v>-9999</v>
      </c>
      <c r="J67" s="581">
        <f t="shared" si="3"/>
        <v>-9999</v>
      </c>
      <c r="N67" s="618"/>
    </row>
    <row r="68" spans="1:14" x14ac:dyDescent="0.2">
      <c r="A68" s="573" t="s">
        <v>191</v>
      </c>
      <c r="B68" s="575">
        <v>42539</v>
      </c>
      <c r="C68" s="573" t="s">
        <v>145</v>
      </c>
      <c r="D68" s="573" t="s">
        <v>173</v>
      </c>
      <c r="E68" s="574">
        <v>0.6875</v>
      </c>
      <c r="F68" s="574">
        <v>0.90625</v>
      </c>
      <c r="G68" s="574">
        <v>0.69791666666666663</v>
      </c>
      <c r="H68" s="574">
        <v>0.90625</v>
      </c>
      <c r="I68" s="579">
        <f t="shared" si="2"/>
        <v>0.25</v>
      </c>
      <c r="J68" s="581">
        <f t="shared" si="3"/>
        <v>0</v>
      </c>
      <c r="N68" s="618"/>
    </row>
    <row r="69" spans="1:14" x14ac:dyDescent="0.2">
      <c r="A69" s="573" t="s">
        <v>214</v>
      </c>
      <c r="B69" s="575">
        <v>42541</v>
      </c>
      <c r="C69" s="573" t="s">
        <v>119</v>
      </c>
      <c r="D69" s="573" t="s">
        <v>206</v>
      </c>
      <c r="E69" s="574">
        <v>0.33333333333333331</v>
      </c>
      <c r="F69" s="574">
        <v>0.38541666666666669</v>
      </c>
      <c r="I69" s="579">
        <f t="shared" si="2"/>
        <v>-9999</v>
      </c>
      <c r="J69" s="581">
        <f t="shared" si="3"/>
        <v>-9999</v>
      </c>
      <c r="N69" s="618"/>
    </row>
    <row r="70" spans="1:14" x14ac:dyDescent="0.2">
      <c r="A70" s="573" t="s">
        <v>214</v>
      </c>
      <c r="B70" s="575">
        <v>42545</v>
      </c>
      <c r="C70" s="573" t="s">
        <v>118</v>
      </c>
      <c r="D70" s="573" t="s">
        <v>199</v>
      </c>
      <c r="E70" s="574">
        <v>0.58333333333333337</v>
      </c>
      <c r="F70" s="574">
        <v>0.9375</v>
      </c>
      <c r="I70" s="579">
        <f t="shared" si="2"/>
        <v>-9999</v>
      </c>
      <c r="J70" s="581">
        <f t="shared" si="3"/>
        <v>-9999</v>
      </c>
      <c r="N70" s="618"/>
    </row>
    <row r="71" spans="1:14" x14ac:dyDescent="0.2">
      <c r="A71" s="573" t="s">
        <v>214</v>
      </c>
      <c r="B71" s="575">
        <v>42550</v>
      </c>
      <c r="C71" s="573" t="s">
        <v>118</v>
      </c>
      <c r="D71" s="573" t="s">
        <v>199</v>
      </c>
      <c r="E71" s="574">
        <v>0.69791666666666663</v>
      </c>
      <c r="F71" s="574">
        <v>0.82291666666666663</v>
      </c>
      <c r="I71" s="579">
        <f t="shared" si="2"/>
        <v>-9999</v>
      </c>
      <c r="J71" s="581">
        <f t="shared" si="3"/>
        <v>-9999</v>
      </c>
      <c r="N71" s="618"/>
    </row>
    <row r="72" spans="1:14" x14ac:dyDescent="0.2">
      <c r="A72" s="573" t="s">
        <v>234</v>
      </c>
      <c r="B72" s="575">
        <v>42541</v>
      </c>
      <c r="C72" s="573" t="s">
        <v>119</v>
      </c>
      <c r="D72" s="573" t="s">
        <v>206</v>
      </c>
      <c r="E72" s="574">
        <v>0.33333333333333331</v>
      </c>
      <c r="F72" s="574">
        <v>0.38541666666666669</v>
      </c>
      <c r="I72" s="579">
        <f t="shared" si="2"/>
        <v>-9999</v>
      </c>
      <c r="J72" s="581">
        <f t="shared" si="3"/>
        <v>-9999</v>
      </c>
      <c r="N72" s="618"/>
    </row>
    <row r="73" spans="1:14" x14ac:dyDescent="0.2">
      <c r="A73" s="573" t="s">
        <v>234</v>
      </c>
      <c r="B73" s="575">
        <v>42544</v>
      </c>
      <c r="C73" s="573" t="s">
        <v>118</v>
      </c>
      <c r="D73" s="573" t="s">
        <v>199</v>
      </c>
      <c r="E73" s="574">
        <v>0.65625</v>
      </c>
      <c r="F73" s="574">
        <v>0.97916666666666663</v>
      </c>
      <c r="I73" s="579">
        <f t="shared" si="2"/>
        <v>-9999</v>
      </c>
      <c r="J73" s="581">
        <f t="shared" si="3"/>
        <v>-9999</v>
      </c>
      <c r="N73" s="618"/>
    </row>
    <row r="74" spans="1:14" x14ac:dyDescent="0.2">
      <c r="A74" s="573" t="s">
        <v>234</v>
      </c>
      <c r="B74" s="575">
        <v>42545</v>
      </c>
      <c r="C74" s="573" t="s">
        <v>118</v>
      </c>
      <c r="D74" s="573" t="s">
        <v>199</v>
      </c>
      <c r="E74" s="574">
        <v>0.63541666666666663</v>
      </c>
      <c r="F74" s="574">
        <v>0.9375</v>
      </c>
      <c r="I74" s="579">
        <f t="shared" si="2"/>
        <v>-9999</v>
      </c>
      <c r="J74" s="581">
        <f t="shared" si="3"/>
        <v>-9999</v>
      </c>
      <c r="N74" s="618"/>
    </row>
    <row r="75" spans="1:14" x14ac:dyDescent="0.2">
      <c r="A75" s="573" t="s">
        <v>234</v>
      </c>
      <c r="B75" s="575">
        <v>42546</v>
      </c>
      <c r="C75" s="573" t="s">
        <v>5</v>
      </c>
      <c r="D75" s="573" t="s">
        <v>174</v>
      </c>
      <c r="E75" s="574">
        <v>0.70833333333333337</v>
      </c>
      <c r="F75" s="574">
        <v>0.9375</v>
      </c>
      <c r="G75" s="574">
        <v>0.78125</v>
      </c>
      <c r="H75" s="574">
        <v>0.92708333333333326</v>
      </c>
      <c r="I75" s="579">
        <f t="shared" si="2"/>
        <v>1.75</v>
      </c>
      <c r="J75" s="581">
        <f t="shared" si="3"/>
        <v>0.25</v>
      </c>
      <c r="N75" s="618"/>
    </row>
    <row r="76" spans="1:14" x14ac:dyDescent="0.2">
      <c r="A76" s="573" t="s">
        <v>181</v>
      </c>
      <c r="B76" s="575">
        <v>42537</v>
      </c>
      <c r="C76" s="573" t="s">
        <v>145</v>
      </c>
      <c r="D76" s="573" t="s">
        <v>173</v>
      </c>
      <c r="E76" s="574">
        <v>0.46875</v>
      </c>
      <c r="F76" s="574">
        <v>0.66666666666666663</v>
      </c>
      <c r="G76" s="574">
        <v>0.46875</v>
      </c>
      <c r="H76" s="574">
        <v>0.86458333333333326</v>
      </c>
      <c r="I76" s="579">
        <f t="shared" si="2"/>
        <v>0</v>
      </c>
      <c r="J76" s="581">
        <f t="shared" si="3"/>
        <v>4.75</v>
      </c>
      <c r="N76" s="618"/>
    </row>
    <row r="77" spans="1:14" x14ac:dyDescent="0.2">
      <c r="A77" s="573" t="s">
        <v>181</v>
      </c>
      <c r="B77" s="575">
        <v>42537</v>
      </c>
      <c r="C77" s="573" t="s">
        <v>145</v>
      </c>
      <c r="D77" s="573" t="s">
        <v>173</v>
      </c>
      <c r="E77" s="574">
        <v>0.6875</v>
      </c>
      <c r="F77" s="574">
        <v>0.86458333333333337</v>
      </c>
      <c r="I77" s="579">
        <f t="shared" si="2"/>
        <v>-9999</v>
      </c>
      <c r="J77" s="581">
        <f t="shared" si="3"/>
        <v>-9999</v>
      </c>
      <c r="N77" s="618"/>
    </row>
    <row r="78" spans="1:14" x14ac:dyDescent="0.2">
      <c r="A78" s="573" t="s">
        <v>181</v>
      </c>
      <c r="B78" s="575">
        <v>42538</v>
      </c>
      <c r="C78" s="573" t="s">
        <v>145</v>
      </c>
      <c r="D78" s="573" t="s">
        <v>173</v>
      </c>
      <c r="E78" s="574">
        <v>0.45833333333333331</v>
      </c>
      <c r="F78" s="574">
        <v>0.60416666666666663</v>
      </c>
      <c r="G78" s="574">
        <v>0.45833333333333331</v>
      </c>
      <c r="H78" s="574">
        <v>0.60416666666666663</v>
      </c>
      <c r="I78" s="579">
        <f t="shared" si="2"/>
        <v>0</v>
      </c>
      <c r="J78" s="581">
        <f t="shared" si="3"/>
        <v>0</v>
      </c>
      <c r="N78" s="618"/>
    </row>
    <row r="79" spans="1:14" x14ac:dyDescent="0.2">
      <c r="A79" s="573" t="s">
        <v>181</v>
      </c>
      <c r="B79" s="575">
        <v>42538</v>
      </c>
      <c r="C79" s="573" t="s">
        <v>145</v>
      </c>
      <c r="D79" s="573" t="s">
        <v>173</v>
      </c>
      <c r="E79" s="574">
        <v>0.6875</v>
      </c>
      <c r="F79" s="574">
        <v>0.89583333333333337</v>
      </c>
      <c r="G79" s="574">
        <v>0.6875</v>
      </c>
      <c r="H79" s="574">
        <v>0.89583333333333326</v>
      </c>
      <c r="I79" s="579">
        <f t="shared" si="2"/>
        <v>0</v>
      </c>
      <c r="J79" s="581">
        <f t="shared" si="3"/>
        <v>0</v>
      </c>
      <c r="N79" s="618"/>
    </row>
    <row r="80" spans="1:14" x14ac:dyDescent="0.2">
      <c r="A80" s="573" t="s">
        <v>181</v>
      </c>
      <c r="B80" s="575">
        <v>42539</v>
      </c>
      <c r="C80" s="573" t="s">
        <v>145</v>
      </c>
      <c r="D80" s="573" t="s">
        <v>173</v>
      </c>
      <c r="E80" s="574">
        <v>0.41666666666666669</v>
      </c>
      <c r="F80" s="574">
        <v>0.58333333333333337</v>
      </c>
      <c r="G80" s="574">
        <v>0.41666666666666663</v>
      </c>
      <c r="H80" s="574">
        <v>0.58333333333333326</v>
      </c>
      <c r="I80" s="579">
        <f t="shared" si="2"/>
        <v>0</v>
      </c>
      <c r="J80" s="581">
        <f t="shared" si="3"/>
        <v>0</v>
      </c>
      <c r="N80" s="618"/>
    </row>
    <row r="81" spans="1:14" x14ac:dyDescent="0.2">
      <c r="A81" s="573" t="s">
        <v>181</v>
      </c>
      <c r="B81" s="575">
        <v>42540</v>
      </c>
      <c r="C81" s="573" t="s">
        <v>145</v>
      </c>
      <c r="D81" s="573" t="s">
        <v>173</v>
      </c>
      <c r="E81" s="574">
        <v>0.42708333333333331</v>
      </c>
      <c r="F81" s="574">
        <v>0.6875</v>
      </c>
      <c r="G81" s="574">
        <v>0.42708333333333331</v>
      </c>
      <c r="H81" s="574">
        <v>0.90625</v>
      </c>
      <c r="I81" s="579">
        <f t="shared" si="2"/>
        <v>0</v>
      </c>
      <c r="J81" s="581">
        <f t="shared" si="3"/>
        <v>5.25</v>
      </c>
      <c r="N81" s="618"/>
    </row>
    <row r="82" spans="1:14" x14ac:dyDescent="0.2">
      <c r="A82" s="573" t="s">
        <v>181</v>
      </c>
      <c r="B82" s="575">
        <v>42542</v>
      </c>
      <c r="C82" s="573" t="s">
        <v>24</v>
      </c>
      <c r="D82" s="573" t="s">
        <v>171</v>
      </c>
      <c r="E82" s="574">
        <v>0.69791666666666663</v>
      </c>
      <c r="F82" s="574">
        <v>0.90625</v>
      </c>
      <c r="G82" s="574">
        <v>0.69791666666666663</v>
      </c>
      <c r="H82" s="574">
        <v>0.89583333333333326</v>
      </c>
      <c r="I82" s="579">
        <f t="shared" si="2"/>
        <v>0</v>
      </c>
      <c r="J82" s="581">
        <f t="shared" si="3"/>
        <v>0.25</v>
      </c>
      <c r="N82" s="618"/>
    </row>
    <row r="83" spans="1:14" x14ac:dyDescent="0.2">
      <c r="A83" s="573" t="s">
        <v>181</v>
      </c>
      <c r="B83" s="575">
        <v>42543</v>
      </c>
      <c r="C83" s="573" t="s">
        <v>145</v>
      </c>
      <c r="D83" s="573" t="s">
        <v>173</v>
      </c>
      <c r="E83" s="574">
        <v>0.45833333333333331</v>
      </c>
      <c r="F83" s="574">
        <v>0.60416666666666663</v>
      </c>
      <c r="H83" s="574">
        <v>0.60416666666666663</v>
      </c>
      <c r="I83" s="579">
        <f t="shared" si="2"/>
        <v>-9999</v>
      </c>
      <c r="J83" s="581">
        <f t="shared" si="3"/>
        <v>0</v>
      </c>
      <c r="N83" s="618"/>
    </row>
    <row r="84" spans="1:14" x14ac:dyDescent="0.2">
      <c r="A84" s="573" t="s">
        <v>181</v>
      </c>
      <c r="B84" s="575">
        <v>42543</v>
      </c>
      <c r="C84" s="573" t="s">
        <v>145</v>
      </c>
      <c r="D84" s="573" t="s">
        <v>173</v>
      </c>
      <c r="E84" s="574">
        <v>0.6875</v>
      </c>
      <c r="F84" s="574">
        <v>0.90625</v>
      </c>
      <c r="I84" s="579">
        <f t="shared" si="2"/>
        <v>-9999</v>
      </c>
      <c r="J84" s="581">
        <f t="shared" si="3"/>
        <v>-9999</v>
      </c>
      <c r="N84" s="618"/>
    </row>
    <row r="85" spans="1:14" x14ac:dyDescent="0.2">
      <c r="A85" s="573" t="s">
        <v>181</v>
      </c>
      <c r="B85" s="575">
        <v>42545</v>
      </c>
      <c r="C85" s="573" t="s">
        <v>145</v>
      </c>
      <c r="D85" s="573" t="s">
        <v>173</v>
      </c>
      <c r="E85" s="574">
        <v>0.45833333333333331</v>
      </c>
      <c r="F85" s="574">
        <v>0.61458333333333337</v>
      </c>
      <c r="G85" s="574">
        <v>0.45833333333333331</v>
      </c>
      <c r="H85" s="574">
        <v>0.61458333333333326</v>
      </c>
      <c r="I85" s="579">
        <f t="shared" si="2"/>
        <v>0</v>
      </c>
      <c r="J85" s="581">
        <f t="shared" si="3"/>
        <v>0</v>
      </c>
      <c r="N85" s="618"/>
    </row>
    <row r="86" spans="1:14" x14ac:dyDescent="0.2">
      <c r="A86" s="573" t="s">
        <v>181</v>
      </c>
      <c r="B86" s="575">
        <v>42545</v>
      </c>
      <c r="C86" s="573" t="s">
        <v>145</v>
      </c>
      <c r="D86" s="573" t="s">
        <v>173</v>
      </c>
      <c r="E86" s="574">
        <v>0.6875</v>
      </c>
      <c r="F86" s="574">
        <v>0.85416666666666663</v>
      </c>
      <c r="G86" s="574">
        <v>0.6875</v>
      </c>
      <c r="H86" s="574">
        <v>0.85416666666666663</v>
      </c>
      <c r="I86" s="579">
        <f t="shared" si="2"/>
        <v>0</v>
      </c>
      <c r="J86" s="581">
        <f t="shared" si="3"/>
        <v>0</v>
      </c>
      <c r="N86" s="618"/>
    </row>
    <row r="87" spans="1:14" x14ac:dyDescent="0.2">
      <c r="A87" s="573" t="s">
        <v>181</v>
      </c>
      <c r="B87" s="575">
        <v>42546</v>
      </c>
      <c r="C87" s="573" t="s">
        <v>145</v>
      </c>
      <c r="D87" s="573" t="s">
        <v>173</v>
      </c>
      <c r="E87" s="574">
        <v>0.4375</v>
      </c>
      <c r="F87" s="574">
        <v>0.64583333333333337</v>
      </c>
      <c r="G87" s="574">
        <v>0.4375</v>
      </c>
      <c r="H87" s="574">
        <v>0.69791666666666663</v>
      </c>
      <c r="I87" s="579">
        <f t="shared" si="2"/>
        <v>0</v>
      </c>
      <c r="J87" s="581">
        <f t="shared" si="3"/>
        <v>1.25</v>
      </c>
      <c r="N87" s="618"/>
    </row>
    <row r="88" spans="1:14" x14ac:dyDescent="0.2">
      <c r="A88" s="573" t="s">
        <v>181</v>
      </c>
      <c r="B88" s="575">
        <v>42546</v>
      </c>
      <c r="C88" s="573" t="s">
        <v>145</v>
      </c>
      <c r="D88" s="573" t="s">
        <v>173</v>
      </c>
      <c r="E88" s="574">
        <v>0.6875</v>
      </c>
      <c r="F88" s="574">
        <v>0.90625</v>
      </c>
      <c r="G88" s="574">
        <v>0.69791666666666663</v>
      </c>
      <c r="H88" s="574">
        <v>0.90625</v>
      </c>
      <c r="I88" s="579">
        <f t="shared" si="2"/>
        <v>0.25</v>
      </c>
      <c r="J88" s="581">
        <f t="shared" si="3"/>
        <v>0</v>
      </c>
      <c r="N88" s="618"/>
    </row>
    <row r="89" spans="1:14" x14ac:dyDescent="0.2">
      <c r="A89" s="573" t="s">
        <v>181</v>
      </c>
      <c r="B89" s="575">
        <v>42547</v>
      </c>
      <c r="C89" s="573" t="s">
        <v>145</v>
      </c>
      <c r="D89" s="573" t="s">
        <v>173</v>
      </c>
      <c r="E89" s="574">
        <v>0.42708333333333331</v>
      </c>
      <c r="F89" s="574">
        <v>0.6875</v>
      </c>
      <c r="G89" s="574">
        <v>0.42708333333333331</v>
      </c>
      <c r="H89" s="574">
        <v>0.83333333333333326</v>
      </c>
      <c r="I89" s="579">
        <f t="shared" si="2"/>
        <v>0</v>
      </c>
      <c r="J89" s="581">
        <f t="shared" si="3"/>
        <v>3.5</v>
      </c>
      <c r="N89" s="618"/>
    </row>
    <row r="90" spans="1:14" x14ac:dyDescent="0.2">
      <c r="A90" s="573" t="s">
        <v>181</v>
      </c>
      <c r="B90" s="575">
        <v>42551</v>
      </c>
      <c r="C90" s="573" t="s">
        <v>145</v>
      </c>
      <c r="D90" s="573" t="s">
        <v>173</v>
      </c>
      <c r="E90" s="574">
        <v>0.46875</v>
      </c>
      <c r="F90" s="574">
        <v>0.5625</v>
      </c>
      <c r="G90" s="574">
        <v>0.46875</v>
      </c>
      <c r="H90" s="574">
        <v>0.5625</v>
      </c>
      <c r="I90" s="579">
        <f t="shared" si="2"/>
        <v>0</v>
      </c>
      <c r="J90" s="581">
        <f t="shared" si="3"/>
        <v>0</v>
      </c>
      <c r="N90" s="618"/>
    </row>
    <row r="91" spans="1:14" x14ac:dyDescent="0.2">
      <c r="A91" s="573" t="s">
        <v>181</v>
      </c>
      <c r="B91" s="575">
        <v>42551</v>
      </c>
      <c r="C91" s="573" t="s">
        <v>145</v>
      </c>
      <c r="D91" s="573" t="s">
        <v>173</v>
      </c>
      <c r="E91" s="574">
        <v>0.6875</v>
      </c>
      <c r="F91" s="574">
        <v>0.89583333333333337</v>
      </c>
      <c r="G91" s="574">
        <v>0.6875</v>
      </c>
      <c r="H91" s="574">
        <v>0.89583333333333326</v>
      </c>
      <c r="I91" s="579">
        <f t="shared" si="2"/>
        <v>0</v>
      </c>
      <c r="J91" s="581">
        <f t="shared" si="3"/>
        <v>0</v>
      </c>
      <c r="N91" s="618"/>
    </row>
    <row r="92" spans="1:14" x14ac:dyDescent="0.2">
      <c r="A92" s="573" t="s">
        <v>193</v>
      </c>
      <c r="B92" s="575">
        <v>42539</v>
      </c>
      <c r="C92" s="573" t="s">
        <v>16</v>
      </c>
      <c r="D92" s="573" t="s">
        <v>97</v>
      </c>
      <c r="E92" s="574">
        <v>0.75</v>
      </c>
      <c r="F92" s="574">
        <v>0.9375</v>
      </c>
      <c r="I92" s="579">
        <f t="shared" si="2"/>
        <v>-9999</v>
      </c>
      <c r="J92" s="581">
        <f t="shared" si="3"/>
        <v>-9999</v>
      </c>
      <c r="N92" s="618"/>
    </row>
    <row r="93" spans="1:14" x14ac:dyDescent="0.2">
      <c r="A93" s="573" t="s">
        <v>193</v>
      </c>
      <c r="B93" s="575">
        <v>42545</v>
      </c>
      <c r="C93" s="573" t="s">
        <v>16</v>
      </c>
      <c r="D93" s="573" t="s">
        <v>97</v>
      </c>
      <c r="E93" s="574">
        <v>0.75</v>
      </c>
      <c r="F93" s="574">
        <v>0.95833333333333337</v>
      </c>
      <c r="I93" s="579">
        <f t="shared" si="2"/>
        <v>-9999</v>
      </c>
      <c r="J93" s="581">
        <f t="shared" si="3"/>
        <v>-9999</v>
      </c>
      <c r="N93" s="618"/>
    </row>
    <row r="94" spans="1:14" x14ac:dyDescent="0.2">
      <c r="A94" s="573" t="s">
        <v>213</v>
      </c>
      <c r="B94" s="575">
        <v>42540</v>
      </c>
      <c r="C94" s="573" t="s">
        <v>145</v>
      </c>
      <c r="D94" s="573" t="s">
        <v>173</v>
      </c>
      <c r="E94" s="574">
        <v>0.6875</v>
      </c>
      <c r="F94" s="574">
        <v>0.91666666666666663</v>
      </c>
      <c r="G94" s="574">
        <v>0.69791666666666663</v>
      </c>
      <c r="H94" s="574">
        <v>0.90625</v>
      </c>
      <c r="I94" s="579">
        <f t="shared" si="2"/>
        <v>0.25</v>
      </c>
      <c r="J94" s="581">
        <f t="shared" si="3"/>
        <v>0.25</v>
      </c>
      <c r="N94" s="618"/>
    </row>
    <row r="95" spans="1:14" x14ac:dyDescent="0.2">
      <c r="A95" s="573" t="s">
        <v>213</v>
      </c>
      <c r="B95" s="575">
        <v>42544</v>
      </c>
      <c r="C95" s="573" t="s">
        <v>145</v>
      </c>
      <c r="D95" s="573" t="s">
        <v>173</v>
      </c>
      <c r="E95" s="574">
        <v>0.45833333333333331</v>
      </c>
      <c r="F95" s="574">
        <v>0.63541666666666663</v>
      </c>
      <c r="G95" s="574">
        <v>0.45833333333333331</v>
      </c>
      <c r="H95" s="574">
        <v>0.85416666666666663</v>
      </c>
      <c r="I95" s="579">
        <f t="shared" si="2"/>
        <v>0</v>
      </c>
      <c r="J95" s="581">
        <f t="shared" si="3"/>
        <v>5.25</v>
      </c>
      <c r="N95" s="618"/>
    </row>
    <row r="96" spans="1:14" x14ac:dyDescent="0.2">
      <c r="A96" s="573" t="s">
        <v>213</v>
      </c>
      <c r="B96" s="575">
        <v>42544</v>
      </c>
      <c r="C96" s="573" t="s">
        <v>145</v>
      </c>
      <c r="D96" s="573" t="s">
        <v>173</v>
      </c>
      <c r="E96" s="574">
        <v>0.6875</v>
      </c>
      <c r="F96" s="574">
        <v>0.85416666666666663</v>
      </c>
      <c r="I96" s="579">
        <f t="shared" si="2"/>
        <v>-9999</v>
      </c>
      <c r="J96" s="581">
        <f t="shared" si="3"/>
        <v>-9999</v>
      </c>
      <c r="N96" s="618"/>
    </row>
    <row r="97" spans="1:14" x14ac:dyDescent="0.2">
      <c r="A97" s="573" t="s">
        <v>213</v>
      </c>
      <c r="B97" s="575">
        <v>42547</v>
      </c>
      <c r="C97" s="573" t="s">
        <v>5</v>
      </c>
      <c r="D97" s="573" t="s">
        <v>174</v>
      </c>
      <c r="E97" s="574">
        <v>0.46875</v>
      </c>
      <c r="F97" s="574">
        <v>0.64583333333333337</v>
      </c>
      <c r="G97" s="574">
        <v>0.46875</v>
      </c>
      <c r="H97" s="574">
        <v>0.63541666666666663</v>
      </c>
      <c r="I97" s="579">
        <f t="shared" si="2"/>
        <v>0</v>
      </c>
      <c r="J97" s="581">
        <f t="shared" si="3"/>
        <v>0.25</v>
      </c>
      <c r="N97" s="618"/>
    </row>
    <row r="98" spans="1:14" x14ac:dyDescent="0.2">
      <c r="A98" s="573" t="s">
        <v>213</v>
      </c>
      <c r="B98" s="575">
        <v>42547</v>
      </c>
      <c r="C98" s="573" t="s">
        <v>5</v>
      </c>
      <c r="D98" s="573" t="s">
        <v>174</v>
      </c>
      <c r="E98" s="574">
        <v>0.6875</v>
      </c>
      <c r="F98" s="574">
        <v>0.875</v>
      </c>
      <c r="G98" s="574">
        <v>0.6875</v>
      </c>
      <c r="H98" s="574">
        <v>0.86458333333333326</v>
      </c>
      <c r="I98" s="579">
        <f t="shared" si="2"/>
        <v>0</v>
      </c>
      <c r="J98" s="581">
        <f t="shared" si="3"/>
        <v>0.25</v>
      </c>
      <c r="N98" s="618"/>
    </row>
    <row r="99" spans="1:14" x14ac:dyDescent="0.2">
      <c r="A99" s="573" t="s">
        <v>177</v>
      </c>
      <c r="B99" s="575">
        <v>42537</v>
      </c>
      <c r="C99" s="573" t="s">
        <v>119</v>
      </c>
      <c r="D99" s="573" t="s">
        <v>170</v>
      </c>
      <c r="E99" s="574">
        <v>0.29166666666666669</v>
      </c>
      <c r="F99" s="574">
        <v>0.36458333333333331</v>
      </c>
      <c r="I99" s="579">
        <f t="shared" si="2"/>
        <v>-9999</v>
      </c>
      <c r="J99" s="581">
        <f t="shared" si="3"/>
        <v>-9999</v>
      </c>
      <c r="N99" s="618"/>
    </row>
    <row r="100" spans="1:14" x14ac:dyDescent="0.2">
      <c r="A100" s="573" t="s">
        <v>177</v>
      </c>
      <c r="B100" s="575">
        <v>42537</v>
      </c>
      <c r="C100" s="573" t="s">
        <v>5</v>
      </c>
      <c r="D100" s="573" t="s">
        <v>174</v>
      </c>
      <c r="E100" s="574">
        <v>0.46875</v>
      </c>
      <c r="F100" s="574">
        <v>0.60416666666666663</v>
      </c>
      <c r="G100" s="574">
        <v>0.46875</v>
      </c>
      <c r="H100" s="574">
        <v>0.60416666666666663</v>
      </c>
      <c r="I100" s="579">
        <f t="shared" si="2"/>
        <v>0</v>
      </c>
      <c r="J100" s="581">
        <f t="shared" si="3"/>
        <v>0</v>
      </c>
      <c r="N100" s="618"/>
    </row>
    <row r="101" spans="1:14" x14ac:dyDescent="0.2">
      <c r="A101" s="573" t="s">
        <v>177</v>
      </c>
      <c r="B101" s="575">
        <v>42538</v>
      </c>
      <c r="C101" s="573" t="s">
        <v>154</v>
      </c>
      <c r="D101" s="573" t="s">
        <v>175</v>
      </c>
      <c r="E101" s="574">
        <v>0.70833333333333337</v>
      </c>
      <c r="F101" s="574">
        <v>0.9375</v>
      </c>
      <c r="I101" s="579">
        <f t="shared" si="2"/>
        <v>-9999</v>
      </c>
      <c r="J101" s="581">
        <f t="shared" si="3"/>
        <v>-9999</v>
      </c>
      <c r="N101" s="618"/>
    </row>
    <row r="102" spans="1:14" x14ac:dyDescent="0.2">
      <c r="A102" s="573" t="s">
        <v>177</v>
      </c>
      <c r="B102" s="575">
        <v>42539</v>
      </c>
      <c r="C102" s="573" t="s">
        <v>154</v>
      </c>
      <c r="D102" s="573" t="s">
        <v>175</v>
      </c>
      <c r="E102" s="574">
        <v>0.70833333333333337</v>
      </c>
      <c r="F102" s="574">
        <v>0.9375</v>
      </c>
      <c r="I102" s="579">
        <f t="shared" si="2"/>
        <v>-9999</v>
      </c>
      <c r="J102" s="581">
        <f t="shared" si="3"/>
        <v>-9999</v>
      </c>
      <c r="N102" s="618"/>
    </row>
    <row r="103" spans="1:14" x14ac:dyDescent="0.2">
      <c r="A103" s="573" t="s">
        <v>177</v>
      </c>
      <c r="B103" s="575">
        <v>42540</v>
      </c>
      <c r="C103" s="573" t="s">
        <v>16</v>
      </c>
      <c r="D103" s="573" t="s">
        <v>97</v>
      </c>
      <c r="E103" s="574">
        <v>0.5</v>
      </c>
      <c r="F103" s="574">
        <v>0.6875</v>
      </c>
      <c r="I103" s="579">
        <f t="shared" si="2"/>
        <v>-9999</v>
      </c>
      <c r="J103" s="581">
        <f t="shared" si="3"/>
        <v>-9999</v>
      </c>
      <c r="N103" s="618"/>
    </row>
    <row r="104" spans="1:14" x14ac:dyDescent="0.2">
      <c r="A104" s="573" t="s">
        <v>177</v>
      </c>
      <c r="B104" s="575">
        <v>42541</v>
      </c>
      <c r="C104" s="573" t="s">
        <v>119</v>
      </c>
      <c r="D104" s="573" t="s">
        <v>206</v>
      </c>
      <c r="E104" s="574">
        <v>0.33333333333333331</v>
      </c>
      <c r="F104" s="574">
        <v>0.38541666666666669</v>
      </c>
      <c r="I104" s="579">
        <f t="shared" si="2"/>
        <v>-9999</v>
      </c>
      <c r="J104" s="581">
        <f t="shared" si="3"/>
        <v>-9999</v>
      </c>
      <c r="N104" s="618"/>
    </row>
    <row r="105" spans="1:14" x14ac:dyDescent="0.2">
      <c r="A105" s="573" t="s">
        <v>177</v>
      </c>
      <c r="B105" s="575">
        <v>42541</v>
      </c>
      <c r="C105" s="573" t="s">
        <v>119</v>
      </c>
      <c r="D105" s="573" t="s">
        <v>170</v>
      </c>
      <c r="E105" s="574">
        <v>0.63541666666666663</v>
      </c>
      <c r="F105" s="574">
        <v>0.69791666666666663</v>
      </c>
      <c r="I105" s="579">
        <f t="shared" si="2"/>
        <v>-9999</v>
      </c>
      <c r="J105" s="581">
        <f t="shared" si="3"/>
        <v>-9999</v>
      </c>
      <c r="N105" s="618"/>
    </row>
    <row r="106" spans="1:14" x14ac:dyDescent="0.2">
      <c r="A106" s="573" t="s">
        <v>177</v>
      </c>
      <c r="B106" s="575">
        <v>42541</v>
      </c>
      <c r="C106" s="573" t="s">
        <v>24</v>
      </c>
      <c r="D106" s="573" t="s">
        <v>171</v>
      </c>
      <c r="E106" s="574">
        <v>0.69791666666666663</v>
      </c>
      <c r="F106" s="574">
        <v>0.90625</v>
      </c>
      <c r="G106" s="574">
        <v>0.70833333333333326</v>
      </c>
      <c r="H106" s="574">
        <v>0.89583333333333326</v>
      </c>
      <c r="I106" s="579">
        <f t="shared" si="2"/>
        <v>0.25</v>
      </c>
      <c r="J106" s="581">
        <f t="shared" si="3"/>
        <v>0.25</v>
      </c>
      <c r="N106" s="618"/>
    </row>
    <row r="107" spans="1:14" x14ac:dyDescent="0.2">
      <c r="A107" s="573" t="s">
        <v>177</v>
      </c>
      <c r="B107" s="575">
        <v>42542</v>
      </c>
      <c r="C107" s="573" t="s">
        <v>5</v>
      </c>
      <c r="D107" s="573" t="s">
        <v>174</v>
      </c>
      <c r="E107" s="574">
        <v>0.46875</v>
      </c>
      <c r="F107" s="574">
        <v>0.59375</v>
      </c>
      <c r="G107" s="574">
        <v>0.47916666666666663</v>
      </c>
      <c r="H107" s="574">
        <v>0.59375</v>
      </c>
      <c r="I107" s="579">
        <f t="shared" si="2"/>
        <v>0.25</v>
      </c>
      <c r="J107" s="581">
        <f t="shared" si="3"/>
        <v>0</v>
      </c>
      <c r="N107" s="618"/>
    </row>
    <row r="108" spans="1:14" x14ac:dyDescent="0.2">
      <c r="A108" s="573" t="s">
        <v>177</v>
      </c>
      <c r="B108" s="575">
        <v>42548</v>
      </c>
      <c r="C108" s="573" t="s">
        <v>119</v>
      </c>
      <c r="D108" s="573" t="s">
        <v>170</v>
      </c>
      <c r="E108" s="574">
        <v>0.60416666666666663</v>
      </c>
      <c r="F108" s="574">
        <v>0.69791666666666663</v>
      </c>
      <c r="I108" s="579">
        <f t="shared" si="2"/>
        <v>-9999</v>
      </c>
      <c r="J108" s="581">
        <f t="shared" si="3"/>
        <v>-9999</v>
      </c>
      <c r="N108" s="618"/>
    </row>
    <row r="109" spans="1:14" x14ac:dyDescent="0.2">
      <c r="A109" s="573" t="s">
        <v>177</v>
      </c>
      <c r="B109" s="575">
        <v>42548</v>
      </c>
      <c r="C109" s="573" t="s">
        <v>24</v>
      </c>
      <c r="D109" s="573" t="s">
        <v>171</v>
      </c>
      <c r="E109" s="574">
        <v>0.69791666666666663</v>
      </c>
      <c r="F109" s="574">
        <v>0.91666666666666663</v>
      </c>
      <c r="G109" s="574">
        <v>0.69791666666666663</v>
      </c>
      <c r="H109" s="574">
        <v>0.91666666666666663</v>
      </c>
      <c r="I109" s="579">
        <f t="shared" si="2"/>
        <v>0</v>
      </c>
      <c r="J109" s="581">
        <f t="shared" si="3"/>
        <v>0</v>
      </c>
      <c r="N109" s="618"/>
    </row>
    <row r="110" spans="1:14" x14ac:dyDescent="0.2">
      <c r="A110" s="573" t="s">
        <v>177</v>
      </c>
      <c r="B110" s="575">
        <v>42549</v>
      </c>
      <c r="C110" s="573" t="s">
        <v>5</v>
      </c>
      <c r="D110" s="573" t="s">
        <v>174</v>
      </c>
      <c r="E110" s="574">
        <v>0.6875</v>
      </c>
      <c r="F110" s="574">
        <v>0.85416666666666663</v>
      </c>
      <c r="G110" s="574">
        <v>0.6875</v>
      </c>
      <c r="H110" s="574">
        <v>0.85416666666666663</v>
      </c>
      <c r="I110" s="579">
        <f t="shared" si="2"/>
        <v>0</v>
      </c>
      <c r="J110" s="581">
        <f t="shared" si="3"/>
        <v>0</v>
      </c>
      <c r="N110" s="618"/>
    </row>
    <row r="111" spans="1:14" x14ac:dyDescent="0.2">
      <c r="A111" s="573" t="s">
        <v>177</v>
      </c>
      <c r="B111" s="575">
        <v>42549</v>
      </c>
      <c r="C111" s="573" t="s">
        <v>24</v>
      </c>
      <c r="D111" s="573" t="s">
        <v>171</v>
      </c>
      <c r="E111" s="574">
        <v>0.46875</v>
      </c>
      <c r="F111" s="574">
        <v>0.625</v>
      </c>
      <c r="G111" s="574">
        <v>0.47916666666666663</v>
      </c>
      <c r="H111" s="574">
        <v>0.625</v>
      </c>
      <c r="I111" s="579">
        <f t="shared" si="2"/>
        <v>0.25</v>
      </c>
      <c r="J111" s="581">
        <f t="shared" si="3"/>
        <v>0</v>
      </c>
      <c r="N111" s="618"/>
    </row>
    <row r="112" spans="1:14" x14ac:dyDescent="0.2">
      <c r="A112" s="573" t="s">
        <v>210</v>
      </c>
      <c r="B112" s="575">
        <v>42539</v>
      </c>
      <c r="C112" s="573" t="s">
        <v>118</v>
      </c>
      <c r="D112" s="573" t="s">
        <v>199</v>
      </c>
      <c r="E112" s="574">
        <v>0.73958333333333337</v>
      </c>
      <c r="F112" s="574">
        <v>0.9375</v>
      </c>
      <c r="I112" s="579">
        <f t="shared" si="2"/>
        <v>-9999</v>
      </c>
      <c r="J112" s="581">
        <f t="shared" si="3"/>
        <v>-9999</v>
      </c>
      <c r="N112" s="618"/>
    </row>
    <row r="113" spans="1:14" x14ac:dyDescent="0.2">
      <c r="A113" s="573" t="s">
        <v>210</v>
      </c>
      <c r="B113" s="575">
        <v>42540</v>
      </c>
      <c r="C113" s="573" t="s">
        <v>24</v>
      </c>
      <c r="D113" s="573" t="s">
        <v>171</v>
      </c>
      <c r="E113" s="574">
        <v>0.69791666666666663</v>
      </c>
      <c r="F113" s="574">
        <v>0.84375</v>
      </c>
      <c r="G113" s="574">
        <v>0.69791666666666663</v>
      </c>
      <c r="H113" s="574">
        <v>0.84375</v>
      </c>
      <c r="I113" s="579">
        <f t="shared" si="2"/>
        <v>0</v>
      </c>
      <c r="J113" s="581">
        <f t="shared" si="3"/>
        <v>0</v>
      </c>
      <c r="N113" s="618"/>
    </row>
    <row r="114" spans="1:14" x14ac:dyDescent="0.2">
      <c r="A114" s="573" t="s">
        <v>210</v>
      </c>
      <c r="B114" s="575">
        <v>42544</v>
      </c>
      <c r="C114" s="573" t="s">
        <v>118</v>
      </c>
      <c r="D114" s="573" t="s">
        <v>199</v>
      </c>
      <c r="E114" s="574">
        <v>0.65625</v>
      </c>
      <c r="F114" s="574">
        <v>0.97916666666666663</v>
      </c>
      <c r="I114" s="579">
        <f t="shared" si="2"/>
        <v>-9999</v>
      </c>
      <c r="J114" s="581">
        <f t="shared" si="3"/>
        <v>-9999</v>
      </c>
      <c r="N114" s="618"/>
    </row>
    <row r="115" spans="1:14" x14ac:dyDescent="0.2">
      <c r="A115" s="573" t="s">
        <v>210</v>
      </c>
      <c r="B115" s="575">
        <v>42545</v>
      </c>
      <c r="C115" s="573" t="s">
        <v>5</v>
      </c>
      <c r="D115" s="573" t="s">
        <v>174</v>
      </c>
      <c r="E115" s="574">
        <v>0.47916666666666669</v>
      </c>
      <c r="F115" s="574">
        <v>0.63541666666666663</v>
      </c>
      <c r="G115" s="574">
        <v>0.47916666666666663</v>
      </c>
      <c r="H115" s="574">
        <v>0.63541666666666663</v>
      </c>
      <c r="I115" s="579">
        <f t="shared" si="2"/>
        <v>0</v>
      </c>
      <c r="J115" s="581">
        <f t="shared" si="3"/>
        <v>0</v>
      </c>
      <c r="N115" s="618"/>
    </row>
    <row r="116" spans="1:14" x14ac:dyDescent="0.2">
      <c r="A116" s="573" t="s">
        <v>210</v>
      </c>
      <c r="B116" s="575">
        <v>42546</v>
      </c>
      <c r="C116" s="573" t="s">
        <v>5</v>
      </c>
      <c r="D116" s="573" t="s">
        <v>174</v>
      </c>
      <c r="E116" s="574">
        <v>0.46875</v>
      </c>
      <c r="F116" s="574">
        <v>0.69791666666666663</v>
      </c>
      <c r="G116" s="574">
        <v>0.46875</v>
      </c>
      <c r="H116" s="574">
        <v>0.69791666666666663</v>
      </c>
      <c r="I116" s="579">
        <f t="shared" si="2"/>
        <v>0</v>
      </c>
      <c r="J116" s="581">
        <f t="shared" si="3"/>
        <v>0</v>
      </c>
      <c r="N116" s="618"/>
    </row>
    <row r="117" spans="1:14" x14ac:dyDescent="0.2">
      <c r="A117" s="573" t="s">
        <v>210</v>
      </c>
      <c r="B117" s="575">
        <v>42547</v>
      </c>
      <c r="C117" s="573" t="s">
        <v>24</v>
      </c>
      <c r="D117" s="573" t="s">
        <v>171</v>
      </c>
      <c r="E117" s="574">
        <v>0.69791666666666663</v>
      </c>
      <c r="F117" s="574">
        <v>0.83333333333333337</v>
      </c>
      <c r="G117" s="574">
        <v>0.69791666666666663</v>
      </c>
      <c r="H117" s="574">
        <v>0.83333333333333326</v>
      </c>
      <c r="I117" s="579">
        <f t="shared" si="2"/>
        <v>0</v>
      </c>
      <c r="J117" s="581">
        <f t="shared" si="3"/>
        <v>0</v>
      </c>
      <c r="N117" s="618"/>
    </row>
    <row r="118" spans="1:14" x14ac:dyDescent="0.2">
      <c r="A118" s="573" t="s">
        <v>185</v>
      </c>
      <c r="B118" s="575">
        <v>42538</v>
      </c>
      <c r="C118" s="573" t="s">
        <v>24</v>
      </c>
      <c r="D118" s="573" t="s">
        <v>171</v>
      </c>
      <c r="E118" s="574">
        <v>0.46875</v>
      </c>
      <c r="F118" s="574">
        <v>0.63541666666666663</v>
      </c>
      <c r="G118" s="574">
        <v>0.46875</v>
      </c>
      <c r="H118" s="574">
        <v>0.66666666666666663</v>
      </c>
      <c r="I118" s="579">
        <f t="shared" si="2"/>
        <v>0</v>
      </c>
      <c r="J118" s="581">
        <f t="shared" si="3"/>
        <v>0.75</v>
      </c>
      <c r="N118" s="618"/>
    </row>
    <row r="119" spans="1:14" x14ac:dyDescent="0.2">
      <c r="A119" s="573" t="s">
        <v>185</v>
      </c>
      <c r="B119" s="575">
        <v>42540</v>
      </c>
      <c r="C119" s="573" t="s">
        <v>5</v>
      </c>
      <c r="D119" s="573" t="s">
        <v>174</v>
      </c>
      <c r="E119" s="574">
        <v>0.6875</v>
      </c>
      <c r="F119" s="574">
        <v>0.84375</v>
      </c>
      <c r="G119" s="574">
        <v>0.6875</v>
      </c>
      <c r="H119" s="574">
        <v>0.16666666666666666</v>
      </c>
      <c r="I119" s="579">
        <f t="shared" si="2"/>
        <v>0</v>
      </c>
      <c r="J119" s="581">
        <f t="shared" si="3"/>
        <v>7.75</v>
      </c>
      <c r="N119" s="618"/>
    </row>
    <row r="120" spans="1:14" x14ac:dyDescent="0.2">
      <c r="A120" s="573" t="s">
        <v>185</v>
      </c>
      <c r="B120" s="575">
        <v>42544</v>
      </c>
      <c r="C120" s="573" t="s">
        <v>118</v>
      </c>
      <c r="D120" s="573" t="s">
        <v>199</v>
      </c>
      <c r="E120" s="574">
        <v>0.64583333333333337</v>
      </c>
      <c r="F120" s="574">
        <v>0.82291666666666663</v>
      </c>
      <c r="I120" s="579">
        <f t="shared" si="2"/>
        <v>-9999</v>
      </c>
      <c r="J120" s="581">
        <f t="shared" si="3"/>
        <v>-9999</v>
      </c>
      <c r="N120" s="618"/>
    </row>
    <row r="121" spans="1:14" x14ac:dyDescent="0.2">
      <c r="A121" s="573" t="s">
        <v>185</v>
      </c>
      <c r="B121" s="575">
        <v>42545</v>
      </c>
      <c r="C121" s="573" t="s">
        <v>118</v>
      </c>
      <c r="D121" s="573" t="s">
        <v>199</v>
      </c>
      <c r="E121" s="574">
        <v>0.65625</v>
      </c>
      <c r="F121" s="574">
        <v>0.94791666666666663</v>
      </c>
      <c r="I121" s="579">
        <f t="shared" si="2"/>
        <v>-9999</v>
      </c>
      <c r="J121" s="581">
        <f t="shared" si="3"/>
        <v>-9999</v>
      </c>
      <c r="N121" s="618"/>
    </row>
    <row r="122" spans="1:14" x14ac:dyDescent="0.2">
      <c r="A122" s="573" t="s">
        <v>185</v>
      </c>
      <c r="B122" s="575">
        <v>42546</v>
      </c>
      <c r="C122" s="573" t="s">
        <v>118</v>
      </c>
      <c r="D122" s="573" t="s">
        <v>199</v>
      </c>
      <c r="E122" s="574">
        <v>0.61458333333333337</v>
      </c>
      <c r="F122" s="574">
        <v>0.71875</v>
      </c>
      <c r="I122" s="579">
        <f t="shared" si="2"/>
        <v>-9999</v>
      </c>
      <c r="J122" s="581">
        <f t="shared" si="3"/>
        <v>-9999</v>
      </c>
      <c r="N122" s="618"/>
    </row>
    <row r="123" spans="1:14" x14ac:dyDescent="0.2">
      <c r="A123" s="573" t="s">
        <v>185</v>
      </c>
      <c r="B123" s="575">
        <v>42548</v>
      </c>
      <c r="C123" s="573" t="s">
        <v>5</v>
      </c>
      <c r="D123" s="573" t="s">
        <v>174</v>
      </c>
      <c r="E123" s="574">
        <v>0.46875</v>
      </c>
      <c r="F123" s="574">
        <v>0.64583333333333337</v>
      </c>
      <c r="G123" s="574">
        <v>0.47916666666666663</v>
      </c>
      <c r="H123" s="574">
        <v>0.64583333333333326</v>
      </c>
      <c r="I123" s="579">
        <f t="shared" si="2"/>
        <v>0.25</v>
      </c>
      <c r="J123" s="581">
        <f t="shared" si="3"/>
        <v>0</v>
      </c>
      <c r="N123" s="618"/>
    </row>
    <row r="124" spans="1:14" x14ac:dyDescent="0.2">
      <c r="A124" s="573" t="s">
        <v>185</v>
      </c>
      <c r="B124" s="575">
        <v>42550</v>
      </c>
      <c r="C124" s="573" t="s">
        <v>5</v>
      </c>
      <c r="D124" s="573" t="s">
        <v>174</v>
      </c>
      <c r="E124" s="574">
        <v>0.46875</v>
      </c>
      <c r="F124" s="574">
        <v>0.60416666666666663</v>
      </c>
      <c r="G124" s="574">
        <v>0.46875</v>
      </c>
      <c r="H124" s="574">
        <v>0.58333333333333326</v>
      </c>
      <c r="I124" s="579">
        <f t="shared" si="2"/>
        <v>0</v>
      </c>
      <c r="J124" s="581">
        <f t="shared" si="3"/>
        <v>0.5</v>
      </c>
      <c r="N124" s="618"/>
    </row>
    <row r="125" spans="1:14" x14ac:dyDescent="0.2">
      <c r="A125" s="573" t="s">
        <v>220</v>
      </c>
      <c r="B125" s="575">
        <v>42542</v>
      </c>
      <c r="C125" s="573" t="s">
        <v>118</v>
      </c>
      <c r="D125" s="573" t="s">
        <v>199</v>
      </c>
      <c r="E125" s="574">
        <v>0.69791666666666663</v>
      </c>
      <c r="F125" s="574">
        <v>0.83333333333333337</v>
      </c>
      <c r="I125" s="579">
        <f t="shared" si="2"/>
        <v>-9999</v>
      </c>
      <c r="J125" s="581">
        <f t="shared" si="3"/>
        <v>-9999</v>
      </c>
      <c r="N125" s="618"/>
    </row>
    <row r="126" spans="1:14" x14ac:dyDescent="0.2">
      <c r="A126" s="573" t="s">
        <v>220</v>
      </c>
      <c r="B126" s="575">
        <v>42543</v>
      </c>
      <c r="C126" s="573" t="s">
        <v>24</v>
      </c>
      <c r="D126" s="573" t="s">
        <v>171</v>
      </c>
      <c r="E126" s="574">
        <v>0.72916666666666663</v>
      </c>
      <c r="F126" s="574">
        <v>0.91666666666666663</v>
      </c>
      <c r="G126" s="574">
        <v>0.89583333333333326</v>
      </c>
      <c r="H126" s="574">
        <v>0.92708333333333326</v>
      </c>
      <c r="I126" s="579">
        <f t="shared" si="2"/>
        <v>4</v>
      </c>
      <c r="J126" s="581">
        <f t="shared" si="3"/>
        <v>0.25</v>
      </c>
      <c r="N126" s="618"/>
    </row>
    <row r="127" spans="1:14" x14ac:dyDescent="0.2">
      <c r="A127" s="573" t="s">
        <v>220</v>
      </c>
      <c r="B127" s="575">
        <v>42544</v>
      </c>
      <c r="C127" s="573" t="s">
        <v>24</v>
      </c>
      <c r="D127" s="573" t="s">
        <v>171</v>
      </c>
      <c r="E127" s="574">
        <v>0.69791666666666663</v>
      </c>
      <c r="F127" s="574">
        <v>0</v>
      </c>
      <c r="G127" s="574">
        <v>0.69791666666666663</v>
      </c>
      <c r="H127" s="574">
        <v>0.98958333333333326</v>
      </c>
      <c r="I127" s="579">
        <f t="shared" si="2"/>
        <v>0</v>
      </c>
      <c r="J127" s="581">
        <f t="shared" si="3"/>
        <v>0.25</v>
      </c>
      <c r="N127" s="618"/>
    </row>
    <row r="128" spans="1:14" x14ac:dyDescent="0.2">
      <c r="A128" s="573" t="s">
        <v>220</v>
      </c>
      <c r="B128" s="575">
        <v>42545</v>
      </c>
      <c r="C128" s="573" t="s">
        <v>24</v>
      </c>
      <c r="D128" s="573" t="s">
        <v>171</v>
      </c>
      <c r="E128" s="574">
        <v>0.69791666666666663</v>
      </c>
      <c r="F128" s="574">
        <v>0.84375</v>
      </c>
      <c r="G128" s="574">
        <v>0.69791666666666663</v>
      </c>
      <c r="H128" s="574">
        <v>0.84375</v>
      </c>
      <c r="I128" s="579">
        <f t="shared" si="2"/>
        <v>0</v>
      </c>
      <c r="J128" s="581">
        <f t="shared" si="3"/>
        <v>0</v>
      </c>
      <c r="N128" s="618"/>
    </row>
    <row r="129" spans="1:14" x14ac:dyDescent="0.2">
      <c r="A129" s="573" t="s">
        <v>220</v>
      </c>
      <c r="B129" s="575">
        <v>42546</v>
      </c>
      <c r="C129" s="573" t="s">
        <v>5</v>
      </c>
      <c r="D129" s="573" t="s">
        <v>174</v>
      </c>
      <c r="E129" s="574">
        <v>0.6875</v>
      </c>
      <c r="F129" s="574">
        <v>0.85416666666666663</v>
      </c>
      <c r="G129" s="574">
        <v>0.69791666666666663</v>
      </c>
      <c r="H129" s="574">
        <v>0.86458333333333326</v>
      </c>
      <c r="I129" s="579">
        <f t="shared" si="2"/>
        <v>0.25</v>
      </c>
      <c r="J129" s="581">
        <f t="shared" si="3"/>
        <v>0.25</v>
      </c>
      <c r="N129" s="618"/>
    </row>
    <row r="130" spans="1:14" x14ac:dyDescent="0.2">
      <c r="A130" s="573" t="s">
        <v>220</v>
      </c>
      <c r="B130" s="575">
        <v>42551</v>
      </c>
      <c r="C130" s="573" t="s">
        <v>5</v>
      </c>
      <c r="D130" s="573" t="s">
        <v>174</v>
      </c>
      <c r="E130" s="574">
        <v>0.6875</v>
      </c>
      <c r="F130" s="574">
        <v>0.875</v>
      </c>
      <c r="G130" s="574">
        <v>0.6875</v>
      </c>
      <c r="H130" s="574">
        <v>0.8125</v>
      </c>
      <c r="I130" s="579">
        <f t="shared" ref="I130:I193" si="4">IF(G130="",-9999,ABS(ROUND((IF(E130&lt;0.25,E130+1,E130)-IF(G130&lt;0.25,G130+1,G130))*24,2)))</f>
        <v>0</v>
      </c>
      <c r="J130" s="581">
        <f t="shared" ref="J130:J193" si="5">IF(H130="",-9999,ABS(ROUND((IF(F130&lt;0.25,F130+1,F130)-IF(H130&lt;0.25,H130+1,H130))*24,2)))</f>
        <v>1.5</v>
      </c>
      <c r="N130" s="618"/>
    </row>
    <row r="131" spans="1:14" x14ac:dyDescent="0.2">
      <c r="A131" s="573" t="s">
        <v>240</v>
      </c>
      <c r="B131" s="575">
        <v>42546</v>
      </c>
      <c r="C131" s="573" t="s">
        <v>77</v>
      </c>
      <c r="D131" s="573" t="s">
        <v>238</v>
      </c>
      <c r="E131" s="574">
        <v>0.44791666666666669</v>
      </c>
      <c r="F131" s="574">
        <v>0.79166666666666663</v>
      </c>
      <c r="I131" s="579">
        <f t="shared" si="4"/>
        <v>-9999</v>
      </c>
      <c r="J131" s="581">
        <f t="shared" si="5"/>
        <v>-9999</v>
      </c>
      <c r="N131" s="618"/>
    </row>
    <row r="132" spans="1:14" x14ac:dyDescent="0.2">
      <c r="A132" s="573" t="s">
        <v>240</v>
      </c>
      <c r="B132" s="575">
        <v>42547</v>
      </c>
      <c r="C132" s="573" t="s">
        <v>77</v>
      </c>
      <c r="D132" s="573" t="s">
        <v>238</v>
      </c>
      <c r="E132" s="574">
        <v>0.72916666666666663</v>
      </c>
      <c r="F132" s="574">
        <v>0.79166666666666663</v>
      </c>
      <c r="I132" s="579">
        <f t="shared" si="4"/>
        <v>-9999</v>
      </c>
      <c r="J132" s="581">
        <f t="shared" si="5"/>
        <v>-9999</v>
      </c>
      <c r="N132" s="618"/>
    </row>
    <row r="133" spans="1:14" x14ac:dyDescent="0.2">
      <c r="A133" s="573" t="s">
        <v>240</v>
      </c>
      <c r="B133" s="575">
        <v>42548</v>
      </c>
      <c r="C133" s="573" t="s">
        <v>77</v>
      </c>
      <c r="D133" s="573" t="s">
        <v>238</v>
      </c>
      <c r="E133" s="574">
        <v>0.89583333333333337</v>
      </c>
      <c r="F133" s="574">
        <v>0.97916666666666663</v>
      </c>
      <c r="I133" s="579">
        <f t="shared" si="4"/>
        <v>-9999</v>
      </c>
      <c r="J133" s="581">
        <f t="shared" si="5"/>
        <v>-9999</v>
      </c>
      <c r="N133" s="618"/>
    </row>
    <row r="134" spans="1:14" x14ac:dyDescent="0.2">
      <c r="A134" s="573" t="s">
        <v>240</v>
      </c>
      <c r="B134" s="575">
        <v>42549</v>
      </c>
      <c r="C134" s="573" t="s">
        <v>77</v>
      </c>
      <c r="D134" s="573" t="s">
        <v>238</v>
      </c>
      <c r="E134" s="574">
        <v>0.1875</v>
      </c>
      <c r="F134" s="574">
        <v>0.26874999999999999</v>
      </c>
      <c r="I134" s="579">
        <f t="shared" si="4"/>
        <v>-9999</v>
      </c>
      <c r="J134" s="581">
        <f t="shared" si="5"/>
        <v>-9999</v>
      </c>
      <c r="N134" s="618"/>
    </row>
    <row r="135" spans="1:14" x14ac:dyDescent="0.2">
      <c r="A135" s="573" t="s">
        <v>240</v>
      </c>
      <c r="B135" s="575">
        <v>42549</v>
      </c>
      <c r="C135" s="573" t="s">
        <v>77</v>
      </c>
      <c r="D135" s="573" t="s">
        <v>238</v>
      </c>
      <c r="E135" s="574">
        <v>0.75</v>
      </c>
      <c r="F135" s="574">
        <v>4.1666666666666664E-2</v>
      </c>
      <c r="I135" s="579">
        <f t="shared" si="4"/>
        <v>-9999</v>
      </c>
      <c r="J135" s="581">
        <f t="shared" si="5"/>
        <v>-9999</v>
      </c>
      <c r="N135" s="618"/>
    </row>
    <row r="136" spans="1:14" x14ac:dyDescent="0.2">
      <c r="A136" s="573" t="s">
        <v>212</v>
      </c>
      <c r="B136" s="575">
        <v>42540</v>
      </c>
      <c r="C136" s="573" t="s">
        <v>24</v>
      </c>
      <c r="D136" s="573" t="s">
        <v>203</v>
      </c>
      <c r="E136" s="574">
        <v>0.625</v>
      </c>
      <c r="F136" s="574">
        <v>0.83333333333333337</v>
      </c>
      <c r="I136" s="579">
        <f t="shared" si="4"/>
        <v>-9999</v>
      </c>
      <c r="J136" s="581">
        <f t="shared" si="5"/>
        <v>-9999</v>
      </c>
      <c r="N136" s="618"/>
    </row>
    <row r="137" spans="1:14" x14ac:dyDescent="0.2">
      <c r="A137" s="573" t="s">
        <v>212</v>
      </c>
      <c r="B137" s="575">
        <v>42545</v>
      </c>
      <c r="C137" s="573" t="s">
        <v>118</v>
      </c>
      <c r="D137" s="573" t="s">
        <v>199</v>
      </c>
      <c r="E137" s="574">
        <v>0.59375</v>
      </c>
      <c r="F137" s="574">
        <v>0.92708333333333337</v>
      </c>
      <c r="I137" s="579">
        <f t="shared" si="4"/>
        <v>-9999</v>
      </c>
      <c r="J137" s="581">
        <f t="shared" si="5"/>
        <v>-9999</v>
      </c>
      <c r="N137" s="618"/>
    </row>
    <row r="138" spans="1:14" x14ac:dyDescent="0.2">
      <c r="A138" s="573" t="s">
        <v>180</v>
      </c>
      <c r="B138" s="575">
        <v>42537</v>
      </c>
      <c r="C138" s="573" t="s">
        <v>24</v>
      </c>
      <c r="D138" s="573" t="s">
        <v>171</v>
      </c>
      <c r="E138" s="574">
        <v>0.4375</v>
      </c>
      <c r="F138" s="574">
        <v>0.625</v>
      </c>
      <c r="G138" s="574">
        <v>0.4375</v>
      </c>
      <c r="H138" s="574">
        <v>0.61458333333333326</v>
      </c>
      <c r="I138" s="579">
        <f t="shared" si="4"/>
        <v>0</v>
      </c>
      <c r="J138" s="581">
        <f t="shared" si="5"/>
        <v>0.25</v>
      </c>
      <c r="N138" s="618"/>
    </row>
    <row r="139" spans="1:14" x14ac:dyDescent="0.2">
      <c r="A139" s="573" t="s">
        <v>180</v>
      </c>
      <c r="B139" s="575">
        <v>42538</v>
      </c>
      <c r="C139" s="573" t="s">
        <v>5</v>
      </c>
      <c r="D139" s="573" t="s">
        <v>174</v>
      </c>
      <c r="E139" s="574">
        <v>0.71875</v>
      </c>
      <c r="F139" s="574">
        <v>0.84375</v>
      </c>
      <c r="G139" s="574">
        <v>0.71875</v>
      </c>
      <c r="H139" s="574">
        <v>0.84375</v>
      </c>
      <c r="I139" s="579">
        <f t="shared" si="4"/>
        <v>0</v>
      </c>
      <c r="J139" s="581">
        <f t="shared" si="5"/>
        <v>0</v>
      </c>
      <c r="N139" s="618"/>
    </row>
    <row r="140" spans="1:14" x14ac:dyDescent="0.2">
      <c r="A140" s="573" t="s">
        <v>180</v>
      </c>
      <c r="B140" s="575">
        <v>42539</v>
      </c>
      <c r="C140" s="573" t="s">
        <v>118</v>
      </c>
      <c r="D140" s="573" t="s">
        <v>197</v>
      </c>
      <c r="E140" s="574">
        <v>0.375</v>
      </c>
      <c r="F140" s="574">
        <v>0.59375</v>
      </c>
      <c r="I140" s="579">
        <f t="shared" si="4"/>
        <v>-9999</v>
      </c>
      <c r="J140" s="581">
        <f t="shared" si="5"/>
        <v>-9999</v>
      </c>
      <c r="N140" s="618"/>
    </row>
    <row r="141" spans="1:14" x14ac:dyDescent="0.2">
      <c r="A141" s="573" t="s">
        <v>180</v>
      </c>
      <c r="B141" s="575">
        <v>42539</v>
      </c>
      <c r="C141" s="573" t="s">
        <v>118</v>
      </c>
      <c r="D141" s="573" t="s">
        <v>199</v>
      </c>
      <c r="E141" s="574">
        <v>0.72916666666666663</v>
      </c>
      <c r="F141" s="574">
        <v>0.96875</v>
      </c>
      <c r="I141" s="579">
        <f t="shared" si="4"/>
        <v>-9999</v>
      </c>
      <c r="J141" s="581">
        <f t="shared" si="5"/>
        <v>-9999</v>
      </c>
      <c r="N141" s="618"/>
    </row>
    <row r="142" spans="1:14" x14ac:dyDescent="0.2">
      <c r="A142" s="573" t="s">
        <v>180</v>
      </c>
      <c r="B142" s="575">
        <v>42542</v>
      </c>
      <c r="C142" s="573" t="s">
        <v>118</v>
      </c>
      <c r="D142" s="573" t="s">
        <v>197</v>
      </c>
      <c r="E142" s="574">
        <v>0.6875</v>
      </c>
      <c r="F142" s="574">
        <v>0.83333333333333337</v>
      </c>
      <c r="I142" s="579">
        <f t="shared" si="4"/>
        <v>-9999</v>
      </c>
      <c r="J142" s="581">
        <f t="shared" si="5"/>
        <v>-9999</v>
      </c>
      <c r="N142" s="618"/>
    </row>
    <row r="143" spans="1:14" x14ac:dyDescent="0.2">
      <c r="A143" s="573" t="s">
        <v>180</v>
      </c>
      <c r="B143" s="575">
        <v>42543</v>
      </c>
      <c r="C143" s="573" t="s">
        <v>118</v>
      </c>
      <c r="D143" s="573" t="s">
        <v>197</v>
      </c>
      <c r="E143" s="574">
        <v>0.6875</v>
      </c>
      <c r="F143" s="574">
        <v>0.80208333333333337</v>
      </c>
      <c r="I143" s="579">
        <f t="shared" si="4"/>
        <v>-9999</v>
      </c>
      <c r="J143" s="581">
        <f t="shared" si="5"/>
        <v>-9999</v>
      </c>
      <c r="N143" s="618"/>
    </row>
    <row r="144" spans="1:14" x14ac:dyDescent="0.2">
      <c r="A144" s="573" t="s">
        <v>180</v>
      </c>
      <c r="B144" s="575">
        <v>42544</v>
      </c>
      <c r="C144" s="573" t="s">
        <v>118</v>
      </c>
      <c r="D144" s="573" t="s">
        <v>197</v>
      </c>
      <c r="E144" s="574">
        <v>0.625</v>
      </c>
      <c r="F144" s="574">
        <v>0.8125</v>
      </c>
      <c r="I144" s="579">
        <f t="shared" si="4"/>
        <v>-9999</v>
      </c>
      <c r="J144" s="581">
        <f t="shared" si="5"/>
        <v>-9999</v>
      </c>
      <c r="N144" s="618"/>
    </row>
    <row r="145" spans="1:14" x14ac:dyDescent="0.2">
      <c r="A145" s="573" t="s">
        <v>180</v>
      </c>
      <c r="B145" s="575">
        <v>42545</v>
      </c>
      <c r="C145" s="573" t="s">
        <v>118</v>
      </c>
      <c r="D145" s="573" t="s">
        <v>199</v>
      </c>
      <c r="E145" s="574">
        <v>0.58333333333333337</v>
      </c>
      <c r="F145" s="574">
        <v>0.9375</v>
      </c>
      <c r="I145" s="579">
        <f t="shared" si="4"/>
        <v>-9999</v>
      </c>
      <c r="J145" s="581">
        <f t="shared" si="5"/>
        <v>-9999</v>
      </c>
      <c r="N145" s="618"/>
    </row>
    <row r="146" spans="1:14" x14ac:dyDescent="0.2">
      <c r="A146" s="573" t="s">
        <v>180</v>
      </c>
      <c r="B146" s="575">
        <v>42546</v>
      </c>
      <c r="C146" s="573" t="s">
        <v>118</v>
      </c>
      <c r="D146" s="573" t="s">
        <v>199</v>
      </c>
      <c r="E146" s="574">
        <v>0.5625</v>
      </c>
      <c r="F146" s="574">
        <v>0</v>
      </c>
      <c r="I146" s="579">
        <f t="shared" si="4"/>
        <v>-9999</v>
      </c>
      <c r="J146" s="581">
        <f t="shared" si="5"/>
        <v>-9999</v>
      </c>
      <c r="N146" s="618"/>
    </row>
    <row r="147" spans="1:14" x14ac:dyDescent="0.2">
      <c r="A147" s="573" t="s">
        <v>180</v>
      </c>
      <c r="B147" s="575">
        <v>42547</v>
      </c>
      <c r="C147" s="573" t="s">
        <v>118</v>
      </c>
      <c r="D147" s="573" t="s">
        <v>197</v>
      </c>
      <c r="E147" s="574">
        <v>0.70833333333333337</v>
      </c>
      <c r="F147" s="574">
        <v>2.0833333333333332E-2</v>
      </c>
      <c r="I147" s="579">
        <f t="shared" si="4"/>
        <v>-9999</v>
      </c>
      <c r="J147" s="581">
        <f t="shared" si="5"/>
        <v>-9999</v>
      </c>
      <c r="N147" s="618"/>
    </row>
    <row r="148" spans="1:14" x14ac:dyDescent="0.2">
      <c r="A148" s="573" t="s">
        <v>180</v>
      </c>
      <c r="B148" s="575">
        <v>42548</v>
      </c>
      <c r="C148" s="573" t="s">
        <v>24</v>
      </c>
      <c r="D148" s="573" t="s">
        <v>171</v>
      </c>
      <c r="E148" s="574">
        <v>0.46875</v>
      </c>
      <c r="F148" s="574">
        <v>0.61458333333333337</v>
      </c>
      <c r="G148" s="574">
        <v>0.46875</v>
      </c>
      <c r="H148" s="574">
        <v>0.60416666666666663</v>
      </c>
      <c r="I148" s="579">
        <f t="shared" si="4"/>
        <v>0</v>
      </c>
      <c r="J148" s="581">
        <f t="shared" si="5"/>
        <v>0.25</v>
      </c>
      <c r="N148" s="618"/>
    </row>
    <row r="149" spans="1:14" x14ac:dyDescent="0.2">
      <c r="A149" s="573" t="s">
        <v>180</v>
      </c>
      <c r="B149" s="575">
        <v>42550</v>
      </c>
      <c r="C149" s="573" t="s">
        <v>118</v>
      </c>
      <c r="D149" s="573" t="s">
        <v>197</v>
      </c>
      <c r="E149" s="574">
        <v>0.69791666666666663</v>
      </c>
      <c r="F149" s="574">
        <v>0.82291666666666663</v>
      </c>
      <c r="I149" s="579">
        <f t="shared" si="4"/>
        <v>-9999</v>
      </c>
      <c r="J149" s="581">
        <f t="shared" si="5"/>
        <v>-9999</v>
      </c>
      <c r="N149" s="618"/>
    </row>
    <row r="150" spans="1:14" x14ac:dyDescent="0.2">
      <c r="A150" s="573" t="s">
        <v>227</v>
      </c>
      <c r="B150" s="575">
        <v>42539</v>
      </c>
      <c r="C150" s="573" t="s">
        <v>24</v>
      </c>
      <c r="D150" s="573" t="s">
        <v>203</v>
      </c>
      <c r="E150" s="574">
        <v>0.625</v>
      </c>
      <c r="F150" s="574">
        <v>0.79166666666666663</v>
      </c>
      <c r="I150" s="579">
        <f t="shared" si="4"/>
        <v>-9999</v>
      </c>
      <c r="J150" s="581">
        <f t="shared" si="5"/>
        <v>-9999</v>
      </c>
      <c r="N150" s="618"/>
    </row>
    <row r="151" spans="1:14" x14ac:dyDescent="0.2">
      <c r="A151" s="573" t="s">
        <v>227</v>
      </c>
      <c r="B151" s="575">
        <v>42542</v>
      </c>
      <c r="C151" s="573" t="s">
        <v>118</v>
      </c>
      <c r="D151" s="573" t="s">
        <v>199</v>
      </c>
      <c r="E151" s="574">
        <v>0.69791666666666663</v>
      </c>
      <c r="F151" s="574">
        <v>0.82291666666666663</v>
      </c>
      <c r="I151" s="579">
        <f t="shared" si="4"/>
        <v>-9999</v>
      </c>
      <c r="J151" s="581">
        <f t="shared" si="5"/>
        <v>-9999</v>
      </c>
      <c r="N151" s="618"/>
    </row>
    <row r="152" spans="1:14" x14ac:dyDescent="0.2">
      <c r="A152" s="573" t="s">
        <v>227</v>
      </c>
      <c r="B152" s="575">
        <v>42545</v>
      </c>
      <c r="C152" s="573" t="s">
        <v>24</v>
      </c>
      <c r="D152" s="573" t="s">
        <v>171</v>
      </c>
      <c r="E152" s="574">
        <v>0.46875</v>
      </c>
      <c r="F152" s="574">
        <v>0.64583333333333337</v>
      </c>
      <c r="G152" s="574">
        <v>0.47916666666666663</v>
      </c>
      <c r="H152" s="574">
        <v>0.63541666666666663</v>
      </c>
      <c r="I152" s="579">
        <f t="shared" si="4"/>
        <v>0.25</v>
      </c>
      <c r="J152" s="581">
        <f t="shared" si="5"/>
        <v>0.25</v>
      </c>
      <c r="N152" s="618"/>
    </row>
    <row r="153" spans="1:14" x14ac:dyDescent="0.2">
      <c r="A153" s="573" t="s">
        <v>227</v>
      </c>
      <c r="B153" s="575">
        <v>42546</v>
      </c>
      <c r="C153" s="573" t="s">
        <v>24</v>
      </c>
      <c r="D153" s="573" t="s">
        <v>203</v>
      </c>
      <c r="E153" s="574">
        <v>0.65625</v>
      </c>
      <c r="F153" s="574">
        <v>0.82291666666666663</v>
      </c>
      <c r="G153" s="574">
        <v>0.65625</v>
      </c>
      <c r="H153" s="574">
        <v>0.82291666666666663</v>
      </c>
      <c r="I153" s="579">
        <f t="shared" si="4"/>
        <v>0</v>
      </c>
      <c r="J153" s="581">
        <f t="shared" si="5"/>
        <v>0</v>
      </c>
      <c r="N153" s="618"/>
    </row>
    <row r="154" spans="1:14" x14ac:dyDescent="0.2">
      <c r="A154" s="573" t="s">
        <v>227</v>
      </c>
      <c r="B154" s="575">
        <v>42548</v>
      </c>
      <c r="C154" s="573" t="s">
        <v>5</v>
      </c>
      <c r="D154" s="573" t="s">
        <v>174</v>
      </c>
      <c r="E154" s="574">
        <v>0.6875</v>
      </c>
      <c r="F154" s="574">
        <v>0.83333333333333337</v>
      </c>
      <c r="G154" s="574">
        <v>0.71875</v>
      </c>
      <c r="H154" s="574">
        <v>0.83333333333333326</v>
      </c>
      <c r="I154" s="579">
        <f t="shared" si="4"/>
        <v>0.75</v>
      </c>
      <c r="J154" s="581">
        <f t="shared" si="5"/>
        <v>0</v>
      </c>
      <c r="N154" s="618"/>
    </row>
    <row r="155" spans="1:14" x14ac:dyDescent="0.2">
      <c r="A155" s="573" t="s">
        <v>233</v>
      </c>
      <c r="B155" s="575">
        <v>42539</v>
      </c>
      <c r="C155" s="573" t="s">
        <v>118</v>
      </c>
      <c r="D155" s="573" t="s">
        <v>229</v>
      </c>
      <c r="E155" s="574">
        <v>0.44791666666666669</v>
      </c>
      <c r="F155" s="574">
        <v>0.52083333333333337</v>
      </c>
      <c r="I155" s="579">
        <f t="shared" si="4"/>
        <v>-9999</v>
      </c>
      <c r="J155" s="581">
        <f t="shared" si="5"/>
        <v>-9999</v>
      </c>
      <c r="N155" s="618"/>
    </row>
    <row r="156" spans="1:14" x14ac:dyDescent="0.2">
      <c r="A156" s="573" t="s">
        <v>215</v>
      </c>
      <c r="B156" s="575">
        <v>42542</v>
      </c>
      <c r="C156" s="573" t="s">
        <v>5</v>
      </c>
      <c r="D156" s="573" t="s">
        <v>174</v>
      </c>
      <c r="E156" s="574">
        <v>0.6875</v>
      </c>
      <c r="F156" s="574">
        <v>0.84375</v>
      </c>
      <c r="G156" s="574">
        <v>0.6875</v>
      </c>
      <c r="H156" s="574">
        <v>0.84375</v>
      </c>
      <c r="I156" s="579">
        <f t="shared" si="4"/>
        <v>0</v>
      </c>
      <c r="J156" s="581">
        <f t="shared" si="5"/>
        <v>0</v>
      </c>
      <c r="N156" s="618"/>
    </row>
    <row r="157" spans="1:14" x14ac:dyDescent="0.2">
      <c r="A157" s="573" t="s">
        <v>215</v>
      </c>
      <c r="B157" s="575">
        <v>42544</v>
      </c>
      <c r="C157" s="573" t="s">
        <v>118</v>
      </c>
      <c r="D157" s="573" t="s">
        <v>199</v>
      </c>
      <c r="E157" s="574">
        <v>0.64583333333333337</v>
      </c>
      <c r="F157" s="574">
        <v>0.97916666666666663</v>
      </c>
      <c r="I157" s="579">
        <f t="shared" si="4"/>
        <v>-9999</v>
      </c>
      <c r="J157" s="581">
        <f t="shared" si="5"/>
        <v>-9999</v>
      </c>
      <c r="N157" s="618"/>
    </row>
    <row r="158" spans="1:14" x14ac:dyDescent="0.2">
      <c r="A158" s="573" t="s">
        <v>215</v>
      </c>
      <c r="B158" s="575">
        <v>42546</v>
      </c>
      <c r="C158" s="573" t="s">
        <v>118</v>
      </c>
      <c r="D158" s="573" t="s">
        <v>199</v>
      </c>
      <c r="E158" s="574">
        <v>0.5625</v>
      </c>
      <c r="F158" s="574">
        <v>0</v>
      </c>
      <c r="I158" s="579">
        <f t="shared" si="4"/>
        <v>-9999</v>
      </c>
      <c r="J158" s="581">
        <f t="shared" si="5"/>
        <v>-9999</v>
      </c>
      <c r="N158" s="618"/>
    </row>
    <row r="159" spans="1:14" x14ac:dyDescent="0.2">
      <c r="A159" s="573" t="s">
        <v>215</v>
      </c>
      <c r="B159" s="575">
        <v>42547</v>
      </c>
      <c r="C159" s="573" t="s">
        <v>145</v>
      </c>
      <c r="D159" s="573" t="s">
        <v>173</v>
      </c>
      <c r="E159" s="574">
        <v>0.67708333333333337</v>
      </c>
      <c r="F159" s="574">
        <v>0.83333333333333337</v>
      </c>
      <c r="G159" s="574">
        <v>0.79166666666666663</v>
      </c>
      <c r="H159" s="574">
        <v>0.83333333333333326</v>
      </c>
      <c r="I159" s="579">
        <f t="shared" si="4"/>
        <v>2.75</v>
      </c>
      <c r="J159" s="581">
        <f t="shared" si="5"/>
        <v>0</v>
      </c>
      <c r="N159" s="618"/>
    </row>
    <row r="160" spans="1:14" x14ac:dyDescent="0.2">
      <c r="A160" s="573" t="s">
        <v>190</v>
      </c>
      <c r="B160" s="575">
        <v>42538</v>
      </c>
      <c r="C160" s="573" t="s">
        <v>77</v>
      </c>
      <c r="D160" s="573" t="s">
        <v>176</v>
      </c>
      <c r="E160" s="574">
        <v>0.9375</v>
      </c>
      <c r="F160" s="574">
        <v>0.125</v>
      </c>
      <c r="I160" s="579">
        <f t="shared" si="4"/>
        <v>-9999</v>
      </c>
      <c r="J160" s="581">
        <f t="shared" si="5"/>
        <v>-9999</v>
      </c>
      <c r="N160" s="618"/>
    </row>
    <row r="161" spans="1:14" x14ac:dyDescent="0.2">
      <c r="A161" s="573" t="s">
        <v>190</v>
      </c>
      <c r="B161" s="575">
        <v>42545</v>
      </c>
      <c r="C161" s="573" t="s">
        <v>77</v>
      </c>
      <c r="D161" s="573" t="s">
        <v>176</v>
      </c>
      <c r="E161" s="574">
        <v>0.9375</v>
      </c>
      <c r="F161" s="574">
        <v>0.11458333333333333</v>
      </c>
      <c r="I161" s="579">
        <f t="shared" si="4"/>
        <v>-9999</v>
      </c>
      <c r="J161" s="581">
        <f t="shared" si="5"/>
        <v>-9999</v>
      </c>
      <c r="N161" s="618"/>
    </row>
    <row r="162" spans="1:14" x14ac:dyDescent="0.2">
      <c r="A162" s="573" t="s">
        <v>190</v>
      </c>
      <c r="B162" s="575">
        <v>42546</v>
      </c>
      <c r="C162" s="573" t="s">
        <v>77</v>
      </c>
      <c r="D162" s="573" t="s">
        <v>176</v>
      </c>
      <c r="E162" s="574">
        <v>0.9375</v>
      </c>
      <c r="F162" s="574">
        <v>0.13541666666666666</v>
      </c>
      <c r="I162" s="579">
        <f t="shared" si="4"/>
        <v>-9999</v>
      </c>
      <c r="J162" s="581">
        <f t="shared" si="5"/>
        <v>-9999</v>
      </c>
      <c r="N162" s="618"/>
    </row>
    <row r="163" spans="1:14" x14ac:dyDescent="0.2">
      <c r="A163" s="573" t="s">
        <v>239</v>
      </c>
      <c r="B163" s="575">
        <v>42546</v>
      </c>
      <c r="C163" s="573" t="s">
        <v>118</v>
      </c>
      <c r="D163" s="573" t="s">
        <v>199</v>
      </c>
      <c r="E163" s="574">
        <v>0.30208333333333331</v>
      </c>
      <c r="F163" s="574">
        <v>2.0833333333333332E-2</v>
      </c>
      <c r="I163" s="579">
        <f t="shared" si="4"/>
        <v>-9999</v>
      </c>
      <c r="J163" s="581">
        <f t="shared" si="5"/>
        <v>-9999</v>
      </c>
      <c r="N163" s="618"/>
    </row>
    <row r="164" spans="1:14" x14ac:dyDescent="0.2">
      <c r="A164" s="573" t="s">
        <v>157</v>
      </c>
      <c r="B164" s="575">
        <v>42537</v>
      </c>
      <c r="C164" s="573" t="s">
        <v>50</v>
      </c>
      <c r="D164" s="573" t="s">
        <v>196</v>
      </c>
      <c r="E164" s="574">
        <v>0.45833333333333331</v>
      </c>
      <c r="F164" s="574">
        <v>0.58333333333333337</v>
      </c>
      <c r="I164" s="579">
        <f t="shared" si="4"/>
        <v>-9999</v>
      </c>
      <c r="J164" s="581">
        <f t="shared" si="5"/>
        <v>-9999</v>
      </c>
      <c r="N164" s="618"/>
    </row>
    <row r="165" spans="1:14" x14ac:dyDescent="0.2">
      <c r="A165" s="573" t="s">
        <v>157</v>
      </c>
      <c r="B165" s="575">
        <v>42538</v>
      </c>
      <c r="C165" s="573" t="s">
        <v>50</v>
      </c>
      <c r="D165" s="573" t="s">
        <v>196</v>
      </c>
      <c r="E165" s="574">
        <v>0.46875</v>
      </c>
      <c r="F165" s="574">
        <v>0.55208333333333337</v>
      </c>
      <c r="I165" s="579">
        <f t="shared" si="4"/>
        <v>-9999</v>
      </c>
      <c r="J165" s="581">
        <f t="shared" si="5"/>
        <v>-9999</v>
      </c>
      <c r="N165" s="618"/>
    </row>
    <row r="166" spans="1:14" x14ac:dyDescent="0.2">
      <c r="A166" s="573" t="s">
        <v>157</v>
      </c>
      <c r="B166" s="575">
        <v>42539</v>
      </c>
      <c r="C166" s="573" t="s">
        <v>118</v>
      </c>
      <c r="D166" s="573" t="s">
        <v>199</v>
      </c>
      <c r="E166" s="574">
        <v>0.35416666666666669</v>
      </c>
      <c r="F166" s="574">
        <v>0.88541666666666663</v>
      </c>
      <c r="I166" s="579">
        <f t="shared" si="4"/>
        <v>-9999</v>
      </c>
      <c r="J166" s="581">
        <f t="shared" si="5"/>
        <v>-9999</v>
      </c>
      <c r="N166" s="618"/>
    </row>
    <row r="167" spans="1:14" x14ac:dyDescent="0.2">
      <c r="A167" s="573" t="s">
        <v>157</v>
      </c>
      <c r="B167" s="575">
        <v>42541</v>
      </c>
      <c r="C167" s="573" t="s">
        <v>50</v>
      </c>
      <c r="D167" s="573" t="s">
        <v>196</v>
      </c>
      <c r="E167" s="574">
        <v>0.45833333333333331</v>
      </c>
      <c r="F167" s="574">
        <v>0.58333333333333337</v>
      </c>
      <c r="I167" s="579">
        <f t="shared" si="4"/>
        <v>-9999</v>
      </c>
      <c r="J167" s="581">
        <f t="shared" si="5"/>
        <v>-9999</v>
      </c>
      <c r="N167" s="618"/>
    </row>
    <row r="168" spans="1:14" x14ac:dyDescent="0.2">
      <c r="A168" s="573" t="s">
        <v>157</v>
      </c>
      <c r="B168" s="575">
        <v>42542</v>
      </c>
      <c r="C168" s="573" t="s">
        <v>50</v>
      </c>
      <c r="D168" s="573" t="s">
        <v>196</v>
      </c>
      <c r="E168" s="574">
        <v>0.45833333333333331</v>
      </c>
      <c r="F168" s="574">
        <v>0.58333333333333337</v>
      </c>
      <c r="I168" s="579">
        <f t="shared" si="4"/>
        <v>-9999</v>
      </c>
      <c r="J168" s="581">
        <f t="shared" si="5"/>
        <v>-9999</v>
      </c>
      <c r="N168" s="618"/>
    </row>
    <row r="169" spans="1:14" x14ac:dyDescent="0.2">
      <c r="A169" s="573" t="s">
        <v>157</v>
      </c>
      <c r="B169" s="575">
        <v>42543</v>
      </c>
      <c r="C169" s="573" t="s">
        <v>50</v>
      </c>
      <c r="D169" s="573" t="s">
        <v>196</v>
      </c>
      <c r="E169" s="574">
        <v>0.45833333333333331</v>
      </c>
      <c r="F169" s="574">
        <v>0.58333333333333337</v>
      </c>
      <c r="I169" s="579">
        <f t="shared" si="4"/>
        <v>-9999</v>
      </c>
      <c r="J169" s="581">
        <f t="shared" si="5"/>
        <v>-9999</v>
      </c>
      <c r="N169" s="618"/>
    </row>
    <row r="170" spans="1:14" x14ac:dyDescent="0.2">
      <c r="A170" s="573" t="s">
        <v>157</v>
      </c>
      <c r="B170" s="575">
        <v>42544</v>
      </c>
      <c r="C170" s="573" t="s">
        <v>118</v>
      </c>
      <c r="D170" s="573" t="s">
        <v>199</v>
      </c>
      <c r="E170" s="574">
        <v>0.64583333333333337</v>
      </c>
      <c r="F170" s="574">
        <v>0.97916666666666663</v>
      </c>
      <c r="I170" s="579">
        <f t="shared" si="4"/>
        <v>-9999</v>
      </c>
      <c r="J170" s="581">
        <f t="shared" si="5"/>
        <v>-9999</v>
      </c>
    </row>
    <row r="171" spans="1:14" x14ac:dyDescent="0.2">
      <c r="A171" s="573" t="s">
        <v>157</v>
      </c>
      <c r="B171" s="575">
        <v>42544</v>
      </c>
      <c r="C171" s="573" t="s">
        <v>50</v>
      </c>
      <c r="D171" s="573" t="s">
        <v>196</v>
      </c>
      <c r="E171" s="574">
        <v>0.45833333333333331</v>
      </c>
      <c r="F171" s="574">
        <v>0.625</v>
      </c>
      <c r="I171" s="579">
        <f t="shared" si="4"/>
        <v>-9999</v>
      </c>
      <c r="J171" s="581">
        <f t="shared" si="5"/>
        <v>-9999</v>
      </c>
    </row>
    <row r="172" spans="1:14" x14ac:dyDescent="0.2">
      <c r="A172" s="573" t="s">
        <v>157</v>
      </c>
      <c r="B172" s="575">
        <v>42545</v>
      </c>
      <c r="C172" s="573" t="s">
        <v>118</v>
      </c>
      <c r="D172" s="573" t="s">
        <v>199</v>
      </c>
      <c r="E172" s="574">
        <v>0.58333333333333337</v>
      </c>
      <c r="F172" s="574">
        <v>0.9375</v>
      </c>
      <c r="I172" s="579">
        <f t="shared" si="4"/>
        <v>-9999</v>
      </c>
      <c r="J172" s="581">
        <f t="shared" si="5"/>
        <v>-9999</v>
      </c>
    </row>
    <row r="173" spans="1:14" x14ac:dyDescent="0.2">
      <c r="A173" s="573" t="s">
        <v>157</v>
      </c>
      <c r="B173" s="575">
        <v>42545</v>
      </c>
      <c r="C173" s="573" t="s">
        <v>50</v>
      </c>
      <c r="D173" s="573" t="s">
        <v>196</v>
      </c>
      <c r="E173" s="574">
        <v>0.45833333333333331</v>
      </c>
      <c r="F173" s="574">
        <v>0.57291666666666663</v>
      </c>
      <c r="I173" s="579">
        <f t="shared" si="4"/>
        <v>-9999</v>
      </c>
      <c r="J173" s="581">
        <f t="shared" si="5"/>
        <v>-9999</v>
      </c>
    </row>
    <row r="174" spans="1:14" x14ac:dyDescent="0.2">
      <c r="A174" s="573" t="s">
        <v>157</v>
      </c>
      <c r="B174" s="575">
        <v>42548</v>
      </c>
      <c r="C174" s="573" t="s">
        <v>50</v>
      </c>
      <c r="D174" s="573" t="s">
        <v>196</v>
      </c>
      <c r="E174" s="574">
        <v>0.45833333333333331</v>
      </c>
      <c r="F174" s="574">
        <v>0.58333333333333337</v>
      </c>
      <c r="I174" s="579">
        <f t="shared" si="4"/>
        <v>-9999</v>
      </c>
      <c r="J174" s="581">
        <f t="shared" si="5"/>
        <v>-9999</v>
      </c>
    </row>
    <row r="175" spans="1:14" x14ac:dyDescent="0.2">
      <c r="A175" s="573" t="s">
        <v>157</v>
      </c>
      <c r="B175" s="575">
        <v>42549</v>
      </c>
      <c r="C175" s="573" t="s">
        <v>50</v>
      </c>
      <c r="D175" s="573" t="s">
        <v>196</v>
      </c>
      <c r="E175" s="574">
        <v>0.45833333333333331</v>
      </c>
      <c r="F175" s="574">
        <v>0.58333333333333337</v>
      </c>
      <c r="I175" s="579">
        <f t="shared" si="4"/>
        <v>-9999</v>
      </c>
      <c r="J175" s="581">
        <f t="shared" si="5"/>
        <v>-9999</v>
      </c>
    </row>
    <row r="176" spans="1:14" x14ac:dyDescent="0.2">
      <c r="A176" s="573" t="s">
        <v>157</v>
      </c>
      <c r="B176" s="575">
        <v>42550</v>
      </c>
      <c r="C176" s="573" t="s">
        <v>50</v>
      </c>
      <c r="D176" s="573" t="s">
        <v>196</v>
      </c>
      <c r="E176" s="574">
        <v>0.45833333333333331</v>
      </c>
      <c r="F176" s="574">
        <v>0.58333333333333337</v>
      </c>
      <c r="I176" s="579">
        <f t="shared" si="4"/>
        <v>-9999</v>
      </c>
      <c r="J176" s="581">
        <f t="shared" si="5"/>
        <v>-9999</v>
      </c>
    </row>
    <row r="177" spans="1:10" x14ac:dyDescent="0.2">
      <c r="A177" s="573" t="s">
        <v>157</v>
      </c>
      <c r="B177" s="575">
        <v>42551</v>
      </c>
      <c r="C177" s="573" t="s">
        <v>50</v>
      </c>
      <c r="D177" s="573" t="s">
        <v>196</v>
      </c>
      <c r="E177" s="574">
        <v>0.45833333333333331</v>
      </c>
      <c r="F177" s="574">
        <v>0.58333333333333337</v>
      </c>
      <c r="I177" s="579">
        <f t="shared" si="4"/>
        <v>-9999</v>
      </c>
      <c r="J177" s="581">
        <f t="shared" si="5"/>
        <v>-9999</v>
      </c>
    </row>
    <row r="178" spans="1:10" x14ac:dyDescent="0.2">
      <c r="A178" s="573" t="s">
        <v>211</v>
      </c>
      <c r="B178" s="575">
        <v>42539</v>
      </c>
      <c r="C178" s="573" t="s">
        <v>118</v>
      </c>
      <c r="D178" s="573" t="s">
        <v>199</v>
      </c>
      <c r="E178" s="574">
        <v>0.73958333333333337</v>
      </c>
      <c r="F178" s="574">
        <v>0.9375</v>
      </c>
      <c r="I178" s="579">
        <f t="shared" si="4"/>
        <v>-9999</v>
      </c>
      <c r="J178" s="581">
        <f t="shared" si="5"/>
        <v>-9999</v>
      </c>
    </row>
    <row r="179" spans="1:10" x14ac:dyDescent="0.2">
      <c r="A179" s="573" t="s">
        <v>187</v>
      </c>
      <c r="B179" s="575">
        <v>42538</v>
      </c>
      <c r="C179" s="573" t="s">
        <v>24</v>
      </c>
      <c r="D179" s="573" t="s">
        <v>171</v>
      </c>
      <c r="E179" s="574">
        <v>0.6875</v>
      </c>
      <c r="F179" s="574">
        <v>3.125E-2</v>
      </c>
      <c r="G179" s="574">
        <v>0.6875</v>
      </c>
      <c r="H179" s="574">
        <v>2.0833333333333332E-2</v>
      </c>
      <c r="I179" s="579">
        <f t="shared" si="4"/>
        <v>0</v>
      </c>
      <c r="J179" s="581">
        <f t="shared" si="5"/>
        <v>0.25</v>
      </c>
    </row>
    <row r="180" spans="1:10" x14ac:dyDescent="0.2">
      <c r="A180" s="573" t="s">
        <v>187</v>
      </c>
      <c r="B180" s="575">
        <v>42539</v>
      </c>
      <c r="C180" s="573" t="s">
        <v>118</v>
      </c>
      <c r="D180" s="573" t="s">
        <v>197</v>
      </c>
      <c r="E180" s="574">
        <v>0.35416666666666669</v>
      </c>
      <c r="F180" s="574">
        <v>0.88541666666666663</v>
      </c>
      <c r="I180" s="579">
        <f t="shared" si="4"/>
        <v>-9999</v>
      </c>
      <c r="J180" s="581">
        <f t="shared" si="5"/>
        <v>-9999</v>
      </c>
    </row>
    <row r="181" spans="1:10" x14ac:dyDescent="0.2">
      <c r="A181" s="573" t="s">
        <v>187</v>
      </c>
      <c r="B181" s="575">
        <v>42540</v>
      </c>
      <c r="C181" s="573" t="s">
        <v>5</v>
      </c>
      <c r="D181" s="573" t="s">
        <v>174</v>
      </c>
      <c r="E181" s="574">
        <v>0.47916666666666669</v>
      </c>
      <c r="F181" s="574">
        <v>0.6875</v>
      </c>
      <c r="G181" s="574">
        <v>0.52083333333333326</v>
      </c>
      <c r="H181" s="574">
        <v>0.82291666666666663</v>
      </c>
      <c r="I181" s="579">
        <f t="shared" si="4"/>
        <v>1</v>
      </c>
      <c r="J181" s="581">
        <f t="shared" si="5"/>
        <v>3.25</v>
      </c>
    </row>
    <row r="182" spans="1:10" x14ac:dyDescent="0.2">
      <c r="A182" s="573" t="s">
        <v>187</v>
      </c>
      <c r="B182" s="575">
        <v>42541</v>
      </c>
      <c r="C182" s="573" t="s">
        <v>119</v>
      </c>
      <c r="D182" s="573" t="s">
        <v>170</v>
      </c>
      <c r="E182" s="574">
        <v>0.64583333333333337</v>
      </c>
      <c r="F182" s="574">
        <v>0.6875</v>
      </c>
      <c r="I182" s="579">
        <f t="shared" si="4"/>
        <v>-9999</v>
      </c>
      <c r="J182" s="581">
        <f t="shared" si="5"/>
        <v>-9999</v>
      </c>
    </row>
    <row r="183" spans="1:10" x14ac:dyDescent="0.2">
      <c r="A183" s="573" t="s">
        <v>187</v>
      </c>
      <c r="B183" s="575">
        <v>42541</v>
      </c>
      <c r="C183" s="573" t="s">
        <v>24</v>
      </c>
      <c r="D183" s="573" t="s">
        <v>171</v>
      </c>
      <c r="E183" s="574">
        <v>0.45833333333333331</v>
      </c>
      <c r="F183" s="574">
        <v>0.60416666666666663</v>
      </c>
      <c r="G183" s="574">
        <v>0.46875</v>
      </c>
      <c r="H183" s="574">
        <v>0.59375</v>
      </c>
      <c r="I183" s="579">
        <f t="shared" si="4"/>
        <v>0.25</v>
      </c>
      <c r="J183" s="581">
        <f t="shared" si="5"/>
        <v>0.25</v>
      </c>
    </row>
    <row r="184" spans="1:10" x14ac:dyDescent="0.2">
      <c r="A184" s="573" t="s">
        <v>187</v>
      </c>
      <c r="B184" s="575">
        <v>42542</v>
      </c>
      <c r="C184" s="573" t="s">
        <v>24</v>
      </c>
      <c r="D184" s="573" t="s">
        <v>171</v>
      </c>
      <c r="E184" s="574">
        <v>0.46875</v>
      </c>
      <c r="F184" s="574">
        <v>0.64583333333333337</v>
      </c>
      <c r="G184" s="574">
        <v>0.46875</v>
      </c>
      <c r="H184" s="574">
        <v>0.63541666666666663</v>
      </c>
      <c r="I184" s="579">
        <f t="shared" si="4"/>
        <v>0</v>
      </c>
      <c r="J184" s="581">
        <f t="shared" si="5"/>
        <v>0.25</v>
      </c>
    </row>
    <row r="185" spans="1:10" x14ac:dyDescent="0.2">
      <c r="A185" s="573" t="s">
        <v>187</v>
      </c>
      <c r="B185" s="575">
        <v>42543</v>
      </c>
      <c r="C185" s="573" t="s">
        <v>5</v>
      </c>
      <c r="D185" s="573" t="s">
        <v>174</v>
      </c>
      <c r="E185" s="574">
        <v>0.45833333333333331</v>
      </c>
      <c r="F185" s="574">
        <v>0.60416666666666663</v>
      </c>
      <c r="G185" s="574">
        <v>0.46875</v>
      </c>
      <c r="H185" s="574">
        <v>0.59375</v>
      </c>
      <c r="I185" s="579">
        <f t="shared" si="4"/>
        <v>0.25</v>
      </c>
      <c r="J185" s="581">
        <f t="shared" si="5"/>
        <v>0.25</v>
      </c>
    </row>
    <row r="186" spans="1:10" x14ac:dyDescent="0.2">
      <c r="A186" s="573" t="s">
        <v>187</v>
      </c>
      <c r="B186" s="575">
        <v>42544</v>
      </c>
      <c r="C186" s="573" t="s">
        <v>118</v>
      </c>
      <c r="D186" s="573" t="s">
        <v>197</v>
      </c>
      <c r="E186" s="574">
        <v>0.64583333333333337</v>
      </c>
      <c r="F186" s="574">
        <v>0.98958333333333337</v>
      </c>
      <c r="I186" s="579">
        <f t="shared" si="4"/>
        <v>-9999</v>
      </c>
      <c r="J186" s="581">
        <f t="shared" si="5"/>
        <v>-9999</v>
      </c>
    </row>
    <row r="187" spans="1:10" x14ac:dyDescent="0.2">
      <c r="A187" s="573" t="s">
        <v>187</v>
      </c>
      <c r="B187" s="575">
        <v>42545</v>
      </c>
      <c r="C187" s="573" t="s">
        <v>118</v>
      </c>
      <c r="D187" s="573" t="s">
        <v>197</v>
      </c>
      <c r="E187" s="574">
        <v>0.59375</v>
      </c>
      <c r="F187" s="574">
        <v>0.92708333333333337</v>
      </c>
      <c r="I187" s="579">
        <f t="shared" si="4"/>
        <v>-9999</v>
      </c>
      <c r="J187" s="581">
        <f t="shared" si="5"/>
        <v>-9999</v>
      </c>
    </row>
    <row r="188" spans="1:10" x14ac:dyDescent="0.2">
      <c r="A188" s="573" t="s">
        <v>187</v>
      </c>
      <c r="B188" s="575">
        <v>42546</v>
      </c>
      <c r="C188" s="573" t="s">
        <v>118</v>
      </c>
      <c r="D188" s="573" t="s">
        <v>197</v>
      </c>
      <c r="E188" s="574">
        <v>0.53125</v>
      </c>
      <c r="F188" s="574">
        <v>1.0416666666666666E-2</v>
      </c>
      <c r="I188" s="579">
        <f t="shared" si="4"/>
        <v>-9999</v>
      </c>
      <c r="J188" s="581">
        <f t="shared" si="5"/>
        <v>-9999</v>
      </c>
    </row>
    <row r="189" spans="1:10" x14ac:dyDescent="0.2">
      <c r="A189" s="573" t="s">
        <v>187</v>
      </c>
      <c r="B189" s="575">
        <v>42548</v>
      </c>
      <c r="C189" s="573" t="s">
        <v>119</v>
      </c>
      <c r="D189" s="573" t="s">
        <v>170</v>
      </c>
      <c r="E189" s="574">
        <v>0.63541666666666663</v>
      </c>
      <c r="F189" s="574">
        <v>0.69791666666666663</v>
      </c>
      <c r="I189" s="579">
        <f t="shared" si="4"/>
        <v>-9999</v>
      </c>
      <c r="J189" s="581">
        <f t="shared" si="5"/>
        <v>-9999</v>
      </c>
    </row>
    <row r="190" spans="1:10" x14ac:dyDescent="0.2">
      <c r="A190" s="573" t="s">
        <v>187</v>
      </c>
      <c r="B190" s="575">
        <v>42550</v>
      </c>
      <c r="C190" s="573" t="s">
        <v>24</v>
      </c>
      <c r="D190" s="573" t="s">
        <v>171</v>
      </c>
      <c r="E190" s="574">
        <v>0.46875</v>
      </c>
      <c r="F190" s="574">
        <v>0.58333333333333337</v>
      </c>
      <c r="G190" s="574">
        <v>0.46875</v>
      </c>
      <c r="H190" s="574">
        <v>0.58333333333333326</v>
      </c>
      <c r="I190" s="579">
        <f t="shared" si="4"/>
        <v>0</v>
      </c>
      <c r="J190" s="581">
        <f t="shared" si="5"/>
        <v>0</v>
      </c>
    </row>
    <row r="191" spans="1:10" x14ac:dyDescent="0.2">
      <c r="A191" s="573" t="s">
        <v>209</v>
      </c>
      <c r="B191" s="575">
        <v>42539</v>
      </c>
      <c r="C191" s="573" t="s">
        <v>118</v>
      </c>
      <c r="D191" s="573" t="s">
        <v>199</v>
      </c>
      <c r="E191" s="574">
        <v>0.375</v>
      </c>
      <c r="F191" s="574">
        <v>0.57291666666666663</v>
      </c>
      <c r="I191" s="579">
        <f t="shared" si="4"/>
        <v>-9999</v>
      </c>
      <c r="J191" s="581">
        <f t="shared" si="5"/>
        <v>-9999</v>
      </c>
    </row>
    <row r="192" spans="1:10" x14ac:dyDescent="0.2">
      <c r="A192" s="573" t="s">
        <v>158</v>
      </c>
      <c r="B192" s="575">
        <v>42539</v>
      </c>
      <c r="C192" s="573" t="s">
        <v>5</v>
      </c>
      <c r="D192" s="573" t="s">
        <v>174</v>
      </c>
      <c r="E192" s="574">
        <v>0.45833333333333331</v>
      </c>
      <c r="F192" s="574">
        <v>0.66666666666666663</v>
      </c>
      <c r="G192" s="574">
        <v>0.46875</v>
      </c>
      <c r="H192" s="574">
        <v>0.65625</v>
      </c>
      <c r="I192" s="579">
        <f t="shared" si="4"/>
        <v>0.25</v>
      </c>
      <c r="J192" s="581">
        <f t="shared" si="5"/>
        <v>0.25</v>
      </c>
    </row>
    <row r="193" spans="1:10" x14ac:dyDescent="0.2">
      <c r="A193" s="573" t="s">
        <v>158</v>
      </c>
      <c r="B193" s="575">
        <v>42540</v>
      </c>
      <c r="C193" s="573" t="s">
        <v>5</v>
      </c>
      <c r="D193" s="573" t="s">
        <v>174</v>
      </c>
      <c r="E193" s="574">
        <v>0.46875</v>
      </c>
      <c r="F193" s="574">
        <v>0.65625</v>
      </c>
      <c r="G193" s="574">
        <v>0.46875</v>
      </c>
      <c r="H193" s="574">
        <v>0.82291666666666663</v>
      </c>
      <c r="I193" s="579">
        <f t="shared" si="4"/>
        <v>0</v>
      </c>
      <c r="J193" s="581">
        <f t="shared" si="5"/>
        <v>4</v>
      </c>
    </row>
    <row r="194" spans="1:10" x14ac:dyDescent="0.2">
      <c r="A194" s="573" t="s">
        <v>158</v>
      </c>
      <c r="B194" s="575">
        <v>42544</v>
      </c>
      <c r="C194" s="573" t="s">
        <v>118</v>
      </c>
      <c r="D194" s="573" t="s">
        <v>199</v>
      </c>
      <c r="E194" s="574">
        <v>0.63541666666666663</v>
      </c>
      <c r="F194" s="574">
        <v>0.82291666666666663</v>
      </c>
      <c r="I194" s="579">
        <f t="shared" ref="I194:I217" si="6">IF(G194="",-9999,ABS(ROUND((IF(E194&lt;0.25,E194+1,E194)-IF(G194&lt;0.25,G194+1,G194))*24,2)))</f>
        <v>-9999</v>
      </c>
      <c r="J194" s="581">
        <f t="shared" ref="J194:J217" si="7">IF(H194="",-9999,ABS(ROUND((IF(F194&lt;0.25,F194+1,F194)-IF(H194&lt;0.25,H194+1,H194))*24,2)))</f>
        <v>-9999</v>
      </c>
    </row>
    <row r="195" spans="1:10" x14ac:dyDescent="0.2">
      <c r="A195" s="573" t="s">
        <v>158</v>
      </c>
      <c r="B195" s="575">
        <v>42545</v>
      </c>
      <c r="C195" s="573" t="s">
        <v>118</v>
      </c>
      <c r="D195" s="573" t="s">
        <v>199</v>
      </c>
      <c r="E195" s="574">
        <v>0.58333333333333337</v>
      </c>
      <c r="F195" s="574">
        <v>0.92708333333333337</v>
      </c>
      <c r="I195" s="579">
        <f t="shared" si="6"/>
        <v>-9999</v>
      </c>
      <c r="J195" s="581">
        <f t="shared" si="7"/>
        <v>-9999</v>
      </c>
    </row>
    <row r="196" spans="1:10" x14ac:dyDescent="0.2">
      <c r="A196" s="573" t="s">
        <v>158</v>
      </c>
      <c r="B196" s="575">
        <v>42546</v>
      </c>
      <c r="C196" s="573" t="s">
        <v>118</v>
      </c>
      <c r="D196" s="573" t="s">
        <v>199</v>
      </c>
      <c r="E196" s="574">
        <v>0.60416666666666663</v>
      </c>
      <c r="F196" s="574">
        <v>0.71875</v>
      </c>
      <c r="I196" s="579">
        <f t="shared" si="6"/>
        <v>-9999</v>
      </c>
      <c r="J196" s="581">
        <f t="shared" si="7"/>
        <v>-9999</v>
      </c>
    </row>
    <row r="197" spans="1:10" x14ac:dyDescent="0.2">
      <c r="A197" s="573" t="s">
        <v>182</v>
      </c>
      <c r="B197" s="575">
        <v>42537</v>
      </c>
      <c r="C197" s="573" t="s">
        <v>5</v>
      </c>
      <c r="D197" s="573" t="s">
        <v>174</v>
      </c>
      <c r="E197" s="574">
        <v>0.6875</v>
      </c>
      <c r="F197" s="574">
        <v>0.92708333333333337</v>
      </c>
      <c r="G197" s="574">
        <v>0.6875</v>
      </c>
      <c r="H197" s="574">
        <v>0.92708333333333326</v>
      </c>
      <c r="I197" s="579">
        <f t="shared" si="6"/>
        <v>0</v>
      </c>
      <c r="J197" s="581">
        <f t="shared" si="7"/>
        <v>0</v>
      </c>
    </row>
    <row r="198" spans="1:10" x14ac:dyDescent="0.2">
      <c r="A198" s="573" t="s">
        <v>182</v>
      </c>
      <c r="B198" s="575">
        <v>42539</v>
      </c>
      <c r="C198" s="573" t="s">
        <v>118</v>
      </c>
      <c r="D198" s="573" t="s">
        <v>199</v>
      </c>
      <c r="E198" s="574">
        <v>0.39583333333333331</v>
      </c>
      <c r="F198" s="574">
        <v>0.54166666666666663</v>
      </c>
      <c r="I198" s="579">
        <f t="shared" si="6"/>
        <v>-9999</v>
      </c>
      <c r="J198" s="581">
        <f t="shared" si="7"/>
        <v>-9999</v>
      </c>
    </row>
    <row r="199" spans="1:10" x14ac:dyDescent="0.2">
      <c r="A199" s="573" t="s">
        <v>182</v>
      </c>
      <c r="B199" s="575">
        <v>42539</v>
      </c>
      <c r="C199" s="573" t="s">
        <v>145</v>
      </c>
      <c r="D199" s="573" t="s">
        <v>173</v>
      </c>
      <c r="E199" s="574">
        <v>0.58333333333333337</v>
      </c>
      <c r="F199" s="574">
        <v>0.69791666666666663</v>
      </c>
      <c r="I199" s="579">
        <f t="shared" si="6"/>
        <v>-9999</v>
      </c>
      <c r="J199" s="581">
        <f t="shared" si="7"/>
        <v>-9999</v>
      </c>
    </row>
    <row r="200" spans="1:10" x14ac:dyDescent="0.2">
      <c r="A200" s="573" t="s">
        <v>182</v>
      </c>
      <c r="B200" s="575">
        <v>42539</v>
      </c>
      <c r="C200" s="573" t="s">
        <v>5</v>
      </c>
      <c r="D200" s="573" t="s">
        <v>174</v>
      </c>
      <c r="E200" s="574">
        <v>0.70833333333333337</v>
      </c>
      <c r="F200" s="574">
        <v>0.9375</v>
      </c>
      <c r="G200" s="574">
        <v>0.70833333333333326</v>
      </c>
      <c r="H200" s="574">
        <v>0.9375</v>
      </c>
      <c r="I200" s="579">
        <f t="shared" si="6"/>
        <v>0</v>
      </c>
      <c r="J200" s="581">
        <f t="shared" si="7"/>
        <v>0</v>
      </c>
    </row>
    <row r="201" spans="1:10" x14ac:dyDescent="0.2">
      <c r="A201" s="573" t="s">
        <v>182</v>
      </c>
      <c r="B201" s="575">
        <v>42540</v>
      </c>
      <c r="C201" s="573" t="s">
        <v>24</v>
      </c>
      <c r="D201" s="573" t="s">
        <v>171</v>
      </c>
      <c r="E201" s="574">
        <v>0.65625</v>
      </c>
      <c r="F201" s="574">
        <v>0.94791666666666663</v>
      </c>
      <c r="G201" s="574">
        <v>0.65625</v>
      </c>
      <c r="H201" s="574">
        <v>0.9375</v>
      </c>
      <c r="I201" s="579">
        <f t="shared" si="6"/>
        <v>0</v>
      </c>
      <c r="J201" s="581">
        <f t="shared" si="7"/>
        <v>0.25</v>
      </c>
    </row>
    <row r="202" spans="1:10" x14ac:dyDescent="0.2">
      <c r="A202" s="573" t="s">
        <v>182</v>
      </c>
      <c r="B202" s="575">
        <v>42550</v>
      </c>
      <c r="C202" s="573" t="s">
        <v>145</v>
      </c>
      <c r="D202" s="573" t="s">
        <v>173</v>
      </c>
      <c r="E202" s="574">
        <v>0.45833333333333331</v>
      </c>
      <c r="F202" s="574">
        <v>0.60416666666666663</v>
      </c>
      <c r="G202" s="574">
        <v>0.45833333333333331</v>
      </c>
      <c r="H202" s="574">
        <v>0.60416666666666663</v>
      </c>
      <c r="I202" s="579">
        <f t="shared" si="6"/>
        <v>0</v>
      </c>
      <c r="J202" s="581">
        <f t="shared" si="7"/>
        <v>0</v>
      </c>
    </row>
    <row r="203" spans="1:10" x14ac:dyDescent="0.2">
      <c r="A203" s="573" t="s">
        <v>182</v>
      </c>
      <c r="B203" s="575">
        <v>42550</v>
      </c>
      <c r="C203" s="573" t="s">
        <v>145</v>
      </c>
      <c r="D203" s="573" t="s">
        <v>173</v>
      </c>
      <c r="E203" s="574">
        <v>0.6875</v>
      </c>
      <c r="F203" s="574">
        <v>0.89583333333333337</v>
      </c>
      <c r="G203" s="574">
        <v>0.6875</v>
      </c>
      <c r="H203" s="574">
        <v>0.89583333333333326</v>
      </c>
      <c r="I203" s="579">
        <f t="shared" si="6"/>
        <v>0</v>
      </c>
      <c r="J203" s="581">
        <f t="shared" si="7"/>
        <v>0</v>
      </c>
    </row>
    <row r="204" spans="1:10" x14ac:dyDescent="0.2">
      <c r="A204" s="573" t="s">
        <v>192</v>
      </c>
      <c r="B204" s="575">
        <v>42539</v>
      </c>
      <c r="C204" s="573" t="s">
        <v>5</v>
      </c>
      <c r="D204" s="573" t="s">
        <v>174</v>
      </c>
      <c r="E204" s="574">
        <v>0.71875</v>
      </c>
      <c r="F204" s="574">
        <v>0.94791666666666663</v>
      </c>
      <c r="G204" s="574">
        <v>0.70833333333333326</v>
      </c>
      <c r="H204" s="574">
        <v>0.9375</v>
      </c>
      <c r="I204" s="579">
        <f t="shared" si="6"/>
        <v>0.25</v>
      </c>
      <c r="J204" s="581">
        <f t="shared" si="7"/>
        <v>0.25</v>
      </c>
    </row>
    <row r="205" spans="1:10" x14ac:dyDescent="0.2">
      <c r="A205" s="573" t="s">
        <v>192</v>
      </c>
      <c r="B205" s="575">
        <v>42540</v>
      </c>
      <c r="C205" s="573" t="s">
        <v>5</v>
      </c>
      <c r="D205" s="573" t="s">
        <v>174</v>
      </c>
      <c r="E205" s="574">
        <v>0.6875</v>
      </c>
      <c r="F205" s="574">
        <v>0.83333333333333337</v>
      </c>
      <c r="G205" s="574">
        <v>0.6875</v>
      </c>
      <c r="H205" s="574">
        <v>0.16666666666666666</v>
      </c>
      <c r="I205" s="579">
        <f t="shared" si="6"/>
        <v>0</v>
      </c>
      <c r="J205" s="581">
        <f t="shared" si="7"/>
        <v>8</v>
      </c>
    </row>
    <row r="206" spans="1:10" x14ac:dyDescent="0.2">
      <c r="A206" s="573" t="s">
        <v>192</v>
      </c>
      <c r="B206" s="575">
        <v>42543</v>
      </c>
      <c r="C206" s="573" t="s">
        <v>5</v>
      </c>
      <c r="D206" s="573" t="s">
        <v>174</v>
      </c>
      <c r="E206" s="574">
        <v>0.69791666666666663</v>
      </c>
      <c r="F206" s="574">
        <v>0.85416666666666663</v>
      </c>
      <c r="G206" s="574">
        <v>0.69791666666666663</v>
      </c>
      <c r="H206" s="574">
        <v>0.83333333333333326</v>
      </c>
      <c r="I206" s="579">
        <f t="shared" si="6"/>
        <v>0</v>
      </c>
      <c r="J206" s="581">
        <f t="shared" si="7"/>
        <v>0.5</v>
      </c>
    </row>
    <row r="207" spans="1:10" x14ac:dyDescent="0.2">
      <c r="A207" s="573" t="s">
        <v>192</v>
      </c>
      <c r="B207" s="575">
        <v>42544</v>
      </c>
      <c r="C207" s="573" t="s">
        <v>118</v>
      </c>
      <c r="D207" s="573" t="s">
        <v>199</v>
      </c>
      <c r="E207" s="574">
        <v>0.64583333333333337</v>
      </c>
      <c r="F207" s="574">
        <v>0.97916666666666663</v>
      </c>
      <c r="I207" s="579">
        <f t="shared" si="6"/>
        <v>-9999</v>
      </c>
      <c r="J207" s="581">
        <f t="shared" si="7"/>
        <v>-9999</v>
      </c>
    </row>
    <row r="208" spans="1:10" x14ac:dyDescent="0.2">
      <c r="A208" s="573" t="s">
        <v>192</v>
      </c>
      <c r="B208" s="575">
        <v>42550</v>
      </c>
      <c r="C208" s="573" t="s">
        <v>5</v>
      </c>
      <c r="D208" s="573" t="s">
        <v>174</v>
      </c>
      <c r="E208" s="574">
        <v>0.6875</v>
      </c>
      <c r="F208" s="574">
        <v>0.94791666666666663</v>
      </c>
      <c r="G208" s="574">
        <v>0.6875</v>
      </c>
      <c r="H208" s="574">
        <v>0.79166666666666663</v>
      </c>
      <c r="I208" s="579">
        <f t="shared" si="6"/>
        <v>0</v>
      </c>
      <c r="J208" s="581">
        <f t="shared" si="7"/>
        <v>3.75</v>
      </c>
    </row>
    <row r="209" spans="1:10" x14ac:dyDescent="0.2">
      <c r="A209" s="573" t="s">
        <v>219</v>
      </c>
      <c r="B209" s="575">
        <v>42543</v>
      </c>
      <c r="C209" s="573" t="s">
        <v>24</v>
      </c>
      <c r="D209" s="573" t="s">
        <v>171</v>
      </c>
      <c r="E209" s="574">
        <v>0.42708333333333331</v>
      </c>
      <c r="F209" s="574">
        <v>0.63541666666666663</v>
      </c>
      <c r="G209" s="574">
        <v>0.42708333333333331</v>
      </c>
      <c r="H209" s="574">
        <v>0.625</v>
      </c>
      <c r="I209" s="579">
        <f t="shared" si="6"/>
        <v>0</v>
      </c>
      <c r="J209" s="581">
        <f t="shared" si="7"/>
        <v>0.25</v>
      </c>
    </row>
    <row r="210" spans="1:10" x14ac:dyDescent="0.2">
      <c r="A210" s="573" t="s">
        <v>183</v>
      </c>
      <c r="B210" s="575">
        <v>42537</v>
      </c>
      <c r="C210" s="573" t="s">
        <v>24</v>
      </c>
      <c r="D210" s="573" t="s">
        <v>171</v>
      </c>
      <c r="E210" s="574">
        <v>0.69791666666666663</v>
      </c>
      <c r="F210" s="574">
        <v>0.91666666666666663</v>
      </c>
      <c r="G210" s="574">
        <v>0.69791666666666663</v>
      </c>
      <c r="H210" s="574">
        <v>0.91666666666666663</v>
      </c>
      <c r="I210" s="579">
        <f t="shared" si="6"/>
        <v>0</v>
      </c>
      <c r="J210" s="581">
        <f t="shared" si="7"/>
        <v>0</v>
      </c>
    </row>
    <row r="211" spans="1:10" x14ac:dyDescent="0.2">
      <c r="A211" s="573" t="s">
        <v>183</v>
      </c>
      <c r="B211" s="575">
        <v>42539</v>
      </c>
      <c r="C211" s="573" t="s">
        <v>118</v>
      </c>
      <c r="D211" s="573" t="s">
        <v>199</v>
      </c>
      <c r="E211" s="574">
        <v>0.73958333333333337</v>
      </c>
      <c r="F211" s="574">
        <v>0.9375</v>
      </c>
      <c r="I211" s="579">
        <f t="shared" si="6"/>
        <v>-9999</v>
      </c>
      <c r="J211" s="581">
        <f t="shared" si="7"/>
        <v>-9999</v>
      </c>
    </row>
    <row r="212" spans="1:10" x14ac:dyDescent="0.2">
      <c r="A212" s="573" t="s">
        <v>183</v>
      </c>
      <c r="B212" s="575">
        <v>42543</v>
      </c>
      <c r="C212" s="573" t="s">
        <v>24</v>
      </c>
      <c r="D212" s="573" t="s">
        <v>171</v>
      </c>
      <c r="E212" s="574">
        <v>0.42708333333333331</v>
      </c>
      <c r="F212" s="574">
        <v>0.63541666666666663</v>
      </c>
      <c r="G212" s="574">
        <v>0.42708333333333331</v>
      </c>
      <c r="H212" s="574">
        <v>0.625</v>
      </c>
      <c r="I212" s="579">
        <f t="shared" si="6"/>
        <v>0</v>
      </c>
      <c r="J212" s="581">
        <f t="shared" si="7"/>
        <v>0.25</v>
      </c>
    </row>
    <row r="213" spans="1:10" x14ac:dyDescent="0.2">
      <c r="A213" s="573" t="s">
        <v>183</v>
      </c>
      <c r="B213" s="575">
        <v>42544</v>
      </c>
      <c r="C213" s="573" t="s">
        <v>118</v>
      </c>
      <c r="D213" s="573" t="s">
        <v>199</v>
      </c>
      <c r="E213" s="574">
        <v>0.64583333333333337</v>
      </c>
      <c r="F213" s="574">
        <v>0.97916666666666663</v>
      </c>
      <c r="I213" s="579">
        <f t="shared" si="6"/>
        <v>-9999</v>
      </c>
      <c r="J213" s="581">
        <f t="shared" si="7"/>
        <v>-9999</v>
      </c>
    </row>
    <row r="214" spans="1:10" x14ac:dyDescent="0.2">
      <c r="A214" s="573" t="s">
        <v>183</v>
      </c>
      <c r="B214" s="575">
        <v>42545</v>
      </c>
      <c r="C214" s="573" t="s">
        <v>5</v>
      </c>
      <c r="D214" s="573" t="s">
        <v>174</v>
      </c>
      <c r="E214" s="574">
        <v>0.70833333333333337</v>
      </c>
      <c r="F214" s="574">
        <v>0.875</v>
      </c>
      <c r="G214" s="574">
        <v>0.70833333333333326</v>
      </c>
      <c r="H214" s="574">
        <v>0.875</v>
      </c>
      <c r="I214" s="579">
        <f t="shared" si="6"/>
        <v>0</v>
      </c>
      <c r="J214" s="581">
        <f t="shared" si="7"/>
        <v>0</v>
      </c>
    </row>
    <row r="215" spans="1:10" x14ac:dyDescent="0.2">
      <c r="A215" s="573" t="s">
        <v>183</v>
      </c>
      <c r="B215" s="575">
        <v>42546</v>
      </c>
      <c r="C215" s="573" t="s">
        <v>145</v>
      </c>
      <c r="D215" s="573" t="s">
        <v>173</v>
      </c>
      <c r="E215" s="574">
        <v>0.72916666666666663</v>
      </c>
      <c r="F215" s="574">
        <v>0.91666666666666663</v>
      </c>
      <c r="G215" s="574">
        <v>0.75</v>
      </c>
      <c r="H215" s="574">
        <v>0.90625</v>
      </c>
      <c r="I215" s="579">
        <f t="shared" si="6"/>
        <v>0.5</v>
      </c>
      <c r="J215" s="581">
        <f t="shared" si="7"/>
        <v>0.25</v>
      </c>
    </row>
    <row r="216" spans="1:10" x14ac:dyDescent="0.2">
      <c r="A216" s="573" t="s">
        <v>183</v>
      </c>
      <c r="B216" s="575">
        <v>42547</v>
      </c>
      <c r="C216" s="573" t="s">
        <v>118</v>
      </c>
      <c r="D216" s="573" t="s">
        <v>199</v>
      </c>
      <c r="E216" s="574">
        <v>0.72916666666666663</v>
      </c>
      <c r="F216" s="574">
        <v>2.0833333333333332E-2</v>
      </c>
      <c r="I216" s="579">
        <f t="shared" si="6"/>
        <v>-9999</v>
      </c>
      <c r="J216" s="581">
        <f t="shared" si="7"/>
        <v>-9999</v>
      </c>
    </row>
    <row r="217" spans="1:10" x14ac:dyDescent="0.2">
      <c r="A217" s="573" t="s">
        <v>183</v>
      </c>
      <c r="B217" s="575">
        <v>42551</v>
      </c>
      <c r="C217" s="573" t="s">
        <v>24</v>
      </c>
      <c r="D217" s="573" t="s">
        <v>171</v>
      </c>
      <c r="E217" s="574">
        <v>0.46875</v>
      </c>
      <c r="F217" s="574">
        <v>0.61458333333333337</v>
      </c>
      <c r="G217" s="574">
        <v>0.46875</v>
      </c>
      <c r="H217" s="574">
        <v>0.60416666666666663</v>
      </c>
      <c r="I217" s="579">
        <f t="shared" si="6"/>
        <v>0</v>
      </c>
      <c r="J217" s="581">
        <f t="shared" si="7"/>
        <v>0.25</v>
      </c>
    </row>
  </sheetData>
  <sheetProtection algorithmName="SHA-512" hashValue="JCoAA+tpwhPHpXhQfXo3ngDzU+ihY+VRoerO+vFh5TR92nxH/iFKnRE69IzzoHrX9CZR5StPA/qReQy43xl1lg==" saltValue="NLRV0omvjqyS0RIzRTSgpQ==" spinCount="100000" sheet="1" objects="1" scenarios="1"/>
  <sortState ref="A2:H217">
    <sortCondition ref="A2:A217"/>
  </sortState>
  <conditionalFormatting sqref="A1:H1048576">
    <cfRule type="expression" dxfId="7" priority="3" stopIfTrue="1">
      <formula>AND(MOD(ROW(),2)=1,A1&lt;&gt;"")</formula>
    </cfRule>
  </conditionalFormatting>
  <conditionalFormatting sqref="I1:J1048576">
    <cfRule type="cellIs" dxfId="6" priority="4" operator="lessThanOrEqual">
      <formula>-9999</formula>
    </cfRule>
    <cfRule type="cellIs" dxfId="5" priority="5" operator="greaterThan">
      <formula>2</formula>
    </cfRule>
    <cfRule type="cellIs" dxfId="4" priority="6" operator="greaterThan">
      <formula>1</formula>
    </cfRule>
    <cfRule type="cellIs" dxfId="3" priority="7" operator="greaterThan">
      <formula>0.25</formula>
    </cfRule>
    <cfRule type="cellIs" dxfId="2" priority="9" operator="greaterThan">
      <formula>0</formula>
    </cfRule>
  </conditionalFormatting>
  <conditionalFormatting sqref="I1:J1">
    <cfRule type="endsWith" dxfId="1" priority="2" stopIfTrue="1" operator="endsWith" text="Dif">
      <formula>RIGHT(I1,LEN("Dif"))="Dif"</formula>
    </cfRule>
  </conditionalFormatting>
  <conditionalFormatting sqref="M1:Q1048576">
    <cfRule type="expression" dxfId="0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2016-07-05T21:19:54Z</dcterms:modified>
  <cp:version>5.2.1</cp:version>
</cp:coreProperties>
</file>
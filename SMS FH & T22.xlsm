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4000" windowHeight="9600"/>
  </bookViews>
  <sheets>
    <sheet name="Dec 15" sheetId="10" r:id="rId1"/>
    <sheet name="Nov 15" sheetId="9" r:id="rId2"/>
    <sheet name="Oct 15" sheetId="8" r:id="rId3"/>
    <sheet name="Sep 15" sheetId="7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1" i="7" l="1"/>
  <c r="L31" i="7"/>
  <c r="K31" i="7"/>
  <c r="M30" i="7"/>
  <c r="L30" i="7"/>
  <c r="K30" i="7"/>
  <c r="M29" i="7"/>
  <c r="L29" i="7"/>
  <c r="K29" i="7"/>
  <c r="M28" i="7"/>
  <c r="L28" i="7"/>
  <c r="K28" i="7"/>
  <c r="M27" i="7"/>
  <c r="L27" i="7"/>
  <c r="K27" i="7"/>
  <c r="M26" i="7"/>
  <c r="L26" i="7"/>
  <c r="K26" i="7"/>
  <c r="M25" i="7"/>
  <c r="L25" i="7"/>
  <c r="K25" i="7"/>
  <c r="M24" i="7"/>
  <c r="L24" i="7"/>
  <c r="K24" i="7"/>
  <c r="M23" i="7"/>
  <c r="L23" i="7"/>
  <c r="K23" i="7"/>
  <c r="M22" i="7"/>
  <c r="L22" i="7"/>
  <c r="K22" i="7"/>
  <c r="M21" i="7"/>
  <c r="L21" i="7"/>
  <c r="K21" i="7"/>
  <c r="M20" i="7"/>
  <c r="L20" i="7"/>
  <c r="K20" i="7"/>
  <c r="M19" i="7"/>
  <c r="L19" i="7"/>
  <c r="K19" i="7"/>
  <c r="M18" i="7"/>
  <c r="L18" i="7"/>
  <c r="K18" i="7"/>
  <c r="M17" i="7"/>
  <c r="L17" i="7"/>
  <c r="K17" i="7"/>
  <c r="M16" i="7"/>
  <c r="L16" i="7"/>
  <c r="K16" i="7"/>
  <c r="M15" i="7"/>
  <c r="L15" i="7"/>
  <c r="K15" i="7"/>
  <c r="M14" i="7"/>
  <c r="L14" i="7"/>
  <c r="K14" i="7"/>
  <c r="M13" i="7"/>
  <c r="L13" i="7"/>
  <c r="K13" i="7"/>
  <c r="M12" i="7"/>
  <c r="L12" i="7"/>
  <c r="K12" i="7"/>
  <c r="M11" i="7"/>
  <c r="L11" i="7"/>
  <c r="K11" i="7"/>
  <c r="M10" i="7"/>
  <c r="L10" i="7"/>
  <c r="K10" i="7"/>
  <c r="M9" i="7"/>
  <c r="L9" i="7"/>
  <c r="K9" i="7"/>
  <c r="M8" i="7"/>
  <c r="L8" i="7"/>
  <c r="K8" i="7"/>
  <c r="M7" i="7"/>
  <c r="L7" i="7"/>
  <c r="K7" i="7"/>
  <c r="M6" i="7"/>
  <c r="L6" i="7"/>
  <c r="K6" i="7"/>
  <c r="M5" i="7"/>
  <c r="L5" i="7"/>
  <c r="K5" i="7"/>
  <c r="M4" i="7"/>
  <c r="L4" i="7"/>
  <c r="K4" i="7"/>
  <c r="M3" i="7"/>
  <c r="L3" i="7"/>
  <c r="K3" i="7"/>
  <c r="M2" i="7"/>
  <c r="L2" i="7"/>
  <c r="K2" i="7"/>
  <c r="H2" i="7"/>
  <c r="G2" i="7"/>
  <c r="F2" i="7"/>
  <c r="K33" i="8"/>
  <c r="J33" i="8"/>
  <c r="I33" i="8"/>
  <c r="H33" i="8"/>
  <c r="K32" i="8"/>
  <c r="J32" i="8"/>
  <c r="I32" i="8"/>
  <c r="H32" i="8"/>
  <c r="K31" i="8"/>
  <c r="J31" i="8"/>
  <c r="I31" i="8"/>
  <c r="H31" i="8"/>
  <c r="K30" i="8"/>
  <c r="J30" i="8"/>
  <c r="I30" i="8"/>
  <c r="H30" i="8"/>
  <c r="K29" i="8"/>
  <c r="J29" i="8"/>
  <c r="I29" i="8"/>
  <c r="H29" i="8"/>
  <c r="K28" i="8"/>
  <c r="J28" i="8"/>
  <c r="I28" i="8"/>
  <c r="H28" i="8"/>
  <c r="K27" i="8"/>
  <c r="J27" i="8"/>
  <c r="I27" i="8"/>
  <c r="H27" i="8"/>
  <c r="K26" i="8"/>
  <c r="J26" i="8"/>
  <c r="I26" i="8"/>
  <c r="H26" i="8"/>
  <c r="K25" i="8"/>
  <c r="J25" i="8"/>
  <c r="I25" i="8"/>
  <c r="H25" i="8"/>
  <c r="K24" i="8"/>
  <c r="J24" i="8"/>
  <c r="I24" i="8"/>
  <c r="H24" i="8"/>
  <c r="K23" i="8"/>
  <c r="J23" i="8"/>
  <c r="I23" i="8"/>
  <c r="H23" i="8"/>
  <c r="K22" i="8"/>
  <c r="J22" i="8"/>
  <c r="I22" i="8"/>
  <c r="H22" i="8"/>
  <c r="K21" i="8"/>
  <c r="J21" i="8"/>
  <c r="I21" i="8"/>
  <c r="H21" i="8"/>
  <c r="K20" i="8"/>
  <c r="J20" i="8"/>
  <c r="I20" i="8"/>
  <c r="H20" i="8"/>
  <c r="K19" i="8"/>
  <c r="J19" i="8"/>
  <c r="I19" i="8"/>
  <c r="H19" i="8"/>
  <c r="K18" i="8"/>
  <c r="J18" i="8"/>
  <c r="I18" i="8"/>
  <c r="H18" i="8"/>
  <c r="K17" i="8"/>
  <c r="J17" i="8"/>
  <c r="I17" i="8"/>
  <c r="H17" i="8"/>
  <c r="K16" i="8"/>
  <c r="J16" i="8"/>
  <c r="I16" i="8"/>
  <c r="H16" i="8"/>
  <c r="K15" i="8"/>
  <c r="J15" i="8"/>
  <c r="I15" i="8"/>
  <c r="H15" i="8"/>
  <c r="K14" i="8"/>
  <c r="J14" i="8"/>
  <c r="I14" i="8"/>
  <c r="H14" i="8"/>
  <c r="K13" i="8"/>
  <c r="J13" i="8"/>
  <c r="I13" i="8"/>
  <c r="H13" i="8"/>
  <c r="K12" i="8"/>
  <c r="J12" i="8"/>
  <c r="I12" i="8"/>
  <c r="H12" i="8"/>
  <c r="K11" i="8"/>
  <c r="J11" i="8"/>
  <c r="I11" i="8"/>
  <c r="H11" i="8"/>
  <c r="K10" i="8"/>
  <c r="J10" i="8"/>
  <c r="I10" i="8"/>
  <c r="H10" i="8"/>
  <c r="K9" i="8"/>
  <c r="J9" i="8"/>
  <c r="I9" i="8"/>
  <c r="H9" i="8"/>
  <c r="K8" i="8"/>
  <c r="J8" i="8"/>
  <c r="I8" i="8"/>
  <c r="H8" i="8"/>
  <c r="K7" i="8"/>
  <c r="J7" i="8"/>
  <c r="I7" i="8"/>
  <c r="H7" i="8"/>
  <c r="K6" i="8"/>
  <c r="J6" i="8"/>
  <c r="I6" i="8"/>
  <c r="H6" i="8"/>
  <c r="K5" i="8"/>
  <c r="J5" i="8"/>
  <c r="I5" i="8"/>
  <c r="H5" i="8"/>
  <c r="K4" i="8"/>
  <c r="J4" i="8"/>
  <c r="I4" i="8"/>
  <c r="H4" i="8"/>
  <c r="K3" i="8"/>
  <c r="J3" i="8"/>
  <c r="I3" i="8"/>
  <c r="H3" i="8"/>
  <c r="K2" i="8"/>
  <c r="J2" i="8"/>
  <c r="I2" i="8"/>
  <c r="H2" i="8"/>
  <c r="L32" i="9"/>
  <c r="K32" i="9"/>
  <c r="J32" i="9"/>
  <c r="I32" i="9"/>
  <c r="H32" i="9"/>
  <c r="L31" i="9"/>
  <c r="K31" i="9"/>
  <c r="J31" i="9"/>
  <c r="I31" i="9"/>
  <c r="H31" i="9"/>
  <c r="L30" i="9"/>
  <c r="K30" i="9"/>
  <c r="J30" i="9"/>
  <c r="I30" i="9"/>
  <c r="H30" i="9"/>
  <c r="L29" i="9"/>
  <c r="K29" i="9"/>
  <c r="J29" i="9"/>
  <c r="I29" i="9"/>
  <c r="H29" i="9"/>
  <c r="L28" i="9"/>
  <c r="K28" i="9"/>
  <c r="J28" i="9"/>
  <c r="I28" i="9"/>
  <c r="H28" i="9"/>
  <c r="L27" i="9"/>
  <c r="K27" i="9"/>
  <c r="J27" i="9"/>
  <c r="I27" i="9"/>
  <c r="H27" i="9"/>
  <c r="L26" i="9"/>
  <c r="K26" i="9"/>
  <c r="J26" i="9"/>
  <c r="I26" i="9"/>
  <c r="H26" i="9"/>
  <c r="L25" i="9"/>
  <c r="K25" i="9"/>
  <c r="J25" i="9"/>
  <c r="I25" i="9"/>
  <c r="H25" i="9"/>
  <c r="L24" i="9"/>
  <c r="K24" i="9"/>
  <c r="J24" i="9"/>
  <c r="I24" i="9"/>
  <c r="H24" i="9"/>
  <c r="L23" i="9"/>
  <c r="K23" i="9"/>
  <c r="J23" i="9"/>
  <c r="I23" i="9"/>
  <c r="H23" i="9"/>
  <c r="L22" i="9"/>
  <c r="K22" i="9"/>
  <c r="J22" i="9"/>
  <c r="I22" i="9"/>
  <c r="H22" i="9"/>
  <c r="L21" i="9"/>
  <c r="K21" i="9"/>
  <c r="J21" i="9"/>
  <c r="I21" i="9"/>
  <c r="H21" i="9"/>
  <c r="L20" i="9"/>
  <c r="K20" i="9"/>
  <c r="J20" i="9"/>
  <c r="I20" i="9"/>
  <c r="H20" i="9"/>
  <c r="L19" i="9"/>
  <c r="K19" i="9"/>
  <c r="J19" i="9"/>
  <c r="I19" i="9"/>
  <c r="H19" i="9"/>
  <c r="L18" i="9"/>
  <c r="K18" i="9"/>
  <c r="J18" i="9"/>
  <c r="I18" i="9"/>
  <c r="H18" i="9"/>
  <c r="L17" i="9"/>
  <c r="K17" i="9"/>
  <c r="J17" i="9"/>
  <c r="I17" i="9"/>
  <c r="H17" i="9"/>
  <c r="L16" i="9"/>
  <c r="K16" i="9"/>
  <c r="J16" i="9"/>
  <c r="I16" i="9"/>
  <c r="H16" i="9"/>
  <c r="L15" i="9"/>
  <c r="K15" i="9"/>
  <c r="J15" i="9"/>
  <c r="I15" i="9"/>
  <c r="H15" i="9"/>
  <c r="L14" i="9"/>
  <c r="K14" i="9"/>
  <c r="J14" i="9"/>
  <c r="I14" i="9"/>
  <c r="H14" i="9"/>
  <c r="L13" i="9"/>
  <c r="K13" i="9"/>
  <c r="J13" i="9"/>
  <c r="I13" i="9"/>
  <c r="H13" i="9"/>
  <c r="L12" i="9"/>
  <c r="K12" i="9"/>
  <c r="J12" i="9"/>
  <c r="I12" i="9"/>
  <c r="H12" i="9"/>
  <c r="L11" i="9"/>
  <c r="K11" i="9"/>
  <c r="J11" i="9"/>
  <c r="I11" i="9"/>
  <c r="H11" i="9"/>
  <c r="L10" i="9"/>
  <c r="K10" i="9"/>
  <c r="J10" i="9"/>
  <c r="I10" i="9"/>
  <c r="H10" i="9"/>
  <c r="L9" i="9"/>
  <c r="K9" i="9"/>
  <c r="J9" i="9"/>
  <c r="I9" i="9"/>
  <c r="H9" i="9"/>
  <c r="L8" i="9"/>
  <c r="K8" i="9"/>
  <c r="J8" i="9"/>
  <c r="I8" i="9"/>
  <c r="H8" i="9"/>
  <c r="L7" i="9"/>
  <c r="K7" i="9"/>
  <c r="J7" i="9"/>
  <c r="I7" i="9"/>
  <c r="H7" i="9"/>
  <c r="L6" i="9"/>
  <c r="K6" i="9"/>
  <c r="J6" i="9"/>
  <c r="I6" i="9"/>
  <c r="H6" i="9"/>
  <c r="L5" i="9"/>
  <c r="K5" i="9"/>
  <c r="J5" i="9"/>
  <c r="I5" i="9"/>
  <c r="H5" i="9"/>
  <c r="L4" i="9"/>
  <c r="K4" i="9"/>
  <c r="J4" i="9"/>
  <c r="I4" i="9"/>
  <c r="H4" i="9"/>
  <c r="L3" i="9"/>
  <c r="K3" i="9"/>
  <c r="J3" i="9"/>
  <c r="I3" i="9"/>
  <c r="H3" i="9"/>
  <c r="L2" i="9"/>
  <c r="K2" i="9"/>
  <c r="J2" i="9"/>
  <c r="I2" i="9"/>
  <c r="H2" i="9"/>
  <c r="L33" i="10"/>
  <c r="K33" i="10"/>
  <c r="J33" i="10"/>
  <c r="I33" i="10"/>
  <c r="H33" i="10"/>
  <c r="L32" i="10"/>
  <c r="K32" i="10"/>
  <c r="J32" i="10"/>
  <c r="I32" i="10"/>
  <c r="H32" i="10"/>
  <c r="L31" i="10"/>
  <c r="K31" i="10"/>
  <c r="J31" i="10"/>
  <c r="I31" i="10"/>
  <c r="H31" i="10"/>
  <c r="L30" i="10"/>
  <c r="K30" i="10"/>
  <c r="J30" i="10"/>
  <c r="I30" i="10"/>
  <c r="H30" i="10"/>
  <c r="L29" i="10"/>
  <c r="K29" i="10"/>
  <c r="J29" i="10"/>
  <c r="I29" i="10"/>
  <c r="H29" i="10"/>
  <c r="L28" i="10"/>
  <c r="K28" i="10"/>
  <c r="J28" i="10"/>
  <c r="I28" i="10"/>
  <c r="H28" i="10"/>
  <c r="L27" i="10"/>
  <c r="K27" i="10"/>
  <c r="J27" i="10"/>
  <c r="I27" i="10"/>
  <c r="H27" i="10"/>
  <c r="L26" i="10"/>
  <c r="K26" i="10"/>
  <c r="J26" i="10"/>
  <c r="I26" i="10"/>
  <c r="H26" i="10"/>
  <c r="L25" i="10"/>
  <c r="K25" i="10"/>
  <c r="J25" i="10"/>
  <c r="I25" i="10"/>
  <c r="H25" i="10"/>
  <c r="L24" i="10"/>
  <c r="K24" i="10"/>
  <c r="J24" i="10"/>
  <c r="I24" i="10"/>
  <c r="H24" i="10"/>
  <c r="L23" i="10"/>
  <c r="K23" i="10"/>
  <c r="J23" i="10"/>
  <c r="I23" i="10"/>
  <c r="H23" i="10"/>
  <c r="L22" i="10"/>
  <c r="K22" i="10"/>
  <c r="J22" i="10"/>
  <c r="I22" i="10"/>
  <c r="H22" i="10"/>
  <c r="L21" i="10"/>
  <c r="K21" i="10"/>
  <c r="J21" i="10"/>
  <c r="I21" i="10"/>
  <c r="H21" i="10"/>
  <c r="L20" i="10"/>
  <c r="K20" i="10"/>
  <c r="J20" i="10"/>
  <c r="I20" i="10"/>
  <c r="H20" i="10"/>
  <c r="L19" i="10"/>
  <c r="K19" i="10"/>
  <c r="J19" i="10"/>
  <c r="I19" i="10"/>
  <c r="H19" i="10"/>
  <c r="L18" i="10"/>
  <c r="K18" i="10"/>
  <c r="J18" i="10"/>
  <c r="I18" i="10"/>
  <c r="H18" i="10"/>
  <c r="L17" i="10"/>
  <c r="K17" i="10"/>
  <c r="J17" i="10"/>
  <c r="I17" i="10"/>
  <c r="H17" i="10"/>
  <c r="L16" i="10"/>
  <c r="K16" i="10"/>
  <c r="J16" i="10"/>
  <c r="I16" i="10"/>
  <c r="H16" i="10"/>
  <c r="L15" i="10"/>
  <c r="K15" i="10"/>
  <c r="J15" i="10"/>
  <c r="I15" i="10"/>
  <c r="H15" i="10"/>
  <c r="L14" i="10"/>
  <c r="K14" i="10"/>
  <c r="J14" i="10"/>
  <c r="I14" i="10"/>
  <c r="H14" i="10"/>
  <c r="L13" i="10"/>
  <c r="K13" i="10"/>
  <c r="J13" i="10"/>
  <c r="I13" i="10"/>
  <c r="H13" i="10"/>
  <c r="L12" i="10"/>
  <c r="K12" i="10"/>
  <c r="J12" i="10"/>
  <c r="I12" i="10"/>
  <c r="H12" i="10"/>
  <c r="L11" i="10"/>
  <c r="K11" i="10"/>
  <c r="J11" i="10"/>
  <c r="I11" i="10"/>
  <c r="H11" i="10"/>
  <c r="L10" i="10"/>
  <c r="K10" i="10"/>
  <c r="J10" i="10"/>
  <c r="I10" i="10"/>
  <c r="H10" i="10"/>
  <c r="L9" i="10"/>
  <c r="K9" i="10"/>
  <c r="J9" i="10"/>
  <c r="I9" i="10"/>
  <c r="H9" i="10"/>
  <c r="L8" i="10"/>
  <c r="K8" i="10"/>
  <c r="J8" i="10"/>
  <c r="I8" i="10"/>
  <c r="H8" i="10"/>
  <c r="L7" i="10"/>
  <c r="K7" i="10"/>
  <c r="J7" i="10"/>
  <c r="I7" i="10"/>
  <c r="H7" i="10"/>
  <c r="L6" i="10"/>
  <c r="K6" i="10"/>
  <c r="J6" i="10"/>
  <c r="I6" i="10"/>
  <c r="H6" i="10"/>
  <c r="L5" i="10"/>
  <c r="K5" i="10"/>
  <c r="J5" i="10"/>
  <c r="I5" i="10"/>
  <c r="H5" i="10"/>
  <c r="L4" i="10"/>
  <c r="K4" i="10"/>
  <c r="J4" i="10"/>
  <c r="I4" i="10"/>
  <c r="H4" i="10"/>
  <c r="L3" i="10"/>
  <c r="K3" i="10"/>
  <c r="J3" i="10"/>
  <c r="I3" i="10"/>
  <c r="H3" i="10"/>
  <c r="L2" i="10"/>
  <c r="K2" i="10"/>
  <c r="J2" i="10"/>
  <c r="I2" i="10"/>
  <c r="H2" i="10"/>
</calcChain>
</file>

<file path=xl/sharedStrings.xml><?xml version="1.0" encoding="utf-8"?>
<sst xmlns="http://schemas.openxmlformats.org/spreadsheetml/2006/main" count="2552" uniqueCount="92">
  <si>
    <t>Location</t>
  </si>
  <si>
    <t>Lot</t>
  </si>
  <si>
    <t>Date</t>
  </si>
  <si>
    <t>Ticket#</t>
  </si>
  <si>
    <t>Spot#</t>
  </si>
  <si>
    <t>P total</t>
  </si>
  <si>
    <t>VIP total</t>
  </si>
  <si>
    <t>CAP total</t>
  </si>
  <si>
    <t>By Date</t>
  </si>
  <si>
    <t>P</t>
  </si>
  <si>
    <t>VIP</t>
  </si>
  <si>
    <t>CAP</t>
  </si>
  <si>
    <t>RR Garage</t>
  </si>
  <si>
    <t>Ten22</t>
  </si>
  <si>
    <t>FRONT</t>
  </si>
  <si>
    <t>Month Total:</t>
  </si>
  <si>
    <t>TOTAL</t>
  </si>
  <si>
    <t>HC</t>
  </si>
  <si>
    <t>vip</t>
  </si>
  <si>
    <t>cap</t>
  </si>
  <si>
    <t>front</t>
  </si>
  <si>
    <t>CLOSE</t>
  </si>
  <si>
    <t>LV1BACK</t>
  </si>
  <si>
    <t>UNDERPASS</t>
  </si>
  <si>
    <t>SIDE</t>
  </si>
  <si>
    <t>RR</t>
  </si>
  <si>
    <t>LEVEL 1</t>
  </si>
  <si>
    <t>RR CLOSE</t>
  </si>
  <si>
    <t>FENCE</t>
  </si>
  <si>
    <t>LVL2 LEFT</t>
  </si>
  <si>
    <t>CLOSE MID</t>
  </si>
  <si>
    <t>L2</t>
  </si>
  <si>
    <t>LVL 3 LEFT</t>
  </si>
  <si>
    <t>L2 FAR</t>
  </si>
  <si>
    <t>LVL 1 LEFT</t>
  </si>
  <si>
    <t>L1</t>
  </si>
  <si>
    <t>FLOOR 3 MIDDLE</t>
  </si>
  <si>
    <t>L1 CLOSE</t>
  </si>
  <si>
    <t>L3 RIGHT</t>
  </si>
  <si>
    <t>UNDER BRIDGE</t>
  </si>
  <si>
    <t>UNDER BRIDGE FAR RIGHT</t>
  </si>
  <si>
    <t>61 STICK SHIFT</t>
  </si>
  <si>
    <t>PLOT 38</t>
  </si>
  <si>
    <t>RR F3 STRAIGHT ACROSS</t>
  </si>
  <si>
    <t>L3</t>
  </si>
  <si>
    <t>2ND LEFT</t>
  </si>
  <si>
    <t>3RD</t>
  </si>
  <si>
    <t>L3 TOP</t>
  </si>
  <si>
    <t>L1 BACK</t>
  </si>
  <si>
    <t>RR VIP</t>
  </si>
  <si>
    <t>PILLAR</t>
  </si>
  <si>
    <t>L2LEFT</t>
  </si>
  <si>
    <t>3RD LEVEL</t>
  </si>
  <si>
    <t>L1LEFT</t>
  </si>
  <si>
    <t>2ND</t>
  </si>
  <si>
    <t>STICK SHIFT</t>
  </si>
  <si>
    <t>BP66</t>
  </si>
  <si>
    <t>L1 OVERPASS</t>
  </si>
  <si>
    <t>3RD FLOOR</t>
  </si>
  <si>
    <t>L3 MID</t>
  </si>
  <si>
    <t>L1RIGHT</t>
  </si>
  <si>
    <t>L3 CENTER</t>
  </si>
  <si>
    <t>UNDER OVERPASS</t>
  </si>
  <si>
    <t>L3CENTER</t>
  </si>
  <si>
    <t>L3SIDE</t>
  </si>
  <si>
    <t>L1SIDE</t>
  </si>
  <si>
    <t>L3MID</t>
  </si>
  <si>
    <t>OVERPASS</t>
  </si>
  <si>
    <t>L1BACK</t>
  </si>
  <si>
    <t>L3RAMP</t>
  </si>
  <si>
    <t>L3FRONT</t>
  </si>
  <si>
    <t xml:space="preserve">L3CENTER </t>
  </si>
  <si>
    <t>L3 SIDE</t>
  </si>
  <si>
    <t>L4</t>
  </si>
  <si>
    <t>L2 NORTH MIDDLE</t>
  </si>
  <si>
    <t>L3 BACK RAMP LEADING TO L4</t>
  </si>
  <si>
    <t>L1 ENTRANCE</t>
  </si>
  <si>
    <t>L1 BY T22</t>
  </si>
  <si>
    <t>L3 MIDDLE</t>
  </si>
  <si>
    <t>L3 SOUTH ROW</t>
  </si>
  <si>
    <t>L3 RAMP</t>
  </si>
  <si>
    <t>L3 FRONT</t>
  </si>
  <si>
    <t>L1 NEAR ENTERANCE</t>
  </si>
  <si>
    <t>3SIDE</t>
  </si>
  <si>
    <t>HC66</t>
  </si>
  <si>
    <t>L3S2</t>
  </si>
  <si>
    <t>PILLARS 70</t>
  </si>
  <si>
    <t>FRONT ROW LEFT SIDE</t>
  </si>
  <si>
    <t>FRONT ROW RIGHT SIDE</t>
  </si>
  <si>
    <t>FAR LEFT FRONT ROW</t>
  </si>
  <si>
    <t>B MID</t>
  </si>
  <si>
    <t>C MIDDLE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</si>
</sst>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[$-EE3C00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/>
    <xf numFmtId="0" fontId="1" fillId="0" borderId="2" xfId="0" applyFont="1" applyBorder="1"/>
    <xf numFmtId="165" fontId="0" fillId="0" borderId="1" xfId="0" applyNumberFormat="1" applyBorder="1" applyAlignment="1">
      <alignment horizontal="center"/>
    </xf>
    <xf numFmtId="165" fontId="0" fillId="0" borderId="0" xfId="0" applyNumberFormat="1"/>
    <xf numFmtId="165" fontId="1" fillId="0" borderId="2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6600"/>
      <color rgb="FFFF9933"/>
      <color rgb="FF8A3CC4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4506668294322"/>
  </sheetPr>
  <dimension ref="A1:L776"/>
  <sheetViews>
    <sheetView tabSelected="1" topLeftCell="A394" workbookViewId="0">
      <selection activeCell="G405" sqref="G405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29.7109375" style="3" bestFit="1" customWidth="1"/>
    <col min="4" max="4" width="27.5703125" bestFit="1" customWidth="1"/>
    <col min="5" max="5" width="9.85546875" bestFit="1" customWidth="1"/>
    <col min="7" max="7" width="29.7109375" style="3" bestFit="1" customWidth="1"/>
    <col min="8" max="9" width="4" bestFit="1" customWidth="1"/>
    <col min="10" max="10" width="4.5703125" bestFit="1" customWidth="1"/>
    <col min="11" max="11" width="9.85546875" bestFit="1" customWidth="1"/>
    <col min="12" max="12" width="6.5703125" bestFit="1" customWidth="1"/>
  </cols>
  <sheetData>
    <row r="1" spans="1:12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/>
      <c r="G1" s="2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16</v>
      </c>
    </row>
    <row r="2" spans="1:12" x14ac:dyDescent="0.25">
      <c r="A2" t="s">
        <v>13</v>
      </c>
      <c r="B2">
        <v>2373</v>
      </c>
      <c r="C2" s="3">
        <v>42368</v>
      </c>
      <c r="E2" t="s">
        <v>9</v>
      </c>
      <c r="G2" s="3">
        <v>42339</v>
      </c>
      <c r="H2">
        <f t="shared" ref="H2:H32" si="0">COUNTIFS($E:$E,"P",$C:$C,$G2)</f>
        <v>3</v>
      </c>
      <c r="I2">
        <f t="shared" ref="I2:I32" si="1">COUNTIFS($E:$E,"VIP",$C:$C,$G2)</f>
        <v>5</v>
      </c>
      <c r="J2">
        <f t="shared" ref="J2:J32" si="2">COUNTIFS($E:$E,"CAP",$C:$C,$G2)</f>
        <v>0</v>
      </c>
      <c r="K2">
        <f t="shared" ref="K2:K32" si="3">COUNTIFS($E:$E,"RR Garage",$C:$C,$G2)</f>
        <v>0</v>
      </c>
      <c r="L2">
        <f t="shared" ref="L2:L32" si="4">SUM(H2:K2)</f>
        <v>8</v>
      </c>
    </row>
    <row r="3" spans="1:12" x14ac:dyDescent="0.25">
      <c r="A3" t="s">
        <v>13</v>
      </c>
      <c r="B3">
        <v>2331</v>
      </c>
      <c r="C3" s="3">
        <v>42368</v>
      </c>
      <c r="D3">
        <v>2</v>
      </c>
      <c r="E3" t="s">
        <v>9</v>
      </c>
      <c r="G3" s="3">
        <v>42340</v>
      </c>
      <c r="H3">
        <f t="shared" si="0"/>
        <v>2</v>
      </c>
      <c r="I3">
        <f t="shared" si="1"/>
        <v>6</v>
      </c>
      <c r="J3">
        <f t="shared" si="2"/>
        <v>0</v>
      </c>
      <c r="K3">
        <f t="shared" si="3"/>
        <v>10</v>
      </c>
      <c r="L3">
        <f t="shared" si="4"/>
        <v>18</v>
      </c>
    </row>
    <row r="4" spans="1:12" x14ac:dyDescent="0.25">
      <c r="A4" t="s">
        <v>13</v>
      </c>
      <c r="B4">
        <v>2338</v>
      </c>
      <c r="C4" s="3">
        <v>42368</v>
      </c>
      <c r="E4" t="s">
        <v>10</v>
      </c>
      <c r="G4" s="3">
        <v>42341</v>
      </c>
      <c r="H4">
        <f t="shared" si="0"/>
        <v>21</v>
      </c>
      <c r="I4">
        <f t="shared" si="1"/>
        <v>7</v>
      </c>
      <c r="J4">
        <f t="shared" si="2"/>
        <v>0</v>
      </c>
      <c r="K4">
        <f t="shared" si="3"/>
        <v>2</v>
      </c>
      <c r="L4">
        <f t="shared" si="4"/>
        <v>30</v>
      </c>
    </row>
    <row r="5" spans="1:12" x14ac:dyDescent="0.25">
      <c r="A5" t="s">
        <v>13</v>
      </c>
      <c r="B5">
        <v>2332</v>
      </c>
      <c r="C5" s="3">
        <v>42368</v>
      </c>
      <c r="E5" t="s">
        <v>10</v>
      </c>
      <c r="G5" s="3">
        <v>42342</v>
      </c>
      <c r="H5">
        <f t="shared" si="0"/>
        <v>36</v>
      </c>
      <c r="I5">
        <f t="shared" si="1"/>
        <v>3</v>
      </c>
      <c r="J5">
        <f t="shared" si="2"/>
        <v>0</v>
      </c>
      <c r="K5">
        <f t="shared" si="3"/>
        <v>0</v>
      </c>
      <c r="L5">
        <f t="shared" si="4"/>
        <v>39</v>
      </c>
    </row>
    <row r="6" spans="1:12" x14ac:dyDescent="0.25">
      <c r="A6" t="s">
        <v>13</v>
      </c>
      <c r="B6">
        <v>2331</v>
      </c>
      <c r="C6" s="3">
        <v>42368</v>
      </c>
      <c r="D6">
        <v>1</v>
      </c>
      <c r="E6" t="s">
        <v>9</v>
      </c>
      <c r="G6" s="3">
        <v>42343</v>
      </c>
      <c r="H6">
        <f t="shared" si="0"/>
        <v>4</v>
      </c>
      <c r="I6">
        <f t="shared" si="1"/>
        <v>5</v>
      </c>
      <c r="J6">
        <f t="shared" si="2"/>
        <v>0</v>
      </c>
      <c r="K6">
        <f t="shared" si="3"/>
        <v>14</v>
      </c>
      <c r="L6">
        <f t="shared" si="4"/>
        <v>23</v>
      </c>
    </row>
    <row r="7" spans="1:12" x14ac:dyDescent="0.25">
      <c r="A7" t="s">
        <v>13</v>
      </c>
      <c r="B7">
        <v>2331</v>
      </c>
      <c r="C7" s="3">
        <v>42368</v>
      </c>
      <c r="E7" t="s">
        <v>9</v>
      </c>
      <c r="G7" s="3">
        <v>42344</v>
      </c>
      <c r="H7">
        <f t="shared" si="0"/>
        <v>1</v>
      </c>
      <c r="I7">
        <f t="shared" si="1"/>
        <v>3</v>
      </c>
      <c r="J7">
        <f t="shared" si="2"/>
        <v>0</v>
      </c>
      <c r="K7">
        <f t="shared" si="3"/>
        <v>3</v>
      </c>
      <c r="L7">
        <f t="shared" si="4"/>
        <v>7</v>
      </c>
    </row>
    <row r="8" spans="1:12" x14ac:dyDescent="0.25">
      <c r="A8" t="s">
        <v>13</v>
      </c>
      <c r="B8">
        <v>2331</v>
      </c>
      <c r="C8" s="3">
        <v>42368</v>
      </c>
      <c r="E8" t="s">
        <v>9</v>
      </c>
      <c r="G8" s="3">
        <v>42345</v>
      </c>
      <c r="H8">
        <f t="shared" si="0"/>
        <v>4</v>
      </c>
      <c r="I8">
        <f t="shared" si="1"/>
        <v>3</v>
      </c>
      <c r="J8">
        <f t="shared" si="2"/>
        <v>0</v>
      </c>
      <c r="K8">
        <f t="shared" si="3"/>
        <v>0</v>
      </c>
      <c r="L8">
        <f t="shared" si="4"/>
        <v>7</v>
      </c>
    </row>
    <row r="9" spans="1:12" x14ac:dyDescent="0.25">
      <c r="A9" t="s">
        <v>13</v>
      </c>
      <c r="B9">
        <v>2332</v>
      </c>
      <c r="C9" s="3">
        <v>42368</v>
      </c>
      <c r="E9" t="s">
        <v>9</v>
      </c>
      <c r="G9" s="3">
        <v>42346</v>
      </c>
      <c r="H9">
        <f t="shared" si="0"/>
        <v>19</v>
      </c>
      <c r="I9">
        <f t="shared" si="1"/>
        <v>1</v>
      </c>
      <c r="J9">
        <f t="shared" si="2"/>
        <v>0</v>
      </c>
      <c r="K9">
        <f t="shared" si="3"/>
        <v>0</v>
      </c>
      <c r="L9">
        <f t="shared" si="4"/>
        <v>20</v>
      </c>
    </row>
    <row r="10" spans="1:12" x14ac:dyDescent="0.25">
      <c r="A10" t="s">
        <v>13</v>
      </c>
      <c r="B10">
        <v>2332</v>
      </c>
      <c r="C10" s="3">
        <v>42367</v>
      </c>
      <c r="D10" t="s">
        <v>21</v>
      </c>
      <c r="E10" t="s">
        <v>10</v>
      </c>
      <c r="G10" s="3">
        <v>42347</v>
      </c>
      <c r="H10">
        <f t="shared" si="0"/>
        <v>38</v>
      </c>
      <c r="I10">
        <f t="shared" si="1"/>
        <v>1</v>
      </c>
      <c r="J10">
        <f t="shared" si="2"/>
        <v>0</v>
      </c>
      <c r="K10">
        <f t="shared" si="3"/>
        <v>2</v>
      </c>
      <c r="L10">
        <f t="shared" si="4"/>
        <v>41</v>
      </c>
    </row>
    <row r="11" spans="1:12" x14ac:dyDescent="0.25">
      <c r="A11" t="s">
        <v>13</v>
      </c>
      <c r="B11">
        <v>2373</v>
      </c>
      <c r="C11" s="3">
        <v>42367</v>
      </c>
      <c r="D11" t="s">
        <v>21</v>
      </c>
      <c r="E11" t="s">
        <v>9</v>
      </c>
      <c r="G11" s="3">
        <v>42348</v>
      </c>
      <c r="H11">
        <f t="shared" si="0"/>
        <v>34</v>
      </c>
      <c r="I11">
        <f t="shared" si="1"/>
        <v>3</v>
      </c>
      <c r="J11">
        <f t="shared" si="2"/>
        <v>0</v>
      </c>
      <c r="K11">
        <f t="shared" si="3"/>
        <v>35</v>
      </c>
      <c r="L11">
        <f t="shared" si="4"/>
        <v>72</v>
      </c>
    </row>
    <row r="12" spans="1:12" x14ac:dyDescent="0.25">
      <c r="A12" t="s">
        <v>13</v>
      </c>
      <c r="B12">
        <v>2373</v>
      </c>
      <c r="C12" s="3">
        <v>42367</v>
      </c>
      <c r="E12" t="s">
        <v>9</v>
      </c>
      <c r="G12" s="3">
        <v>42349</v>
      </c>
      <c r="H12">
        <f t="shared" si="0"/>
        <v>6</v>
      </c>
      <c r="I12">
        <f t="shared" si="1"/>
        <v>5</v>
      </c>
      <c r="J12">
        <f t="shared" si="2"/>
        <v>0</v>
      </c>
      <c r="K12">
        <f t="shared" si="3"/>
        <v>43</v>
      </c>
      <c r="L12">
        <f t="shared" si="4"/>
        <v>54</v>
      </c>
    </row>
    <row r="13" spans="1:12" x14ac:dyDescent="0.25">
      <c r="A13" t="s">
        <v>13</v>
      </c>
      <c r="B13">
        <v>2332</v>
      </c>
      <c r="C13" s="3">
        <v>42367</v>
      </c>
      <c r="E13" t="s">
        <v>10</v>
      </c>
      <c r="G13" s="3">
        <v>42350</v>
      </c>
      <c r="H13">
        <f t="shared" si="0"/>
        <v>9</v>
      </c>
      <c r="I13">
        <f t="shared" si="1"/>
        <v>4</v>
      </c>
      <c r="J13">
        <f t="shared" si="2"/>
        <v>0</v>
      </c>
      <c r="K13">
        <f t="shared" si="3"/>
        <v>26</v>
      </c>
      <c r="L13">
        <f t="shared" si="4"/>
        <v>39</v>
      </c>
    </row>
    <row r="14" spans="1:12" x14ac:dyDescent="0.25">
      <c r="A14" t="s">
        <v>13</v>
      </c>
      <c r="B14">
        <v>2374</v>
      </c>
      <c r="C14" s="3">
        <v>42366</v>
      </c>
      <c r="E14" t="s">
        <v>9</v>
      </c>
      <c r="G14" s="3">
        <v>42351</v>
      </c>
      <c r="H14">
        <f t="shared" si="0"/>
        <v>5</v>
      </c>
      <c r="I14">
        <f t="shared" si="1"/>
        <v>1</v>
      </c>
      <c r="J14">
        <f t="shared" si="2"/>
        <v>0</v>
      </c>
      <c r="K14">
        <f t="shared" si="3"/>
        <v>0</v>
      </c>
      <c r="L14">
        <f t="shared" si="4"/>
        <v>6</v>
      </c>
    </row>
    <row r="15" spans="1:12" x14ac:dyDescent="0.25">
      <c r="A15" t="s">
        <v>13</v>
      </c>
      <c r="B15">
        <v>2373</v>
      </c>
      <c r="C15" s="3">
        <v>42366</v>
      </c>
      <c r="E15" t="s">
        <v>9</v>
      </c>
      <c r="G15" s="3">
        <v>42352</v>
      </c>
      <c r="H15">
        <f t="shared" si="0"/>
        <v>9</v>
      </c>
      <c r="I15">
        <f t="shared" si="1"/>
        <v>1</v>
      </c>
      <c r="J15">
        <f t="shared" si="2"/>
        <v>0</v>
      </c>
      <c r="K15">
        <f t="shared" si="3"/>
        <v>7</v>
      </c>
      <c r="L15">
        <f t="shared" si="4"/>
        <v>17</v>
      </c>
    </row>
    <row r="16" spans="1:12" x14ac:dyDescent="0.25">
      <c r="A16" t="s">
        <v>13</v>
      </c>
      <c r="B16">
        <v>2375</v>
      </c>
      <c r="C16" s="3">
        <v>42366</v>
      </c>
      <c r="E16" t="s">
        <v>10</v>
      </c>
      <c r="G16" s="3">
        <v>42353</v>
      </c>
      <c r="H16">
        <f t="shared" si="0"/>
        <v>20</v>
      </c>
      <c r="I16">
        <f t="shared" si="1"/>
        <v>2</v>
      </c>
      <c r="J16">
        <f t="shared" si="2"/>
        <v>0</v>
      </c>
      <c r="K16">
        <f t="shared" si="3"/>
        <v>7</v>
      </c>
      <c r="L16">
        <f t="shared" si="4"/>
        <v>29</v>
      </c>
    </row>
    <row r="17" spans="1:12" x14ac:dyDescent="0.25">
      <c r="A17" t="s">
        <v>13</v>
      </c>
      <c r="B17">
        <v>2374</v>
      </c>
      <c r="C17" s="3">
        <v>42366</v>
      </c>
      <c r="E17" t="s">
        <v>10</v>
      </c>
      <c r="G17" s="3">
        <v>42354</v>
      </c>
      <c r="H17">
        <f t="shared" si="0"/>
        <v>3</v>
      </c>
      <c r="I17">
        <f t="shared" si="1"/>
        <v>0</v>
      </c>
      <c r="J17">
        <f t="shared" si="2"/>
        <v>0</v>
      </c>
      <c r="K17">
        <f t="shared" si="3"/>
        <v>29</v>
      </c>
      <c r="L17">
        <f t="shared" si="4"/>
        <v>32</v>
      </c>
    </row>
    <row r="18" spans="1:12" x14ac:dyDescent="0.25">
      <c r="A18" t="s">
        <v>13</v>
      </c>
      <c r="B18">
        <v>2376</v>
      </c>
      <c r="C18" s="3">
        <v>42365</v>
      </c>
      <c r="E18" t="s">
        <v>10</v>
      </c>
      <c r="G18" s="3">
        <v>42355</v>
      </c>
      <c r="H18">
        <f t="shared" si="0"/>
        <v>17</v>
      </c>
      <c r="I18">
        <f t="shared" si="1"/>
        <v>4</v>
      </c>
      <c r="J18">
        <f t="shared" si="2"/>
        <v>0</v>
      </c>
      <c r="K18">
        <f t="shared" si="3"/>
        <v>27</v>
      </c>
      <c r="L18">
        <f t="shared" si="4"/>
        <v>48</v>
      </c>
    </row>
    <row r="19" spans="1:12" x14ac:dyDescent="0.25">
      <c r="A19" t="s">
        <v>13</v>
      </c>
      <c r="B19">
        <v>2374</v>
      </c>
      <c r="C19" s="3">
        <v>42365</v>
      </c>
      <c r="E19" t="s">
        <v>10</v>
      </c>
      <c r="G19" s="3">
        <v>42356</v>
      </c>
      <c r="H19">
        <f t="shared" si="0"/>
        <v>42</v>
      </c>
      <c r="I19">
        <f t="shared" si="1"/>
        <v>3</v>
      </c>
      <c r="J19">
        <f t="shared" si="2"/>
        <v>0</v>
      </c>
      <c r="K19">
        <f t="shared" si="3"/>
        <v>32</v>
      </c>
      <c r="L19">
        <f t="shared" si="4"/>
        <v>77</v>
      </c>
    </row>
    <row r="20" spans="1:12" x14ac:dyDescent="0.25">
      <c r="A20" t="s">
        <v>13</v>
      </c>
      <c r="B20">
        <v>2375</v>
      </c>
      <c r="C20" s="3">
        <v>42365</v>
      </c>
      <c r="E20" t="s">
        <v>10</v>
      </c>
      <c r="G20" s="3">
        <v>42357</v>
      </c>
      <c r="H20">
        <f t="shared" si="0"/>
        <v>22</v>
      </c>
      <c r="I20">
        <f t="shared" si="1"/>
        <v>7</v>
      </c>
      <c r="J20">
        <f t="shared" si="2"/>
        <v>0</v>
      </c>
      <c r="K20">
        <f t="shared" si="3"/>
        <v>17</v>
      </c>
      <c r="L20">
        <f t="shared" si="4"/>
        <v>46</v>
      </c>
    </row>
    <row r="21" spans="1:12" x14ac:dyDescent="0.25">
      <c r="A21" t="s">
        <v>13</v>
      </c>
      <c r="B21">
        <v>2374</v>
      </c>
      <c r="C21" s="3">
        <v>42365</v>
      </c>
      <c r="E21" t="s">
        <v>10</v>
      </c>
      <c r="G21" s="3">
        <v>42358</v>
      </c>
      <c r="H21">
        <f t="shared" si="0"/>
        <v>1</v>
      </c>
      <c r="I21">
        <f t="shared" si="1"/>
        <v>3</v>
      </c>
      <c r="J21">
        <f t="shared" si="2"/>
        <v>0</v>
      </c>
      <c r="K21">
        <f t="shared" si="3"/>
        <v>10</v>
      </c>
      <c r="L21">
        <f t="shared" si="4"/>
        <v>14</v>
      </c>
    </row>
    <row r="22" spans="1:12" x14ac:dyDescent="0.25">
      <c r="A22" t="s">
        <v>13</v>
      </c>
      <c r="B22">
        <v>2373</v>
      </c>
      <c r="C22" s="3">
        <v>42365</v>
      </c>
      <c r="D22">
        <v>41</v>
      </c>
      <c r="E22" t="s">
        <v>9</v>
      </c>
      <c r="G22" s="3">
        <v>42359</v>
      </c>
      <c r="H22">
        <f t="shared" si="0"/>
        <v>2</v>
      </c>
      <c r="I22">
        <f t="shared" si="1"/>
        <v>9</v>
      </c>
      <c r="J22">
        <f t="shared" si="2"/>
        <v>0</v>
      </c>
      <c r="K22">
        <f t="shared" si="3"/>
        <v>7</v>
      </c>
      <c r="L22">
        <f t="shared" si="4"/>
        <v>18</v>
      </c>
    </row>
    <row r="23" spans="1:12" x14ac:dyDescent="0.25">
      <c r="A23" t="s">
        <v>13</v>
      </c>
      <c r="B23">
        <v>2370</v>
      </c>
      <c r="C23" s="3">
        <v>42365</v>
      </c>
      <c r="D23">
        <v>23</v>
      </c>
      <c r="E23" t="s">
        <v>9</v>
      </c>
      <c r="G23" s="3">
        <v>42360</v>
      </c>
      <c r="H23">
        <f t="shared" si="0"/>
        <v>8</v>
      </c>
      <c r="I23">
        <f t="shared" si="1"/>
        <v>8</v>
      </c>
      <c r="J23">
        <f t="shared" si="2"/>
        <v>0</v>
      </c>
      <c r="K23">
        <f t="shared" si="3"/>
        <v>16</v>
      </c>
      <c r="L23">
        <f t="shared" si="4"/>
        <v>32</v>
      </c>
    </row>
    <row r="24" spans="1:12" x14ac:dyDescent="0.25">
      <c r="A24" t="s">
        <v>13</v>
      </c>
      <c r="B24">
        <v>2371</v>
      </c>
      <c r="C24" s="3">
        <v>42365</v>
      </c>
      <c r="D24">
        <v>28</v>
      </c>
      <c r="E24" t="s">
        <v>9</v>
      </c>
      <c r="G24" s="3">
        <v>42361</v>
      </c>
      <c r="H24">
        <f t="shared" si="0"/>
        <v>6</v>
      </c>
      <c r="I24">
        <f t="shared" si="1"/>
        <v>1</v>
      </c>
      <c r="J24">
        <f t="shared" si="2"/>
        <v>0</v>
      </c>
      <c r="K24">
        <f t="shared" si="3"/>
        <v>15</v>
      </c>
      <c r="L24">
        <f t="shared" si="4"/>
        <v>22</v>
      </c>
    </row>
    <row r="25" spans="1:12" x14ac:dyDescent="0.25">
      <c r="A25" t="s">
        <v>13</v>
      </c>
      <c r="B25">
        <v>2335</v>
      </c>
      <c r="C25" s="3">
        <v>42365</v>
      </c>
      <c r="D25" t="s">
        <v>10</v>
      </c>
      <c r="E25" t="s">
        <v>10</v>
      </c>
      <c r="G25" s="3">
        <v>42362</v>
      </c>
      <c r="H25">
        <f t="shared" si="0"/>
        <v>22</v>
      </c>
      <c r="I25">
        <f t="shared" si="1"/>
        <v>3</v>
      </c>
      <c r="J25">
        <f t="shared" si="2"/>
        <v>0</v>
      </c>
      <c r="K25">
        <f t="shared" si="3"/>
        <v>7</v>
      </c>
      <c r="L25">
        <f t="shared" si="4"/>
        <v>32</v>
      </c>
    </row>
    <row r="26" spans="1:12" x14ac:dyDescent="0.25">
      <c r="A26" t="s">
        <v>13</v>
      </c>
      <c r="B26">
        <v>2337</v>
      </c>
      <c r="C26" s="3">
        <v>42365</v>
      </c>
      <c r="D26">
        <v>7</v>
      </c>
      <c r="E26" t="s">
        <v>9</v>
      </c>
      <c r="G26" s="3">
        <v>42363</v>
      </c>
      <c r="H26">
        <f t="shared" si="0"/>
        <v>0</v>
      </c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0</v>
      </c>
    </row>
    <row r="27" spans="1:12" x14ac:dyDescent="0.25">
      <c r="A27" t="s">
        <v>13</v>
      </c>
      <c r="B27">
        <v>2338</v>
      </c>
      <c r="C27" s="3">
        <v>42365</v>
      </c>
      <c r="D27">
        <v>6</v>
      </c>
      <c r="E27" t="s">
        <v>9</v>
      </c>
      <c r="G27" s="3">
        <v>42364</v>
      </c>
      <c r="H27">
        <f t="shared" si="0"/>
        <v>11</v>
      </c>
      <c r="I27">
        <f t="shared" si="1"/>
        <v>1</v>
      </c>
      <c r="J27">
        <f t="shared" si="2"/>
        <v>0</v>
      </c>
      <c r="K27">
        <f t="shared" si="3"/>
        <v>5</v>
      </c>
      <c r="L27">
        <f t="shared" si="4"/>
        <v>17</v>
      </c>
    </row>
    <row r="28" spans="1:12" x14ac:dyDescent="0.25">
      <c r="A28" t="s">
        <v>13</v>
      </c>
      <c r="B28">
        <v>2339</v>
      </c>
      <c r="C28" s="3">
        <v>42365</v>
      </c>
      <c r="D28">
        <v>38</v>
      </c>
      <c r="E28" t="s">
        <v>9</v>
      </c>
      <c r="G28" s="3">
        <v>42365</v>
      </c>
      <c r="H28">
        <f t="shared" si="0"/>
        <v>6</v>
      </c>
      <c r="I28">
        <f t="shared" si="1"/>
        <v>5</v>
      </c>
      <c r="J28">
        <f t="shared" si="2"/>
        <v>0</v>
      </c>
      <c r="K28">
        <f t="shared" si="3"/>
        <v>0</v>
      </c>
      <c r="L28">
        <f t="shared" si="4"/>
        <v>11</v>
      </c>
    </row>
    <row r="29" spans="1:12" x14ac:dyDescent="0.25">
      <c r="A29" t="s">
        <v>13</v>
      </c>
      <c r="B29">
        <v>2331</v>
      </c>
      <c r="C29" s="3">
        <v>42364</v>
      </c>
      <c r="E29" t="s">
        <v>9</v>
      </c>
      <c r="G29" s="3">
        <v>42366</v>
      </c>
      <c r="H29">
        <f t="shared" si="0"/>
        <v>2</v>
      </c>
      <c r="I29">
        <f t="shared" si="1"/>
        <v>2</v>
      </c>
      <c r="J29">
        <f t="shared" si="2"/>
        <v>0</v>
      </c>
      <c r="K29">
        <f t="shared" si="3"/>
        <v>0</v>
      </c>
      <c r="L29">
        <f t="shared" si="4"/>
        <v>4</v>
      </c>
    </row>
    <row r="30" spans="1:12" x14ac:dyDescent="0.25">
      <c r="A30" t="s">
        <v>13</v>
      </c>
      <c r="B30">
        <v>2335</v>
      </c>
      <c r="C30" s="3">
        <v>42364</v>
      </c>
      <c r="E30" t="s">
        <v>9</v>
      </c>
      <c r="G30" s="3">
        <v>42367</v>
      </c>
      <c r="H30">
        <f t="shared" si="0"/>
        <v>2</v>
      </c>
      <c r="I30">
        <f t="shared" si="1"/>
        <v>2</v>
      </c>
      <c r="J30">
        <f t="shared" si="2"/>
        <v>0</v>
      </c>
      <c r="K30">
        <f t="shared" si="3"/>
        <v>0</v>
      </c>
      <c r="L30">
        <f t="shared" si="4"/>
        <v>4</v>
      </c>
    </row>
    <row r="31" spans="1:12" x14ac:dyDescent="0.25">
      <c r="A31" t="s">
        <v>13</v>
      </c>
      <c r="B31">
        <v>2339</v>
      </c>
      <c r="C31" s="3">
        <v>42364</v>
      </c>
      <c r="E31" t="s">
        <v>9</v>
      </c>
      <c r="G31" s="3">
        <v>42368</v>
      </c>
      <c r="H31">
        <f t="shared" si="0"/>
        <v>6</v>
      </c>
      <c r="I31">
        <f t="shared" si="1"/>
        <v>2</v>
      </c>
      <c r="J31">
        <f t="shared" si="2"/>
        <v>0</v>
      </c>
      <c r="K31">
        <f t="shared" si="3"/>
        <v>0</v>
      </c>
      <c r="L31">
        <f t="shared" si="4"/>
        <v>8</v>
      </c>
    </row>
    <row r="32" spans="1:12" x14ac:dyDescent="0.25">
      <c r="A32" t="s">
        <v>13</v>
      </c>
      <c r="B32">
        <v>2334</v>
      </c>
      <c r="C32" s="3">
        <v>42364</v>
      </c>
      <c r="E32" t="s">
        <v>9</v>
      </c>
      <c r="G32" s="3">
        <v>42369</v>
      </c>
      <c r="H32">
        <f t="shared" si="0"/>
        <v>0</v>
      </c>
      <c r="I32">
        <f t="shared" si="1"/>
        <v>0</v>
      </c>
      <c r="J32">
        <f t="shared" si="2"/>
        <v>0</v>
      </c>
      <c r="K32">
        <f t="shared" si="3"/>
        <v>0</v>
      </c>
      <c r="L32">
        <f t="shared" si="4"/>
        <v>0</v>
      </c>
    </row>
    <row r="33" spans="1:12" x14ac:dyDescent="0.25">
      <c r="A33" t="s">
        <v>13</v>
      </c>
      <c r="B33">
        <v>2338</v>
      </c>
      <c r="C33" s="3">
        <v>42364</v>
      </c>
      <c r="E33" t="s">
        <v>9</v>
      </c>
      <c r="G33" s="8" t="s">
        <v>15</v>
      </c>
      <c r="H33" s="4">
        <f>SUM(H2:H32)</f>
        <v>361</v>
      </c>
      <c r="I33" s="4">
        <f>SUM(I2:I32)</f>
        <v>100</v>
      </c>
      <c r="J33" s="4">
        <f>SUM(J2:J32)</f>
        <v>0</v>
      </c>
      <c r="K33" s="4">
        <f>SUM(K2:K32)</f>
        <v>314</v>
      </c>
      <c r="L33" s="4">
        <f>SUM(L2:L32)</f>
        <v>775</v>
      </c>
    </row>
    <row r="34" spans="1:12" x14ac:dyDescent="0.25">
      <c r="A34" t="s">
        <v>13</v>
      </c>
      <c r="B34">
        <v>2337</v>
      </c>
      <c r="C34" s="3">
        <v>42364</v>
      </c>
      <c r="E34" t="s">
        <v>9</v>
      </c>
    </row>
    <row r="35" spans="1:12" x14ac:dyDescent="0.25">
      <c r="A35" t="s">
        <v>13</v>
      </c>
      <c r="B35">
        <v>2336</v>
      </c>
      <c r="C35" s="3">
        <v>42364</v>
      </c>
      <c r="E35" t="s">
        <v>9</v>
      </c>
    </row>
    <row r="36" spans="1:12" x14ac:dyDescent="0.25">
      <c r="A36" t="s">
        <v>13</v>
      </c>
      <c r="B36">
        <v>2331</v>
      </c>
      <c r="C36" s="3">
        <v>42364</v>
      </c>
      <c r="E36" t="s">
        <v>9</v>
      </c>
    </row>
    <row r="37" spans="1:12" x14ac:dyDescent="0.25">
      <c r="A37" t="s">
        <v>13</v>
      </c>
      <c r="B37">
        <v>2332</v>
      </c>
      <c r="C37" s="3">
        <v>42364</v>
      </c>
      <c r="E37" t="s">
        <v>9</v>
      </c>
    </row>
    <row r="38" spans="1:12" x14ac:dyDescent="0.25">
      <c r="A38" t="s">
        <v>13</v>
      </c>
      <c r="B38">
        <v>2334</v>
      </c>
      <c r="C38" s="3">
        <v>42364</v>
      </c>
      <c r="E38" t="s">
        <v>9</v>
      </c>
    </row>
    <row r="39" spans="1:12" x14ac:dyDescent="0.25">
      <c r="A39" t="s">
        <v>13</v>
      </c>
      <c r="B39">
        <v>2335</v>
      </c>
      <c r="C39" s="3">
        <v>42364</v>
      </c>
      <c r="E39" t="s">
        <v>9</v>
      </c>
    </row>
    <row r="40" spans="1:12" x14ac:dyDescent="0.25">
      <c r="A40" t="s">
        <v>13</v>
      </c>
      <c r="B40">
        <v>2336</v>
      </c>
      <c r="C40" s="3">
        <v>42364</v>
      </c>
      <c r="D40" t="s">
        <v>10</v>
      </c>
      <c r="E40" t="s">
        <v>10</v>
      </c>
    </row>
    <row r="41" spans="1:12" x14ac:dyDescent="0.25">
      <c r="A41" t="s">
        <v>13</v>
      </c>
      <c r="B41">
        <v>2335</v>
      </c>
      <c r="C41" s="3">
        <v>42364</v>
      </c>
      <c r="D41" t="s">
        <v>22</v>
      </c>
      <c r="E41" t="s">
        <v>12</v>
      </c>
    </row>
    <row r="42" spans="1:12" x14ac:dyDescent="0.25">
      <c r="A42" t="s">
        <v>13</v>
      </c>
      <c r="B42">
        <v>2331</v>
      </c>
      <c r="C42" s="3">
        <v>42364</v>
      </c>
      <c r="D42" t="s">
        <v>22</v>
      </c>
      <c r="E42" t="s">
        <v>12</v>
      </c>
    </row>
    <row r="43" spans="1:12" x14ac:dyDescent="0.25">
      <c r="A43" t="s">
        <v>13</v>
      </c>
      <c r="B43">
        <v>2332</v>
      </c>
      <c r="C43" s="3">
        <v>42364</v>
      </c>
      <c r="D43" t="s">
        <v>23</v>
      </c>
      <c r="E43" t="s">
        <v>12</v>
      </c>
    </row>
    <row r="44" spans="1:12" x14ac:dyDescent="0.25">
      <c r="A44" t="s">
        <v>13</v>
      </c>
      <c r="B44">
        <v>2334</v>
      </c>
      <c r="C44" s="3">
        <v>42364</v>
      </c>
      <c r="D44" t="s">
        <v>23</v>
      </c>
      <c r="E44" t="s">
        <v>12</v>
      </c>
    </row>
    <row r="45" spans="1:12" x14ac:dyDescent="0.25">
      <c r="A45" t="s">
        <v>13</v>
      </c>
      <c r="B45">
        <v>2356</v>
      </c>
      <c r="C45" s="3">
        <v>42364</v>
      </c>
      <c r="D45" t="s">
        <v>23</v>
      </c>
      <c r="E45" t="s">
        <v>12</v>
      </c>
    </row>
    <row r="46" spans="1:12" x14ac:dyDescent="0.25">
      <c r="A46" t="s">
        <v>13</v>
      </c>
      <c r="B46">
        <v>2376</v>
      </c>
      <c r="C46" s="3">
        <v>42362</v>
      </c>
      <c r="E46" t="s">
        <v>9</v>
      </c>
    </row>
    <row r="47" spans="1:12" x14ac:dyDescent="0.25">
      <c r="A47" t="s">
        <v>13</v>
      </c>
      <c r="B47">
        <v>2326</v>
      </c>
      <c r="C47" s="3">
        <v>42362</v>
      </c>
      <c r="E47" t="s">
        <v>9</v>
      </c>
    </row>
    <row r="48" spans="1:12" x14ac:dyDescent="0.25">
      <c r="A48" t="s">
        <v>13</v>
      </c>
      <c r="B48">
        <v>2350</v>
      </c>
      <c r="C48" s="3">
        <v>42362</v>
      </c>
      <c r="E48" t="s">
        <v>9</v>
      </c>
    </row>
    <row r="49" spans="1:5" x14ac:dyDescent="0.25">
      <c r="A49" t="s">
        <v>13</v>
      </c>
      <c r="B49">
        <v>2322</v>
      </c>
      <c r="C49" s="3">
        <v>42362</v>
      </c>
      <c r="E49" t="s">
        <v>9</v>
      </c>
    </row>
    <row r="50" spans="1:5" x14ac:dyDescent="0.25">
      <c r="A50" t="s">
        <v>13</v>
      </c>
      <c r="B50">
        <v>2354</v>
      </c>
      <c r="C50" s="3">
        <v>42362</v>
      </c>
      <c r="E50" t="s">
        <v>9</v>
      </c>
    </row>
    <row r="51" spans="1:5" x14ac:dyDescent="0.25">
      <c r="A51" t="s">
        <v>13</v>
      </c>
      <c r="B51">
        <v>2353</v>
      </c>
      <c r="C51" s="3">
        <v>42362</v>
      </c>
      <c r="E51" t="s">
        <v>9</v>
      </c>
    </row>
    <row r="52" spans="1:5" x14ac:dyDescent="0.25">
      <c r="A52" t="s">
        <v>13</v>
      </c>
      <c r="B52">
        <v>2367</v>
      </c>
      <c r="C52" s="3">
        <v>42362</v>
      </c>
      <c r="E52" t="s">
        <v>12</v>
      </c>
    </row>
    <row r="53" spans="1:5" x14ac:dyDescent="0.25">
      <c r="A53" t="s">
        <v>13</v>
      </c>
      <c r="B53">
        <v>2366</v>
      </c>
      <c r="C53" s="3">
        <v>42362</v>
      </c>
      <c r="E53" t="s">
        <v>9</v>
      </c>
    </row>
    <row r="54" spans="1:5" x14ac:dyDescent="0.25">
      <c r="A54" t="s">
        <v>13</v>
      </c>
      <c r="B54">
        <v>2360</v>
      </c>
      <c r="C54" s="3">
        <v>42362</v>
      </c>
      <c r="E54" t="s">
        <v>9</v>
      </c>
    </row>
    <row r="55" spans="1:5" x14ac:dyDescent="0.25">
      <c r="A55" t="s">
        <v>13</v>
      </c>
      <c r="B55">
        <v>2359</v>
      </c>
      <c r="C55" s="3">
        <v>42362</v>
      </c>
      <c r="E55" t="s">
        <v>9</v>
      </c>
    </row>
    <row r="56" spans="1:5" x14ac:dyDescent="0.25">
      <c r="A56" t="s">
        <v>13</v>
      </c>
      <c r="B56">
        <v>2387</v>
      </c>
      <c r="C56" s="3">
        <v>42362</v>
      </c>
      <c r="E56" t="s">
        <v>9</v>
      </c>
    </row>
    <row r="57" spans="1:5" x14ac:dyDescent="0.25">
      <c r="A57" t="s">
        <v>13</v>
      </c>
      <c r="B57">
        <v>2362</v>
      </c>
      <c r="C57" s="3">
        <v>42362</v>
      </c>
      <c r="E57" t="s">
        <v>9</v>
      </c>
    </row>
    <row r="58" spans="1:5" x14ac:dyDescent="0.25">
      <c r="A58" t="s">
        <v>13</v>
      </c>
      <c r="B58">
        <v>2345</v>
      </c>
      <c r="C58" s="3">
        <v>42362</v>
      </c>
      <c r="E58" t="s">
        <v>9</v>
      </c>
    </row>
    <row r="59" spans="1:5" x14ac:dyDescent="0.25">
      <c r="A59" t="s">
        <v>13</v>
      </c>
      <c r="B59">
        <v>2371</v>
      </c>
      <c r="C59" s="3">
        <v>42362</v>
      </c>
      <c r="E59" t="s">
        <v>9</v>
      </c>
    </row>
    <row r="60" spans="1:5" x14ac:dyDescent="0.25">
      <c r="A60" t="s">
        <v>13</v>
      </c>
      <c r="B60">
        <v>2384</v>
      </c>
      <c r="C60" s="3">
        <v>42362</v>
      </c>
      <c r="E60" t="s">
        <v>9</v>
      </c>
    </row>
    <row r="61" spans="1:5" x14ac:dyDescent="0.25">
      <c r="A61" t="s">
        <v>13</v>
      </c>
      <c r="B61">
        <v>2355</v>
      </c>
      <c r="C61" s="3">
        <v>42362</v>
      </c>
      <c r="E61" t="s">
        <v>9</v>
      </c>
    </row>
    <row r="62" spans="1:5" x14ac:dyDescent="0.25">
      <c r="A62" t="s">
        <v>13</v>
      </c>
      <c r="B62">
        <v>2340</v>
      </c>
      <c r="C62" s="3">
        <v>42362</v>
      </c>
      <c r="E62" t="s">
        <v>9</v>
      </c>
    </row>
    <row r="63" spans="1:5" x14ac:dyDescent="0.25">
      <c r="A63" t="s">
        <v>13</v>
      </c>
      <c r="B63">
        <v>2394</v>
      </c>
      <c r="C63" s="3">
        <v>42362</v>
      </c>
      <c r="E63" t="s">
        <v>12</v>
      </c>
    </row>
    <row r="64" spans="1:5" x14ac:dyDescent="0.25">
      <c r="A64" t="s">
        <v>13</v>
      </c>
      <c r="B64">
        <v>2376</v>
      </c>
      <c r="C64" s="3">
        <v>42362</v>
      </c>
      <c r="E64" t="s">
        <v>12</v>
      </c>
    </row>
    <row r="65" spans="1:5" x14ac:dyDescent="0.25">
      <c r="A65" t="s">
        <v>13</v>
      </c>
      <c r="B65">
        <v>2377</v>
      </c>
      <c r="C65" s="3">
        <v>42362</v>
      </c>
      <c r="E65" t="s">
        <v>12</v>
      </c>
    </row>
    <row r="66" spans="1:5" x14ac:dyDescent="0.25">
      <c r="A66" t="s">
        <v>13</v>
      </c>
      <c r="B66">
        <v>2346</v>
      </c>
      <c r="C66" s="3">
        <v>42362</v>
      </c>
      <c r="E66" t="s">
        <v>9</v>
      </c>
    </row>
    <row r="67" spans="1:5" x14ac:dyDescent="0.25">
      <c r="A67" t="s">
        <v>13</v>
      </c>
      <c r="B67">
        <v>2360</v>
      </c>
      <c r="C67" s="3">
        <v>42362</v>
      </c>
      <c r="E67" t="s">
        <v>9</v>
      </c>
    </row>
    <row r="68" spans="1:5" x14ac:dyDescent="0.25">
      <c r="A68" t="s">
        <v>13</v>
      </c>
      <c r="B68">
        <v>2369</v>
      </c>
      <c r="C68" s="3">
        <v>42362</v>
      </c>
      <c r="E68" t="s">
        <v>12</v>
      </c>
    </row>
    <row r="69" spans="1:5" x14ac:dyDescent="0.25">
      <c r="A69" t="s">
        <v>13</v>
      </c>
      <c r="B69">
        <v>2368</v>
      </c>
      <c r="C69" s="3">
        <v>42362</v>
      </c>
      <c r="E69" t="s">
        <v>9</v>
      </c>
    </row>
    <row r="70" spans="1:5" x14ac:dyDescent="0.25">
      <c r="A70" t="s">
        <v>13</v>
      </c>
      <c r="B70">
        <v>2362</v>
      </c>
      <c r="C70" s="3">
        <v>42362</v>
      </c>
      <c r="E70" t="s">
        <v>9</v>
      </c>
    </row>
    <row r="71" spans="1:5" x14ac:dyDescent="0.25">
      <c r="A71" t="s">
        <v>13</v>
      </c>
      <c r="B71">
        <v>2371</v>
      </c>
      <c r="C71" s="3">
        <v>42362</v>
      </c>
      <c r="E71" t="s">
        <v>9</v>
      </c>
    </row>
    <row r="72" spans="1:5" x14ac:dyDescent="0.25">
      <c r="A72" t="s">
        <v>13</v>
      </c>
      <c r="B72">
        <v>2345</v>
      </c>
      <c r="C72" s="3">
        <v>42362</v>
      </c>
      <c r="E72" t="s">
        <v>12</v>
      </c>
    </row>
    <row r="73" spans="1:5" x14ac:dyDescent="0.25">
      <c r="A73" t="s">
        <v>13</v>
      </c>
      <c r="B73">
        <v>2355</v>
      </c>
      <c r="C73" s="3">
        <v>42362</v>
      </c>
      <c r="E73" t="s">
        <v>12</v>
      </c>
    </row>
    <row r="74" spans="1:5" x14ac:dyDescent="0.25">
      <c r="A74" t="s">
        <v>13</v>
      </c>
      <c r="B74">
        <v>2350</v>
      </c>
      <c r="C74" s="3">
        <v>42362</v>
      </c>
      <c r="E74" t="s">
        <v>9</v>
      </c>
    </row>
    <row r="75" spans="1:5" x14ac:dyDescent="0.25">
      <c r="A75" t="s">
        <v>13</v>
      </c>
      <c r="B75">
        <v>2350</v>
      </c>
      <c r="C75" s="3">
        <v>42362</v>
      </c>
      <c r="D75" t="s">
        <v>10</v>
      </c>
      <c r="E75" t="s">
        <v>10</v>
      </c>
    </row>
    <row r="76" spans="1:5" x14ac:dyDescent="0.25">
      <c r="A76" t="s">
        <v>13</v>
      </c>
      <c r="B76">
        <v>2355</v>
      </c>
      <c r="C76" s="3">
        <v>42362</v>
      </c>
      <c r="D76" t="s">
        <v>10</v>
      </c>
      <c r="E76" t="s">
        <v>10</v>
      </c>
    </row>
    <row r="77" spans="1:5" x14ac:dyDescent="0.25">
      <c r="A77" t="s">
        <v>13</v>
      </c>
      <c r="B77">
        <v>2377</v>
      </c>
      <c r="C77" s="3">
        <v>42362</v>
      </c>
      <c r="D77" t="s">
        <v>10</v>
      </c>
      <c r="E77" t="s">
        <v>10</v>
      </c>
    </row>
    <row r="78" spans="1:5" x14ac:dyDescent="0.25">
      <c r="A78" t="s">
        <v>13</v>
      </c>
      <c r="B78">
        <v>2377</v>
      </c>
      <c r="C78" s="3">
        <v>42361</v>
      </c>
      <c r="E78" t="s">
        <v>9</v>
      </c>
    </row>
    <row r="79" spans="1:5" x14ac:dyDescent="0.25">
      <c r="A79" t="s">
        <v>13</v>
      </c>
      <c r="B79">
        <v>2362</v>
      </c>
      <c r="C79" s="3">
        <v>42361</v>
      </c>
      <c r="E79" t="s">
        <v>12</v>
      </c>
    </row>
    <row r="80" spans="1:5" x14ac:dyDescent="0.25">
      <c r="A80" t="s">
        <v>13</v>
      </c>
      <c r="B80">
        <v>2367</v>
      </c>
      <c r="C80" s="3">
        <v>42361</v>
      </c>
      <c r="E80" t="s">
        <v>9</v>
      </c>
    </row>
    <row r="81" spans="1:5" x14ac:dyDescent="0.25">
      <c r="A81" t="s">
        <v>13</v>
      </c>
      <c r="B81">
        <v>2368</v>
      </c>
      <c r="C81" s="3">
        <v>42361</v>
      </c>
      <c r="E81" t="s">
        <v>12</v>
      </c>
    </row>
    <row r="82" spans="1:5" x14ac:dyDescent="0.25">
      <c r="A82" t="s">
        <v>13</v>
      </c>
      <c r="B82">
        <v>2376</v>
      </c>
      <c r="C82" s="3">
        <v>42361</v>
      </c>
      <c r="E82" t="s">
        <v>12</v>
      </c>
    </row>
    <row r="83" spans="1:5" x14ac:dyDescent="0.25">
      <c r="A83" t="s">
        <v>13</v>
      </c>
      <c r="B83">
        <v>2384</v>
      </c>
      <c r="C83" s="3">
        <v>42361</v>
      </c>
      <c r="E83" t="s">
        <v>12</v>
      </c>
    </row>
    <row r="84" spans="1:5" x14ac:dyDescent="0.25">
      <c r="A84" t="s">
        <v>13</v>
      </c>
      <c r="B84">
        <v>2366</v>
      </c>
      <c r="C84" s="3">
        <v>42361</v>
      </c>
      <c r="E84" t="s">
        <v>12</v>
      </c>
    </row>
    <row r="85" spans="1:5" x14ac:dyDescent="0.25">
      <c r="A85" t="s">
        <v>13</v>
      </c>
      <c r="B85">
        <v>2387</v>
      </c>
      <c r="C85" s="3">
        <v>42361</v>
      </c>
      <c r="E85" t="s">
        <v>12</v>
      </c>
    </row>
    <row r="86" spans="1:5" x14ac:dyDescent="0.25">
      <c r="A86" t="s">
        <v>13</v>
      </c>
      <c r="B86">
        <v>2369</v>
      </c>
      <c r="C86" s="3">
        <v>42361</v>
      </c>
      <c r="E86" t="s">
        <v>12</v>
      </c>
    </row>
    <row r="87" spans="1:5" x14ac:dyDescent="0.25">
      <c r="A87" t="s">
        <v>13</v>
      </c>
      <c r="B87">
        <v>2359</v>
      </c>
      <c r="C87" s="3">
        <v>42361</v>
      </c>
      <c r="E87" t="s">
        <v>12</v>
      </c>
    </row>
    <row r="88" spans="1:5" x14ac:dyDescent="0.25">
      <c r="A88" t="s">
        <v>13</v>
      </c>
      <c r="B88">
        <v>2358</v>
      </c>
      <c r="C88" s="3">
        <v>42361</v>
      </c>
      <c r="E88" t="s">
        <v>12</v>
      </c>
    </row>
    <row r="89" spans="1:5" x14ac:dyDescent="0.25">
      <c r="A89" t="s">
        <v>13</v>
      </c>
      <c r="B89">
        <v>2357</v>
      </c>
      <c r="C89" s="3">
        <v>42361</v>
      </c>
      <c r="E89" t="s">
        <v>12</v>
      </c>
    </row>
    <row r="90" spans="1:5" x14ac:dyDescent="0.25">
      <c r="A90" t="s">
        <v>13</v>
      </c>
      <c r="B90">
        <v>2356</v>
      </c>
      <c r="C90" s="3">
        <v>42361</v>
      </c>
      <c r="E90" t="s">
        <v>12</v>
      </c>
    </row>
    <row r="91" spans="1:5" x14ac:dyDescent="0.25">
      <c r="A91" t="s">
        <v>13</v>
      </c>
      <c r="B91">
        <v>2355</v>
      </c>
      <c r="C91" s="3">
        <v>42361</v>
      </c>
      <c r="E91" t="s">
        <v>12</v>
      </c>
    </row>
    <row r="92" spans="1:5" x14ac:dyDescent="0.25">
      <c r="A92" t="s">
        <v>13</v>
      </c>
      <c r="B92">
        <v>2354</v>
      </c>
      <c r="C92" s="3">
        <v>42361</v>
      </c>
      <c r="E92" t="s">
        <v>9</v>
      </c>
    </row>
    <row r="93" spans="1:5" x14ac:dyDescent="0.25">
      <c r="A93" t="s">
        <v>13</v>
      </c>
      <c r="B93">
        <v>2353</v>
      </c>
      <c r="C93" s="3">
        <v>42361</v>
      </c>
      <c r="E93" t="s">
        <v>12</v>
      </c>
    </row>
    <row r="94" spans="1:5" x14ac:dyDescent="0.25">
      <c r="A94" t="s">
        <v>13</v>
      </c>
      <c r="B94">
        <v>2350</v>
      </c>
      <c r="C94" s="3">
        <v>42361</v>
      </c>
      <c r="E94" t="s">
        <v>12</v>
      </c>
    </row>
    <row r="95" spans="1:5" x14ac:dyDescent="0.25">
      <c r="A95" t="s">
        <v>13</v>
      </c>
      <c r="B95">
        <v>2347</v>
      </c>
      <c r="C95" s="3">
        <v>42361</v>
      </c>
      <c r="D95" t="s">
        <v>24</v>
      </c>
      <c r="E95" t="s">
        <v>12</v>
      </c>
    </row>
    <row r="96" spans="1:5" x14ac:dyDescent="0.25">
      <c r="A96" t="s">
        <v>13</v>
      </c>
      <c r="B96">
        <v>2360</v>
      </c>
      <c r="C96" s="3">
        <v>42361</v>
      </c>
      <c r="E96" t="s">
        <v>9</v>
      </c>
    </row>
    <row r="97" spans="1:5" x14ac:dyDescent="0.25">
      <c r="A97" t="s">
        <v>13</v>
      </c>
      <c r="B97">
        <v>2346</v>
      </c>
      <c r="C97" s="3">
        <v>42361</v>
      </c>
      <c r="E97" t="s">
        <v>10</v>
      </c>
    </row>
    <row r="98" spans="1:5" x14ac:dyDescent="0.25">
      <c r="A98" t="s">
        <v>13</v>
      </c>
      <c r="B98">
        <v>2359</v>
      </c>
      <c r="C98" s="3">
        <v>42361</v>
      </c>
      <c r="D98">
        <v>55</v>
      </c>
      <c r="E98" t="s">
        <v>9</v>
      </c>
    </row>
    <row r="99" spans="1:5" x14ac:dyDescent="0.25">
      <c r="A99" t="s">
        <v>13</v>
      </c>
      <c r="B99">
        <v>2346</v>
      </c>
      <c r="C99" s="3">
        <v>42361</v>
      </c>
      <c r="D99">
        <v>23</v>
      </c>
      <c r="E99" t="s">
        <v>9</v>
      </c>
    </row>
    <row r="100" spans="1:5" x14ac:dyDescent="0.25">
      <c r="A100" t="s">
        <v>13</v>
      </c>
      <c r="B100">
        <v>2376</v>
      </c>
      <c r="C100" s="3">
        <v>42360</v>
      </c>
      <c r="D100" t="s">
        <v>10</v>
      </c>
      <c r="E100" t="s">
        <v>10</v>
      </c>
    </row>
    <row r="101" spans="1:5" x14ac:dyDescent="0.25">
      <c r="A101" t="s">
        <v>13</v>
      </c>
      <c r="B101">
        <v>2366</v>
      </c>
      <c r="C101" s="3">
        <v>42360</v>
      </c>
      <c r="D101">
        <v>43</v>
      </c>
      <c r="E101" t="s">
        <v>9</v>
      </c>
    </row>
    <row r="102" spans="1:5" x14ac:dyDescent="0.25">
      <c r="A102" t="s">
        <v>13</v>
      </c>
      <c r="B102">
        <v>2368</v>
      </c>
      <c r="C102" s="3">
        <v>42360</v>
      </c>
      <c r="D102">
        <v>12</v>
      </c>
      <c r="E102" t="s">
        <v>9</v>
      </c>
    </row>
    <row r="103" spans="1:5" x14ac:dyDescent="0.25">
      <c r="A103" t="s">
        <v>13</v>
      </c>
      <c r="B103">
        <v>2350</v>
      </c>
      <c r="C103" s="3">
        <v>42360</v>
      </c>
      <c r="D103">
        <v>15</v>
      </c>
      <c r="E103" t="s">
        <v>9</v>
      </c>
    </row>
    <row r="104" spans="1:5" x14ac:dyDescent="0.25">
      <c r="A104" t="s">
        <v>13</v>
      </c>
      <c r="B104">
        <v>2360</v>
      </c>
      <c r="C104" s="3">
        <v>42360</v>
      </c>
      <c r="D104">
        <v>29</v>
      </c>
      <c r="E104" t="s">
        <v>9</v>
      </c>
    </row>
    <row r="105" spans="1:5" x14ac:dyDescent="0.25">
      <c r="A105" t="s">
        <v>13</v>
      </c>
      <c r="B105">
        <v>2346</v>
      </c>
      <c r="C105" s="3">
        <v>42360</v>
      </c>
      <c r="D105">
        <v>40</v>
      </c>
      <c r="E105" t="s">
        <v>9</v>
      </c>
    </row>
    <row r="106" spans="1:5" x14ac:dyDescent="0.25">
      <c r="A106" t="s">
        <v>13</v>
      </c>
      <c r="B106">
        <v>2384</v>
      </c>
      <c r="C106" s="3">
        <v>42360</v>
      </c>
      <c r="D106">
        <v>22</v>
      </c>
      <c r="E106" t="s">
        <v>9</v>
      </c>
    </row>
    <row r="107" spans="1:5" x14ac:dyDescent="0.25">
      <c r="A107" t="s">
        <v>13</v>
      </c>
      <c r="B107">
        <v>2369</v>
      </c>
      <c r="C107" s="3">
        <v>42360</v>
      </c>
      <c r="D107">
        <v>13</v>
      </c>
      <c r="E107" t="s">
        <v>9</v>
      </c>
    </row>
    <row r="108" spans="1:5" x14ac:dyDescent="0.25">
      <c r="A108" t="s">
        <v>13</v>
      </c>
      <c r="B108">
        <v>2387</v>
      </c>
      <c r="C108" s="3">
        <v>42360</v>
      </c>
      <c r="E108" t="s">
        <v>10</v>
      </c>
    </row>
    <row r="109" spans="1:5" x14ac:dyDescent="0.25">
      <c r="A109" t="s">
        <v>13</v>
      </c>
      <c r="B109">
        <v>2355</v>
      </c>
      <c r="C109" s="3">
        <v>42360</v>
      </c>
      <c r="E109" t="s">
        <v>9</v>
      </c>
    </row>
    <row r="110" spans="1:5" x14ac:dyDescent="0.25">
      <c r="A110" t="s">
        <v>13</v>
      </c>
      <c r="B110">
        <v>2353</v>
      </c>
      <c r="C110" s="3">
        <v>42360</v>
      </c>
      <c r="E110" t="s">
        <v>12</v>
      </c>
    </row>
    <row r="111" spans="1:5" x14ac:dyDescent="0.25">
      <c r="A111" t="s">
        <v>13</v>
      </c>
      <c r="B111">
        <v>2362</v>
      </c>
      <c r="C111" s="3">
        <v>42360</v>
      </c>
      <c r="E111" t="s">
        <v>12</v>
      </c>
    </row>
    <row r="112" spans="1:5" x14ac:dyDescent="0.25">
      <c r="A112" t="s">
        <v>13</v>
      </c>
      <c r="B112">
        <v>5656</v>
      </c>
      <c r="C112" s="3">
        <v>42360</v>
      </c>
      <c r="E112" t="s">
        <v>10</v>
      </c>
    </row>
    <row r="113" spans="1:5" x14ac:dyDescent="0.25">
      <c r="A113" t="s">
        <v>13</v>
      </c>
      <c r="B113">
        <v>2368</v>
      </c>
      <c r="C113" s="3">
        <v>42360</v>
      </c>
      <c r="E113" t="s">
        <v>12</v>
      </c>
    </row>
    <row r="114" spans="1:5" x14ac:dyDescent="0.25">
      <c r="A114" t="s">
        <v>13</v>
      </c>
      <c r="B114">
        <v>2346</v>
      </c>
      <c r="C114" s="3">
        <v>42360</v>
      </c>
      <c r="E114" t="s">
        <v>12</v>
      </c>
    </row>
    <row r="115" spans="1:5" x14ac:dyDescent="0.25">
      <c r="A115" t="s">
        <v>13</v>
      </c>
      <c r="B115">
        <v>2360</v>
      </c>
      <c r="C115" s="3">
        <v>42360</v>
      </c>
      <c r="E115" t="s">
        <v>12</v>
      </c>
    </row>
    <row r="116" spans="1:5" x14ac:dyDescent="0.25">
      <c r="A116" t="s">
        <v>13</v>
      </c>
      <c r="B116">
        <v>2367</v>
      </c>
      <c r="C116" s="3">
        <v>42360</v>
      </c>
      <c r="E116" t="s">
        <v>12</v>
      </c>
    </row>
    <row r="117" spans="1:5" x14ac:dyDescent="0.25">
      <c r="A117" t="s">
        <v>13</v>
      </c>
      <c r="B117">
        <v>2384</v>
      </c>
      <c r="C117" s="3">
        <v>42360</v>
      </c>
      <c r="D117" t="s">
        <v>10</v>
      </c>
      <c r="E117" t="s">
        <v>10</v>
      </c>
    </row>
    <row r="118" spans="1:5" x14ac:dyDescent="0.25">
      <c r="A118" t="s">
        <v>13</v>
      </c>
      <c r="B118">
        <v>2369</v>
      </c>
      <c r="C118" s="3">
        <v>42360</v>
      </c>
      <c r="D118" t="s">
        <v>10</v>
      </c>
      <c r="E118" t="s">
        <v>10</v>
      </c>
    </row>
    <row r="119" spans="1:5" x14ac:dyDescent="0.25">
      <c r="A119" t="s">
        <v>13</v>
      </c>
      <c r="B119">
        <v>2376</v>
      </c>
      <c r="C119" s="3">
        <v>42360</v>
      </c>
      <c r="E119" t="s">
        <v>12</v>
      </c>
    </row>
    <row r="120" spans="1:5" x14ac:dyDescent="0.25">
      <c r="A120" t="s">
        <v>13</v>
      </c>
      <c r="B120">
        <v>2368</v>
      </c>
      <c r="C120" s="3">
        <v>42360</v>
      </c>
      <c r="E120" t="s">
        <v>12</v>
      </c>
    </row>
    <row r="121" spans="1:5" x14ac:dyDescent="0.25">
      <c r="A121" t="s">
        <v>13</v>
      </c>
      <c r="B121">
        <v>2371</v>
      </c>
      <c r="C121" s="3">
        <v>42360</v>
      </c>
      <c r="E121" t="s">
        <v>12</v>
      </c>
    </row>
    <row r="122" spans="1:5" x14ac:dyDescent="0.25">
      <c r="A122" t="s">
        <v>13</v>
      </c>
      <c r="B122">
        <v>2367</v>
      </c>
      <c r="C122" s="3">
        <v>42360</v>
      </c>
      <c r="E122" t="s">
        <v>12</v>
      </c>
    </row>
    <row r="123" spans="1:5" x14ac:dyDescent="0.25">
      <c r="A123" t="s">
        <v>13</v>
      </c>
      <c r="B123">
        <v>2360</v>
      </c>
      <c r="C123" s="3">
        <v>42360</v>
      </c>
      <c r="E123" t="s">
        <v>12</v>
      </c>
    </row>
    <row r="124" spans="1:5" x14ac:dyDescent="0.25">
      <c r="A124" t="s">
        <v>13</v>
      </c>
      <c r="B124">
        <v>2366</v>
      </c>
      <c r="C124" s="3">
        <v>42360</v>
      </c>
      <c r="E124" t="s">
        <v>12</v>
      </c>
    </row>
    <row r="125" spans="1:5" x14ac:dyDescent="0.25">
      <c r="A125" t="s">
        <v>13</v>
      </c>
      <c r="B125">
        <v>2346</v>
      </c>
      <c r="C125" s="3">
        <v>42360</v>
      </c>
      <c r="E125" t="s">
        <v>12</v>
      </c>
    </row>
    <row r="126" spans="1:5" x14ac:dyDescent="0.25">
      <c r="A126" t="s">
        <v>13</v>
      </c>
      <c r="B126">
        <v>2353</v>
      </c>
      <c r="C126" s="3">
        <v>42360</v>
      </c>
      <c r="E126" t="s">
        <v>12</v>
      </c>
    </row>
    <row r="127" spans="1:5" x14ac:dyDescent="0.25">
      <c r="A127" t="s">
        <v>13</v>
      </c>
      <c r="B127">
        <v>2347</v>
      </c>
      <c r="C127" s="3">
        <v>42360</v>
      </c>
      <c r="E127" t="s">
        <v>12</v>
      </c>
    </row>
    <row r="128" spans="1:5" x14ac:dyDescent="0.25">
      <c r="A128" t="s">
        <v>13</v>
      </c>
      <c r="B128">
        <v>2354</v>
      </c>
      <c r="C128" s="3">
        <v>42360</v>
      </c>
      <c r="E128" t="s">
        <v>12</v>
      </c>
    </row>
    <row r="129" spans="1:5" x14ac:dyDescent="0.25">
      <c r="A129" t="s">
        <v>13</v>
      </c>
      <c r="B129">
        <v>2362</v>
      </c>
      <c r="C129" s="3">
        <v>42360</v>
      </c>
      <c r="D129" t="s">
        <v>10</v>
      </c>
      <c r="E129" t="s">
        <v>10</v>
      </c>
    </row>
    <row r="130" spans="1:5" x14ac:dyDescent="0.25">
      <c r="A130" t="s">
        <v>13</v>
      </c>
      <c r="B130">
        <v>2355</v>
      </c>
      <c r="C130" s="3">
        <v>42360</v>
      </c>
      <c r="D130" t="s">
        <v>10</v>
      </c>
      <c r="E130" t="s">
        <v>10</v>
      </c>
    </row>
    <row r="131" spans="1:5" x14ac:dyDescent="0.25">
      <c r="A131" t="s">
        <v>13</v>
      </c>
      <c r="B131">
        <v>2350</v>
      </c>
      <c r="C131" s="3">
        <v>42360</v>
      </c>
      <c r="D131" t="s">
        <v>10</v>
      </c>
      <c r="E131" t="s">
        <v>10</v>
      </c>
    </row>
    <row r="132" spans="1:5" x14ac:dyDescent="0.25">
      <c r="A132" t="s">
        <v>13</v>
      </c>
      <c r="B132">
        <v>2355</v>
      </c>
      <c r="C132" s="3">
        <v>42359</v>
      </c>
      <c r="E132" t="s">
        <v>10</v>
      </c>
    </row>
    <row r="133" spans="1:5" x14ac:dyDescent="0.25">
      <c r="A133" t="s">
        <v>13</v>
      </c>
      <c r="B133">
        <v>2350</v>
      </c>
      <c r="C133" s="3">
        <v>42359</v>
      </c>
      <c r="E133" t="s">
        <v>10</v>
      </c>
    </row>
    <row r="134" spans="1:5" x14ac:dyDescent="0.25">
      <c r="A134" t="s">
        <v>13</v>
      </c>
      <c r="B134">
        <v>2347</v>
      </c>
      <c r="C134" s="3">
        <v>42359</v>
      </c>
      <c r="E134" t="s">
        <v>10</v>
      </c>
    </row>
    <row r="135" spans="1:5" x14ac:dyDescent="0.25">
      <c r="A135" t="s">
        <v>13</v>
      </c>
      <c r="B135">
        <v>2346</v>
      </c>
      <c r="C135" s="3">
        <v>42359</v>
      </c>
      <c r="E135" t="s">
        <v>10</v>
      </c>
    </row>
    <row r="136" spans="1:5" x14ac:dyDescent="0.25">
      <c r="A136" t="s">
        <v>13</v>
      </c>
      <c r="B136">
        <v>2345</v>
      </c>
      <c r="C136" s="3">
        <v>42359</v>
      </c>
      <c r="D136">
        <v>45</v>
      </c>
      <c r="E136" t="s">
        <v>9</v>
      </c>
    </row>
    <row r="137" spans="1:5" x14ac:dyDescent="0.25">
      <c r="A137" t="s">
        <v>13</v>
      </c>
      <c r="B137">
        <v>2344</v>
      </c>
      <c r="C137" s="3">
        <v>42359</v>
      </c>
      <c r="D137">
        <v>44</v>
      </c>
      <c r="E137" t="s">
        <v>9</v>
      </c>
    </row>
    <row r="138" spans="1:5" x14ac:dyDescent="0.25">
      <c r="A138" t="s">
        <v>13</v>
      </c>
      <c r="B138">
        <v>2342</v>
      </c>
      <c r="C138" s="3">
        <v>42359</v>
      </c>
      <c r="E138" t="s">
        <v>10</v>
      </c>
    </row>
    <row r="139" spans="1:5" x14ac:dyDescent="0.25">
      <c r="A139" t="s">
        <v>13</v>
      </c>
      <c r="B139">
        <v>2341</v>
      </c>
      <c r="C139" s="3">
        <v>42359</v>
      </c>
      <c r="E139" t="s">
        <v>10</v>
      </c>
    </row>
    <row r="140" spans="1:5" x14ac:dyDescent="0.25">
      <c r="A140" t="s">
        <v>13</v>
      </c>
      <c r="B140">
        <v>2368</v>
      </c>
      <c r="C140" s="3">
        <v>42359</v>
      </c>
      <c r="E140" t="s">
        <v>12</v>
      </c>
    </row>
    <row r="141" spans="1:5" x14ac:dyDescent="0.25">
      <c r="A141" t="s">
        <v>13</v>
      </c>
      <c r="B141">
        <v>2377</v>
      </c>
      <c r="C141" s="3">
        <v>42359</v>
      </c>
      <c r="E141" t="s">
        <v>12</v>
      </c>
    </row>
    <row r="142" spans="1:5" x14ac:dyDescent="0.25">
      <c r="A142" t="s">
        <v>13</v>
      </c>
      <c r="B142">
        <v>2384</v>
      </c>
      <c r="C142" s="3">
        <v>42359</v>
      </c>
      <c r="D142" t="s">
        <v>10</v>
      </c>
      <c r="E142" t="s">
        <v>10</v>
      </c>
    </row>
    <row r="143" spans="1:5" x14ac:dyDescent="0.25">
      <c r="A143" t="s">
        <v>13</v>
      </c>
      <c r="B143">
        <v>2376</v>
      </c>
      <c r="C143" s="3">
        <v>42359</v>
      </c>
      <c r="E143" t="s">
        <v>12</v>
      </c>
    </row>
    <row r="144" spans="1:5" x14ac:dyDescent="0.25">
      <c r="A144" t="s">
        <v>13</v>
      </c>
      <c r="B144">
        <v>2362</v>
      </c>
      <c r="C144" s="3">
        <v>42359</v>
      </c>
      <c r="E144" t="s">
        <v>12</v>
      </c>
    </row>
    <row r="145" spans="1:5" x14ac:dyDescent="0.25">
      <c r="A145" t="s">
        <v>13</v>
      </c>
      <c r="B145">
        <v>2366</v>
      </c>
      <c r="C145" s="3">
        <v>42359</v>
      </c>
      <c r="E145" t="s">
        <v>12</v>
      </c>
    </row>
    <row r="146" spans="1:5" x14ac:dyDescent="0.25">
      <c r="A146" t="s">
        <v>13</v>
      </c>
      <c r="B146">
        <v>2371</v>
      </c>
      <c r="C146" s="3">
        <v>42359</v>
      </c>
      <c r="D146" t="s">
        <v>25</v>
      </c>
      <c r="E146" t="s">
        <v>12</v>
      </c>
    </row>
    <row r="147" spans="1:5" x14ac:dyDescent="0.25">
      <c r="A147" t="s">
        <v>13</v>
      </c>
      <c r="B147">
        <v>2360</v>
      </c>
      <c r="C147" s="3">
        <v>42359</v>
      </c>
      <c r="E147" t="s">
        <v>12</v>
      </c>
    </row>
    <row r="148" spans="1:5" x14ac:dyDescent="0.25">
      <c r="A148" t="s">
        <v>13</v>
      </c>
      <c r="B148">
        <v>2353</v>
      </c>
      <c r="C148" s="3">
        <v>42359</v>
      </c>
      <c r="D148" t="s">
        <v>10</v>
      </c>
      <c r="E148" t="s">
        <v>10</v>
      </c>
    </row>
    <row r="149" spans="1:5" x14ac:dyDescent="0.25">
      <c r="A149" t="s">
        <v>13</v>
      </c>
      <c r="B149">
        <v>2394</v>
      </c>
      <c r="C149" s="3">
        <v>42359</v>
      </c>
      <c r="D149" t="s">
        <v>10</v>
      </c>
      <c r="E149" t="s">
        <v>10</v>
      </c>
    </row>
    <row r="150" spans="1:5" x14ac:dyDescent="0.25">
      <c r="A150" t="s">
        <v>13</v>
      </c>
      <c r="B150">
        <v>2362</v>
      </c>
      <c r="C150" s="3">
        <v>42358</v>
      </c>
      <c r="D150" t="s">
        <v>10</v>
      </c>
      <c r="E150" t="s">
        <v>10</v>
      </c>
    </row>
    <row r="151" spans="1:5" x14ac:dyDescent="0.25">
      <c r="A151" t="s">
        <v>13</v>
      </c>
      <c r="B151">
        <v>2360</v>
      </c>
      <c r="C151" s="3">
        <v>42358</v>
      </c>
      <c r="E151" t="s">
        <v>12</v>
      </c>
    </row>
    <row r="152" spans="1:5" x14ac:dyDescent="0.25">
      <c r="A152" t="s">
        <v>13</v>
      </c>
      <c r="B152">
        <v>2368</v>
      </c>
      <c r="C152" s="3">
        <v>42358</v>
      </c>
      <c r="D152" t="s">
        <v>21</v>
      </c>
      <c r="E152" t="s">
        <v>12</v>
      </c>
    </row>
    <row r="153" spans="1:5" x14ac:dyDescent="0.25">
      <c r="A153" t="s">
        <v>13</v>
      </c>
      <c r="B153">
        <v>2369</v>
      </c>
      <c r="C153" s="3">
        <v>42358</v>
      </c>
      <c r="D153" t="s">
        <v>26</v>
      </c>
      <c r="E153" t="s">
        <v>12</v>
      </c>
    </row>
    <row r="154" spans="1:5" x14ac:dyDescent="0.25">
      <c r="A154" t="s">
        <v>13</v>
      </c>
      <c r="B154">
        <v>2367</v>
      </c>
      <c r="C154" s="3">
        <v>42358</v>
      </c>
      <c r="D154" t="s">
        <v>21</v>
      </c>
      <c r="E154" t="s">
        <v>12</v>
      </c>
    </row>
    <row r="155" spans="1:5" x14ac:dyDescent="0.25">
      <c r="A155" t="s">
        <v>13</v>
      </c>
      <c r="B155">
        <v>2366</v>
      </c>
      <c r="C155" s="3">
        <v>42358</v>
      </c>
      <c r="D155" t="s">
        <v>27</v>
      </c>
      <c r="E155" t="s">
        <v>12</v>
      </c>
    </row>
    <row r="156" spans="1:5" x14ac:dyDescent="0.25">
      <c r="A156" t="s">
        <v>13</v>
      </c>
      <c r="B156">
        <v>2373</v>
      </c>
      <c r="C156" s="3">
        <v>42358</v>
      </c>
      <c r="D156">
        <v>2376</v>
      </c>
      <c r="E156" t="s">
        <v>12</v>
      </c>
    </row>
    <row r="157" spans="1:5" x14ac:dyDescent="0.25">
      <c r="A157" t="s">
        <v>13</v>
      </c>
      <c r="B157">
        <v>2377</v>
      </c>
      <c r="C157" s="3">
        <v>42358</v>
      </c>
      <c r="E157" t="s">
        <v>12</v>
      </c>
    </row>
    <row r="158" spans="1:5" x14ac:dyDescent="0.25">
      <c r="A158" t="s">
        <v>13</v>
      </c>
      <c r="B158">
        <v>2394</v>
      </c>
      <c r="C158" s="3">
        <v>42358</v>
      </c>
      <c r="E158" t="s">
        <v>12</v>
      </c>
    </row>
    <row r="159" spans="1:5" x14ac:dyDescent="0.25">
      <c r="A159" t="s">
        <v>13</v>
      </c>
      <c r="B159">
        <v>2387</v>
      </c>
      <c r="C159" s="3">
        <v>42358</v>
      </c>
      <c r="D159" t="s">
        <v>10</v>
      </c>
      <c r="E159" t="s">
        <v>10</v>
      </c>
    </row>
    <row r="160" spans="1:5" x14ac:dyDescent="0.25">
      <c r="A160" t="s">
        <v>13</v>
      </c>
      <c r="B160">
        <v>2384</v>
      </c>
      <c r="C160" s="3">
        <v>42358</v>
      </c>
      <c r="D160" t="s">
        <v>10</v>
      </c>
      <c r="E160" t="s">
        <v>10</v>
      </c>
    </row>
    <row r="161" spans="1:5" x14ac:dyDescent="0.25">
      <c r="A161" t="s">
        <v>13</v>
      </c>
      <c r="B161">
        <v>2371</v>
      </c>
      <c r="C161" s="3">
        <v>42358</v>
      </c>
      <c r="D161" t="s">
        <v>21</v>
      </c>
      <c r="E161" t="s">
        <v>12</v>
      </c>
    </row>
    <row r="162" spans="1:5" x14ac:dyDescent="0.25">
      <c r="A162" t="s">
        <v>13</v>
      </c>
      <c r="B162">
        <v>2353</v>
      </c>
      <c r="C162" s="3">
        <v>42358</v>
      </c>
      <c r="E162" t="s">
        <v>12</v>
      </c>
    </row>
    <row r="163" spans="1:5" x14ac:dyDescent="0.25">
      <c r="A163" t="s">
        <v>13</v>
      </c>
      <c r="B163">
        <v>2353</v>
      </c>
      <c r="C163" s="3">
        <v>42358</v>
      </c>
      <c r="E163" t="s">
        <v>9</v>
      </c>
    </row>
    <row r="164" spans="1:5" x14ac:dyDescent="0.25">
      <c r="A164" t="s">
        <v>13</v>
      </c>
      <c r="B164">
        <v>2356</v>
      </c>
      <c r="C164" s="3">
        <v>42357</v>
      </c>
      <c r="E164" t="s">
        <v>9</v>
      </c>
    </row>
    <row r="165" spans="1:5" x14ac:dyDescent="0.25">
      <c r="A165" t="s">
        <v>13</v>
      </c>
      <c r="B165">
        <v>2358</v>
      </c>
      <c r="C165" s="3">
        <v>42357</v>
      </c>
      <c r="D165" t="s">
        <v>10</v>
      </c>
      <c r="E165" t="s">
        <v>10</v>
      </c>
    </row>
    <row r="166" spans="1:5" x14ac:dyDescent="0.25">
      <c r="A166" t="s">
        <v>13</v>
      </c>
      <c r="B166">
        <v>2395</v>
      </c>
      <c r="C166" s="3">
        <v>42357</v>
      </c>
      <c r="E166" t="s">
        <v>9</v>
      </c>
    </row>
    <row r="167" spans="1:5" x14ac:dyDescent="0.25">
      <c r="A167" t="s">
        <v>13</v>
      </c>
      <c r="B167">
        <v>2394</v>
      </c>
      <c r="C167" s="3">
        <v>42357</v>
      </c>
      <c r="D167" t="s">
        <v>28</v>
      </c>
      <c r="E167" t="s">
        <v>9</v>
      </c>
    </row>
    <row r="168" spans="1:5" x14ac:dyDescent="0.25">
      <c r="A168" t="s">
        <v>13</v>
      </c>
      <c r="B168">
        <v>2393</v>
      </c>
      <c r="C168" s="3">
        <v>42357</v>
      </c>
      <c r="E168" t="s">
        <v>9</v>
      </c>
    </row>
    <row r="169" spans="1:5" x14ac:dyDescent="0.25">
      <c r="A169" t="s">
        <v>13</v>
      </c>
      <c r="B169">
        <v>2392</v>
      </c>
      <c r="C169" s="3">
        <v>42357</v>
      </c>
      <c r="E169" t="s">
        <v>9</v>
      </c>
    </row>
    <row r="170" spans="1:5" x14ac:dyDescent="0.25">
      <c r="A170" t="s">
        <v>13</v>
      </c>
      <c r="B170">
        <v>2387</v>
      </c>
      <c r="C170" s="3">
        <v>42357</v>
      </c>
      <c r="D170" t="s">
        <v>29</v>
      </c>
      <c r="E170" t="s">
        <v>12</v>
      </c>
    </row>
    <row r="171" spans="1:5" x14ac:dyDescent="0.25">
      <c r="A171" t="s">
        <v>13</v>
      </c>
      <c r="B171">
        <v>2353</v>
      </c>
      <c r="C171" s="3">
        <v>42357</v>
      </c>
      <c r="D171" t="s">
        <v>10</v>
      </c>
      <c r="E171" t="s">
        <v>10</v>
      </c>
    </row>
    <row r="172" spans="1:5" x14ac:dyDescent="0.25">
      <c r="A172" t="s">
        <v>13</v>
      </c>
      <c r="B172">
        <v>2361</v>
      </c>
      <c r="C172" s="3">
        <v>42357</v>
      </c>
      <c r="D172" t="s">
        <v>17</v>
      </c>
      <c r="E172" t="s">
        <v>9</v>
      </c>
    </row>
    <row r="173" spans="1:5" x14ac:dyDescent="0.25">
      <c r="A173" t="s">
        <v>13</v>
      </c>
      <c r="B173">
        <v>2371</v>
      </c>
      <c r="C173" s="3">
        <v>42357</v>
      </c>
      <c r="D173" t="s">
        <v>17</v>
      </c>
      <c r="E173" t="s">
        <v>9</v>
      </c>
    </row>
    <row r="174" spans="1:5" x14ac:dyDescent="0.25">
      <c r="A174" t="s">
        <v>13</v>
      </c>
      <c r="B174">
        <v>2391</v>
      </c>
      <c r="C174" s="3">
        <v>42357</v>
      </c>
      <c r="E174" t="s">
        <v>9</v>
      </c>
    </row>
    <row r="175" spans="1:5" x14ac:dyDescent="0.25">
      <c r="A175" t="s">
        <v>13</v>
      </c>
      <c r="B175">
        <v>2390</v>
      </c>
      <c r="C175" s="3">
        <v>42357</v>
      </c>
      <c r="E175" t="s">
        <v>9</v>
      </c>
    </row>
    <row r="176" spans="1:5" x14ac:dyDescent="0.25">
      <c r="A176" t="s">
        <v>13</v>
      </c>
      <c r="B176">
        <v>2386</v>
      </c>
      <c r="C176" s="3">
        <v>42357</v>
      </c>
      <c r="E176" t="s">
        <v>9</v>
      </c>
    </row>
    <row r="177" spans="1:5" x14ac:dyDescent="0.25">
      <c r="A177" t="s">
        <v>13</v>
      </c>
      <c r="B177">
        <v>2384</v>
      </c>
      <c r="C177" s="3">
        <v>42357</v>
      </c>
      <c r="E177" t="s">
        <v>9</v>
      </c>
    </row>
    <row r="178" spans="1:5" x14ac:dyDescent="0.25">
      <c r="A178" t="s">
        <v>13</v>
      </c>
      <c r="B178">
        <v>2383</v>
      </c>
      <c r="C178" s="3">
        <v>42357</v>
      </c>
      <c r="E178" t="s">
        <v>9</v>
      </c>
    </row>
    <row r="179" spans="1:5" x14ac:dyDescent="0.25">
      <c r="A179" t="s">
        <v>13</v>
      </c>
      <c r="B179">
        <v>2379</v>
      </c>
      <c r="C179" s="3">
        <v>42357</v>
      </c>
      <c r="E179" t="s">
        <v>9</v>
      </c>
    </row>
    <row r="180" spans="1:5" x14ac:dyDescent="0.25">
      <c r="A180" t="s">
        <v>13</v>
      </c>
      <c r="B180">
        <v>2377</v>
      </c>
      <c r="C180" s="3">
        <v>42357</v>
      </c>
      <c r="E180" t="s">
        <v>12</v>
      </c>
    </row>
    <row r="181" spans="1:5" x14ac:dyDescent="0.25">
      <c r="A181" t="s">
        <v>13</v>
      </c>
      <c r="B181">
        <v>2376</v>
      </c>
      <c r="C181" s="3">
        <v>42357</v>
      </c>
      <c r="E181" t="s">
        <v>12</v>
      </c>
    </row>
    <row r="182" spans="1:5" x14ac:dyDescent="0.25">
      <c r="A182" t="s">
        <v>13</v>
      </c>
      <c r="B182">
        <v>2375</v>
      </c>
      <c r="C182" s="3">
        <v>42357</v>
      </c>
      <c r="D182" t="s">
        <v>30</v>
      </c>
      <c r="E182" t="s">
        <v>12</v>
      </c>
    </row>
    <row r="183" spans="1:5" x14ac:dyDescent="0.25">
      <c r="A183" t="s">
        <v>13</v>
      </c>
      <c r="B183">
        <v>2374</v>
      </c>
      <c r="C183" s="3">
        <v>42357</v>
      </c>
      <c r="E183" t="s">
        <v>9</v>
      </c>
    </row>
    <row r="184" spans="1:5" x14ac:dyDescent="0.25">
      <c r="A184" t="s">
        <v>13</v>
      </c>
      <c r="B184">
        <v>2396</v>
      </c>
      <c r="C184" s="3">
        <v>42357</v>
      </c>
      <c r="E184" t="s">
        <v>12</v>
      </c>
    </row>
    <row r="185" spans="1:5" x14ac:dyDescent="0.25">
      <c r="A185" t="s">
        <v>13</v>
      </c>
      <c r="B185">
        <v>2366</v>
      </c>
      <c r="C185" s="3">
        <v>42357</v>
      </c>
      <c r="E185" t="s">
        <v>12</v>
      </c>
    </row>
    <row r="186" spans="1:5" x14ac:dyDescent="0.25">
      <c r="A186" t="s">
        <v>13</v>
      </c>
      <c r="B186">
        <v>2368</v>
      </c>
      <c r="C186" s="3">
        <v>42357</v>
      </c>
      <c r="D186" t="s">
        <v>10</v>
      </c>
      <c r="E186" t="s">
        <v>10</v>
      </c>
    </row>
    <row r="187" spans="1:5" x14ac:dyDescent="0.25">
      <c r="A187" t="s">
        <v>13</v>
      </c>
      <c r="B187">
        <v>2373</v>
      </c>
      <c r="C187" s="3">
        <v>42357</v>
      </c>
      <c r="D187" t="s">
        <v>31</v>
      </c>
      <c r="E187" t="s">
        <v>9</v>
      </c>
    </row>
    <row r="188" spans="1:5" x14ac:dyDescent="0.25">
      <c r="A188" t="s">
        <v>13</v>
      </c>
      <c r="B188">
        <v>2350</v>
      </c>
      <c r="C188" s="3">
        <v>42357</v>
      </c>
      <c r="D188" t="s">
        <v>32</v>
      </c>
      <c r="E188" t="s">
        <v>12</v>
      </c>
    </row>
    <row r="189" spans="1:5" x14ac:dyDescent="0.25">
      <c r="A189" t="s">
        <v>13</v>
      </c>
      <c r="B189">
        <v>2367</v>
      </c>
      <c r="C189" s="3">
        <v>42357</v>
      </c>
      <c r="D189" t="s">
        <v>33</v>
      </c>
      <c r="E189" t="s">
        <v>12</v>
      </c>
    </row>
    <row r="190" spans="1:5" x14ac:dyDescent="0.25">
      <c r="A190" t="s">
        <v>13</v>
      </c>
      <c r="B190">
        <v>2365</v>
      </c>
      <c r="C190" s="3">
        <v>42357</v>
      </c>
      <c r="E190" t="s">
        <v>9</v>
      </c>
    </row>
    <row r="191" spans="1:5" x14ac:dyDescent="0.25">
      <c r="A191" t="s">
        <v>13</v>
      </c>
      <c r="B191">
        <v>2355</v>
      </c>
      <c r="C191" s="3">
        <v>42357</v>
      </c>
      <c r="E191" t="s">
        <v>12</v>
      </c>
    </row>
    <row r="192" spans="1:5" x14ac:dyDescent="0.25">
      <c r="A192" t="s">
        <v>13</v>
      </c>
      <c r="B192">
        <v>2364</v>
      </c>
      <c r="C192" s="3">
        <v>42357</v>
      </c>
      <c r="D192" t="s">
        <v>34</v>
      </c>
      <c r="E192" t="s">
        <v>12</v>
      </c>
    </row>
    <row r="193" spans="1:5" x14ac:dyDescent="0.25">
      <c r="A193" t="s">
        <v>13</v>
      </c>
      <c r="B193">
        <v>2362</v>
      </c>
      <c r="C193" s="3">
        <v>42357</v>
      </c>
      <c r="D193" t="s">
        <v>35</v>
      </c>
      <c r="E193" t="s">
        <v>12</v>
      </c>
    </row>
    <row r="194" spans="1:5" x14ac:dyDescent="0.25">
      <c r="A194" t="s">
        <v>13</v>
      </c>
      <c r="B194">
        <v>2371</v>
      </c>
      <c r="C194" s="3">
        <v>42357</v>
      </c>
      <c r="D194" t="s">
        <v>36</v>
      </c>
      <c r="E194" t="s">
        <v>12</v>
      </c>
    </row>
    <row r="195" spans="1:5" x14ac:dyDescent="0.25">
      <c r="A195" t="s">
        <v>13</v>
      </c>
      <c r="B195">
        <v>6370</v>
      </c>
      <c r="C195" s="3">
        <v>42357</v>
      </c>
      <c r="D195" t="s">
        <v>21</v>
      </c>
      <c r="E195" t="s">
        <v>12</v>
      </c>
    </row>
    <row r="196" spans="1:5" x14ac:dyDescent="0.25">
      <c r="A196" t="s">
        <v>13</v>
      </c>
      <c r="B196">
        <v>2361</v>
      </c>
      <c r="C196" s="3">
        <v>42357</v>
      </c>
      <c r="D196" t="s">
        <v>37</v>
      </c>
      <c r="E196" t="s">
        <v>12</v>
      </c>
    </row>
    <row r="197" spans="1:5" x14ac:dyDescent="0.25">
      <c r="A197" t="s">
        <v>13</v>
      </c>
      <c r="B197">
        <v>2360</v>
      </c>
      <c r="C197" s="3">
        <v>42357</v>
      </c>
      <c r="D197" t="s">
        <v>38</v>
      </c>
      <c r="E197" t="s">
        <v>12</v>
      </c>
    </row>
    <row r="198" spans="1:5" x14ac:dyDescent="0.25">
      <c r="A198" t="s">
        <v>13</v>
      </c>
      <c r="B198">
        <v>2353</v>
      </c>
      <c r="C198" s="3">
        <v>42357</v>
      </c>
      <c r="D198" t="s">
        <v>39</v>
      </c>
      <c r="E198" t="s">
        <v>12</v>
      </c>
    </row>
    <row r="199" spans="1:5" x14ac:dyDescent="0.25">
      <c r="A199" t="s">
        <v>13</v>
      </c>
      <c r="B199">
        <v>2359</v>
      </c>
      <c r="C199" s="3">
        <v>42357</v>
      </c>
      <c r="D199" t="s">
        <v>40</v>
      </c>
      <c r="E199" t="s">
        <v>12</v>
      </c>
    </row>
    <row r="200" spans="1:5" x14ac:dyDescent="0.25">
      <c r="A200" t="s">
        <v>13</v>
      </c>
      <c r="B200">
        <v>2358</v>
      </c>
      <c r="C200" s="3">
        <v>42357</v>
      </c>
      <c r="D200">
        <v>43</v>
      </c>
      <c r="E200" t="s">
        <v>9</v>
      </c>
    </row>
    <row r="201" spans="1:5" x14ac:dyDescent="0.25">
      <c r="A201" t="s">
        <v>13</v>
      </c>
      <c r="B201">
        <v>2353</v>
      </c>
      <c r="C201" s="3">
        <v>42357</v>
      </c>
      <c r="D201">
        <v>44</v>
      </c>
      <c r="E201" t="s">
        <v>9</v>
      </c>
    </row>
    <row r="202" spans="1:5" x14ac:dyDescent="0.25">
      <c r="A202" t="s">
        <v>13</v>
      </c>
      <c r="B202">
        <v>2357</v>
      </c>
      <c r="C202" s="3">
        <v>42357</v>
      </c>
      <c r="D202">
        <v>45</v>
      </c>
      <c r="E202" t="s">
        <v>9</v>
      </c>
    </row>
    <row r="203" spans="1:5" x14ac:dyDescent="0.25">
      <c r="A203" t="s">
        <v>13</v>
      </c>
      <c r="B203">
        <v>2356</v>
      </c>
      <c r="C203" s="3">
        <v>42357</v>
      </c>
      <c r="E203" t="s">
        <v>10</v>
      </c>
    </row>
    <row r="204" spans="1:5" x14ac:dyDescent="0.25">
      <c r="A204" t="s">
        <v>13</v>
      </c>
      <c r="B204">
        <v>2355</v>
      </c>
      <c r="C204" s="3">
        <v>42357</v>
      </c>
      <c r="D204" t="s">
        <v>41</v>
      </c>
      <c r="E204" t="s">
        <v>9</v>
      </c>
    </row>
    <row r="205" spans="1:5" x14ac:dyDescent="0.25">
      <c r="A205" t="s">
        <v>13</v>
      </c>
      <c r="B205">
        <v>2350</v>
      </c>
      <c r="C205" s="3">
        <v>42357</v>
      </c>
      <c r="D205">
        <v>36</v>
      </c>
      <c r="E205" t="s">
        <v>9</v>
      </c>
    </row>
    <row r="206" spans="1:5" x14ac:dyDescent="0.25">
      <c r="A206" t="s">
        <v>13</v>
      </c>
      <c r="B206">
        <v>2354</v>
      </c>
      <c r="C206" s="3">
        <v>42357</v>
      </c>
      <c r="E206" t="s">
        <v>10</v>
      </c>
    </row>
    <row r="207" spans="1:5" x14ac:dyDescent="0.25">
      <c r="A207" t="s">
        <v>13</v>
      </c>
      <c r="B207">
        <v>2353</v>
      </c>
      <c r="C207" s="3">
        <v>42357</v>
      </c>
      <c r="D207" t="s">
        <v>42</v>
      </c>
      <c r="E207" t="s">
        <v>9</v>
      </c>
    </row>
    <row r="208" spans="1:5" x14ac:dyDescent="0.25">
      <c r="A208" t="s">
        <v>13</v>
      </c>
      <c r="B208">
        <v>2352</v>
      </c>
      <c r="C208" s="3">
        <v>42357</v>
      </c>
      <c r="E208" t="s">
        <v>10</v>
      </c>
    </row>
    <row r="209" spans="1:5" x14ac:dyDescent="0.25">
      <c r="A209" t="s">
        <v>13</v>
      </c>
      <c r="B209">
        <v>2350</v>
      </c>
      <c r="C209" s="3">
        <v>42357</v>
      </c>
      <c r="D209" t="s">
        <v>10</v>
      </c>
      <c r="E209" t="s">
        <v>10</v>
      </c>
    </row>
    <row r="210" spans="1:5" x14ac:dyDescent="0.25">
      <c r="A210" t="s">
        <v>13</v>
      </c>
      <c r="B210">
        <v>2398</v>
      </c>
      <c r="C210" s="3">
        <v>42356</v>
      </c>
      <c r="E210" t="s">
        <v>12</v>
      </c>
    </row>
    <row r="211" spans="1:5" x14ac:dyDescent="0.25">
      <c r="A211" t="s">
        <v>13</v>
      </c>
      <c r="B211">
        <v>2371</v>
      </c>
      <c r="C211" s="3">
        <v>42356</v>
      </c>
      <c r="E211" t="s">
        <v>10</v>
      </c>
    </row>
    <row r="212" spans="1:5" x14ac:dyDescent="0.25">
      <c r="A212" t="s">
        <v>13</v>
      </c>
      <c r="B212">
        <v>2395</v>
      </c>
      <c r="C212" s="3">
        <v>42356</v>
      </c>
      <c r="E212" t="s">
        <v>9</v>
      </c>
    </row>
    <row r="213" spans="1:5" x14ac:dyDescent="0.25">
      <c r="A213" t="s">
        <v>13</v>
      </c>
      <c r="B213">
        <v>2365</v>
      </c>
      <c r="C213" s="3">
        <v>42356</v>
      </c>
      <c r="E213" t="s">
        <v>9</v>
      </c>
    </row>
    <row r="214" spans="1:5" x14ac:dyDescent="0.25">
      <c r="A214" t="s">
        <v>13</v>
      </c>
      <c r="B214">
        <v>2371</v>
      </c>
      <c r="C214" s="3">
        <v>42356</v>
      </c>
      <c r="E214" t="s">
        <v>9</v>
      </c>
    </row>
    <row r="215" spans="1:5" x14ac:dyDescent="0.25">
      <c r="A215" t="s">
        <v>13</v>
      </c>
      <c r="B215">
        <v>2340</v>
      </c>
      <c r="C215" s="3">
        <v>42356</v>
      </c>
      <c r="E215" t="s">
        <v>12</v>
      </c>
    </row>
    <row r="216" spans="1:5" x14ac:dyDescent="0.25">
      <c r="A216" t="s">
        <v>13</v>
      </c>
      <c r="B216">
        <v>2331</v>
      </c>
      <c r="C216" s="3">
        <v>42356</v>
      </c>
      <c r="E216" t="s">
        <v>9</v>
      </c>
    </row>
    <row r="217" spans="1:5" x14ac:dyDescent="0.25">
      <c r="A217" t="s">
        <v>13</v>
      </c>
      <c r="B217">
        <v>2397</v>
      </c>
      <c r="C217" s="3">
        <v>42356</v>
      </c>
      <c r="E217" t="s">
        <v>12</v>
      </c>
    </row>
    <row r="218" spans="1:5" x14ac:dyDescent="0.25">
      <c r="A218" t="s">
        <v>13</v>
      </c>
      <c r="B218">
        <v>2350</v>
      </c>
      <c r="C218" s="3">
        <v>42356</v>
      </c>
      <c r="E218" t="s">
        <v>9</v>
      </c>
    </row>
    <row r="219" spans="1:5" x14ac:dyDescent="0.25">
      <c r="A219" t="s">
        <v>13</v>
      </c>
      <c r="B219">
        <v>2398</v>
      </c>
      <c r="C219" s="3">
        <v>42356</v>
      </c>
      <c r="E219" t="s">
        <v>9</v>
      </c>
    </row>
    <row r="220" spans="1:5" x14ac:dyDescent="0.25">
      <c r="A220" t="s">
        <v>13</v>
      </c>
      <c r="B220">
        <v>2394</v>
      </c>
      <c r="C220" s="3">
        <v>42356</v>
      </c>
      <c r="E220" t="s">
        <v>9</v>
      </c>
    </row>
    <row r="221" spans="1:5" x14ac:dyDescent="0.25">
      <c r="A221" t="s">
        <v>13</v>
      </c>
      <c r="B221">
        <v>2392</v>
      </c>
      <c r="C221" s="3">
        <v>42356</v>
      </c>
      <c r="E221" t="s">
        <v>9</v>
      </c>
    </row>
    <row r="222" spans="1:5" x14ac:dyDescent="0.25">
      <c r="A222" t="s">
        <v>13</v>
      </c>
      <c r="B222">
        <v>2391</v>
      </c>
      <c r="C222" s="3">
        <v>42356</v>
      </c>
      <c r="E222" t="s">
        <v>9</v>
      </c>
    </row>
    <row r="223" spans="1:5" x14ac:dyDescent="0.25">
      <c r="A223" t="s">
        <v>13</v>
      </c>
      <c r="B223">
        <v>2386</v>
      </c>
      <c r="C223" s="3">
        <v>42356</v>
      </c>
      <c r="E223" t="s">
        <v>12</v>
      </c>
    </row>
    <row r="224" spans="1:5" x14ac:dyDescent="0.25">
      <c r="A224" t="s">
        <v>13</v>
      </c>
      <c r="B224">
        <v>2390</v>
      </c>
      <c r="C224" s="3">
        <v>42356</v>
      </c>
      <c r="E224" t="s">
        <v>9</v>
      </c>
    </row>
    <row r="225" spans="1:5" x14ac:dyDescent="0.25">
      <c r="A225" t="s">
        <v>13</v>
      </c>
      <c r="B225">
        <v>2387</v>
      </c>
      <c r="C225" s="3">
        <v>42356</v>
      </c>
      <c r="E225" t="s">
        <v>9</v>
      </c>
    </row>
    <row r="226" spans="1:5" x14ac:dyDescent="0.25">
      <c r="A226" t="s">
        <v>13</v>
      </c>
      <c r="B226">
        <v>2384</v>
      </c>
      <c r="C226" s="3">
        <v>42356</v>
      </c>
      <c r="E226" t="s">
        <v>9</v>
      </c>
    </row>
    <row r="227" spans="1:5" x14ac:dyDescent="0.25">
      <c r="A227" t="s">
        <v>13</v>
      </c>
      <c r="B227">
        <v>2376</v>
      </c>
      <c r="C227" s="3">
        <v>42356</v>
      </c>
      <c r="E227" t="s">
        <v>9</v>
      </c>
    </row>
    <row r="228" spans="1:5" x14ac:dyDescent="0.25">
      <c r="A228" t="s">
        <v>13</v>
      </c>
      <c r="B228">
        <v>2377</v>
      </c>
      <c r="C228" s="3">
        <v>42356</v>
      </c>
      <c r="E228" t="s">
        <v>9</v>
      </c>
    </row>
    <row r="229" spans="1:5" x14ac:dyDescent="0.25">
      <c r="A229" t="s">
        <v>13</v>
      </c>
      <c r="B229">
        <v>2379</v>
      </c>
      <c r="C229" s="3">
        <v>42356</v>
      </c>
      <c r="E229" t="s">
        <v>9</v>
      </c>
    </row>
    <row r="230" spans="1:5" x14ac:dyDescent="0.25">
      <c r="A230" t="s">
        <v>13</v>
      </c>
      <c r="B230">
        <v>2375</v>
      </c>
      <c r="C230" s="3">
        <v>42356</v>
      </c>
      <c r="D230" t="s">
        <v>25</v>
      </c>
      <c r="E230" t="s">
        <v>12</v>
      </c>
    </row>
    <row r="231" spans="1:5" x14ac:dyDescent="0.25">
      <c r="A231" t="s">
        <v>13</v>
      </c>
      <c r="B231">
        <v>2373</v>
      </c>
      <c r="C231" s="3">
        <v>42356</v>
      </c>
      <c r="E231" t="s">
        <v>9</v>
      </c>
    </row>
    <row r="232" spans="1:5" x14ac:dyDescent="0.25">
      <c r="A232" t="s">
        <v>13</v>
      </c>
      <c r="B232">
        <v>2374</v>
      </c>
      <c r="C232" s="3">
        <v>42356</v>
      </c>
      <c r="E232" t="s">
        <v>9</v>
      </c>
    </row>
    <row r="233" spans="1:5" x14ac:dyDescent="0.25">
      <c r="A233" t="s">
        <v>13</v>
      </c>
      <c r="B233">
        <v>2372</v>
      </c>
      <c r="C233" s="3">
        <v>42356</v>
      </c>
      <c r="E233" t="s">
        <v>9</v>
      </c>
    </row>
    <row r="234" spans="1:5" x14ac:dyDescent="0.25">
      <c r="A234" t="s">
        <v>13</v>
      </c>
      <c r="B234">
        <v>2370</v>
      </c>
      <c r="C234" s="3">
        <v>42356</v>
      </c>
      <c r="E234" t="s">
        <v>9</v>
      </c>
    </row>
    <row r="235" spans="1:5" x14ac:dyDescent="0.25">
      <c r="A235" t="s">
        <v>13</v>
      </c>
      <c r="B235">
        <v>2369</v>
      </c>
      <c r="C235" s="3">
        <v>42356</v>
      </c>
      <c r="E235" t="s">
        <v>9</v>
      </c>
    </row>
    <row r="236" spans="1:5" x14ac:dyDescent="0.25">
      <c r="A236" t="s">
        <v>13</v>
      </c>
      <c r="B236">
        <v>2368</v>
      </c>
      <c r="C236" s="3">
        <v>42356</v>
      </c>
      <c r="E236" t="s">
        <v>9</v>
      </c>
    </row>
    <row r="237" spans="1:5" x14ac:dyDescent="0.25">
      <c r="A237" t="s">
        <v>13</v>
      </c>
      <c r="B237">
        <v>2367</v>
      </c>
      <c r="C237" s="3">
        <v>42356</v>
      </c>
      <c r="E237" t="s">
        <v>9</v>
      </c>
    </row>
    <row r="238" spans="1:5" x14ac:dyDescent="0.25">
      <c r="A238" t="s">
        <v>13</v>
      </c>
      <c r="B238">
        <v>2395</v>
      </c>
      <c r="C238" s="3">
        <v>42356</v>
      </c>
      <c r="E238" t="s">
        <v>9</v>
      </c>
    </row>
    <row r="239" spans="1:5" x14ac:dyDescent="0.25">
      <c r="A239" t="s">
        <v>13</v>
      </c>
      <c r="B239">
        <v>2366</v>
      </c>
      <c r="C239" s="3">
        <v>42356</v>
      </c>
      <c r="E239" t="s">
        <v>9</v>
      </c>
    </row>
    <row r="240" spans="1:5" x14ac:dyDescent="0.25">
      <c r="A240" t="s">
        <v>13</v>
      </c>
      <c r="B240">
        <v>2364</v>
      </c>
      <c r="C240" s="3">
        <v>42356</v>
      </c>
      <c r="E240" t="s">
        <v>9</v>
      </c>
    </row>
    <row r="241" spans="1:5" x14ac:dyDescent="0.25">
      <c r="A241" t="s">
        <v>13</v>
      </c>
      <c r="B241">
        <v>2362</v>
      </c>
      <c r="C241" s="3">
        <v>42356</v>
      </c>
      <c r="E241" t="s">
        <v>9</v>
      </c>
    </row>
    <row r="242" spans="1:5" x14ac:dyDescent="0.25">
      <c r="A242" t="s">
        <v>13</v>
      </c>
      <c r="B242">
        <v>2361</v>
      </c>
      <c r="C242" s="3">
        <v>42356</v>
      </c>
      <c r="E242" t="s">
        <v>9</v>
      </c>
    </row>
    <row r="243" spans="1:5" x14ac:dyDescent="0.25">
      <c r="A243" t="s">
        <v>13</v>
      </c>
      <c r="B243">
        <v>2360</v>
      </c>
      <c r="C243" s="3">
        <v>42356</v>
      </c>
      <c r="E243" t="s">
        <v>9</v>
      </c>
    </row>
    <row r="244" spans="1:5" x14ac:dyDescent="0.25">
      <c r="A244" t="s">
        <v>13</v>
      </c>
      <c r="B244">
        <v>2359</v>
      </c>
      <c r="C244" s="3">
        <v>42356</v>
      </c>
      <c r="E244" t="s">
        <v>9</v>
      </c>
    </row>
    <row r="245" spans="1:5" x14ac:dyDescent="0.25">
      <c r="A245" t="s">
        <v>13</v>
      </c>
      <c r="B245">
        <v>2393</v>
      </c>
      <c r="C245" s="3">
        <v>42356</v>
      </c>
      <c r="E245" t="s">
        <v>9</v>
      </c>
    </row>
    <row r="246" spans="1:5" x14ac:dyDescent="0.25">
      <c r="A246" t="s">
        <v>13</v>
      </c>
      <c r="B246">
        <v>2358</v>
      </c>
      <c r="C246" s="3">
        <v>42356</v>
      </c>
      <c r="E246" t="s">
        <v>9</v>
      </c>
    </row>
    <row r="247" spans="1:5" x14ac:dyDescent="0.25">
      <c r="A247" t="s">
        <v>13</v>
      </c>
      <c r="B247">
        <v>2357</v>
      </c>
      <c r="C247" s="3">
        <v>42356</v>
      </c>
      <c r="E247" t="s">
        <v>9</v>
      </c>
    </row>
    <row r="248" spans="1:5" x14ac:dyDescent="0.25">
      <c r="A248" t="s">
        <v>13</v>
      </c>
      <c r="B248">
        <v>2356</v>
      </c>
      <c r="C248" s="3">
        <v>42356</v>
      </c>
      <c r="E248" t="s">
        <v>9</v>
      </c>
    </row>
    <row r="249" spans="1:5" x14ac:dyDescent="0.25">
      <c r="A249" t="s">
        <v>13</v>
      </c>
      <c r="B249">
        <v>2355</v>
      </c>
      <c r="C249" s="3">
        <v>42356</v>
      </c>
      <c r="E249" t="s">
        <v>9</v>
      </c>
    </row>
    <row r="250" spans="1:5" x14ac:dyDescent="0.25">
      <c r="A250" t="s">
        <v>13</v>
      </c>
      <c r="B250">
        <v>2354</v>
      </c>
      <c r="C250" s="3">
        <v>42356</v>
      </c>
      <c r="E250" t="s">
        <v>9</v>
      </c>
    </row>
    <row r="251" spans="1:5" x14ac:dyDescent="0.25">
      <c r="A251" t="s">
        <v>13</v>
      </c>
      <c r="B251">
        <v>2353</v>
      </c>
      <c r="C251" s="3">
        <v>42356</v>
      </c>
      <c r="E251" t="s">
        <v>12</v>
      </c>
    </row>
    <row r="252" spans="1:5" x14ac:dyDescent="0.25">
      <c r="A252" t="s">
        <v>13</v>
      </c>
      <c r="B252">
        <v>2352</v>
      </c>
      <c r="C252" s="3">
        <v>42356</v>
      </c>
      <c r="E252" t="s">
        <v>9</v>
      </c>
    </row>
    <row r="253" spans="1:5" x14ac:dyDescent="0.25">
      <c r="A253" t="s">
        <v>13</v>
      </c>
      <c r="B253">
        <v>2350</v>
      </c>
      <c r="C253" s="3">
        <v>42356</v>
      </c>
      <c r="E253" t="s">
        <v>9</v>
      </c>
    </row>
    <row r="254" spans="1:5" x14ac:dyDescent="0.25">
      <c r="A254" t="s">
        <v>13</v>
      </c>
      <c r="B254">
        <v>2393</v>
      </c>
      <c r="C254" s="3">
        <v>42356</v>
      </c>
      <c r="E254" t="s">
        <v>9</v>
      </c>
    </row>
    <row r="255" spans="1:5" x14ac:dyDescent="0.25">
      <c r="A255" t="s">
        <v>13</v>
      </c>
      <c r="B255">
        <v>2392</v>
      </c>
      <c r="C255" s="3">
        <v>42356</v>
      </c>
      <c r="E255" t="s">
        <v>12</v>
      </c>
    </row>
    <row r="256" spans="1:5" x14ac:dyDescent="0.25">
      <c r="A256" t="s">
        <v>13</v>
      </c>
      <c r="B256">
        <v>2367</v>
      </c>
      <c r="C256" s="3">
        <v>42356</v>
      </c>
      <c r="E256" t="s">
        <v>12</v>
      </c>
    </row>
    <row r="257" spans="1:5" x14ac:dyDescent="0.25">
      <c r="A257" t="s">
        <v>13</v>
      </c>
      <c r="B257">
        <v>2387</v>
      </c>
      <c r="C257" s="3">
        <v>42356</v>
      </c>
      <c r="E257" t="s">
        <v>9</v>
      </c>
    </row>
    <row r="258" spans="1:5" x14ac:dyDescent="0.25">
      <c r="A258" t="s">
        <v>13</v>
      </c>
      <c r="B258">
        <v>2386</v>
      </c>
      <c r="C258" s="3">
        <v>42356</v>
      </c>
      <c r="E258" t="s">
        <v>9</v>
      </c>
    </row>
    <row r="259" spans="1:5" x14ac:dyDescent="0.25">
      <c r="A259" t="s">
        <v>13</v>
      </c>
      <c r="B259">
        <v>2384</v>
      </c>
      <c r="C259" s="3">
        <v>42356</v>
      </c>
      <c r="E259" t="s">
        <v>9</v>
      </c>
    </row>
    <row r="260" spans="1:5" x14ac:dyDescent="0.25">
      <c r="A260" t="s">
        <v>13</v>
      </c>
      <c r="B260">
        <v>2383</v>
      </c>
      <c r="C260" s="3">
        <v>42356</v>
      </c>
      <c r="D260" t="s">
        <v>43</v>
      </c>
      <c r="E260" t="s">
        <v>12</v>
      </c>
    </row>
    <row r="261" spans="1:5" x14ac:dyDescent="0.25">
      <c r="A261" t="s">
        <v>13</v>
      </c>
      <c r="B261">
        <v>2377</v>
      </c>
      <c r="C261" s="3">
        <v>42356</v>
      </c>
      <c r="E261" t="s">
        <v>10</v>
      </c>
    </row>
    <row r="262" spans="1:5" x14ac:dyDescent="0.25">
      <c r="A262" t="s">
        <v>13</v>
      </c>
      <c r="B262">
        <v>2379</v>
      </c>
      <c r="C262" s="3">
        <v>42356</v>
      </c>
      <c r="E262" t="s">
        <v>12</v>
      </c>
    </row>
    <row r="263" spans="1:5" x14ac:dyDescent="0.25">
      <c r="A263" t="s">
        <v>13</v>
      </c>
      <c r="B263">
        <v>2358</v>
      </c>
      <c r="C263" s="3">
        <v>42356</v>
      </c>
      <c r="D263" t="s">
        <v>10</v>
      </c>
      <c r="E263" t="s">
        <v>10</v>
      </c>
    </row>
    <row r="264" spans="1:5" x14ac:dyDescent="0.25">
      <c r="A264" t="s">
        <v>13</v>
      </c>
      <c r="B264">
        <v>2376</v>
      </c>
      <c r="C264" s="3">
        <v>42356</v>
      </c>
      <c r="D264" t="s">
        <v>44</v>
      </c>
      <c r="E264" t="s">
        <v>12</v>
      </c>
    </row>
    <row r="265" spans="1:5" x14ac:dyDescent="0.25">
      <c r="A265" t="s">
        <v>13</v>
      </c>
      <c r="B265">
        <v>2373</v>
      </c>
      <c r="C265" s="3">
        <v>42356</v>
      </c>
      <c r="D265" t="s">
        <v>44</v>
      </c>
      <c r="E265" t="s">
        <v>12</v>
      </c>
    </row>
    <row r="266" spans="1:5" x14ac:dyDescent="0.25">
      <c r="A266" t="s">
        <v>13</v>
      </c>
      <c r="B266">
        <v>2370</v>
      </c>
      <c r="C266" s="3">
        <v>42356</v>
      </c>
      <c r="D266" t="s">
        <v>44</v>
      </c>
      <c r="E266" t="s">
        <v>12</v>
      </c>
    </row>
    <row r="267" spans="1:5" x14ac:dyDescent="0.25">
      <c r="A267" t="s">
        <v>13</v>
      </c>
      <c r="B267">
        <v>2364</v>
      </c>
      <c r="C267" s="3">
        <v>42356</v>
      </c>
      <c r="D267" t="s">
        <v>44</v>
      </c>
      <c r="E267" t="s">
        <v>12</v>
      </c>
    </row>
    <row r="268" spans="1:5" x14ac:dyDescent="0.25">
      <c r="A268" t="s">
        <v>13</v>
      </c>
      <c r="B268">
        <v>2359</v>
      </c>
      <c r="C268" s="3">
        <v>42356</v>
      </c>
      <c r="D268" t="s">
        <v>44</v>
      </c>
      <c r="E268" t="s">
        <v>12</v>
      </c>
    </row>
    <row r="269" spans="1:5" x14ac:dyDescent="0.25">
      <c r="A269" t="s">
        <v>13</v>
      </c>
      <c r="B269">
        <v>2357</v>
      </c>
      <c r="C269" s="3">
        <v>42356</v>
      </c>
      <c r="E269" t="s">
        <v>12</v>
      </c>
    </row>
    <row r="270" spans="1:5" x14ac:dyDescent="0.25">
      <c r="A270" t="s">
        <v>13</v>
      </c>
      <c r="B270">
        <v>2375</v>
      </c>
      <c r="C270" s="3">
        <v>42356</v>
      </c>
      <c r="D270" t="s">
        <v>44</v>
      </c>
      <c r="E270" t="s">
        <v>12</v>
      </c>
    </row>
    <row r="271" spans="1:5" x14ac:dyDescent="0.25">
      <c r="A271" t="s">
        <v>13</v>
      </c>
      <c r="B271">
        <v>2374</v>
      </c>
      <c r="C271" s="3">
        <v>42356</v>
      </c>
      <c r="D271" t="s">
        <v>44</v>
      </c>
      <c r="E271" t="s">
        <v>12</v>
      </c>
    </row>
    <row r="272" spans="1:5" x14ac:dyDescent="0.25">
      <c r="A272" t="s">
        <v>13</v>
      </c>
      <c r="B272">
        <v>2372</v>
      </c>
      <c r="C272" s="3">
        <v>42356</v>
      </c>
      <c r="D272" t="s">
        <v>44</v>
      </c>
      <c r="E272" t="s">
        <v>12</v>
      </c>
    </row>
    <row r="273" spans="1:5" x14ac:dyDescent="0.25">
      <c r="A273" t="s">
        <v>13</v>
      </c>
      <c r="B273">
        <v>2369</v>
      </c>
      <c r="C273" s="3">
        <v>42356</v>
      </c>
      <c r="D273" t="s">
        <v>31</v>
      </c>
      <c r="E273" t="s">
        <v>12</v>
      </c>
    </row>
    <row r="274" spans="1:5" x14ac:dyDescent="0.25">
      <c r="A274" t="s">
        <v>13</v>
      </c>
      <c r="B274">
        <v>2368</v>
      </c>
      <c r="C274" s="3">
        <v>42356</v>
      </c>
      <c r="D274" t="s">
        <v>44</v>
      </c>
      <c r="E274" t="s">
        <v>12</v>
      </c>
    </row>
    <row r="275" spans="1:5" x14ac:dyDescent="0.25">
      <c r="A275" t="s">
        <v>13</v>
      </c>
      <c r="B275">
        <v>2367</v>
      </c>
      <c r="C275" s="3">
        <v>42356</v>
      </c>
      <c r="D275" t="s">
        <v>44</v>
      </c>
      <c r="E275" t="s">
        <v>12</v>
      </c>
    </row>
    <row r="276" spans="1:5" x14ac:dyDescent="0.25">
      <c r="A276" t="s">
        <v>13</v>
      </c>
      <c r="B276">
        <v>2366</v>
      </c>
      <c r="C276" s="3">
        <v>42356</v>
      </c>
      <c r="D276" t="s">
        <v>44</v>
      </c>
      <c r="E276" t="s">
        <v>12</v>
      </c>
    </row>
    <row r="277" spans="1:5" x14ac:dyDescent="0.25">
      <c r="A277" t="s">
        <v>13</v>
      </c>
      <c r="B277">
        <v>2365</v>
      </c>
      <c r="C277" s="3">
        <v>42356</v>
      </c>
      <c r="D277" t="s">
        <v>31</v>
      </c>
      <c r="E277" t="s">
        <v>12</v>
      </c>
    </row>
    <row r="278" spans="1:5" x14ac:dyDescent="0.25">
      <c r="A278" t="s">
        <v>13</v>
      </c>
      <c r="B278">
        <v>2362</v>
      </c>
      <c r="C278" s="3">
        <v>42356</v>
      </c>
      <c r="D278" t="s">
        <v>44</v>
      </c>
      <c r="E278" t="s">
        <v>12</v>
      </c>
    </row>
    <row r="279" spans="1:5" x14ac:dyDescent="0.25">
      <c r="A279" t="s">
        <v>13</v>
      </c>
      <c r="B279">
        <v>2361</v>
      </c>
      <c r="C279" s="3">
        <v>42356</v>
      </c>
      <c r="D279" t="s">
        <v>31</v>
      </c>
      <c r="E279" t="s">
        <v>12</v>
      </c>
    </row>
    <row r="280" spans="1:5" x14ac:dyDescent="0.25">
      <c r="A280" t="s">
        <v>13</v>
      </c>
      <c r="B280">
        <v>2360</v>
      </c>
      <c r="C280" s="3">
        <v>42356</v>
      </c>
      <c r="D280" t="s">
        <v>31</v>
      </c>
      <c r="E280" t="s">
        <v>12</v>
      </c>
    </row>
    <row r="281" spans="1:5" x14ac:dyDescent="0.25">
      <c r="A281" t="s">
        <v>13</v>
      </c>
      <c r="B281">
        <v>2358</v>
      </c>
      <c r="C281" s="3">
        <v>42356</v>
      </c>
      <c r="D281" t="s">
        <v>31</v>
      </c>
      <c r="E281" t="s">
        <v>12</v>
      </c>
    </row>
    <row r="282" spans="1:5" x14ac:dyDescent="0.25">
      <c r="A282" t="s">
        <v>13</v>
      </c>
      <c r="B282">
        <v>2356</v>
      </c>
      <c r="C282" s="3">
        <v>42356</v>
      </c>
      <c r="D282" t="s">
        <v>31</v>
      </c>
      <c r="E282" t="s">
        <v>12</v>
      </c>
    </row>
    <row r="283" spans="1:5" x14ac:dyDescent="0.25">
      <c r="A283" t="s">
        <v>13</v>
      </c>
      <c r="B283">
        <v>2355</v>
      </c>
      <c r="C283" s="3">
        <v>42356</v>
      </c>
      <c r="D283" t="s">
        <v>44</v>
      </c>
      <c r="E283" t="s">
        <v>12</v>
      </c>
    </row>
    <row r="284" spans="1:5" x14ac:dyDescent="0.25">
      <c r="A284" t="s">
        <v>13</v>
      </c>
      <c r="B284">
        <v>2354</v>
      </c>
      <c r="C284" s="3">
        <v>42356</v>
      </c>
      <c r="D284" t="s">
        <v>35</v>
      </c>
      <c r="E284" t="s">
        <v>9</v>
      </c>
    </row>
    <row r="285" spans="1:5" x14ac:dyDescent="0.25">
      <c r="A285" t="s">
        <v>13</v>
      </c>
      <c r="B285">
        <v>2353</v>
      </c>
      <c r="C285" s="3">
        <v>42356</v>
      </c>
      <c r="D285" t="s">
        <v>35</v>
      </c>
      <c r="E285" t="s">
        <v>12</v>
      </c>
    </row>
    <row r="286" spans="1:5" x14ac:dyDescent="0.25">
      <c r="A286" t="s">
        <v>13</v>
      </c>
      <c r="B286">
        <v>2352</v>
      </c>
      <c r="C286" s="3">
        <v>42356</v>
      </c>
      <c r="D286" t="s">
        <v>35</v>
      </c>
      <c r="E286" t="s">
        <v>12</v>
      </c>
    </row>
    <row r="287" spans="1:5" x14ac:dyDescent="0.25">
      <c r="A287" t="s">
        <v>13</v>
      </c>
      <c r="B287">
        <v>2369</v>
      </c>
      <c r="C287" s="3">
        <v>42355</v>
      </c>
      <c r="E287" t="s">
        <v>9</v>
      </c>
    </row>
    <row r="288" spans="1:5" x14ac:dyDescent="0.25">
      <c r="A288" t="s">
        <v>13</v>
      </c>
      <c r="B288">
        <v>2355</v>
      </c>
      <c r="C288" s="3">
        <v>42355</v>
      </c>
      <c r="E288" t="s">
        <v>9</v>
      </c>
    </row>
    <row r="289" spans="1:5" x14ac:dyDescent="0.25">
      <c r="A289" t="s">
        <v>13</v>
      </c>
      <c r="B289">
        <v>2366</v>
      </c>
      <c r="C289" s="3">
        <v>42355</v>
      </c>
      <c r="D289" t="s">
        <v>45</v>
      </c>
      <c r="E289" t="s">
        <v>12</v>
      </c>
    </row>
    <row r="290" spans="1:5" x14ac:dyDescent="0.25">
      <c r="A290" t="s">
        <v>13</v>
      </c>
      <c r="B290">
        <v>2365</v>
      </c>
      <c r="C290" s="3">
        <v>42355</v>
      </c>
      <c r="E290" t="s">
        <v>9</v>
      </c>
    </row>
    <row r="291" spans="1:5" x14ac:dyDescent="0.25">
      <c r="A291" t="s">
        <v>13</v>
      </c>
      <c r="B291">
        <v>2362</v>
      </c>
      <c r="C291" s="3">
        <v>42355</v>
      </c>
      <c r="D291" t="s">
        <v>45</v>
      </c>
      <c r="E291" t="s">
        <v>12</v>
      </c>
    </row>
    <row r="292" spans="1:5" x14ac:dyDescent="0.25">
      <c r="A292" t="s">
        <v>13</v>
      </c>
      <c r="B292">
        <v>2361</v>
      </c>
      <c r="C292" s="3">
        <v>42355</v>
      </c>
      <c r="D292" t="s">
        <v>10</v>
      </c>
      <c r="E292" t="s">
        <v>10</v>
      </c>
    </row>
    <row r="293" spans="1:5" x14ac:dyDescent="0.25">
      <c r="A293" t="s">
        <v>13</v>
      </c>
      <c r="B293">
        <v>2360</v>
      </c>
      <c r="C293" s="3">
        <v>42355</v>
      </c>
      <c r="D293" t="s">
        <v>46</v>
      </c>
      <c r="E293" t="s">
        <v>12</v>
      </c>
    </row>
    <row r="294" spans="1:5" x14ac:dyDescent="0.25">
      <c r="A294" t="s">
        <v>13</v>
      </c>
      <c r="B294">
        <v>2358</v>
      </c>
      <c r="C294" s="3">
        <v>42355</v>
      </c>
      <c r="D294" t="s">
        <v>44</v>
      </c>
      <c r="E294" t="s">
        <v>12</v>
      </c>
    </row>
    <row r="295" spans="1:5" x14ac:dyDescent="0.25">
      <c r="A295" t="s">
        <v>13</v>
      </c>
      <c r="B295">
        <v>2356</v>
      </c>
      <c r="C295" s="3">
        <v>42355</v>
      </c>
      <c r="D295" t="s">
        <v>45</v>
      </c>
      <c r="E295" t="s">
        <v>12</v>
      </c>
    </row>
    <row r="296" spans="1:5" x14ac:dyDescent="0.25">
      <c r="A296" t="s">
        <v>13</v>
      </c>
      <c r="B296">
        <v>2355</v>
      </c>
      <c r="C296" s="3">
        <v>42355</v>
      </c>
      <c r="E296" t="s">
        <v>9</v>
      </c>
    </row>
    <row r="297" spans="1:5" x14ac:dyDescent="0.25">
      <c r="A297" t="s">
        <v>13</v>
      </c>
      <c r="B297">
        <v>2354</v>
      </c>
      <c r="C297" s="3">
        <v>42355</v>
      </c>
      <c r="D297" t="s">
        <v>10</v>
      </c>
      <c r="E297" t="s">
        <v>10</v>
      </c>
    </row>
    <row r="298" spans="1:5" x14ac:dyDescent="0.25">
      <c r="A298" t="s">
        <v>13</v>
      </c>
      <c r="B298">
        <v>2365</v>
      </c>
      <c r="C298" s="3">
        <v>42355</v>
      </c>
      <c r="E298" t="s">
        <v>12</v>
      </c>
    </row>
    <row r="299" spans="1:5" x14ac:dyDescent="0.25">
      <c r="A299" t="s">
        <v>13</v>
      </c>
      <c r="B299">
        <v>2353</v>
      </c>
      <c r="C299" s="3">
        <v>42355</v>
      </c>
      <c r="D299" t="s">
        <v>47</v>
      </c>
      <c r="E299" t="s">
        <v>12</v>
      </c>
    </row>
    <row r="300" spans="1:5" x14ac:dyDescent="0.25">
      <c r="A300" t="s">
        <v>13</v>
      </c>
      <c r="B300">
        <v>2353</v>
      </c>
      <c r="C300" s="3">
        <v>42355</v>
      </c>
      <c r="E300" t="s">
        <v>9</v>
      </c>
    </row>
    <row r="301" spans="1:5" x14ac:dyDescent="0.25">
      <c r="A301" t="s">
        <v>13</v>
      </c>
      <c r="B301">
        <v>2368</v>
      </c>
      <c r="C301" s="3">
        <v>42355</v>
      </c>
      <c r="D301" t="s">
        <v>48</v>
      </c>
      <c r="E301" t="s">
        <v>12</v>
      </c>
    </row>
    <row r="302" spans="1:5" x14ac:dyDescent="0.25">
      <c r="A302" t="s">
        <v>13</v>
      </c>
      <c r="B302">
        <v>2391</v>
      </c>
      <c r="C302" s="3">
        <v>42355</v>
      </c>
      <c r="D302" t="s">
        <v>49</v>
      </c>
      <c r="E302" t="s">
        <v>12</v>
      </c>
    </row>
    <row r="303" spans="1:5" x14ac:dyDescent="0.25">
      <c r="A303" t="s">
        <v>13</v>
      </c>
      <c r="B303">
        <v>2383</v>
      </c>
      <c r="C303" s="3">
        <v>42355</v>
      </c>
      <c r="E303" t="s">
        <v>9</v>
      </c>
    </row>
    <row r="304" spans="1:5" x14ac:dyDescent="0.25">
      <c r="A304" t="s">
        <v>13</v>
      </c>
      <c r="B304">
        <v>2367</v>
      </c>
      <c r="C304" s="3">
        <v>42355</v>
      </c>
      <c r="D304" t="s">
        <v>48</v>
      </c>
      <c r="E304" t="s">
        <v>12</v>
      </c>
    </row>
    <row r="305" spans="1:5" x14ac:dyDescent="0.25">
      <c r="A305" t="s">
        <v>13</v>
      </c>
      <c r="B305">
        <v>2384</v>
      </c>
      <c r="C305" s="3">
        <v>42355</v>
      </c>
      <c r="D305">
        <v>29</v>
      </c>
      <c r="E305" t="s">
        <v>9</v>
      </c>
    </row>
    <row r="306" spans="1:5" x14ac:dyDescent="0.25">
      <c r="A306" t="s">
        <v>13</v>
      </c>
      <c r="B306">
        <v>2390</v>
      </c>
      <c r="C306" s="3">
        <v>42355</v>
      </c>
      <c r="E306" t="s">
        <v>9</v>
      </c>
    </row>
    <row r="307" spans="1:5" x14ac:dyDescent="0.25">
      <c r="A307" t="s">
        <v>13</v>
      </c>
      <c r="B307">
        <v>2387</v>
      </c>
      <c r="C307" s="3">
        <v>42355</v>
      </c>
      <c r="D307" t="s">
        <v>50</v>
      </c>
      <c r="E307" t="s">
        <v>9</v>
      </c>
    </row>
    <row r="308" spans="1:5" x14ac:dyDescent="0.25">
      <c r="A308" t="s">
        <v>13</v>
      </c>
      <c r="B308">
        <v>2356</v>
      </c>
      <c r="C308" s="3">
        <v>42355</v>
      </c>
      <c r="D308">
        <v>1</v>
      </c>
      <c r="E308" t="s">
        <v>9</v>
      </c>
    </row>
    <row r="309" spans="1:5" x14ac:dyDescent="0.25">
      <c r="A309" t="s">
        <v>13</v>
      </c>
      <c r="B309">
        <v>2358</v>
      </c>
      <c r="C309" s="3">
        <v>42355</v>
      </c>
      <c r="D309" t="s">
        <v>51</v>
      </c>
      <c r="E309" t="s">
        <v>12</v>
      </c>
    </row>
    <row r="310" spans="1:5" x14ac:dyDescent="0.25">
      <c r="A310" t="s">
        <v>13</v>
      </c>
      <c r="B310">
        <v>2355</v>
      </c>
      <c r="C310" s="3">
        <v>42355</v>
      </c>
      <c r="D310" t="s">
        <v>44</v>
      </c>
      <c r="E310" t="s">
        <v>12</v>
      </c>
    </row>
    <row r="311" spans="1:5" x14ac:dyDescent="0.25">
      <c r="A311" t="s">
        <v>13</v>
      </c>
      <c r="B311">
        <v>2368</v>
      </c>
      <c r="C311" s="3">
        <v>42355</v>
      </c>
      <c r="D311" t="s">
        <v>46</v>
      </c>
      <c r="E311" t="s">
        <v>12</v>
      </c>
    </row>
    <row r="312" spans="1:5" x14ac:dyDescent="0.25">
      <c r="A312" t="s">
        <v>13</v>
      </c>
      <c r="B312">
        <v>2353</v>
      </c>
      <c r="C312" s="3">
        <v>42355</v>
      </c>
      <c r="D312" t="s">
        <v>52</v>
      </c>
      <c r="E312" t="s">
        <v>12</v>
      </c>
    </row>
    <row r="313" spans="1:5" x14ac:dyDescent="0.25">
      <c r="A313" t="s">
        <v>13</v>
      </c>
      <c r="B313">
        <v>2352</v>
      </c>
      <c r="C313" s="3">
        <v>42355</v>
      </c>
      <c r="D313" t="s">
        <v>44</v>
      </c>
      <c r="E313" t="s">
        <v>12</v>
      </c>
    </row>
    <row r="314" spans="1:5" x14ac:dyDescent="0.25">
      <c r="A314" t="s">
        <v>13</v>
      </c>
      <c r="B314">
        <v>2362</v>
      </c>
      <c r="C314" s="3">
        <v>42355</v>
      </c>
      <c r="D314" t="s">
        <v>17</v>
      </c>
      <c r="E314" t="s">
        <v>9</v>
      </c>
    </row>
    <row r="315" spans="1:5" x14ac:dyDescent="0.25">
      <c r="A315" t="s">
        <v>13</v>
      </c>
      <c r="B315">
        <v>2372</v>
      </c>
      <c r="C315" s="3">
        <v>42355</v>
      </c>
      <c r="D315" t="s">
        <v>31</v>
      </c>
      <c r="E315" t="s">
        <v>12</v>
      </c>
    </row>
    <row r="316" spans="1:5" x14ac:dyDescent="0.25">
      <c r="A316" t="s">
        <v>13</v>
      </c>
      <c r="B316">
        <v>2366</v>
      </c>
      <c r="C316" s="3">
        <v>42355</v>
      </c>
      <c r="D316" t="s">
        <v>44</v>
      </c>
      <c r="E316" t="s">
        <v>12</v>
      </c>
    </row>
    <row r="317" spans="1:5" x14ac:dyDescent="0.25">
      <c r="A317" t="s">
        <v>13</v>
      </c>
      <c r="B317">
        <v>2369</v>
      </c>
      <c r="C317" s="3">
        <v>42355</v>
      </c>
      <c r="D317" t="s">
        <v>53</v>
      </c>
      <c r="E317" t="s">
        <v>12</v>
      </c>
    </row>
    <row r="318" spans="1:5" x14ac:dyDescent="0.25">
      <c r="A318" t="s">
        <v>13</v>
      </c>
      <c r="B318">
        <v>2360</v>
      </c>
      <c r="C318" s="3">
        <v>42355</v>
      </c>
      <c r="D318" t="s">
        <v>44</v>
      </c>
      <c r="E318" t="s">
        <v>12</v>
      </c>
    </row>
    <row r="319" spans="1:5" x14ac:dyDescent="0.25">
      <c r="A319" t="s">
        <v>13</v>
      </c>
      <c r="B319">
        <v>2352</v>
      </c>
      <c r="C319" s="3">
        <v>42355</v>
      </c>
      <c r="E319" t="s">
        <v>12</v>
      </c>
    </row>
    <row r="320" spans="1:5" x14ac:dyDescent="0.25">
      <c r="A320" t="s">
        <v>13</v>
      </c>
      <c r="B320">
        <v>2384</v>
      </c>
      <c r="C320" s="3">
        <v>42355</v>
      </c>
      <c r="E320" t="s">
        <v>9</v>
      </c>
    </row>
    <row r="321" spans="1:5" x14ac:dyDescent="0.25">
      <c r="A321" t="s">
        <v>13</v>
      </c>
      <c r="B321">
        <v>2353</v>
      </c>
      <c r="C321" s="3">
        <v>42355</v>
      </c>
      <c r="E321" t="s">
        <v>12</v>
      </c>
    </row>
    <row r="322" spans="1:5" x14ac:dyDescent="0.25">
      <c r="A322" t="s">
        <v>13</v>
      </c>
      <c r="B322">
        <v>2369</v>
      </c>
      <c r="C322" s="3">
        <v>42355</v>
      </c>
      <c r="D322" t="s">
        <v>46</v>
      </c>
      <c r="E322" t="s">
        <v>12</v>
      </c>
    </row>
    <row r="323" spans="1:5" x14ac:dyDescent="0.25">
      <c r="A323" t="s">
        <v>13</v>
      </c>
      <c r="B323">
        <v>2374</v>
      </c>
      <c r="C323" s="3">
        <v>42355</v>
      </c>
      <c r="D323" t="s">
        <v>46</v>
      </c>
      <c r="E323" t="s">
        <v>12</v>
      </c>
    </row>
    <row r="324" spans="1:5" x14ac:dyDescent="0.25">
      <c r="A324" t="s">
        <v>13</v>
      </c>
      <c r="B324">
        <v>2368</v>
      </c>
      <c r="C324" s="3">
        <v>42355</v>
      </c>
      <c r="D324">
        <v>68</v>
      </c>
      <c r="E324" t="s">
        <v>12</v>
      </c>
    </row>
    <row r="325" spans="1:5" x14ac:dyDescent="0.25">
      <c r="A325" t="s">
        <v>13</v>
      </c>
      <c r="B325">
        <v>2367</v>
      </c>
      <c r="C325" s="3">
        <v>42355</v>
      </c>
      <c r="D325" t="s">
        <v>46</v>
      </c>
      <c r="E325" t="s">
        <v>12</v>
      </c>
    </row>
    <row r="326" spans="1:5" x14ac:dyDescent="0.25">
      <c r="A326" t="s">
        <v>13</v>
      </c>
      <c r="B326">
        <v>2360</v>
      </c>
      <c r="C326" s="3">
        <v>42355</v>
      </c>
      <c r="E326" t="s">
        <v>10</v>
      </c>
    </row>
    <row r="327" spans="1:5" x14ac:dyDescent="0.25">
      <c r="A327" t="s">
        <v>13</v>
      </c>
      <c r="B327">
        <v>2365</v>
      </c>
      <c r="C327" s="3">
        <v>42355</v>
      </c>
      <c r="D327" t="s">
        <v>46</v>
      </c>
      <c r="E327" t="s">
        <v>12</v>
      </c>
    </row>
    <row r="328" spans="1:5" x14ac:dyDescent="0.25">
      <c r="A328" t="s">
        <v>13</v>
      </c>
      <c r="B328">
        <v>2372</v>
      </c>
      <c r="C328" s="3">
        <v>42355</v>
      </c>
      <c r="D328" t="s">
        <v>17</v>
      </c>
      <c r="E328" t="s">
        <v>9</v>
      </c>
    </row>
    <row r="329" spans="1:5" x14ac:dyDescent="0.25">
      <c r="A329" t="s">
        <v>13</v>
      </c>
      <c r="B329">
        <v>2366</v>
      </c>
      <c r="C329" s="3">
        <v>42355</v>
      </c>
      <c r="D329" t="s">
        <v>54</v>
      </c>
      <c r="E329" t="s">
        <v>12</v>
      </c>
    </row>
    <row r="330" spans="1:5" x14ac:dyDescent="0.25">
      <c r="A330" t="s">
        <v>13</v>
      </c>
      <c r="B330">
        <v>2362</v>
      </c>
      <c r="C330" s="3">
        <v>42355</v>
      </c>
      <c r="D330">
        <v>56</v>
      </c>
      <c r="E330" t="s">
        <v>9</v>
      </c>
    </row>
    <row r="331" spans="1:5" x14ac:dyDescent="0.25">
      <c r="A331" t="s">
        <v>13</v>
      </c>
      <c r="B331">
        <v>2361</v>
      </c>
      <c r="C331" s="3">
        <v>42355</v>
      </c>
      <c r="D331" t="s">
        <v>10</v>
      </c>
      <c r="E331" t="s">
        <v>10</v>
      </c>
    </row>
    <row r="332" spans="1:5" x14ac:dyDescent="0.25">
      <c r="A332" t="s">
        <v>13</v>
      </c>
      <c r="B332">
        <v>2358</v>
      </c>
      <c r="C332" s="3">
        <v>42355</v>
      </c>
      <c r="D332">
        <v>19</v>
      </c>
      <c r="E332" t="s">
        <v>9</v>
      </c>
    </row>
    <row r="333" spans="1:5" x14ac:dyDescent="0.25">
      <c r="A333" t="s">
        <v>13</v>
      </c>
      <c r="B333">
        <v>2355</v>
      </c>
      <c r="C333" s="3">
        <v>42355</v>
      </c>
      <c r="D333" t="s">
        <v>17</v>
      </c>
      <c r="E333" t="s">
        <v>9</v>
      </c>
    </row>
    <row r="334" spans="1:5" x14ac:dyDescent="0.25">
      <c r="A334" t="s">
        <v>13</v>
      </c>
      <c r="B334">
        <v>2354</v>
      </c>
      <c r="C334" s="3">
        <v>42355</v>
      </c>
      <c r="D334">
        <v>36</v>
      </c>
      <c r="E334" t="s">
        <v>9</v>
      </c>
    </row>
    <row r="335" spans="1:5" x14ac:dyDescent="0.25">
      <c r="A335" t="s">
        <v>13</v>
      </c>
      <c r="B335">
        <v>2387</v>
      </c>
      <c r="C335" s="3">
        <v>42354</v>
      </c>
      <c r="E335" t="s">
        <v>12</v>
      </c>
    </row>
    <row r="336" spans="1:5" x14ac:dyDescent="0.25">
      <c r="A336" t="s">
        <v>13</v>
      </c>
      <c r="B336">
        <v>2391</v>
      </c>
      <c r="C336" s="3">
        <v>42354</v>
      </c>
      <c r="E336" t="s">
        <v>12</v>
      </c>
    </row>
    <row r="337" spans="1:5" x14ac:dyDescent="0.25">
      <c r="A337" t="s">
        <v>13</v>
      </c>
      <c r="B337">
        <v>2390</v>
      </c>
      <c r="C337" s="3">
        <v>42354</v>
      </c>
      <c r="E337" t="s">
        <v>12</v>
      </c>
    </row>
    <row r="338" spans="1:5" x14ac:dyDescent="0.25">
      <c r="A338" t="s">
        <v>13</v>
      </c>
      <c r="B338">
        <v>2387</v>
      </c>
      <c r="C338" s="3">
        <v>42354</v>
      </c>
      <c r="E338" t="s">
        <v>12</v>
      </c>
    </row>
    <row r="339" spans="1:5" x14ac:dyDescent="0.25">
      <c r="A339" t="s">
        <v>13</v>
      </c>
      <c r="B339">
        <v>2383</v>
      </c>
      <c r="C339" s="3">
        <v>42354</v>
      </c>
      <c r="E339" t="s">
        <v>12</v>
      </c>
    </row>
    <row r="340" spans="1:5" x14ac:dyDescent="0.25">
      <c r="A340" t="s">
        <v>13</v>
      </c>
      <c r="B340">
        <v>2384</v>
      </c>
      <c r="C340" s="3">
        <v>42354</v>
      </c>
      <c r="E340" t="s">
        <v>12</v>
      </c>
    </row>
    <row r="341" spans="1:5" x14ac:dyDescent="0.25">
      <c r="A341" t="s">
        <v>13</v>
      </c>
      <c r="B341">
        <v>2369</v>
      </c>
      <c r="C341" s="3">
        <v>42354</v>
      </c>
      <c r="E341" t="s">
        <v>12</v>
      </c>
    </row>
    <row r="342" spans="1:5" x14ac:dyDescent="0.25">
      <c r="A342" t="s">
        <v>13</v>
      </c>
      <c r="B342">
        <v>2374</v>
      </c>
      <c r="C342" s="3">
        <v>42354</v>
      </c>
      <c r="E342" t="s">
        <v>12</v>
      </c>
    </row>
    <row r="343" spans="1:5" x14ac:dyDescent="0.25">
      <c r="A343" t="s">
        <v>13</v>
      </c>
      <c r="B343">
        <v>2372</v>
      </c>
      <c r="C343" s="3">
        <v>42354</v>
      </c>
      <c r="E343" t="s">
        <v>12</v>
      </c>
    </row>
    <row r="344" spans="1:5" x14ac:dyDescent="0.25">
      <c r="A344" t="s">
        <v>13</v>
      </c>
      <c r="B344">
        <v>2368</v>
      </c>
      <c r="C344" s="3">
        <v>42354</v>
      </c>
      <c r="E344" t="s">
        <v>12</v>
      </c>
    </row>
    <row r="345" spans="1:5" x14ac:dyDescent="0.25">
      <c r="A345" t="s">
        <v>13</v>
      </c>
      <c r="B345">
        <v>2367</v>
      </c>
      <c r="C345" s="3">
        <v>42354</v>
      </c>
      <c r="E345" t="s">
        <v>12</v>
      </c>
    </row>
    <row r="346" spans="1:5" x14ac:dyDescent="0.25">
      <c r="A346" t="s">
        <v>13</v>
      </c>
      <c r="B346">
        <v>2366</v>
      </c>
      <c r="C346" s="3">
        <v>42354</v>
      </c>
      <c r="E346" t="s">
        <v>12</v>
      </c>
    </row>
    <row r="347" spans="1:5" x14ac:dyDescent="0.25">
      <c r="A347" t="s">
        <v>13</v>
      </c>
      <c r="B347">
        <v>2365</v>
      </c>
      <c r="C347" s="3">
        <v>42354</v>
      </c>
      <c r="E347" t="s">
        <v>12</v>
      </c>
    </row>
    <row r="348" spans="1:5" x14ac:dyDescent="0.25">
      <c r="A348" t="s">
        <v>13</v>
      </c>
      <c r="B348">
        <v>2362</v>
      </c>
      <c r="C348" s="3">
        <v>42354</v>
      </c>
      <c r="E348" t="s">
        <v>12</v>
      </c>
    </row>
    <row r="349" spans="1:5" x14ac:dyDescent="0.25">
      <c r="A349" t="s">
        <v>13</v>
      </c>
      <c r="B349">
        <v>2361</v>
      </c>
      <c r="C349" s="3">
        <v>42354</v>
      </c>
      <c r="E349" t="s">
        <v>12</v>
      </c>
    </row>
    <row r="350" spans="1:5" x14ac:dyDescent="0.25">
      <c r="A350" t="s">
        <v>13</v>
      </c>
      <c r="B350">
        <v>2358</v>
      </c>
      <c r="C350" s="3">
        <v>42354</v>
      </c>
      <c r="E350" t="s">
        <v>12</v>
      </c>
    </row>
    <row r="351" spans="1:5" x14ac:dyDescent="0.25">
      <c r="A351" t="s">
        <v>13</v>
      </c>
      <c r="B351">
        <v>2360</v>
      </c>
      <c r="C351" s="3">
        <v>42354</v>
      </c>
      <c r="E351" t="s">
        <v>12</v>
      </c>
    </row>
    <row r="352" spans="1:5" x14ac:dyDescent="0.25">
      <c r="A352" t="s">
        <v>13</v>
      </c>
      <c r="B352">
        <v>2356</v>
      </c>
      <c r="C352" s="3">
        <v>42354</v>
      </c>
      <c r="D352" t="s">
        <v>55</v>
      </c>
      <c r="E352" t="s">
        <v>12</v>
      </c>
    </row>
    <row r="353" spans="1:5" x14ac:dyDescent="0.25">
      <c r="A353" t="s">
        <v>13</v>
      </c>
      <c r="B353">
        <v>2355</v>
      </c>
      <c r="C353" s="3">
        <v>42354</v>
      </c>
      <c r="E353" t="s">
        <v>12</v>
      </c>
    </row>
    <row r="354" spans="1:5" x14ac:dyDescent="0.25">
      <c r="A354" t="s">
        <v>13</v>
      </c>
      <c r="B354">
        <v>2354</v>
      </c>
      <c r="C354" s="3">
        <v>42354</v>
      </c>
      <c r="E354" t="s">
        <v>12</v>
      </c>
    </row>
    <row r="355" spans="1:5" x14ac:dyDescent="0.25">
      <c r="A355" t="s">
        <v>13</v>
      </c>
      <c r="B355">
        <v>2353</v>
      </c>
      <c r="C355" s="3">
        <v>42354</v>
      </c>
      <c r="E355" t="s">
        <v>12</v>
      </c>
    </row>
    <row r="356" spans="1:5" x14ac:dyDescent="0.25">
      <c r="A356" t="s">
        <v>13</v>
      </c>
      <c r="B356">
        <v>2350</v>
      </c>
      <c r="C356" s="3">
        <v>42354</v>
      </c>
      <c r="E356" t="s">
        <v>12</v>
      </c>
    </row>
    <row r="357" spans="1:5" x14ac:dyDescent="0.25">
      <c r="A357" t="s">
        <v>13</v>
      </c>
      <c r="B357">
        <v>2352</v>
      </c>
      <c r="C357" s="3">
        <v>42354</v>
      </c>
      <c r="E357" t="s">
        <v>12</v>
      </c>
    </row>
    <row r="358" spans="1:5" x14ac:dyDescent="0.25">
      <c r="A358" t="s">
        <v>13</v>
      </c>
      <c r="B358">
        <v>2361</v>
      </c>
      <c r="C358" s="3">
        <v>42354</v>
      </c>
      <c r="D358" t="s">
        <v>56</v>
      </c>
      <c r="E358" t="s">
        <v>9</v>
      </c>
    </row>
    <row r="359" spans="1:5" x14ac:dyDescent="0.25">
      <c r="A359" t="s">
        <v>13</v>
      </c>
      <c r="B359">
        <v>2360</v>
      </c>
      <c r="C359" s="3">
        <v>42354</v>
      </c>
      <c r="D359" t="s">
        <v>57</v>
      </c>
      <c r="E359" t="s">
        <v>12</v>
      </c>
    </row>
    <row r="360" spans="1:5" x14ac:dyDescent="0.25">
      <c r="A360" t="s">
        <v>13</v>
      </c>
      <c r="B360">
        <v>2358</v>
      </c>
      <c r="C360" s="3">
        <v>42354</v>
      </c>
      <c r="D360" t="s">
        <v>58</v>
      </c>
      <c r="E360" t="s">
        <v>12</v>
      </c>
    </row>
    <row r="361" spans="1:5" x14ac:dyDescent="0.25">
      <c r="A361" t="s">
        <v>13</v>
      </c>
      <c r="B361">
        <v>2356</v>
      </c>
      <c r="C361" s="3">
        <v>42354</v>
      </c>
      <c r="D361" t="s">
        <v>59</v>
      </c>
      <c r="E361" t="s">
        <v>12</v>
      </c>
    </row>
    <row r="362" spans="1:5" x14ac:dyDescent="0.25">
      <c r="A362" t="s">
        <v>13</v>
      </c>
      <c r="B362">
        <v>2355</v>
      </c>
      <c r="C362" s="3">
        <v>42354</v>
      </c>
      <c r="D362" t="s">
        <v>59</v>
      </c>
      <c r="E362" t="s">
        <v>12</v>
      </c>
    </row>
    <row r="363" spans="1:5" x14ac:dyDescent="0.25">
      <c r="A363" t="s">
        <v>13</v>
      </c>
      <c r="B363">
        <v>2354</v>
      </c>
      <c r="C363" s="3">
        <v>42354</v>
      </c>
      <c r="D363" t="s">
        <v>58</v>
      </c>
      <c r="E363" t="s">
        <v>12</v>
      </c>
    </row>
    <row r="364" spans="1:5" x14ac:dyDescent="0.25">
      <c r="A364" t="s">
        <v>13</v>
      </c>
      <c r="B364">
        <v>2353</v>
      </c>
      <c r="C364" s="3">
        <v>42354</v>
      </c>
      <c r="D364">
        <v>62</v>
      </c>
      <c r="E364" t="s">
        <v>9</v>
      </c>
    </row>
    <row r="365" spans="1:5" x14ac:dyDescent="0.25">
      <c r="A365" t="s">
        <v>13</v>
      </c>
      <c r="B365">
        <v>2352</v>
      </c>
      <c r="C365" s="3">
        <v>42354</v>
      </c>
      <c r="D365" t="s">
        <v>58</v>
      </c>
      <c r="E365" t="s">
        <v>12</v>
      </c>
    </row>
    <row r="366" spans="1:5" x14ac:dyDescent="0.25">
      <c r="A366" t="s">
        <v>13</v>
      </c>
      <c r="B366">
        <v>2350</v>
      </c>
      <c r="C366" s="3">
        <v>42354</v>
      </c>
      <c r="D366">
        <v>67</v>
      </c>
      <c r="E366" t="s">
        <v>9</v>
      </c>
    </row>
    <row r="367" spans="1:5" x14ac:dyDescent="0.25">
      <c r="A367" t="s">
        <v>13</v>
      </c>
      <c r="B367">
        <v>2357</v>
      </c>
      <c r="C367" s="3">
        <v>42353</v>
      </c>
      <c r="D367">
        <v>9</v>
      </c>
      <c r="E367" t="s">
        <v>9</v>
      </c>
    </row>
    <row r="368" spans="1:5" x14ac:dyDescent="0.25">
      <c r="A368" t="s">
        <v>13</v>
      </c>
      <c r="B368">
        <v>2394</v>
      </c>
      <c r="C368" s="3">
        <v>42353</v>
      </c>
      <c r="D368" t="s">
        <v>44</v>
      </c>
      <c r="E368" t="s">
        <v>12</v>
      </c>
    </row>
    <row r="369" spans="1:5" x14ac:dyDescent="0.25">
      <c r="A369" t="s">
        <v>13</v>
      </c>
      <c r="B369">
        <v>2387</v>
      </c>
      <c r="C369" s="3">
        <v>42353</v>
      </c>
      <c r="D369">
        <v>20</v>
      </c>
      <c r="E369" t="s">
        <v>9</v>
      </c>
    </row>
    <row r="370" spans="1:5" x14ac:dyDescent="0.25">
      <c r="A370" t="s">
        <v>13</v>
      </c>
      <c r="B370">
        <v>2386</v>
      </c>
      <c r="C370" s="3">
        <v>42353</v>
      </c>
      <c r="D370" t="s">
        <v>31</v>
      </c>
      <c r="E370" t="s">
        <v>12</v>
      </c>
    </row>
    <row r="371" spans="1:5" x14ac:dyDescent="0.25">
      <c r="A371" t="s">
        <v>13</v>
      </c>
      <c r="B371">
        <v>2384</v>
      </c>
      <c r="C371" s="3">
        <v>42353</v>
      </c>
      <c r="D371" t="s">
        <v>60</v>
      </c>
      <c r="E371" t="s">
        <v>12</v>
      </c>
    </row>
    <row r="372" spans="1:5" x14ac:dyDescent="0.25">
      <c r="A372" t="s">
        <v>13</v>
      </c>
      <c r="B372">
        <v>2383</v>
      </c>
      <c r="C372" s="3">
        <v>42353</v>
      </c>
      <c r="E372" t="s">
        <v>9</v>
      </c>
    </row>
    <row r="373" spans="1:5" x14ac:dyDescent="0.25">
      <c r="A373" t="s">
        <v>13</v>
      </c>
      <c r="B373">
        <v>2361</v>
      </c>
      <c r="C373" s="3">
        <v>42353</v>
      </c>
      <c r="E373" t="s">
        <v>9</v>
      </c>
    </row>
    <row r="374" spans="1:5" x14ac:dyDescent="0.25">
      <c r="A374" t="s">
        <v>13</v>
      </c>
      <c r="B374">
        <v>2370</v>
      </c>
      <c r="C374" s="3">
        <v>42353</v>
      </c>
      <c r="D374" t="s">
        <v>44</v>
      </c>
      <c r="E374" t="s">
        <v>12</v>
      </c>
    </row>
    <row r="375" spans="1:5" x14ac:dyDescent="0.25">
      <c r="A375" t="s">
        <v>13</v>
      </c>
      <c r="B375">
        <v>2371</v>
      </c>
      <c r="C375" s="3">
        <v>42353</v>
      </c>
      <c r="D375" t="s">
        <v>44</v>
      </c>
      <c r="E375" t="s">
        <v>12</v>
      </c>
    </row>
    <row r="376" spans="1:5" x14ac:dyDescent="0.25">
      <c r="A376" t="s">
        <v>13</v>
      </c>
      <c r="B376">
        <v>2372</v>
      </c>
      <c r="C376" s="3">
        <v>42353</v>
      </c>
      <c r="D376" t="s">
        <v>44</v>
      </c>
      <c r="E376" t="s">
        <v>12</v>
      </c>
    </row>
    <row r="377" spans="1:5" x14ac:dyDescent="0.25">
      <c r="A377" t="s">
        <v>13</v>
      </c>
      <c r="B377">
        <v>2374</v>
      </c>
      <c r="C377" s="3">
        <v>42353</v>
      </c>
      <c r="D377">
        <v>71</v>
      </c>
      <c r="E377" t="s">
        <v>9</v>
      </c>
    </row>
    <row r="378" spans="1:5" x14ac:dyDescent="0.25">
      <c r="A378" t="s">
        <v>13</v>
      </c>
      <c r="B378">
        <v>2375</v>
      </c>
      <c r="C378" s="3">
        <v>42353</v>
      </c>
      <c r="D378">
        <v>50</v>
      </c>
      <c r="E378" t="s">
        <v>9</v>
      </c>
    </row>
    <row r="379" spans="1:5" x14ac:dyDescent="0.25">
      <c r="A379" t="s">
        <v>13</v>
      </c>
      <c r="B379">
        <v>2369</v>
      </c>
      <c r="C379" s="3">
        <v>42353</v>
      </c>
      <c r="D379" t="s">
        <v>44</v>
      </c>
      <c r="E379" t="s">
        <v>12</v>
      </c>
    </row>
    <row r="380" spans="1:5" x14ac:dyDescent="0.25">
      <c r="A380" t="s">
        <v>13</v>
      </c>
      <c r="B380">
        <v>2368</v>
      </c>
      <c r="C380" s="3">
        <v>42353</v>
      </c>
      <c r="D380">
        <v>70</v>
      </c>
      <c r="E380" t="s">
        <v>9</v>
      </c>
    </row>
    <row r="381" spans="1:5" x14ac:dyDescent="0.25">
      <c r="A381" t="s">
        <v>13</v>
      </c>
      <c r="B381">
        <v>2367</v>
      </c>
      <c r="C381" s="3">
        <v>42353</v>
      </c>
      <c r="E381" t="s">
        <v>9</v>
      </c>
    </row>
    <row r="382" spans="1:5" x14ac:dyDescent="0.25">
      <c r="A382" t="s">
        <v>13</v>
      </c>
      <c r="B382">
        <v>2366</v>
      </c>
      <c r="C382" s="3">
        <v>42353</v>
      </c>
      <c r="D382">
        <v>60</v>
      </c>
      <c r="E382" t="s">
        <v>9</v>
      </c>
    </row>
    <row r="383" spans="1:5" x14ac:dyDescent="0.25">
      <c r="A383" t="s">
        <v>13</v>
      </c>
      <c r="B383">
        <v>2365</v>
      </c>
      <c r="C383" s="3">
        <v>42353</v>
      </c>
      <c r="D383">
        <v>29</v>
      </c>
      <c r="E383" t="s">
        <v>9</v>
      </c>
    </row>
    <row r="384" spans="1:5" x14ac:dyDescent="0.25">
      <c r="A384" t="s">
        <v>13</v>
      </c>
      <c r="B384">
        <v>2364</v>
      </c>
      <c r="C384" s="3">
        <v>42353</v>
      </c>
      <c r="D384" t="s">
        <v>10</v>
      </c>
      <c r="E384" t="s">
        <v>10</v>
      </c>
    </row>
    <row r="385" spans="1:5" x14ac:dyDescent="0.25">
      <c r="A385" t="s">
        <v>13</v>
      </c>
      <c r="B385">
        <v>2362</v>
      </c>
      <c r="C385" s="3">
        <v>42353</v>
      </c>
      <c r="E385" t="s">
        <v>9</v>
      </c>
    </row>
    <row r="386" spans="1:5" x14ac:dyDescent="0.25">
      <c r="A386" t="s">
        <v>13</v>
      </c>
      <c r="B386">
        <v>2360</v>
      </c>
      <c r="C386" s="3">
        <v>42353</v>
      </c>
      <c r="D386">
        <v>68</v>
      </c>
      <c r="E386" t="s">
        <v>9</v>
      </c>
    </row>
    <row r="387" spans="1:5" x14ac:dyDescent="0.25">
      <c r="A387" t="s">
        <v>13</v>
      </c>
      <c r="B387">
        <v>2359</v>
      </c>
      <c r="C387" s="3">
        <v>42353</v>
      </c>
      <c r="D387">
        <v>52</v>
      </c>
      <c r="E387" t="s">
        <v>9</v>
      </c>
    </row>
    <row r="388" spans="1:5" x14ac:dyDescent="0.25">
      <c r="A388" t="s">
        <v>13</v>
      </c>
      <c r="B388">
        <v>2358</v>
      </c>
      <c r="C388" s="3">
        <v>42353</v>
      </c>
      <c r="D388">
        <v>23</v>
      </c>
      <c r="E388" t="s">
        <v>9</v>
      </c>
    </row>
    <row r="389" spans="1:5" x14ac:dyDescent="0.25">
      <c r="A389" t="s">
        <v>13</v>
      </c>
      <c r="B389">
        <v>2357</v>
      </c>
      <c r="C389" s="3">
        <v>42353</v>
      </c>
      <c r="D389">
        <v>63</v>
      </c>
      <c r="E389" t="s">
        <v>9</v>
      </c>
    </row>
    <row r="390" spans="1:5" x14ac:dyDescent="0.25">
      <c r="A390" t="s">
        <v>13</v>
      </c>
      <c r="B390">
        <v>2356</v>
      </c>
      <c r="C390" s="3">
        <v>42353</v>
      </c>
      <c r="D390">
        <v>50</v>
      </c>
      <c r="E390" t="s">
        <v>9</v>
      </c>
    </row>
    <row r="391" spans="1:5" x14ac:dyDescent="0.25">
      <c r="A391" t="s">
        <v>13</v>
      </c>
      <c r="B391">
        <v>2355</v>
      </c>
      <c r="C391" s="3">
        <v>42353</v>
      </c>
      <c r="E391" t="s">
        <v>9</v>
      </c>
    </row>
    <row r="392" spans="1:5" x14ac:dyDescent="0.25">
      <c r="A392" t="s">
        <v>13</v>
      </c>
      <c r="B392">
        <v>2354</v>
      </c>
      <c r="C392" s="3">
        <v>42353</v>
      </c>
      <c r="D392">
        <v>46</v>
      </c>
      <c r="E392" t="s">
        <v>9</v>
      </c>
    </row>
    <row r="393" spans="1:5" x14ac:dyDescent="0.25">
      <c r="A393" t="s">
        <v>13</v>
      </c>
      <c r="B393">
        <v>2353</v>
      </c>
      <c r="C393" s="3">
        <v>42353</v>
      </c>
      <c r="E393" t="s">
        <v>9</v>
      </c>
    </row>
    <row r="394" spans="1:5" x14ac:dyDescent="0.25">
      <c r="A394" t="s">
        <v>13</v>
      </c>
      <c r="B394">
        <v>2352</v>
      </c>
      <c r="C394" s="3">
        <v>42353</v>
      </c>
      <c r="D394">
        <v>5</v>
      </c>
      <c r="E394" t="s">
        <v>9</v>
      </c>
    </row>
    <row r="395" spans="1:5" x14ac:dyDescent="0.25">
      <c r="A395" t="s">
        <v>13</v>
      </c>
      <c r="B395">
        <v>2350</v>
      </c>
      <c r="C395" s="3">
        <v>42353</v>
      </c>
      <c r="D395" t="s">
        <v>10</v>
      </c>
      <c r="E395" t="s">
        <v>10</v>
      </c>
    </row>
    <row r="396" spans="1:5" x14ac:dyDescent="0.25">
      <c r="A396" t="s">
        <v>13</v>
      </c>
      <c r="B396">
        <v>2358</v>
      </c>
      <c r="C396" s="3">
        <v>42352</v>
      </c>
      <c r="D396">
        <v>64</v>
      </c>
      <c r="E396" t="s">
        <v>9</v>
      </c>
    </row>
    <row r="397" spans="1:5" x14ac:dyDescent="0.25">
      <c r="A397" t="s">
        <v>13</v>
      </c>
      <c r="B397">
        <v>2357</v>
      </c>
      <c r="C397" s="3">
        <v>42352</v>
      </c>
      <c r="D397">
        <v>60</v>
      </c>
      <c r="E397" t="s">
        <v>9</v>
      </c>
    </row>
    <row r="398" spans="1:5" x14ac:dyDescent="0.25">
      <c r="A398" t="s">
        <v>13</v>
      </c>
      <c r="B398">
        <v>2356</v>
      </c>
      <c r="C398" s="3">
        <v>42352</v>
      </c>
      <c r="D398">
        <v>53</v>
      </c>
      <c r="E398" t="s">
        <v>9</v>
      </c>
    </row>
    <row r="399" spans="1:5" x14ac:dyDescent="0.25">
      <c r="A399" t="s">
        <v>13</v>
      </c>
      <c r="B399">
        <v>2355</v>
      </c>
      <c r="C399" s="3">
        <v>42352</v>
      </c>
      <c r="D399">
        <v>52</v>
      </c>
      <c r="E399" t="s">
        <v>9</v>
      </c>
    </row>
    <row r="400" spans="1:5" x14ac:dyDescent="0.25">
      <c r="A400" t="s">
        <v>13</v>
      </c>
      <c r="B400">
        <v>2354</v>
      </c>
      <c r="C400" s="3">
        <v>42352</v>
      </c>
      <c r="D400">
        <v>4</v>
      </c>
      <c r="E400" t="s">
        <v>9</v>
      </c>
    </row>
    <row r="401" spans="1:5" x14ac:dyDescent="0.25">
      <c r="A401" t="s">
        <v>13</v>
      </c>
      <c r="B401">
        <v>2353</v>
      </c>
      <c r="C401" s="3">
        <v>42352</v>
      </c>
      <c r="D401">
        <v>61</v>
      </c>
      <c r="E401" t="s">
        <v>9</v>
      </c>
    </row>
    <row r="402" spans="1:5" x14ac:dyDescent="0.25">
      <c r="A402" t="s">
        <v>13</v>
      </c>
      <c r="B402">
        <v>2352</v>
      </c>
      <c r="C402" s="3">
        <v>42352</v>
      </c>
      <c r="D402">
        <v>5</v>
      </c>
      <c r="E402" t="s">
        <v>9</v>
      </c>
    </row>
    <row r="403" spans="1:5" x14ac:dyDescent="0.25">
      <c r="A403" t="s">
        <v>13</v>
      </c>
      <c r="B403">
        <v>2350</v>
      </c>
      <c r="C403" s="3">
        <v>42352</v>
      </c>
      <c r="D403">
        <v>65</v>
      </c>
      <c r="E403" t="s">
        <v>9</v>
      </c>
    </row>
    <row r="404" spans="1:5" x14ac:dyDescent="0.25">
      <c r="A404" t="s">
        <v>13</v>
      </c>
      <c r="B404">
        <v>2352</v>
      </c>
      <c r="C404" s="3">
        <v>42352</v>
      </c>
      <c r="E404" t="s">
        <v>10</v>
      </c>
    </row>
    <row r="405" spans="1:5" x14ac:dyDescent="0.25">
      <c r="A405" t="s">
        <v>13</v>
      </c>
      <c r="B405">
        <v>2356</v>
      </c>
      <c r="C405" s="3">
        <v>42352</v>
      </c>
      <c r="E405" t="s">
        <v>9</v>
      </c>
    </row>
    <row r="406" spans="1:5" x14ac:dyDescent="0.25">
      <c r="A406" t="s">
        <v>13</v>
      </c>
      <c r="B406">
        <v>2361</v>
      </c>
      <c r="C406" s="3">
        <v>42352</v>
      </c>
      <c r="D406" t="s">
        <v>38</v>
      </c>
      <c r="E406" t="s">
        <v>12</v>
      </c>
    </row>
    <row r="407" spans="1:5" x14ac:dyDescent="0.25">
      <c r="A407" t="s">
        <v>13</v>
      </c>
      <c r="B407">
        <v>2360</v>
      </c>
      <c r="C407" s="3">
        <v>42352</v>
      </c>
      <c r="D407" t="s">
        <v>61</v>
      </c>
      <c r="E407" t="s">
        <v>12</v>
      </c>
    </row>
    <row r="408" spans="1:5" x14ac:dyDescent="0.25">
      <c r="A408" t="s">
        <v>13</v>
      </c>
      <c r="B408">
        <v>2359</v>
      </c>
      <c r="C408" s="3">
        <v>42352</v>
      </c>
      <c r="D408" t="s">
        <v>62</v>
      </c>
      <c r="E408" t="s">
        <v>12</v>
      </c>
    </row>
    <row r="409" spans="1:5" x14ac:dyDescent="0.25">
      <c r="A409" t="s">
        <v>13</v>
      </c>
      <c r="B409">
        <v>2358</v>
      </c>
      <c r="C409" s="3">
        <v>42352</v>
      </c>
      <c r="D409" t="s">
        <v>62</v>
      </c>
      <c r="E409" t="s">
        <v>12</v>
      </c>
    </row>
    <row r="410" spans="1:5" x14ac:dyDescent="0.25">
      <c r="A410" t="s">
        <v>13</v>
      </c>
      <c r="B410">
        <v>2357</v>
      </c>
      <c r="C410" s="3">
        <v>42352</v>
      </c>
      <c r="D410" t="s">
        <v>63</v>
      </c>
      <c r="E410" t="s">
        <v>12</v>
      </c>
    </row>
    <row r="411" spans="1:5" x14ac:dyDescent="0.25">
      <c r="A411" t="s">
        <v>13</v>
      </c>
      <c r="B411">
        <v>2356</v>
      </c>
      <c r="C411" s="3">
        <v>42352</v>
      </c>
      <c r="D411" t="s">
        <v>62</v>
      </c>
      <c r="E411" t="s">
        <v>12</v>
      </c>
    </row>
    <row r="412" spans="1:5" x14ac:dyDescent="0.25">
      <c r="A412" t="s">
        <v>13</v>
      </c>
      <c r="B412">
        <v>2355</v>
      </c>
      <c r="C412" s="3">
        <v>42352</v>
      </c>
      <c r="D412" t="s">
        <v>53</v>
      </c>
      <c r="E412" t="s">
        <v>12</v>
      </c>
    </row>
    <row r="413" spans="1:5" x14ac:dyDescent="0.25">
      <c r="A413" t="s">
        <v>13</v>
      </c>
      <c r="B413">
        <v>2354</v>
      </c>
      <c r="C413" s="3">
        <v>42351</v>
      </c>
      <c r="E413" t="s">
        <v>9</v>
      </c>
    </row>
    <row r="414" spans="1:5" x14ac:dyDescent="0.25">
      <c r="A414" t="s">
        <v>13</v>
      </c>
      <c r="B414">
        <v>2353</v>
      </c>
      <c r="C414" s="3">
        <v>42351</v>
      </c>
      <c r="E414" t="s">
        <v>9</v>
      </c>
    </row>
    <row r="415" spans="1:5" x14ac:dyDescent="0.25">
      <c r="A415" t="s">
        <v>13</v>
      </c>
      <c r="B415">
        <v>2352</v>
      </c>
      <c r="C415" s="3">
        <v>42351</v>
      </c>
      <c r="E415" t="s">
        <v>9</v>
      </c>
    </row>
    <row r="416" spans="1:5" x14ac:dyDescent="0.25">
      <c r="A416" t="s">
        <v>13</v>
      </c>
      <c r="B416">
        <v>2350</v>
      </c>
      <c r="C416" s="3">
        <v>42351</v>
      </c>
      <c r="E416" t="s">
        <v>10</v>
      </c>
    </row>
    <row r="417" spans="1:5" x14ac:dyDescent="0.25">
      <c r="A417" t="s">
        <v>13</v>
      </c>
      <c r="B417">
        <v>2350</v>
      </c>
      <c r="C417" s="3">
        <v>42351</v>
      </c>
      <c r="E417" t="s">
        <v>9</v>
      </c>
    </row>
    <row r="418" spans="1:5" x14ac:dyDescent="0.25">
      <c r="A418" t="s">
        <v>13</v>
      </c>
      <c r="B418">
        <v>2350</v>
      </c>
      <c r="C418" s="3">
        <v>42351</v>
      </c>
      <c r="D418">
        <v>32</v>
      </c>
      <c r="E418" t="s">
        <v>9</v>
      </c>
    </row>
    <row r="419" spans="1:5" x14ac:dyDescent="0.25">
      <c r="A419" t="s">
        <v>13</v>
      </c>
      <c r="B419">
        <v>2387</v>
      </c>
      <c r="C419" s="3">
        <v>42350</v>
      </c>
      <c r="E419" t="s">
        <v>9</v>
      </c>
    </row>
    <row r="420" spans="1:5" x14ac:dyDescent="0.25">
      <c r="A420" t="s">
        <v>13</v>
      </c>
      <c r="B420">
        <v>2394</v>
      </c>
      <c r="C420" s="3">
        <v>42350</v>
      </c>
      <c r="E420" t="s">
        <v>9</v>
      </c>
    </row>
    <row r="421" spans="1:5" x14ac:dyDescent="0.25">
      <c r="A421" t="s">
        <v>13</v>
      </c>
      <c r="B421">
        <v>2358</v>
      </c>
      <c r="C421" s="3">
        <v>42350</v>
      </c>
      <c r="E421" t="s">
        <v>10</v>
      </c>
    </row>
    <row r="422" spans="1:5" x14ac:dyDescent="0.25">
      <c r="A422" t="s">
        <v>13</v>
      </c>
      <c r="B422">
        <v>2393</v>
      </c>
      <c r="C422" s="3">
        <v>42350</v>
      </c>
      <c r="D422" t="s">
        <v>64</v>
      </c>
      <c r="E422" t="s">
        <v>12</v>
      </c>
    </row>
    <row r="423" spans="1:5" x14ac:dyDescent="0.25">
      <c r="A423" t="s">
        <v>13</v>
      </c>
      <c r="B423">
        <v>2391</v>
      </c>
      <c r="C423" s="3">
        <v>42350</v>
      </c>
      <c r="D423">
        <v>38</v>
      </c>
      <c r="E423" t="s">
        <v>9</v>
      </c>
    </row>
    <row r="424" spans="1:5" x14ac:dyDescent="0.25">
      <c r="A424" t="s">
        <v>13</v>
      </c>
      <c r="B424">
        <v>2392</v>
      </c>
      <c r="C424" s="3">
        <v>42350</v>
      </c>
      <c r="D424" t="s">
        <v>35</v>
      </c>
      <c r="E424" t="s">
        <v>12</v>
      </c>
    </row>
    <row r="425" spans="1:5" x14ac:dyDescent="0.25">
      <c r="A425" t="s">
        <v>13</v>
      </c>
      <c r="B425">
        <v>2390</v>
      </c>
      <c r="C425" s="3">
        <v>42350</v>
      </c>
      <c r="D425" t="s">
        <v>63</v>
      </c>
      <c r="E425" t="s">
        <v>12</v>
      </c>
    </row>
    <row r="426" spans="1:5" x14ac:dyDescent="0.25">
      <c r="A426" t="s">
        <v>13</v>
      </c>
      <c r="B426">
        <v>2389</v>
      </c>
      <c r="C426" s="3">
        <v>42350</v>
      </c>
      <c r="D426" t="s">
        <v>65</v>
      </c>
      <c r="E426" t="s">
        <v>12</v>
      </c>
    </row>
    <row r="427" spans="1:5" x14ac:dyDescent="0.25">
      <c r="A427" t="s">
        <v>13</v>
      </c>
      <c r="B427">
        <v>2387</v>
      </c>
      <c r="C427" s="3">
        <v>42350</v>
      </c>
      <c r="D427" t="s">
        <v>66</v>
      </c>
      <c r="E427" t="s">
        <v>12</v>
      </c>
    </row>
    <row r="428" spans="1:5" x14ac:dyDescent="0.25">
      <c r="A428" t="s">
        <v>13</v>
      </c>
      <c r="B428">
        <v>2353</v>
      </c>
      <c r="C428" s="3">
        <v>42350</v>
      </c>
      <c r="D428" t="s">
        <v>67</v>
      </c>
      <c r="E428" t="s">
        <v>12</v>
      </c>
    </row>
    <row r="429" spans="1:5" x14ac:dyDescent="0.25">
      <c r="A429" t="s">
        <v>13</v>
      </c>
      <c r="B429">
        <v>2386</v>
      </c>
      <c r="C429" s="3">
        <v>42350</v>
      </c>
      <c r="D429" t="s">
        <v>65</v>
      </c>
      <c r="E429" t="s">
        <v>12</v>
      </c>
    </row>
    <row r="430" spans="1:5" x14ac:dyDescent="0.25">
      <c r="A430" t="s">
        <v>13</v>
      </c>
      <c r="B430">
        <v>2384</v>
      </c>
      <c r="C430" s="3">
        <v>42350</v>
      </c>
      <c r="D430" t="s">
        <v>44</v>
      </c>
      <c r="E430" t="s">
        <v>12</v>
      </c>
    </row>
    <row r="431" spans="1:5" x14ac:dyDescent="0.25">
      <c r="A431" t="s">
        <v>13</v>
      </c>
      <c r="B431">
        <v>2383</v>
      </c>
      <c r="C431" s="3">
        <v>42350</v>
      </c>
      <c r="D431" t="s">
        <v>44</v>
      </c>
      <c r="E431" t="s">
        <v>12</v>
      </c>
    </row>
    <row r="432" spans="1:5" x14ac:dyDescent="0.25">
      <c r="A432" t="s">
        <v>13</v>
      </c>
      <c r="B432">
        <v>2369</v>
      </c>
      <c r="C432" s="3">
        <v>42350</v>
      </c>
      <c r="D432" t="s">
        <v>51</v>
      </c>
      <c r="E432" t="s">
        <v>12</v>
      </c>
    </row>
    <row r="433" spans="1:5" x14ac:dyDescent="0.25">
      <c r="A433" t="s">
        <v>13</v>
      </c>
      <c r="B433">
        <v>2368</v>
      </c>
      <c r="C433" s="3">
        <v>42350</v>
      </c>
      <c r="D433" t="s">
        <v>63</v>
      </c>
      <c r="E433" t="s">
        <v>12</v>
      </c>
    </row>
    <row r="434" spans="1:5" x14ac:dyDescent="0.25">
      <c r="A434" t="s">
        <v>13</v>
      </c>
      <c r="B434">
        <v>2367</v>
      </c>
      <c r="C434" s="3">
        <v>42350</v>
      </c>
      <c r="D434" t="s">
        <v>68</v>
      </c>
      <c r="E434" t="s">
        <v>12</v>
      </c>
    </row>
    <row r="435" spans="1:5" x14ac:dyDescent="0.25">
      <c r="A435" t="s">
        <v>13</v>
      </c>
      <c r="B435">
        <v>2366</v>
      </c>
      <c r="C435" s="3">
        <v>42350</v>
      </c>
      <c r="D435" t="s">
        <v>51</v>
      </c>
      <c r="E435" t="s">
        <v>12</v>
      </c>
    </row>
    <row r="436" spans="1:5" x14ac:dyDescent="0.25">
      <c r="A436" t="s">
        <v>13</v>
      </c>
      <c r="B436">
        <v>2365</v>
      </c>
      <c r="C436" s="3">
        <v>42350</v>
      </c>
      <c r="D436" t="s">
        <v>64</v>
      </c>
      <c r="E436" t="s">
        <v>12</v>
      </c>
    </row>
    <row r="437" spans="1:5" x14ac:dyDescent="0.25">
      <c r="A437" t="s">
        <v>13</v>
      </c>
      <c r="B437">
        <v>2364</v>
      </c>
      <c r="C437" s="3">
        <v>42350</v>
      </c>
      <c r="D437" t="s">
        <v>69</v>
      </c>
      <c r="E437" t="s">
        <v>12</v>
      </c>
    </row>
    <row r="438" spans="1:5" x14ac:dyDescent="0.25">
      <c r="A438" t="s">
        <v>13</v>
      </c>
      <c r="B438">
        <v>2362</v>
      </c>
      <c r="C438" s="3">
        <v>42350</v>
      </c>
      <c r="D438" t="s">
        <v>51</v>
      </c>
      <c r="E438" t="s">
        <v>12</v>
      </c>
    </row>
    <row r="439" spans="1:5" x14ac:dyDescent="0.25">
      <c r="A439" t="s">
        <v>13</v>
      </c>
      <c r="B439">
        <v>2361</v>
      </c>
      <c r="C439" s="3">
        <v>42350</v>
      </c>
      <c r="D439" t="s">
        <v>70</v>
      </c>
      <c r="E439" t="s">
        <v>12</v>
      </c>
    </row>
    <row r="440" spans="1:5" x14ac:dyDescent="0.25">
      <c r="A440" t="s">
        <v>13</v>
      </c>
      <c r="B440">
        <v>2360</v>
      </c>
      <c r="C440" s="3">
        <v>42350</v>
      </c>
      <c r="D440" t="s">
        <v>51</v>
      </c>
      <c r="E440" t="s">
        <v>12</v>
      </c>
    </row>
    <row r="441" spans="1:5" x14ac:dyDescent="0.25">
      <c r="A441" t="s">
        <v>13</v>
      </c>
      <c r="B441">
        <v>2359</v>
      </c>
      <c r="C441" s="3">
        <v>42350</v>
      </c>
      <c r="D441" t="s">
        <v>66</v>
      </c>
      <c r="E441" t="s">
        <v>12</v>
      </c>
    </row>
    <row r="442" spans="1:5" x14ac:dyDescent="0.25">
      <c r="A442" t="s">
        <v>13</v>
      </c>
      <c r="B442">
        <v>2358</v>
      </c>
      <c r="C442" s="3">
        <v>42350</v>
      </c>
      <c r="E442" t="s">
        <v>12</v>
      </c>
    </row>
    <row r="443" spans="1:5" x14ac:dyDescent="0.25">
      <c r="A443" t="s">
        <v>13</v>
      </c>
      <c r="B443">
        <v>2357</v>
      </c>
      <c r="C443" s="3">
        <v>42350</v>
      </c>
      <c r="D443" t="s">
        <v>51</v>
      </c>
      <c r="E443" t="s">
        <v>12</v>
      </c>
    </row>
    <row r="444" spans="1:5" x14ac:dyDescent="0.25">
      <c r="A444" t="s">
        <v>13</v>
      </c>
      <c r="B444">
        <v>2356</v>
      </c>
      <c r="C444" s="3">
        <v>42350</v>
      </c>
      <c r="D444" t="s">
        <v>64</v>
      </c>
      <c r="E444" t="s">
        <v>12</v>
      </c>
    </row>
    <row r="445" spans="1:5" x14ac:dyDescent="0.25">
      <c r="A445" t="s">
        <v>13</v>
      </c>
      <c r="B445">
        <v>2355</v>
      </c>
      <c r="C445" s="3">
        <v>42350</v>
      </c>
      <c r="D445" t="s">
        <v>71</v>
      </c>
      <c r="E445" t="s">
        <v>12</v>
      </c>
    </row>
    <row r="446" spans="1:5" x14ac:dyDescent="0.25">
      <c r="A446" t="s">
        <v>13</v>
      </c>
      <c r="B446">
        <v>2354</v>
      </c>
      <c r="C446" s="3">
        <v>42350</v>
      </c>
      <c r="D446" t="s">
        <v>64</v>
      </c>
      <c r="E446" t="s">
        <v>12</v>
      </c>
    </row>
    <row r="447" spans="1:5" x14ac:dyDescent="0.25">
      <c r="A447" t="s">
        <v>13</v>
      </c>
      <c r="B447">
        <v>2353</v>
      </c>
      <c r="C447" s="3">
        <v>42350</v>
      </c>
      <c r="D447" t="s">
        <v>61</v>
      </c>
      <c r="E447" t="s">
        <v>12</v>
      </c>
    </row>
    <row r="448" spans="1:5" x14ac:dyDescent="0.25">
      <c r="A448" t="s">
        <v>13</v>
      </c>
      <c r="B448">
        <v>2352</v>
      </c>
      <c r="C448" s="3">
        <v>42350</v>
      </c>
      <c r="D448" t="s">
        <v>72</v>
      </c>
      <c r="E448" t="s">
        <v>12</v>
      </c>
    </row>
    <row r="449" spans="1:5" x14ac:dyDescent="0.25">
      <c r="A449" t="s">
        <v>13</v>
      </c>
      <c r="B449">
        <v>2362</v>
      </c>
      <c r="C449" s="3">
        <v>42350</v>
      </c>
      <c r="D449" t="s">
        <v>10</v>
      </c>
      <c r="E449" t="s">
        <v>10</v>
      </c>
    </row>
    <row r="450" spans="1:5" x14ac:dyDescent="0.25">
      <c r="A450" t="s">
        <v>13</v>
      </c>
      <c r="B450">
        <v>2365</v>
      </c>
      <c r="C450" s="3">
        <v>42350</v>
      </c>
      <c r="D450">
        <v>6</v>
      </c>
      <c r="E450" t="s">
        <v>9</v>
      </c>
    </row>
    <row r="451" spans="1:5" x14ac:dyDescent="0.25">
      <c r="A451" t="s">
        <v>13</v>
      </c>
      <c r="B451">
        <v>2386</v>
      </c>
      <c r="C451" s="3">
        <v>42350</v>
      </c>
      <c r="D451" t="s">
        <v>10</v>
      </c>
      <c r="E451" t="s">
        <v>10</v>
      </c>
    </row>
    <row r="452" spans="1:5" x14ac:dyDescent="0.25">
      <c r="A452" t="s">
        <v>13</v>
      </c>
      <c r="B452">
        <v>2360</v>
      </c>
      <c r="C452" s="3">
        <v>42350</v>
      </c>
      <c r="D452">
        <v>52</v>
      </c>
      <c r="E452" t="s">
        <v>9</v>
      </c>
    </row>
    <row r="453" spans="1:5" x14ac:dyDescent="0.25">
      <c r="A453" t="s">
        <v>13</v>
      </c>
      <c r="B453">
        <v>2355</v>
      </c>
      <c r="C453" s="3">
        <v>42350</v>
      </c>
      <c r="D453" t="s">
        <v>10</v>
      </c>
      <c r="E453" t="s">
        <v>10</v>
      </c>
    </row>
    <row r="454" spans="1:5" x14ac:dyDescent="0.25">
      <c r="A454" t="s">
        <v>13</v>
      </c>
      <c r="B454">
        <v>2327</v>
      </c>
      <c r="C454" s="3">
        <v>42350</v>
      </c>
      <c r="D454">
        <v>30</v>
      </c>
      <c r="E454" t="s">
        <v>9</v>
      </c>
    </row>
    <row r="455" spans="1:5" x14ac:dyDescent="0.25">
      <c r="A455" t="s">
        <v>13</v>
      </c>
      <c r="B455">
        <v>2395</v>
      </c>
      <c r="C455" s="3">
        <v>42350</v>
      </c>
      <c r="D455">
        <v>51</v>
      </c>
      <c r="E455" t="s">
        <v>9</v>
      </c>
    </row>
    <row r="456" spans="1:5" x14ac:dyDescent="0.25">
      <c r="A456" t="s">
        <v>13</v>
      </c>
      <c r="B456">
        <v>2383</v>
      </c>
      <c r="C456" s="3">
        <v>42350</v>
      </c>
      <c r="D456">
        <v>49</v>
      </c>
      <c r="E456" t="s">
        <v>9</v>
      </c>
    </row>
    <row r="457" spans="1:5" x14ac:dyDescent="0.25">
      <c r="A457" t="s">
        <v>13</v>
      </c>
      <c r="B457">
        <v>2351</v>
      </c>
      <c r="C457" s="3">
        <v>42350</v>
      </c>
      <c r="D457">
        <v>3</v>
      </c>
      <c r="E457" t="s">
        <v>9</v>
      </c>
    </row>
    <row r="458" spans="1:5" x14ac:dyDescent="0.25">
      <c r="A458" t="s">
        <v>13</v>
      </c>
      <c r="B458">
        <v>2377</v>
      </c>
      <c r="C458" s="3">
        <v>42349</v>
      </c>
      <c r="E458" t="s">
        <v>12</v>
      </c>
    </row>
    <row r="459" spans="1:5" x14ac:dyDescent="0.25">
      <c r="A459" t="s">
        <v>13</v>
      </c>
      <c r="B459">
        <v>2387</v>
      </c>
      <c r="C459" s="3">
        <v>42349</v>
      </c>
      <c r="D459" t="s">
        <v>31</v>
      </c>
      <c r="E459" t="s">
        <v>12</v>
      </c>
    </row>
    <row r="460" spans="1:5" x14ac:dyDescent="0.25">
      <c r="A460" t="s">
        <v>13</v>
      </c>
      <c r="B460">
        <v>2354</v>
      </c>
      <c r="C460" s="3">
        <v>42349</v>
      </c>
      <c r="D460" t="s">
        <v>31</v>
      </c>
      <c r="E460" t="s">
        <v>12</v>
      </c>
    </row>
    <row r="461" spans="1:5" x14ac:dyDescent="0.25">
      <c r="A461" t="s">
        <v>13</v>
      </c>
      <c r="B461">
        <v>2395</v>
      </c>
      <c r="C461" s="3">
        <v>42349</v>
      </c>
      <c r="D461" t="s">
        <v>73</v>
      </c>
      <c r="E461" t="s">
        <v>12</v>
      </c>
    </row>
    <row r="462" spans="1:5" x14ac:dyDescent="0.25">
      <c r="A462" t="s">
        <v>13</v>
      </c>
      <c r="B462">
        <v>2386</v>
      </c>
      <c r="C462" s="3">
        <v>42349</v>
      </c>
      <c r="E462" t="s">
        <v>12</v>
      </c>
    </row>
    <row r="463" spans="1:5" x14ac:dyDescent="0.25">
      <c r="A463" t="s">
        <v>13</v>
      </c>
      <c r="B463">
        <v>2352</v>
      </c>
      <c r="C463" s="3">
        <v>42349</v>
      </c>
      <c r="D463" t="s">
        <v>31</v>
      </c>
      <c r="E463" t="s">
        <v>12</v>
      </c>
    </row>
    <row r="464" spans="1:5" x14ac:dyDescent="0.25">
      <c r="A464" t="s">
        <v>13</v>
      </c>
      <c r="B464">
        <v>2353</v>
      </c>
      <c r="C464" s="3">
        <v>42349</v>
      </c>
      <c r="D464" t="s">
        <v>31</v>
      </c>
      <c r="E464" t="s">
        <v>12</v>
      </c>
    </row>
    <row r="465" spans="1:5" x14ac:dyDescent="0.25">
      <c r="A465" t="s">
        <v>13</v>
      </c>
      <c r="B465">
        <v>2351</v>
      </c>
      <c r="C465" s="3">
        <v>42349</v>
      </c>
      <c r="D465">
        <v>40</v>
      </c>
      <c r="E465" t="s">
        <v>9</v>
      </c>
    </row>
    <row r="466" spans="1:5" x14ac:dyDescent="0.25">
      <c r="A466" t="s">
        <v>13</v>
      </c>
      <c r="B466">
        <v>2327</v>
      </c>
      <c r="C466" s="3">
        <v>42349</v>
      </c>
      <c r="D466">
        <v>49</v>
      </c>
      <c r="E466" t="s">
        <v>9</v>
      </c>
    </row>
    <row r="467" spans="1:5" x14ac:dyDescent="0.25">
      <c r="A467" t="s">
        <v>13</v>
      </c>
      <c r="B467">
        <v>2377</v>
      </c>
      <c r="C467" s="3">
        <v>42349</v>
      </c>
      <c r="D467">
        <v>40</v>
      </c>
      <c r="E467" t="s">
        <v>9</v>
      </c>
    </row>
    <row r="468" spans="1:5" x14ac:dyDescent="0.25">
      <c r="A468" t="s">
        <v>13</v>
      </c>
      <c r="B468">
        <v>2369</v>
      </c>
      <c r="C468" s="3">
        <v>42349</v>
      </c>
      <c r="E468" t="s">
        <v>12</v>
      </c>
    </row>
    <row r="469" spans="1:5" x14ac:dyDescent="0.25">
      <c r="A469" t="s">
        <v>13</v>
      </c>
      <c r="B469">
        <v>2384</v>
      </c>
      <c r="C469" s="3">
        <v>42349</v>
      </c>
      <c r="E469" t="s">
        <v>12</v>
      </c>
    </row>
    <row r="470" spans="1:5" x14ac:dyDescent="0.25">
      <c r="A470" t="s">
        <v>13</v>
      </c>
      <c r="B470">
        <v>2383</v>
      </c>
      <c r="C470" s="3">
        <v>42349</v>
      </c>
      <c r="E470" t="s">
        <v>12</v>
      </c>
    </row>
    <row r="471" spans="1:5" x14ac:dyDescent="0.25">
      <c r="A471" t="s">
        <v>13</v>
      </c>
      <c r="B471">
        <v>2369</v>
      </c>
      <c r="C471" s="3">
        <v>42349</v>
      </c>
      <c r="E471" t="s">
        <v>10</v>
      </c>
    </row>
    <row r="472" spans="1:5" x14ac:dyDescent="0.25">
      <c r="A472" t="s">
        <v>13</v>
      </c>
      <c r="B472">
        <v>2398</v>
      </c>
      <c r="C472" s="3">
        <v>42349</v>
      </c>
      <c r="E472" t="s">
        <v>12</v>
      </c>
    </row>
    <row r="473" spans="1:5" x14ac:dyDescent="0.25">
      <c r="A473" t="s">
        <v>13</v>
      </c>
      <c r="B473">
        <v>2367</v>
      </c>
      <c r="C473" s="3">
        <v>42349</v>
      </c>
      <c r="E473" t="s">
        <v>12</v>
      </c>
    </row>
    <row r="474" spans="1:5" x14ac:dyDescent="0.25">
      <c r="A474" t="s">
        <v>13</v>
      </c>
      <c r="B474">
        <v>2366</v>
      </c>
      <c r="C474" s="3">
        <v>42349</v>
      </c>
      <c r="E474" t="s">
        <v>12</v>
      </c>
    </row>
    <row r="475" spans="1:5" x14ac:dyDescent="0.25">
      <c r="A475" t="s">
        <v>13</v>
      </c>
      <c r="B475">
        <v>2365</v>
      </c>
      <c r="C475" s="3">
        <v>42349</v>
      </c>
      <c r="D475" t="s">
        <v>10</v>
      </c>
      <c r="E475" t="s">
        <v>10</v>
      </c>
    </row>
    <row r="476" spans="1:5" x14ac:dyDescent="0.25">
      <c r="A476" t="s">
        <v>13</v>
      </c>
      <c r="B476">
        <v>2364</v>
      </c>
      <c r="C476" s="3">
        <v>42349</v>
      </c>
      <c r="D476" t="s">
        <v>35</v>
      </c>
      <c r="E476" t="s">
        <v>12</v>
      </c>
    </row>
    <row r="477" spans="1:5" x14ac:dyDescent="0.25">
      <c r="A477" t="s">
        <v>13</v>
      </c>
      <c r="B477">
        <v>2362</v>
      </c>
      <c r="C477" s="3">
        <v>42349</v>
      </c>
      <c r="D477" t="s">
        <v>31</v>
      </c>
      <c r="E477" t="s">
        <v>12</v>
      </c>
    </row>
    <row r="478" spans="1:5" x14ac:dyDescent="0.25">
      <c r="A478" t="s">
        <v>13</v>
      </c>
      <c r="B478">
        <v>2361</v>
      </c>
      <c r="C478" s="3">
        <v>42349</v>
      </c>
      <c r="D478" t="s">
        <v>31</v>
      </c>
      <c r="E478" t="s">
        <v>12</v>
      </c>
    </row>
    <row r="479" spans="1:5" x14ac:dyDescent="0.25">
      <c r="A479" t="s">
        <v>13</v>
      </c>
      <c r="B479">
        <v>2360</v>
      </c>
      <c r="C479" s="3">
        <v>42349</v>
      </c>
      <c r="D479" t="s">
        <v>35</v>
      </c>
      <c r="E479" t="s">
        <v>12</v>
      </c>
    </row>
    <row r="480" spans="1:5" x14ac:dyDescent="0.25">
      <c r="A480" t="s">
        <v>13</v>
      </c>
      <c r="B480">
        <v>2359</v>
      </c>
      <c r="C480" s="3">
        <v>42349</v>
      </c>
      <c r="E480" t="s">
        <v>10</v>
      </c>
    </row>
    <row r="481" spans="1:5" x14ac:dyDescent="0.25">
      <c r="A481" t="s">
        <v>13</v>
      </c>
      <c r="B481">
        <v>2358</v>
      </c>
      <c r="C481" s="3">
        <v>42349</v>
      </c>
      <c r="E481" t="s">
        <v>12</v>
      </c>
    </row>
    <row r="482" spans="1:5" x14ac:dyDescent="0.25">
      <c r="A482" t="s">
        <v>13</v>
      </c>
      <c r="B482">
        <v>2357</v>
      </c>
      <c r="C482" s="3">
        <v>42349</v>
      </c>
      <c r="D482" t="s">
        <v>74</v>
      </c>
      <c r="E482" t="s">
        <v>12</v>
      </c>
    </row>
    <row r="483" spans="1:5" x14ac:dyDescent="0.25">
      <c r="A483" t="s">
        <v>13</v>
      </c>
      <c r="B483">
        <v>2356</v>
      </c>
      <c r="C483" s="3">
        <v>42349</v>
      </c>
      <c r="D483" t="s">
        <v>75</v>
      </c>
      <c r="E483" t="s">
        <v>12</v>
      </c>
    </row>
    <row r="484" spans="1:5" x14ac:dyDescent="0.25">
      <c r="A484" t="s">
        <v>13</v>
      </c>
      <c r="B484">
        <v>2355</v>
      </c>
      <c r="C484" s="3">
        <v>42349</v>
      </c>
      <c r="D484" t="s">
        <v>76</v>
      </c>
      <c r="E484" t="s">
        <v>12</v>
      </c>
    </row>
    <row r="485" spans="1:5" x14ac:dyDescent="0.25">
      <c r="A485" t="s">
        <v>13</v>
      </c>
      <c r="B485">
        <v>2354</v>
      </c>
      <c r="C485" s="3">
        <v>42349</v>
      </c>
      <c r="D485" t="s">
        <v>77</v>
      </c>
      <c r="E485" t="s">
        <v>12</v>
      </c>
    </row>
    <row r="486" spans="1:5" x14ac:dyDescent="0.25">
      <c r="A486" t="s">
        <v>13</v>
      </c>
      <c r="B486">
        <v>2352</v>
      </c>
      <c r="C486" s="3">
        <v>42349</v>
      </c>
      <c r="D486">
        <v>40</v>
      </c>
      <c r="E486" t="s">
        <v>9</v>
      </c>
    </row>
    <row r="487" spans="1:5" x14ac:dyDescent="0.25">
      <c r="A487" t="s">
        <v>13</v>
      </c>
      <c r="B487">
        <v>2353</v>
      </c>
      <c r="C487" s="3">
        <v>42349</v>
      </c>
      <c r="D487" t="s">
        <v>44</v>
      </c>
      <c r="E487" t="s">
        <v>12</v>
      </c>
    </row>
    <row r="488" spans="1:5" x14ac:dyDescent="0.25">
      <c r="A488" t="s">
        <v>13</v>
      </c>
      <c r="B488">
        <v>2351</v>
      </c>
      <c r="C488" s="3">
        <v>42349</v>
      </c>
      <c r="D488" t="s">
        <v>35</v>
      </c>
      <c r="E488" t="s">
        <v>12</v>
      </c>
    </row>
    <row r="489" spans="1:5" x14ac:dyDescent="0.25">
      <c r="A489" t="s">
        <v>13</v>
      </c>
      <c r="B489">
        <v>2377</v>
      </c>
      <c r="C489" s="3">
        <v>42349</v>
      </c>
      <c r="E489" t="s">
        <v>9</v>
      </c>
    </row>
    <row r="490" spans="1:5" x14ac:dyDescent="0.25">
      <c r="A490" t="s">
        <v>13</v>
      </c>
      <c r="B490">
        <v>2327</v>
      </c>
      <c r="C490" s="3">
        <v>42349</v>
      </c>
      <c r="D490" t="s">
        <v>44</v>
      </c>
      <c r="E490" t="s">
        <v>12</v>
      </c>
    </row>
    <row r="491" spans="1:5" x14ac:dyDescent="0.25">
      <c r="A491" t="s">
        <v>13</v>
      </c>
      <c r="B491">
        <v>2359</v>
      </c>
      <c r="C491" s="3">
        <v>42349</v>
      </c>
      <c r="D491" t="s">
        <v>44</v>
      </c>
      <c r="E491" t="s">
        <v>12</v>
      </c>
    </row>
    <row r="492" spans="1:5" x14ac:dyDescent="0.25">
      <c r="A492" t="s">
        <v>13</v>
      </c>
      <c r="B492">
        <v>2393</v>
      </c>
      <c r="C492" s="3">
        <v>42349</v>
      </c>
      <c r="D492" t="s">
        <v>44</v>
      </c>
      <c r="E492" t="s">
        <v>12</v>
      </c>
    </row>
    <row r="493" spans="1:5" x14ac:dyDescent="0.25">
      <c r="A493" t="s">
        <v>13</v>
      </c>
      <c r="B493">
        <v>2395</v>
      </c>
      <c r="C493" s="3">
        <v>42349</v>
      </c>
      <c r="D493" t="s">
        <v>10</v>
      </c>
      <c r="E493" t="s">
        <v>10</v>
      </c>
    </row>
    <row r="494" spans="1:5" x14ac:dyDescent="0.25">
      <c r="A494" t="s">
        <v>13</v>
      </c>
      <c r="B494">
        <v>2318</v>
      </c>
      <c r="C494" s="3">
        <v>42349</v>
      </c>
      <c r="D494" t="s">
        <v>44</v>
      </c>
      <c r="E494" t="s">
        <v>12</v>
      </c>
    </row>
    <row r="495" spans="1:5" x14ac:dyDescent="0.25">
      <c r="A495" t="s">
        <v>13</v>
      </c>
      <c r="B495">
        <v>2342</v>
      </c>
      <c r="C495" s="3">
        <v>42349</v>
      </c>
      <c r="D495" t="s">
        <v>78</v>
      </c>
      <c r="E495" t="s">
        <v>12</v>
      </c>
    </row>
    <row r="496" spans="1:5" x14ac:dyDescent="0.25">
      <c r="A496" t="s">
        <v>13</v>
      </c>
      <c r="B496">
        <v>2352</v>
      </c>
      <c r="C496" s="3">
        <v>42349</v>
      </c>
      <c r="D496" t="s">
        <v>44</v>
      </c>
      <c r="E496" t="s">
        <v>12</v>
      </c>
    </row>
    <row r="497" spans="1:5" x14ac:dyDescent="0.25">
      <c r="A497" t="s">
        <v>13</v>
      </c>
      <c r="B497">
        <v>2327</v>
      </c>
      <c r="C497" s="3">
        <v>42349</v>
      </c>
      <c r="D497" t="s">
        <v>44</v>
      </c>
      <c r="E497" t="s">
        <v>12</v>
      </c>
    </row>
    <row r="498" spans="1:5" x14ac:dyDescent="0.25">
      <c r="A498" t="s">
        <v>13</v>
      </c>
      <c r="B498">
        <v>2355</v>
      </c>
      <c r="C498" s="3">
        <v>42349</v>
      </c>
      <c r="D498" t="s">
        <v>61</v>
      </c>
      <c r="E498" t="s">
        <v>12</v>
      </c>
    </row>
    <row r="499" spans="1:5" x14ac:dyDescent="0.25">
      <c r="A499" t="s">
        <v>13</v>
      </c>
      <c r="B499">
        <v>2357</v>
      </c>
      <c r="C499" s="3">
        <v>42349</v>
      </c>
      <c r="D499" t="s">
        <v>79</v>
      </c>
      <c r="E499" t="s">
        <v>12</v>
      </c>
    </row>
    <row r="500" spans="1:5" x14ac:dyDescent="0.25">
      <c r="A500" t="s">
        <v>13</v>
      </c>
      <c r="B500">
        <v>2397</v>
      </c>
      <c r="C500" s="3">
        <v>42349</v>
      </c>
      <c r="D500" t="s">
        <v>44</v>
      </c>
      <c r="E500" t="s">
        <v>12</v>
      </c>
    </row>
    <row r="501" spans="1:5" x14ac:dyDescent="0.25">
      <c r="A501" t="s">
        <v>13</v>
      </c>
      <c r="B501">
        <v>2353</v>
      </c>
      <c r="C501" s="3">
        <v>42349</v>
      </c>
      <c r="D501" t="s">
        <v>44</v>
      </c>
      <c r="E501" t="s">
        <v>12</v>
      </c>
    </row>
    <row r="502" spans="1:5" x14ac:dyDescent="0.25">
      <c r="A502" t="s">
        <v>13</v>
      </c>
      <c r="B502">
        <v>2360</v>
      </c>
      <c r="C502" s="3">
        <v>42349</v>
      </c>
      <c r="D502" t="s">
        <v>10</v>
      </c>
      <c r="E502" t="s">
        <v>10</v>
      </c>
    </row>
    <row r="503" spans="1:5" x14ac:dyDescent="0.25">
      <c r="A503" t="s">
        <v>13</v>
      </c>
      <c r="B503">
        <v>2324</v>
      </c>
      <c r="C503" s="3">
        <v>42349</v>
      </c>
      <c r="D503" t="s">
        <v>79</v>
      </c>
      <c r="E503" t="s">
        <v>12</v>
      </c>
    </row>
    <row r="504" spans="1:5" x14ac:dyDescent="0.25">
      <c r="A504" t="s">
        <v>13</v>
      </c>
      <c r="B504">
        <v>2389</v>
      </c>
      <c r="C504" s="3">
        <v>42349</v>
      </c>
      <c r="D504" t="s">
        <v>72</v>
      </c>
      <c r="E504" t="s">
        <v>12</v>
      </c>
    </row>
    <row r="505" spans="1:5" x14ac:dyDescent="0.25">
      <c r="A505" t="s">
        <v>13</v>
      </c>
      <c r="B505">
        <v>2377</v>
      </c>
      <c r="C505" s="3">
        <v>42349</v>
      </c>
      <c r="D505" t="s">
        <v>80</v>
      </c>
      <c r="E505" t="s">
        <v>9</v>
      </c>
    </row>
    <row r="506" spans="1:5" x14ac:dyDescent="0.25">
      <c r="A506" t="s">
        <v>13</v>
      </c>
      <c r="B506">
        <v>2350</v>
      </c>
      <c r="C506" s="3">
        <v>42349</v>
      </c>
      <c r="D506" t="s">
        <v>81</v>
      </c>
      <c r="E506" t="s">
        <v>12</v>
      </c>
    </row>
    <row r="507" spans="1:5" x14ac:dyDescent="0.25">
      <c r="A507" t="s">
        <v>13</v>
      </c>
      <c r="B507">
        <v>2351</v>
      </c>
      <c r="C507" s="3">
        <v>42349</v>
      </c>
      <c r="D507" t="s">
        <v>80</v>
      </c>
      <c r="E507" t="s">
        <v>12</v>
      </c>
    </row>
    <row r="508" spans="1:5" x14ac:dyDescent="0.25">
      <c r="A508" t="s">
        <v>13</v>
      </c>
      <c r="B508">
        <v>2323</v>
      </c>
      <c r="C508" s="3">
        <v>42349</v>
      </c>
      <c r="D508" t="s">
        <v>80</v>
      </c>
      <c r="E508" t="s">
        <v>12</v>
      </c>
    </row>
    <row r="509" spans="1:5" x14ac:dyDescent="0.25">
      <c r="A509" t="s">
        <v>13</v>
      </c>
      <c r="B509">
        <v>2354</v>
      </c>
      <c r="C509" s="3">
        <v>42349</v>
      </c>
      <c r="D509" t="s">
        <v>72</v>
      </c>
      <c r="E509" t="s">
        <v>12</v>
      </c>
    </row>
    <row r="510" spans="1:5" x14ac:dyDescent="0.25">
      <c r="A510" t="s">
        <v>13</v>
      </c>
      <c r="B510">
        <v>2321</v>
      </c>
      <c r="C510" s="3">
        <v>42349</v>
      </c>
      <c r="D510" t="s">
        <v>80</v>
      </c>
      <c r="E510" t="s">
        <v>12</v>
      </c>
    </row>
    <row r="511" spans="1:5" x14ac:dyDescent="0.25">
      <c r="A511" t="s">
        <v>13</v>
      </c>
      <c r="B511">
        <v>2325</v>
      </c>
      <c r="C511" s="3">
        <v>42349</v>
      </c>
      <c r="D511" t="s">
        <v>82</v>
      </c>
      <c r="E511" t="s">
        <v>12</v>
      </c>
    </row>
    <row r="512" spans="1:5" x14ac:dyDescent="0.25">
      <c r="A512" t="s">
        <v>13</v>
      </c>
      <c r="B512">
        <v>2373</v>
      </c>
      <c r="C512" s="3">
        <v>42348</v>
      </c>
      <c r="E512" t="s">
        <v>9</v>
      </c>
    </row>
    <row r="513" spans="1:5" x14ac:dyDescent="0.25">
      <c r="A513" t="s">
        <v>13</v>
      </c>
      <c r="B513">
        <v>2332</v>
      </c>
      <c r="C513" s="3">
        <v>42348</v>
      </c>
      <c r="E513" t="s">
        <v>10</v>
      </c>
    </row>
    <row r="514" spans="1:5" x14ac:dyDescent="0.25">
      <c r="A514" t="s">
        <v>13</v>
      </c>
      <c r="B514">
        <v>2387</v>
      </c>
      <c r="C514" s="3">
        <v>42348</v>
      </c>
      <c r="E514" t="s">
        <v>9</v>
      </c>
    </row>
    <row r="515" spans="1:5" x14ac:dyDescent="0.25">
      <c r="A515" t="s">
        <v>13</v>
      </c>
      <c r="B515">
        <v>2325</v>
      </c>
      <c r="C515" s="3">
        <v>42348</v>
      </c>
      <c r="E515" t="s">
        <v>9</v>
      </c>
    </row>
    <row r="516" spans="1:5" x14ac:dyDescent="0.25">
      <c r="A516" t="s">
        <v>13</v>
      </c>
      <c r="B516">
        <v>2325</v>
      </c>
      <c r="C516" s="3">
        <v>42348</v>
      </c>
      <c r="E516" t="s">
        <v>9</v>
      </c>
    </row>
    <row r="517" spans="1:5" x14ac:dyDescent="0.25">
      <c r="A517" t="s">
        <v>13</v>
      </c>
      <c r="B517">
        <v>2324</v>
      </c>
      <c r="C517" s="3">
        <v>42348</v>
      </c>
      <c r="E517" t="s">
        <v>9</v>
      </c>
    </row>
    <row r="518" spans="1:5" x14ac:dyDescent="0.25">
      <c r="A518" t="s">
        <v>13</v>
      </c>
      <c r="B518">
        <v>2323</v>
      </c>
      <c r="C518" s="3">
        <v>42348</v>
      </c>
      <c r="E518" t="s">
        <v>9</v>
      </c>
    </row>
    <row r="519" spans="1:5" x14ac:dyDescent="0.25">
      <c r="A519" t="s">
        <v>13</v>
      </c>
      <c r="B519">
        <v>2322</v>
      </c>
      <c r="C519" s="3">
        <v>42348</v>
      </c>
      <c r="E519" t="s">
        <v>9</v>
      </c>
    </row>
    <row r="520" spans="1:5" x14ac:dyDescent="0.25">
      <c r="A520" t="s">
        <v>13</v>
      </c>
      <c r="B520">
        <v>2321</v>
      </c>
      <c r="C520" s="3">
        <v>42348</v>
      </c>
      <c r="E520" t="s">
        <v>9</v>
      </c>
    </row>
    <row r="521" spans="1:5" x14ac:dyDescent="0.25">
      <c r="A521" t="s">
        <v>13</v>
      </c>
      <c r="B521">
        <v>2320</v>
      </c>
      <c r="C521" s="3">
        <v>42348</v>
      </c>
      <c r="E521" t="s">
        <v>9</v>
      </c>
    </row>
    <row r="522" spans="1:5" x14ac:dyDescent="0.25">
      <c r="A522" t="s">
        <v>13</v>
      </c>
      <c r="B522">
        <v>2319</v>
      </c>
      <c r="C522" s="3">
        <v>42348</v>
      </c>
      <c r="E522" t="s">
        <v>9</v>
      </c>
    </row>
    <row r="523" spans="1:5" x14ac:dyDescent="0.25">
      <c r="A523" t="s">
        <v>13</v>
      </c>
      <c r="B523">
        <v>2318</v>
      </c>
      <c r="C523" s="3">
        <v>42348</v>
      </c>
      <c r="D523" t="s">
        <v>35</v>
      </c>
      <c r="E523" t="s">
        <v>9</v>
      </c>
    </row>
    <row r="524" spans="1:5" x14ac:dyDescent="0.25">
      <c r="A524" t="s">
        <v>13</v>
      </c>
      <c r="B524">
        <v>2379</v>
      </c>
      <c r="C524" s="3">
        <v>42348</v>
      </c>
      <c r="E524" t="s">
        <v>9</v>
      </c>
    </row>
    <row r="525" spans="1:5" x14ac:dyDescent="0.25">
      <c r="A525" t="s">
        <v>13</v>
      </c>
      <c r="B525">
        <v>2359</v>
      </c>
      <c r="C525" s="3">
        <v>42348</v>
      </c>
      <c r="E525" t="s">
        <v>12</v>
      </c>
    </row>
    <row r="526" spans="1:5" x14ac:dyDescent="0.25">
      <c r="A526" t="s">
        <v>13</v>
      </c>
      <c r="B526">
        <v>2358</v>
      </c>
      <c r="C526" s="3">
        <v>42348</v>
      </c>
      <c r="D526" t="s">
        <v>35</v>
      </c>
      <c r="E526" t="s">
        <v>12</v>
      </c>
    </row>
    <row r="527" spans="1:5" x14ac:dyDescent="0.25">
      <c r="A527" t="s">
        <v>13</v>
      </c>
      <c r="B527">
        <v>2357</v>
      </c>
      <c r="C527" s="3">
        <v>42348</v>
      </c>
      <c r="D527" t="s">
        <v>35</v>
      </c>
      <c r="E527" t="s">
        <v>12</v>
      </c>
    </row>
    <row r="528" spans="1:5" x14ac:dyDescent="0.25">
      <c r="A528" t="s">
        <v>13</v>
      </c>
      <c r="B528">
        <v>2356</v>
      </c>
      <c r="C528" s="3">
        <v>42348</v>
      </c>
      <c r="D528" t="s">
        <v>35</v>
      </c>
      <c r="E528" t="s">
        <v>12</v>
      </c>
    </row>
    <row r="529" spans="1:5" x14ac:dyDescent="0.25">
      <c r="A529" t="s">
        <v>13</v>
      </c>
      <c r="B529">
        <v>2355</v>
      </c>
      <c r="C529" s="3">
        <v>42348</v>
      </c>
      <c r="D529" t="s">
        <v>35</v>
      </c>
      <c r="E529" t="s">
        <v>12</v>
      </c>
    </row>
    <row r="530" spans="1:5" x14ac:dyDescent="0.25">
      <c r="A530" t="s">
        <v>13</v>
      </c>
      <c r="B530">
        <v>2354</v>
      </c>
      <c r="C530" s="3">
        <v>42348</v>
      </c>
      <c r="E530" t="s">
        <v>12</v>
      </c>
    </row>
    <row r="531" spans="1:5" x14ac:dyDescent="0.25">
      <c r="A531" t="s">
        <v>13</v>
      </c>
      <c r="B531">
        <v>2353</v>
      </c>
      <c r="C531" s="3">
        <v>42348</v>
      </c>
      <c r="D531" t="s">
        <v>35</v>
      </c>
      <c r="E531" t="s">
        <v>12</v>
      </c>
    </row>
    <row r="532" spans="1:5" x14ac:dyDescent="0.25">
      <c r="A532" t="s">
        <v>13</v>
      </c>
      <c r="B532">
        <v>2352</v>
      </c>
      <c r="C532" s="3">
        <v>42348</v>
      </c>
      <c r="D532" t="s">
        <v>35</v>
      </c>
      <c r="E532" t="s">
        <v>12</v>
      </c>
    </row>
    <row r="533" spans="1:5" x14ac:dyDescent="0.25">
      <c r="A533" t="s">
        <v>13</v>
      </c>
      <c r="B533">
        <v>2351</v>
      </c>
      <c r="C533" s="3">
        <v>42348</v>
      </c>
      <c r="D533" t="s">
        <v>35</v>
      </c>
      <c r="E533" t="s">
        <v>12</v>
      </c>
    </row>
    <row r="534" spans="1:5" x14ac:dyDescent="0.25">
      <c r="A534" t="s">
        <v>13</v>
      </c>
      <c r="B534">
        <v>2350</v>
      </c>
      <c r="C534" s="3">
        <v>42348</v>
      </c>
      <c r="D534" t="s">
        <v>35</v>
      </c>
      <c r="E534" t="s">
        <v>12</v>
      </c>
    </row>
    <row r="535" spans="1:5" x14ac:dyDescent="0.25">
      <c r="A535" t="s">
        <v>13</v>
      </c>
      <c r="B535">
        <v>2397</v>
      </c>
      <c r="C535" s="3">
        <v>42348</v>
      </c>
      <c r="D535">
        <v>30</v>
      </c>
      <c r="E535" t="s">
        <v>9</v>
      </c>
    </row>
    <row r="536" spans="1:5" x14ac:dyDescent="0.25">
      <c r="A536" t="s">
        <v>13</v>
      </c>
      <c r="B536">
        <v>2393</v>
      </c>
      <c r="C536" s="3">
        <v>42348</v>
      </c>
      <c r="D536" t="s">
        <v>35</v>
      </c>
      <c r="E536" t="s">
        <v>12</v>
      </c>
    </row>
    <row r="537" spans="1:5" x14ac:dyDescent="0.25">
      <c r="A537" t="s">
        <v>13</v>
      </c>
      <c r="B537">
        <v>2368</v>
      </c>
      <c r="C537" s="3">
        <v>42348</v>
      </c>
      <c r="D537" t="s">
        <v>35</v>
      </c>
      <c r="E537" t="s">
        <v>9</v>
      </c>
    </row>
    <row r="538" spans="1:5" x14ac:dyDescent="0.25">
      <c r="A538" t="s">
        <v>13</v>
      </c>
      <c r="B538">
        <v>2327</v>
      </c>
      <c r="C538" s="3">
        <v>42348</v>
      </c>
      <c r="D538" t="s">
        <v>44</v>
      </c>
      <c r="E538" t="s">
        <v>12</v>
      </c>
    </row>
    <row r="539" spans="1:5" x14ac:dyDescent="0.25">
      <c r="A539" t="s">
        <v>13</v>
      </c>
      <c r="B539">
        <v>2360</v>
      </c>
      <c r="C539" s="3">
        <v>42348</v>
      </c>
      <c r="D539" t="s">
        <v>83</v>
      </c>
      <c r="E539" t="s">
        <v>12</v>
      </c>
    </row>
    <row r="540" spans="1:5" x14ac:dyDescent="0.25">
      <c r="A540" t="s">
        <v>13</v>
      </c>
      <c r="B540">
        <v>2346</v>
      </c>
      <c r="C540" s="3">
        <v>42348</v>
      </c>
      <c r="D540">
        <v>13</v>
      </c>
      <c r="E540" t="s">
        <v>9</v>
      </c>
    </row>
    <row r="541" spans="1:5" x14ac:dyDescent="0.25">
      <c r="A541" t="s">
        <v>13</v>
      </c>
      <c r="B541">
        <v>2364</v>
      </c>
      <c r="C541" s="3">
        <v>42348</v>
      </c>
      <c r="D541" t="s">
        <v>44</v>
      </c>
      <c r="E541" t="s">
        <v>12</v>
      </c>
    </row>
    <row r="542" spans="1:5" x14ac:dyDescent="0.25">
      <c r="A542" t="s">
        <v>13</v>
      </c>
      <c r="B542">
        <v>2368</v>
      </c>
      <c r="C542" s="3">
        <v>42348</v>
      </c>
      <c r="D542" t="s">
        <v>44</v>
      </c>
      <c r="E542" t="s">
        <v>12</v>
      </c>
    </row>
    <row r="543" spans="1:5" x14ac:dyDescent="0.25">
      <c r="A543" t="s">
        <v>13</v>
      </c>
      <c r="B543">
        <v>2370</v>
      </c>
      <c r="C543" s="3">
        <v>42348</v>
      </c>
      <c r="D543">
        <v>19</v>
      </c>
      <c r="E543" t="s">
        <v>9</v>
      </c>
    </row>
    <row r="544" spans="1:5" x14ac:dyDescent="0.25">
      <c r="A544" t="s">
        <v>13</v>
      </c>
      <c r="B544">
        <v>2369</v>
      </c>
      <c r="C544" s="3">
        <v>42348</v>
      </c>
      <c r="D544">
        <v>8</v>
      </c>
      <c r="E544" t="s">
        <v>9</v>
      </c>
    </row>
    <row r="545" spans="1:5" x14ac:dyDescent="0.25">
      <c r="A545" t="s">
        <v>13</v>
      </c>
      <c r="B545">
        <v>2397</v>
      </c>
      <c r="C545" s="3">
        <v>42348</v>
      </c>
      <c r="D545">
        <v>79</v>
      </c>
      <c r="E545" t="s">
        <v>9</v>
      </c>
    </row>
    <row r="546" spans="1:5" x14ac:dyDescent="0.25">
      <c r="A546" t="s">
        <v>13</v>
      </c>
      <c r="B546">
        <v>2394</v>
      </c>
      <c r="C546" s="3">
        <v>42348</v>
      </c>
      <c r="E546" t="s">
        <v>9</v>
      </c>
    </row>
    <row r="547" spans="1:5" x14ac:dyDescent="0.25">
      <c r="A547" t="s">
        <v>13</v>
      </c>
      <c r="B547">
        <v>2393</v>
      </c>
      <c r="C547" s="3">
        <v>42348</v>
      </c>
      <c r="E547" t="s">
        <v>9</v>
      </c>
    </row>
    <row r="548" spans="1:5" x14ac:dyDescent="0.25">
      <c r="A548" t="s">
        <v>13</v>
      </c>
      <c r="B548">
        <v>2371</v>
      </c>
      <c r="C548" s="3">
        <v>42348</v>
      </c>
      <c r="D548" t="s">
        <v>84</v>
      </c>
      <c r="E548" t="s">
        <v>9</v>
      </c>
    </row>
    <row r="549" spans="1:5" x14ac:dyDescent="0.25">
      <c r="A549" t="s">
        <v>13</v>
      </c>
      <c r="B549">
        <v>2395</v>
      </c>
      <c r="C549" s="3">
        <v>42348</v>
      </c>
      <c r="D549" t="s">
        <v>44</v>
      </c>
      <c r="E549" t="s">
        <v>12</v>
      </c>
    </row>
    <row r="550" spans="1:5" x14ac:dyDescent="0.25">
      <c r="A550" t="s">
        <v>13</v>
      </c>
      <c r="B550">
        <v>2392</v>
      </c>
      <c r="C550" s="3">
        <v>42348</v>
      </c>
      <c r="E550" t="s">
        <v>9</v>
      </c>
    </row>
    <row r="551" spans="1:5" x14ac:dyDescent="0.25">
      <c r="A551" t="s">
        <v>13</v>
      </c>
      <c r="B551">
        <v>2389</v>
      </c>
      <c r="C551" s="3">
        <v>42348</v>
      </c>
      <c r="E551" t="s">
        <v>9</v>
      </c>
    </row>
    <row r="552" spans="1:5" x14ac:dyDescent="0.25">
      <c r="A552" t="s">
        <v>13</v>
      </c>
      <c r="B552">
        <v>2387</v>
      </c>
      <c r="C552" s="3">
        <v>42348</v>
      </c>
      <c r="D552">
        <v>78</v>
      </c>
      <c r="E552" t="s">
        <v>9</v>
      </c>
    </row>
    <row r="553" spans="1:5" x14ac:dyDescent="0.25">
      <c r="A553" t="s">
        <v>13</v>
      </c>
      <c r="B553">
        <v>2386</v>
      </c>
      <c r="C553" s="3">
        <v>42348</v>
      </c>
      <c r="D553">
        <v>67</v>
      </c>
      <c r="E553" t="s">
        <v>9</v>
      </c>
    </row>
    <row r="554" spans="1:5" x14ac:dyDescent="0.25">
      <c r="A554" t="s">
        <v>13</v>
      </c>
      <c r="B554">
        <v>2384</v>
      </c>
      <c r="C554" s="3">
        <v>42348</v>
      </c>
      <c r="D554" t="s">
        <v>14</v>
      </c>
      <c r="E554" t="s">
        <v>9</v>
      </c>
    </row>
    <row r="555" spans="1:5" x14ac:dyDescent="0.25">
      <c r="A555" t="s">
        <v>13</v>
      </c>
      <c r="B555">
        <v>2383</v>
      </c>
      <c r="C555" s="3">
        <v>42348</v>
      </c>
      <c r="D555">
        <v>84</v>
      </c>
      <c r="E555" t="s">
        <v>9</v>
      </c>
    </row>
    <row r="556" spans="1:5" x14ac:dyDescent="0.25">
      <c r="A556" t="s">
        <v>13</v>
      </c>
      <c r="B556">
        <v>2379</v>
      </c>
      <c r="C556" s="3">
        <v>42348</v>
      </c>
      <c r="D556">
        <v>57</v>
      </c>
      <c r="E556" t="s">
        <v>9</v>
      </c>
    </row>
    <row r="557" spans="1:5" x14ac:dyDescent="0.25">
      <c r="A557" t="s">
        <v>13</v>
      </c>
      <c r="B557">
        <v>2377</v>
      </c>
      <c r="C557" s="3">
        <v>42348</v>
      </c>
      <c r="D557">
        <v>85</v>
      </c>
      <c r="E557" t="s">
        <v>9</v>
      </c>
    </row>
    <row r="558" spans="1:5" x14ac:dyDescent="0.25">
      <c r="A558" t="s">
        <v>13</v>
      </c>
      <c r="B558">
        <v>2361</v>
      </c>
      <c r="C558" s="3">
        <v>42348</v>
      </c>
      <c r="D558">
        <v>61</v>
      </c>
      <c r="E558" t="s">
        <v>9</v>
      </c>
    </row>
    <row r="559" spans="1:5" x14ac:dyDescent="0.25">
      <c r="A559" t="s">
        <v>13</v>
      </c>
      <c r="B559">
        <v>2376</v>
      </c>
      <c r="C559" s="3">
        <v>42348</v>
      </c>
      <c r="D559" t="s">
        <v>44</v>
      </c>
      <c r="E559" t="s">
        <v>12</v>
      </c>
    </row>
    <row r="560" spans="1:5" x14ac:dyDescent="0.25">
      <c r="A560" t="s">
        <v>13</v>
      </c>
      <c r="B560">
        <v>2375</v>
      </c>
      <c r="C560" s="3">
        <v>42348</v>
      </c>
      <c r="D560">
        <v>58</v>
      </c>
      <c r="E560" t="s">
        <v>9</v>
      </c>
    </row>
    <row r="561" spans="1:5" x14ac:dyDescent="0.25">
      <c r="A561" t="s">
        <v>13</v>
      </c>
      <c r="B561">
        <v>2374</v>
      </c>
      <c r="C561" s="3">
        <v>42348</v>
      </c>
      <c r="E561" t="s">
        <v>9</v>
      </c>
    </row>
    <row r="562" spans="1:5" x14ac:dyDescent="0.25">
      <c r="A562" t="s">
        <v>13</v>
      </c>
      <c r="B562">
        <v>2373</v>
      </c>
      <c r="C562" s="3">
        <v>42348</v>
      </c>
      <c r="E562" t="s">
        <v>9</v>
      </c>
    </row>
    <row r="563" spans="1:5" x14ac:dyDescent="0.25">
      <c r="A563" t="s">
        <v>13</v>
      </c>
      <c r="B563">
        <v>2372</v>
      </c>
      <c r="C563" s="3">
        <v>42348</v>
      </c>
      <c r="D563">
        <v>24</v>
      </c>
      <c r="E563" t="s">
        <v>9</v>
      </c>
    </row>
    <row r="564" spans="1:5" x14ac:dyDescent="0.25">
      <c r="A564" t="s">
        <v>13</v>
      </c>
      <c r="B564">
        <v>2367</v>
      </c>
      <c r="C564" s="3">
        <v>42348</v>
      </c>
      <c r="D564" t="s">
        <v>44</v>
      </c>
      <c r="E564" t="s">
        <v>12</v>
      </c>
    </row>
    <row r="565" spans="1:5" x14ac:dyDescent="0.25">
      <c r="A565" t="s">
        <v>13</v>
      </c>
      <c r="B565">
        <v>2366</v>
      </c>
      <c r="C565" s="3">
        <v>42348</v>
      </c>
      <c r="D565" t="s">
        <v>44</v>
      </c>
      <c r="E565" t="s">
        <v>12</v>
      </c>
    </row>
    <row r="566" spans="1:5" x14ac:dyDescent="0.25">
      <c r="A566" t="s">
        <v>13</v>
      </c>
      <c r="B566">
        <v>2342</v>
      </c>
      <c r="C566" s="3">
        <v>42348</v>
      </c>
      <c r="D566" t="s">
        <v>44</v>
      </c>
      <c r="E566" t="s">
        <v>12</v>
      </c>
    </row>
    <row r="567" spans="1:5" x14ac:dyDescent="0.25">
      <c r="A567" t="s">
        <v>13</v>
      </c>
      <c r="B567">
        <v>2365</v>
      </c>
      <c r="C567" s="3">
        <v>42348</v>
      </c>
      <c r="D567" t="s">
        <v>85</v>
      </c>
      <c r="E567" t="s">
        <v>12</v>
      </c>
    </row>
    <row r="568" spans="1:5" x14ac:dyDescent="0.25">
      <c r="A568" t="s">
        <v>13</v>
      </c>
      <c r="B568">
        <v>2370</v>
      </c>
      <c r="C568" s="3">
        <v>42348</v>
      </c>
      <c r="D568" t="s">
        <v>35</v>
      </c>
      <c r="E568" t="s">
        <v>12</v>
      </c>
    </row>
    <row r="569" spans="1:5" x14ac:dyDescent="0.25">
      <c r="A569" t="s">
        <v>13</v>
      </c>
      <c r="B569">
        <v>2346</v>
      </c>
      <c r="C569" s="3">
        <v>42348</v>
      </c>
      <c r="D569" t="s">
        <v>44</v>
      </c>
      <c r="E569" t="s">
        <v>12</v>
      </c>
    </row>
    <row r="570" spans="1:5" x14ac:dyDescent="0.25">
      <c r="A570" t="s">
        <v>13</v>
      </c>
      <c r="B570">
        <v>2364</v>
      </c>
      <c r="C570" s="3">
        <v>42348</v>
      </c>
      <c r="D570" t="s">
        <v>44</v>
      </c>
      <c r="E570" t="s">
        <v>12</v>
      </c>
    </row>
    <row r="571" spans="1:5" x14ac:dyDescent="0.25">
      <c r="A571" t="s">
        <v>13</v>
      </c>
      <c r="B571">
        <v>2362</v>
      </c>
      <c r="C571" s="3">
        <v>42348</v>
      </c>
      <c r="D571" t="s">
        <v>44</v>
      </c>
      <c r="E571" t="s">
        <v>12</v>
      </c>
    </row>
    <row r="572" spans="1:5" x14ac:dyDescent="0.25">
      <c r="A572" t="s">
        <v>13</v>
      </c>
      <c r="B572">
        <v>2360</v>
      </c>
      <c r="C572" s="3">
        <v>42348</v>
      </c>
      <c r="D572" t="s">
        <v>44</v>
      </c>
      <c r="E572" t="s">
        <v>12</v>
      </c>
    </row>
    <row r="573" spans="1:5" x14ac:dyDescent="0.25">
      <c r="A573" t="s">
        <v>13</v>
      </c>
      <c r="B573">
        <v>2342</v>
      </c>
      <c r="C573" s="3">
        <v>42348</v>
      </c>
      <c r="D573" t="s">
        <v>35</v>
      </c>
      <c r="E573" t="s">
        <v>12</v>
      </c>
    </row>
    <row r="574" spans="1:5" x14ac:dyDescent="0.25">
      <c r="A574" t="s">
        <v>13</v>
      </c>
      <c r="B574">
        <v>2347</v>
      </c>
      <c r="C574" s="3">
        <v>42348</v>
      </c>
      <c r="D574" t="s">
        <v>35</v>
      </c>
      <c r="E574" t="s">
        <v>12</v>
      </c>
    </row>
    <row r="575" spans="1:5" x14ac:dyDescent="0.25">
      <c r="A575" t="s">
        <v>13</v>
      </c>
      <c r="B575">
        <v>2344</v>
      </c>
      <c r="C575" s="3">
        <v>42348</v>
      </c>
      <c r="D575" t="s">
        <v>44</v>
      </c>
      <c r="E575" t="s">
        <v>12</v>
      </c>
    </row>
    <row r="576" spans="1:5" x14ac:dyDescent="0.25">
      <c r="A576" t="s">
        <v>13</v>
      </c>
      <c r="B576">
        <v>2345</v>
      </c>
      <c r="C576" s="3">
        <v>42348</v>
      </c>
      <c r="D576" t="s">
        <v>44</v>
      </c>
      <c r="E576" t="s">
        <v>12</v>
      </c>
    </row>
    <row r="577" spans="1:5" x14ac:dyDescent="0.25">
      <c r="A577" t="s">
        <v>13</v>
      </c>
      <c r="B577">
        <v>2341</v>
      </c>
      <c r="C577" s="3">
        <v>42348</v>
      </c>
      <c r="D577" t="s">
        <v>44</v>
      </c>
      <c r="E577" t="s">
        <v>12</v>
      </c>
    </row>
    <row r="578" spans="1:5" x14ac:dyDescent="0.25">
      <c r="A578" t="s">
        <v>13</v>
      </c>
      <c r="B578">
        <v>2367</v>
      </c>
      <c r="C578" s="3">
        <v>42348</v>
      </c>
      <c r="E578" t="s">
        <v>10</v>
      </c>
    </row>
    <row r="579" spans="1:5" x14ac:dyDescent="0.25">
      <c r="A579" t="s">
        <v>13</v>
      </c>
      <c r="B579">
        <v>2368</v>
      </c>
      <c r="C579" s="3">
        <v>42348</v>
      </c>
      <c r="D579" t="s">
        <v>44</v>
      </c>
      <c r="E579" t="s">
        <v>12</v>
      </c>
    </row>
    <row r="580" spans="1:5" x14ac:dyDescent="0.25">
      <c r="A580" t="s">
        <v>13</v>
      </c>
      <c r="B580">
        <v>2361</v>
      </c>
      <c r="C580" s="3">
        <v>42348</v>
      </c>
      <c r="D580" t="s">
        <v>44</v>
      </c>
      <c r="E580" t="s">
        <v>12</v>
      </c>
    </row>
    <row r="581" spans="1:5" x14ac:dyDescent="0.25">
      <c r="A581" t="s">
        <v>13</v>
      </c>
      <c r="B581">
        <v>2398</v>
      </c>
      <c r="C581" s="3">
        <v>42348</v>
      </c>
      <c r="D581" t="s">
        <v>44</v>
      </c>
      <c r="E581" t="s">
        <v>12</v>
      </c>
    </row>
    <row r="582" spans="1:5" x14ac:dyDescent="0.25">
      <c r="A582" t="s">
        <v>13</v>
      </c>
      <c r="B582">
        <v>2346</v>
      </c>
      <c r="C582" s="3">
        <v>42348</v>
      </c>
      <c r="E582" t="s">
        <v>10</v>
      </c>
    </row>
    <row r="583" spans="1:5" x14ac:dyDescent="0.25">
      <c r="A583" t="s">
        <v>13</v>
      </c>
      <c r="B583">
        <v>2391</v>
      </c>
      <c r="C583" s="3">
        <v>42348</v>
      </c>
      <c r="D583" t="s">
        <v>31</v>
      </c>
      <c r="E583" t="s">
        <v>12</v>
      </c>
    </row>
    <row r="584" spans="1:5" x14ac:dyDescent="0.25">
      <c r="A584" t="s">
        <v>13</v>
      </c>
      <c r="B584">
        <v>2398</v>
      </c>
      <c r="C584" s="3">
        <v>42347</v>
      </c>
      <c r="E584" t="s">
        <v>9</v>
      </c>
    </row>
    <row r="585" spans="1:5" x14ac:dyDescent="0.25">
      <c r="A585" t="s">
        <v>13</v>
      </c>
      <c r="B585">
        <v>2394</v>
      </c>
      <c r="C585" s="3">
        <v>42347</v>
      </c>
      <c r="E585" t="s">
        <v>9</v>
      </c>
    </row>
    <row r="586" spans="1:5" x14ac:dyDescent="0.25">
      <c r="A586" t="s">
        <v>13</v>
      </c>
      <c r="B586">
        <v>2367</v>
      </c>
      <c r="C586" s="3">
        <v>42347</v>
      </c>
      <c r="E586" t="s">
        <v>9</v>
      </c>
    </row>
    <row r="587" spans="1:5" x14ac:dyDescent="0.25">
      <c r="A587" t="s">
        <v>13</v>
      </c>
      <c r="B587">
        <v>2386</v>
      </c>
      <c r="C587" s="3">
        <v>42347</v>
      </c>
      <c r="E587" t="s">
        <v>9</v>
      </c>
    </row>
    <row r="588" spans="1:5" x14ac:dyDescent="0.25">
      <c r="A588" t="s">
        <v>13</v>
      </c>
      <c r="B588">
        <v>2391</v>
      </c>
      <c r="C588" s="3">
        <v>42347</v>
      </c>
      <c r="E588" t="s">
        <v>9</v>
      </c>
    </row>
    <row r="589" spans="1:5" x14ac:dyDescent="0.25">
      <c r="A589" t="s">
        <v>13</v>
      </c>
      <c r="B589">
        <v>2386</v>
      </c>
      <c r="C589" s="3">
        <v>42347</v>
      </c>
      <c r="E589" t="s">
        <v>9</v>
      </c>
    </row>
    <row r="590" spans="1:5" x14ac:dyDescent="0.25">
      <c r="A590" t="s">
        <v>13</v>
      </c>
      <c r="B590">
        <v>2387</v>
      </c>
      <c r="C590" s="3">
        <v>42347</v>
      </c>
      <c r="E590" t="s">
        <v>9</v>
      </c>
    </row>
    <row r="591" spans="1:5" x14ac:dyDescent="0.25">
      <c r="A591" t="s">
        <v>13</v>
      </c>
      <c r="B591">
        <v>2384</v>
      </c>
      <c r="C591" s="3">
        <v>42347</v>
      </c>
      <c r="E591" t="s">
        <v>9</v>
      </c>
    </row>
    <row r="592" spans="1:5" x14ac:dyDescent="0.25">
      <c r="A592" t="s">
        <v>13</v>
      </c>
      <c r="B592">
        <v>2383</v>
      </c>
      <c r="C592" s="3">
        <v>42347</v>
      </c>
      <c r="E592" t="s">
        <v>9</v>
      </c>
    </row>
    <row r="593" spans="1:5" x14ac:dyDescent="0.25">
      <c r="A593" t="s">
        <v>13</v>
      </c>
      <c r="B593">
        <v>2347</v>
      </c>
      <c r="C593" s="3">
        <v>42347</v>
      </c>
      <c r="E593" t="s">
        <v>9</v>
      </c>
    </row>
    <row r="594" spans="1:5" x14ac:dyDescent="0.25">
      <c r="A594" t="s">
        <v>13</v>
      </c>
      <c r="B594">
        <v>2346</v>
      </c>
      <c r="C594" s="3">
        <v>42347</v>
      </c>
      <c r="E594" t="s">
        <v>9</v>
      </c>
    </row>
    <row r="595" spans="1:5" x14ac:dyDescent="0.25">
      <c r="A595" t="s">
        <v>13</v>
      </c>
      <c r="B595">
        <v>2345</v>
      </c>
      <c r="C595" s="3">
        <v>42347</v>
      </c>
      <c r="E595" t="s">
        <v>9</v>
      </c>
    </row>
    <row r="596" spans="1:5" x14ac:dyDescent="0.25">
      <c r="A596" t="s">
        <v>13</v>
      </c>
      <c r="B596">
        <v>2344</v>
      </c>
      <c r="C596" s="3">
        <v>42347</v>
      </c>
      <c r="E596" t="s">
        <v>9</v>
      </c>
    </row>
    <row r="597" spans="1:5" x14ac:dyDescent="0.25">
      <c r="A597" t="s">
        <v>13</v>
      </c>
      <c r="B597">
        <v>2342</v>
      </c>
      <c r="C597" s="3">
        <v>42347</v>
      </c>
      <c r="E597" t="s">
        <v>9</v>
      </c>
    </row>
    <row r="598" spans="1:5" x14ac:dyDescent="0.25">
      <c r="A598" t="s">
        <v>13</v>
      </c>
      <c r="B598">
        <v>2341</v>
      </c>
      <c r="C598" s="3">
        <v>42347</v>
      </c>
      <c r="E598" t="s">
        <v>9</v>
      </c>
    </row>
    <row r="599" spans="1:5" x14ac:dyDescent="0.25">
      <c r="A599" t="s">
        <v>13</v>
      </c>
      <c r="B599">
        <v>2379</v>
      </c>
      <c r="C599" s="3">
        <v>42347</v>
      </c>
      <c r="E599" t="s">
        <v>9</v>
      </c>
    </row>
    <row r="600" spans="1:5" x14ac:dyDescent="0.25">
      <c r="A600" t="s">
        <v>13</v>
      </c>
      <c r="B600">
        <v>2277</v>
      </c>
      <c r="C600" s="3">
        <v>42347</v>
      </c>
      <c r="E600" t="s">
        <v>9</v>
      </c>
    </row>
    <row r="601" spans="1:5" x14ac:dyDescent="0.25">
      <c r="A601" t="s">
        <v>13</v>
      </c>
      <c r="B601">
        <v>3376</v>
      </c>
      <c r="C601" s="3">
        <v>42347</v>
      </c>
      <c r="E601" t="s">
        <v>9</v>
      </c>
    </row>
    <row r="602" spans="1:5" x14ac:dyDescent="0.25">
      <c r="A602" t="s">
        <v>13</v>
      </c>
      <c r="B602">
        <v>2373</v>
      </c>
      <c r="C602" s="3">
        <v>42347</v>
      </c>
      <c r="E602" t="s">
        <v>9</v>
      </c>
    </row>
    <row r="603" spans="1:5" x14ac:dyDescent="0.25">
      <c r="A603" t="s">
        <v>13</v>
      </c>
      <c r="B603">
        <v>2372</v>
      </c>
      <c r="C603" s="3">
        <v>42347</v>
      </c>
      <c r="E603" t="s">
        <v>9</v>
      </c>
    </row>
    <row r="604" spans="1:5" x14ac:dyDescent="0.25">
      <c r="A604" t="s">
        <v>13</v>
      </c>
      <c r="B604">
        <v>2370</v>
      </c>
      <c r="C604" s="3">
        <v>42347</v>
      </c>
      <c r="E604" t="s">
        <v>9</v>
      </c>
    </row>
    <row r="605" spans="1:5" x14ac:dyDescent="0.25">
      <c r="A605" t="s">
        <v>13</v>
      </c>
      <c r="B605">
        <v>2368</v>
      </c>
      <c r="C605" s="3">
        <v>42347</v>
      </c>
      <c r="E605" t="s">
        <v>9</v>
      </c>
    </row>
    <row r="606" spans="1:5" x14ac:dyDescent="0.25">
      <c r="A606" t="s">
        <v>13</v>
      </c>
      <c r="B606">
        <v>2367</v>
      </c>
      <c r="C606" s="3">
        <v>42347</v>
      </c>
      <c r="E606" t="s">
        <v>9</v>
      </c>
    </row>
    <row r="607" spans="1:5" x14ac:dyDescent="0.25">
      <c r="A607" t="s">
        <v>13</v>
      </c>
      <c r="B607">
        <v>2366</v>
      </c>
      <c r="C607" s="3">
        <v>42347</v>
      </c>
      <c r="E607" t="s">
        <v>9</v>
      </c>
    </row>
    <row r="608" spans="1:5" x14ac:dyDescent="0.25">
      <c r="A608" t="s">
        <v>13</v>
      </c>
      <c r="B608">
        <v>2365</v>
      </c>
      <c r="C608" s="3">
        <v>42347</v>
      </c>
      <c r="E608" t="s">
        <v>9</v>
      </c>
    </row>
    <row r="609" spans="1:5" x14ac:dyDescent="0.25">
      <c r="A609" t="s">
        <v>13</v>
      </c>
      <c r="B609">
        <v>2364</v>
      </c>
      <c r="C609" s="3">
        <v>42347</v>
      </c>
      <c r="D609">
        <v>43</v>
      </c>
      <c r="E609" t="s">
        <v>9</v>
      </c>
    </row>
    <row r="610" spans="1:5" x14ac:dyDescent="0.25">
      <c r="A610" t="s">
        <v>13</v>
      </c>
      <c r="B610">
        <v>2362</v>
      </c>
      <c r="C610" s="3">
        <v>42347</v>
      </c>
      <c r="D610">
        <v>12</v>
      </c>
      <c r="E610" t="s">
        <v>9</v>
      </c>
    </row>
    <row r="611" spans="1:5" x14ac:dyDescent="0.25">
      <c r="A611" t="s">
        <v>13</v>
      </c>
      <c r="B611">
        <v>2361</v>
      </c>
      <c r="C611" s="3">
        <v>42347</v>
      </c>
      <c r="D611">
        <v>41</v>
      </c>
      <c r="E611" t="s">
        <v>9</v>
      </c>
    </row>
    <row r="612" spans="1:5" x14ac:dyDescent="0.25">
      <c r="A612" t="s">
        <v>13</v>
      </c>
      <c r="B612">
        <v>2360</v>
      </c>
      <c r="C612" s="3">
        <v>42347</v>
      </c>
      <c r="D612">
        <v>8</v>
      </c>
      <c r="E612" t="s">
        <v>9</v>
      </c>
    </row>
    <row r="613" spans="1:5" x14ac:dyDescent="0.25">
      <c r="A613" t="s">
        <v>13</v>
      </c>
      <c r="B613">
        <v>2381</v>
      </c>
      <c r="C613" s="3">
        <v>42347</v>
      </c>
      <c r="E613" t="s">
        <v>9</v>
      </c>
    </row>
    <row r="614" spans="1:5" x14ac:dyDescent="0.25">
      <c r="A614" t="s">
        <v>13</v>
      </c>
      <c r="B614">
        <v>2380</v>
      </c>
      <c r="C614" s="3">
        <v>42347</v>
      </c>
      <c r="E614" t="s">
        <v>9</v>
      </c>
    </row>
    <row r="615" spans="1:5" x14ac:dyDescent="0.25">
      <c r="A615" t="s">
        <v>13</v>
      </c>
      <c r="B615">
        <v>2379</v>
      </c>
      <c r="C615" s="3">
        <v>42347</v>
      </c>
      <c r="E615" t="s">
        <v>9</v>
      </c>
    </row>
    <row r="616" spans="1:5" x14ac:dyDescent="0.25">
      <c r="A616" t="s">
        <v>13</v>
      </c>
      <c r="B616">
        <v>2378</v>
      </c>
      <c r="C616" s="3">
        <v>42347</v>
      </c>
      <c r="E616" t="s">
        <v>9</v>
      </c>
    </row>
    <row r="617" spans="1:5" x14ac:dyDescent="0.25">
      <c r="A617" t="s">
        <v>13</v>
      </c>
      <c r="B617">
        <v>2377</v>
      </c>
      <c r="C617" s="3">
        <v>42347</v>
      </c>
      <c r="E617" t="s">
        <v>9</v>
      </c>
    </row>
    <row r="618" spans="1:5" x14ac:dyDescent="0.25">
      <c r="A618" t="s">
        <v>13</v>
      </c>
      <c r="B618">
        <v>2376</v>
      </c>
      <c r="C618" s="3">
        <v>42347</v>
      </c>
      <c r="E618" t="s">
        <v>9</v>
      </c>
    </row>
    <row r="619" spans="1:5" x14ac:dyDescent="0.25">
      <c r="A619" t="s">
        <v>13</v>
      </c>
      <c r="B619">
        <v>2375</v>
      </c>
      <c r="C619" s="3">
        <v>42347</v>
      </c>
      <c r="D619">
        <v>3</v>
      </c>
      <c r="E619" t="s">
        <v>9</v>
      </c>
    </row>
    <row r="620" spans="1:5" x14ac:dyDescent="0.25">
      <c r="A620" t="s">
        <v>13</v>
      </c>
      <c r="B620">
        <v>2374</v>
      </c>
      <c r="C620" s="3">
        <v>42347</v>
      </c>
      <c r="E620" t="s">
        <v>12</v>
      </c>
    </row>
    <row r="621" spans="1:5" x14ac:dyDescent="0.25">
      <c r="A621" t="s">
        <v>13</v>
      </c>
      <c r="B621">
        <v>2373</v>
      </c>
      <c r="C621" s="3">
        <v>42347</v>
      </c>
      <c r="E621" t="s">
        <v>12</v>
      </c>
    </row>
    <row r="622" spans="1:5" x14ac:dyDescent="0.25">
      <c r="A622" t="s">
        <v>13</v>
      </c>
      <c r="B622">
        <v>2372</v>
      </c>
      <c r="C622" s="3">
        <v>42347</v>
      </c>
      <c r="D622" t="s">
        <v>10</v>
      </c>
      <c r="E622" t="s">
        <v>10</v>
      </c>
    </row>
    <row r="623" spans="1:5" x14ac:dyDescent="0.25">
      <c r="A623" t="s">
        <v>13</v>
      </c>
      <c r="B623">
        <v>2371</v>
      </c>
      <c r="C623" s="3">
        <v>42347</v>
      </c>
      <c r="D623">
        <v>53</v>
      </c>
      <c r="E623" t="s">
        <v>9</v>
      </c>
    </row>
    <row r="624" spans="1:5" x14ac:dyDescent="0.25">
      <c r="A624" t="s">
        <v>13</v>
      </c>
      <c r="B624">
        <v>2370</v>
      </c>
      <c r="C624" s="3">
        <v>42347</v>
      </c>
      <c r="D624">
        <v>62</v>
      </c>
      <c r="E624" t="s">
        <v>9</v>
      </c>
    </row>
    <row r="625" spans="1:5" x14ac:dyDescent="0.25">
      <c r="A625" t="s">
        <v>13</v>
      </c>
      <c r="B625">
        <v>2379</v>
      </c>
      <c r="C625" s="3">
        <v>42346</v>
      </c>
      <c r="D625">
        <v>61</v>
      </c>
      <c r="E625" t="s">
        <v>9</v>
      </c>
    </row>
    <row r="626" spans="1:5" x14ac:dyDescent="0.25">
      <c r="A626" t="s">
        <v>13</v>
      </c>
      <c r="B626">
        <v>2377</v>
      </c>
      <c r="C626" s="3">
        <v>42346</v>
      </c>
      <c r="D626">
        <v>34</v>
      </c>
      <c r="E626" t="s">
        <v>9</v>
      </c>
    </row>
    <row r="627" spans="1:5" x14ac:dyDescent="0.25">
      <c r="A627" t="s">
        <v>13</v>
      </c>
      <c r="B627">
        <v>2376</v>
      </c>
      <c r="C627" s="3">
        <v>42346</v>
      </c>
      <c r="D627">
        <v>58</v>
      </c>
      <c r="E627" t="s">
        <v>9</v>
      </c>
    </row>
    <row r="628" spans="1:5" x14ac:dyDescent="0.25">
      <c r="A628" t="s">
        <v>13</v>
      </c>
      <c r="B628">
        <v>2375</v>
      </c>
      <c r="C628" s="3">
        <v>42346</v>
      </c>
      <c r="D628">
        <v>45</v>
      </c>
      <c r="E628" t="s">
        <v>9</v>
      </c>
    </row>
    <row r="629" spans="1:5" x14ac:dyDescent="0.25">
      <c r="A629" t="s">
        <v>13</v>
      </c>
      <c r="B629">
        <v>2374</v>
      </c>
      <c r="C629" s="3">
        <v>42346</v>
      </c>
      <c r="D629">
        <v>26</v>
      </c>
      <c r="E629" t="s">
        <v>9</v>
      </c>
    </row>
    <row r="630" spans="1:5" x14ac:dyDescent="0.25">
      <c r="A630" t="s">
        <v>13</v>
      </c>
      <c r="B630">
        <v>2373</v>
      </c>
      <c r="C630" s="3">
        <v>42346</v>
      </c>
      <c r="D630">
        <v>29</v>
      </c>
      <c r="E630" t="s">
        <v>9</v>
      </c>
    </row>
    <row r="631" spans="1:5" x14ac:dyDescent="0.25">
      <c r="A631" t="s">
        <v>13</v>
      </c>
      <c r="B631">
        <v>2372</v>
      </c>
      <c r="C631" s="3">
        <v>42346</v>
      </c>
      <c r="D631">
        <v>17</v>
      </c>
      <c r="E631" t="s">
        <v>9</v>
      </c>
    </row>
    <row r="632" spans="1:5" x14ac:dyDescent="0.25">
      <c r="A632" t="s">
        <v>13</v>
      </c>
      <c r="B632">
        <v>2370</v>
      </c>
      <c r="C632" s="3">
        <v>42346</v>
      </c>
      <c r="E632" t="s">
        <v>10</v>
      </c>
    </row>
    <row r="633" spans="1:5" x14ac:dyDescent="0.25">
      <c r="A633" t="s">
        <v>13</v>
      </c>
      <c r="B633">
        <v>2268</v>
      </c>
      <c r="C633" s="3">
        <v>42346</v>
      </c>
      <c r="D633" t="s">
        <v>14</v>
      </c>
      <c r="E633" t="s">
        <v>9</v>
      </c>
    </row>
    <row r="634" spans="1:5" x14ac:dyDescent="0.25">
      <c r="A634" t="s">
        <v>13</v>
      </c>
      <c r="B634">
        <v>2367</v>
      </c>
      <c r="C634" s="3">
        <v>42346</v>
      </c>
      <c r="D634">
        <v>55</v>
      </c>
      <c r="E634" t="s">
        <v>9</v>
      </c>
    </row>
    <row r="635" spans="1:5" x14ac:dyDescent="0.25">
      <c r="A635" t="s">
        <v>13</v>
      </c>
      <c r="B635">
        <v>2366</v>
      </c>
      <c r="C635" s="3">
        <v>42346</v>
      </c>
      <c r="D635">
        <v>35</v>
      </c>
      <c r="E635" t="s">
        <v>9</v>
      </c>
    </row>
    <row r="636" spans="1:5" x14ac:dyDescent="0.25">
      <c r="A636" t="s">
        <v>13</v>
      </c>
      <c r="B636">
        <v>2365</v>
      </c>
      <c r="C636" s="3">
        <v>42346</v>
      </c>
      <c r="D636">
        <v>69</v>
      </c>
      <c r="E636" t="s">
        <v>9</v>
      </c>
    </row>
    <row r="637" spans="1:5" x14ac:dyDescent="0.25">
      <c r="A637" t="s">
        <v>13</v>
      </c>
      <c r="B637">
        <v>2364</v>
      </c>
      <c r="C637" s="3">
        <v>42346</v>
      </c>
      <c r="D637">
        <v>16</v>
      </c>
      <c r="E637" t="s">
        <v>9</v>
      </c>
    </row>
    <row r="638" spans="1:5" x14ac:dyDescent="0.25">
      <c r="A638" t="s">
        <v>13</v>
      </c>
      <c r="B638">
        <v>2362</v>
      </c>
      <c r="C638" s="3">
        <v>42346</v>
      </c>
      <c r="D638">
        <v>5</v>
      </c>
      <c r="E638" t="s">
        <v>9</v>
      </c>
    </row>
    <row r="639" spans="1:5" x14ac:dyDescent="0.25">
      <c r="A639" t="s">
        <v>13</v>
      </c>
      <c r="B639">
        <v>2361</v>
      </c>
      <c r="C639" s="3">
        <v>42346</v>
      </c>
      <c r="D639">
        <v>11</v>
      </c>
      <c r="E639" t="s">
        <v>9</v>
      </c>
    </row>
    <row r="640" spans="1:5" x14ac:dyDescent="0.25">
      <c r="A640" t="s">
        <v>13</v>
      </c>
      <c r="B640">
        <v>2360</v>
      </c>
      <c r="C640" s="3">
        <v>42346</v>
      </c>
      <c r="D640">
        <v>9</v>
      </c>
      <c r="E640" t="s">
        <v>9</v>
      </c>
    </row>
    <row r="641" spans="1:5" x14ac:dyDescent="0.25">
      <c r="A641" t="s">
        <v>13</v>
      </c>
      <c r="B641">
        <v>64</v>
      </c>
      <c r="C641" s="3">
        <v>42346</v>
      </c>
      <c r="E641" t="s">
        <v>9</v>
      </c>
    </row>
    <row r="642" spans="1:5" x14ac:dyDescent="0.25">
      <c r="A642" t="s">
        <v>13</v>
      </c>
      <c r="B642">
        <v>65</v>
      </c>
      <c r="C642" s="3">
        <v>42346</v>
      </c>
      <c r="E642" t="s">
        <v>9</v>
      </c>
    </row>
    <row r="643" spans="1:5" x14ac:dyDescent="0.25">
      <c r="A643" t="s">
        <v>13</v>
      </c>
      <c r="B643">
        <v>61</v>
      </c>
      <c r="C643" s="3">
        <v>42346</v>
      </c>
      <c r="E643" t="s">
        <v>9</v>
      </c>
    </row>
    <row r="644" spans="1:5" x14ac:dyDescent="0.25">
      <c r="A644" t="s">
        <v>13</v>
      </c>
      <c r="B644">
        <v>60</v>
      </c>
      <c r="C644" s="3">
        <v>42346</v>
      </c>
      <c r="D644">
        <v>37</v>
      </c>
      <c r="E644" t="s">
        <v>9</v>
      </c>
    </row>
    <row r="645" spans="1:5" x14ac:dyDescent="0.25">
      <c r="A645" t="s">
        <v>13</v>
      </c>
      <c r="B645">
        <v>2365</v>
      </c>
      <c r="C645" s="3">
        <v>42345</v>
      </c>
      <c r="E645" t="s">
        <v>9</v>
      </c>
    </row>
    <row r="646" spans="1:5" x14ac:dyDescent="0.25">
      <c r="A646" t="s">
        <v>13</v>
      </c>
      <c r="B646">
        <v>2364</v>
      </c>
      <c r="C646" s="3">
        <v>42345</v>
      </c>
      <c r="E646" t="s">
        <v>9</v>
      </c>
    </row>
    <row r="647" spans="1:5" x14ac:dyDescent="0.25">
      <c r="A647" t="s">
        <v>13</v>
      </c>
      <c r="B647">
        <v>2363</v>
      </c>
      <c r="C647" s="3">
        <v>42345</v>
      </c>
      <c r="E647" t="s">
        <v>9</v>
      </c>
    </row>
    <row r="648" spans="1:5" x14ac:dyDescent="0.25">
      <c r="A648" t="s">
        <v>13</v>
      </c>
      <c r="B648">
        <v>2362</v>
      </c>
      <c r="C648" s="3">
        <v>42345</v>
      </c>
      <c r="E648" t="s">
        <v>9</v>
      </c>
    </row>
    <row r="649" spans="1:5" x14ac:dyDescent="0.25">
      <c r="A649" t="s">
        <v>13</v>
      </c>
      <c r="B649">
        <v>2361</v>
      </c>
      <c r="C649" s="3">
        <v>42345</v>
      </c>
      <c r="E649" t="s">
        <v>10</v>
      </c>
    </row>
    <row r="650" spans="1:5" x14ac:dyDescent="0.25">
      <c r="A650" t="s">
        <v>13</v>
      </c>
      <c r="B650">
        <v>2360</v>
      </c>
      <c r="C650" s="3">
        <v>42345</v>
      </c>
      <c r="E650" t="s">
        <v>10</v>
      </c>
    </row>
    <row r="651" spans="1:5" x14ac:dyDescent="0.25">
      <c r="A651" t="s">
        <v>13</v>
      </c>
      <c r="B651">
        <v>2341</v>
      </c>
      <c r="C651" s="3">
        <v>42345</v>
      </c>
      <c r="E651" t="s">
        <v>10</v>
      </c>
    </row>
    <row r="652" spans="1:5" x14ac:dyDescent="0.25">
      <c r="A652" t="s">
        <v>13</v>
      </c>
      <c r="B652">
        <v>2360</v>
      </c>
      <c r="C652" s="3">
        <v>42344</v>
      </c>
      <c r="D652" t="s">
        <v>86</v>
      </c>
      <c r="E652" t="s">
        <v>9</v>
      </c>
    </row>
    <row r="653" spans="1:5" x14ac:dyDescent="0.25">
      <c r="A653" t="s">
        <v>13</v>
      </c>
      <c r="B653">
        <v>2347</v>
      </c>
      <c r="C653" s="3">
        <v>42344</v>
      </c>
      <c r="D653" t="s">
        <v>10</v>
      </c>
      <c r="E653" t="s">
        <v>10</v>
      </c>
    </row>
    <row r="654" spans="1:5" x14ac:dyDescent="0.25">
      <c r="A654" t="s">
        <v>13</v>
      </c>
      <c r="B654">
        <v>2346</v>
      </c>
      <c r="C654" s="3">
        <v>42344</v>
      </c>
      <c r="D654" t="s">
        <v>10</v>
      </c>
      <c r="E654" t="s">
        <v>10</v>
      </c>
    </row>
    <row r="655" spans="1:5" x14ac:dyDescent="0.25">
      <c r="A655" t="s">
        <v>13</v>
      </c>
      <c r="B655">
        <v>2345</v>
      </c>
      <c r="C655" s="3">
        <v>42344</v>
      </c>
      <c r="D655" t="s">
        <v>87</v>
      </c>
      <c r="E655" t="s">
        <v>12</v>
      </c>
    </row>
    <row r="656" spans="1:5" x14ac:dyDescent="0.25">
      <c r="A656" t="s">
        <v>13</v>
      </c>
      <c r="B656">
        <v>2344</v>
      </c>
      <c r="C656" s="3">
        <v>42344</v>
      </c>
      <c r="D656" t="s">
        <v>88</v>
      </c>
      <c r="E656" t="s">
        <v>12</v>
      </c>
    </row>
    <row r="657" spans="1:5" x14ac:dyDescent="0.25">
      <c r="A657" t="s">
        <v>13</v>
      </c>
      <c r="B657">
        <v>2342</v>
      </c>
      <c r="C657" s="3">
        <v>42344</v>
      </c>
      <c r="D657" t="s">
        <v>10</v>
      </c>
      <c r="E657" t="s">
        <v>10</v>
      </c>
    </row>
    <row r="658" spans="1:5" x14ac:dyDescent="0.25">
      <c r="A658" t="s">
        <v>13</v>
      </c>
      <c r="B658">
        <v>2341</v>
      </c>
      <c r="C658" s="3">
        <v>42344</v>
      </c>
      <c r="D658" t="s">
        <v>89</v>
      </c>
      <c r="E658" t="s">
        <v>12</v>
      </c>
    </row>
    <row r="659" spans="1:5" x14ac:dyDescent="0.25">
      <c r="A659" t="s">
        <v>13</v>
      </c>
      <c r="B659">
        <v>2341</v>
      </c>
      <c r="C659" s="3">
        <v>42343</v>
      </c>
      <c r="E659" t="s">
        <v>12</v>
      </c>
    </row>
    <row r="660" spans="1:5" x14ac:dyDescent="0.25">
      <c r="A660" t="s">
        <v>13</v>
      </c>
      <c r="B660">
        <v>2344</v>
      </c>
      <c r="C660" s="3">
        <v>42343</v>
      </c>
      <c r="E660" t="s">
        <v>12</v>
      </c>
    </row>
    <row r="661" spans="1:5" x14ac:dyDescent="0.25">
      <c r="A661" t="s">
        <v>13</v>
      </c>
      <c r="B661">
        <v>2345</v>
      </c>
      <c r="C661" s="3">
        <v>42343</v>
      </c>
      <c r="E661" t="s">
        <v>12</v>
      </c>
    </row>
    <row r="662" spans="1:5" x14ac:dyDescent="0.25">
      <c r="A662" t="s">
        <v>13</v>
      </c>
      <c r="B662">
        <v>2346</v>
      </c>
      <c r="C662" s="3">
        <v>42343</v>
      </c>
      <c r="E662" t="s">
        <v>12</v>
      </c>
    </row>
    <row r="663" spans="1:5" x14ac:dyDescent="0.25">
      <c r="A663" t="s">
        <v>13</v>
      </c>
      <c r="B663">
        <v>2347</v>
      </c>
      <c r="C663" s="3">
        <v>42343</v>
      </c>
      <c r="E663" t="s">
        <v>12</v>
      </c>
    </row>
    <row r="664" spans="1:5" x14ac:dyDescent="0.25">
      <c r="A664" t="s">
        <v>13</v>
      </c>
      <c r="B664">
        <v>2392</v>
      </c>
      <c r="C664" s="3">
        <v>42343</v>
      </c>
      <c r="E664" t="s">
        <v>12</v>
      </c>
    </row>
    <row r="665" spans="1:5" x14ac:dyDescent="0.25">
      <c r="A665" t="s">
        <v>13</v>
      </c>
      <c r="B665">
        <v>2391</v>
      </c>
      <c r="C665" s="3">
        <v>42343</v>
      </c>
      <c r="E665" t="s">
        <v>10</v>
      </c>
    </row>
    <row r="666" spans="1:5" x14ac:dyDescent="0.25">
      <c r="A666" t="s">
        <v>13</v>
      </c>
      <c r="B666">
        <v>2367</v>
      </c>
      <c r="C666" s="3">
        <v>42343</v>
      </c>
      <c r="E666" t="s">
        <v>12</v>
      </c>
    </row>
    <row r="667" spans="1:5" x14ac:dyDescent="0.25">
      <c r="A667" t="s">
        <v>13</v>
      </c>
      <c r="B667">
        <v>2368</v>
      </c>
      <c r="C667" s="3">
        <v>42343</v>
      </c>
      <c r="E667" t="s">
        <v>10</v>
      </c>
    </row>
    <row r="668" spans="1:5" x14ac:dyDescent="0.25">
      <c r="A668" t="s">
        <v>13</v>
      </c>
      <c r="B668">
        <v>2364</v>
      </c>
      <c r="C668" s="3">
        <v>42343</v>
      </c>
      <c r="E668" t="s">
        <v>12</v>
      </c>
    </row>
    <row r="669" spans="1:5" x14ac:dyDescent="0.25">
      <c r="A669" t="s">
        <v>13</v>
      </c>
      <c r="B669">
        <v>2370</v>
      </c>
      <c r="C669" s="3">
        <v>42343</v>
      </c>
      <c r="E669" t="s">
        <v>12</v>
      </c>
    </row>
    <row r="670" spans="1:5" x14ac:dyDescent="0.25">
      <c r="A670" t="s">
        <v>13</v>
      </c>
      <c r="B670">
        <v>2363</v>
      </c>
      <c r="C670" s="3">
        <v>42343</v>
      </c>
      <c r="E670" t="s">
        <v>10</v>
      </c>
    </row>
    <row r="671" spans="1:5" x14ac:dyDescent="0.25">
      <c r="A671" t="s">
        <v>13</v>
      </c>
      <c r="B671">
        <v>2362</v>
      </c>
      <c r="C671" s="3">
        <v>42343</v>
      </c>
      <c r="E671" t="s">
        <v>12</v>
      </c>
    </row>
    <row r="672" spans="1:5" x14ac:dyDescent="0.25">
      <c r="A672" t="s">
        <v>13</v>
      </c>
      <c r="B672">
        <v>2389</v>
      </c>
      <c r="C672" s="3">
        <v>42343</v>
      </c>
      <c r="E672" t="s">
        <v>12</v>
      </c>
    </row>
    <row r="673" spans="1:5" x14ac:dyDescent="0.25">
      <c r="A673" t="s">
        <v>13</v>
      </c>
      <c r="B673">
        <v>2387</v>
      </c>
      <c r="C673" s="3">
        <v>42343</v>
      </c>
      <c r="E673" t="s">
        <v>12</v>
      </c>
    </row>
    <row r="674" spans="1:5" x14ac:dyDescent="0.25">
      <c r="A674" t="s">
        <v>13</v>
      </c>
      <c r="B674">
        <v>2386</v>
      </c>
      <c r="C674" s="3">
        <v>42343</v>
      </c>
      <c r="E674" t="s">
        <v>10</v>
      </c>
    </row>
    <row r="675" spans="1:5" x14ac:dyDescent="0.25">
      <c r="A675" t="s">
        <v>13</v>
      </c>
      <c r="B675">
        <v>2384</v>
      </c>
      <c r="C675" s="3">
        <v>42343</v>
      </c>
      <c r="E675" t="s">
        <v>12</v>
      </c>
    </row>
    <row r="676" spans="1:5" x14ac:dyDescent="0.25">
      <c r="A676" t="s">
        <v>13</v>
      </c>
      <c r="B676">
        <v>2383</v>
      </c>
      <c r="C676" s="3">
        <v>42343</v>
      </c>
      <c r="E676" t="s">
        <v>12</v>
      </c>
    </row>
    <row r="677" spans="1:5" x14ac:dyDescent="0.25">
      <c r="A677" t="s">
        <v>13</v>
      </c>
      <c r="B677">
        <v>2384</v>
      </c>
      <c r="C677" s="3">
        <v>42343</v>
      </c>
      <c r="E677" t="s">
        <v>9</v>
      </c>
    </row>
    <row r="678" spans="1:5" x14ac:dyDescent="0.25">
      <c r="A678" t="s">
        <v>13</v>
      </c>
      <c r="B678">
        <v>2384</v>
      </c>
      <c r="C678" s="3">
        <v>42343</v>
      </c>
      <c r="D678">
        <v>58</v>
      </c>
      <c r="E678" t="s">
        <v>9</v>
      </c>
    </row>
    <row r="679" spans="1:5" x14ac:dyDescent="0.25">
      <c r="A679" t="s">
        <v>13</v>
      </c>
      <c r="B679">
        <v>2383</v>
      </c>
      <c r="C679" s="3">
        <v>42343</v>
      </c>
      <c r="D679">
        <v>15</v>
      </c>
      <c r="E679" t="s">
        <v>9</v>
      </c>
    </row>
    <row r="680" spans="1:5" x14ac:dyDescent="0.25">
      <c r="A680" t="s">
        <v>13</v>
      </c>
      <c r="B680">
        <v>2383</v>
      </c>
      <c r="C680" s="3">
        <v>42343</v>
      </c>
      <c r="D680">
        <v>65</v>
      </c>
      <c r="E680" t="s">
        <v>9</v>
      </c>
    </row>
    <row r="681" spans="1:5" x14ac:dyDescent="0.25">
      <c r="A681" t="s">
        <v>13</v>
      </c>
      <c r="B681">
        <v>2383</v>
      </c>
      <c r="C681" s="3">
        <v>42343</v>
      </c>
      <c r="E681" t="s">
        <v>10</v>
      </c>
    </row>
    <row r="682" spans="1:5" x14ac:dyDescent="0.25">
      <c r="A682" t="s">
        <v>13</v>
      </c>
      <c r="B682">
        <v>2368</v>
      </c>
      <c r="C682" s="3">
        <v>42342</v>
      </c>
      <c r="E682" t="s">
        <v>9</v>
      </c>
    </row>
    <row r="683" spans="1:5" x14ac:dyDescent="0.25">
      <c r="A683" t="s">
        <v>13</v>
      </c>
      <c r="B683">
        <v>2367</v>
      </c>
      <c r="C683" s="3">
        <v>42342</v>
      </c>
      <c r="E683" t="s">
        <v>9</v>
      </c>
    </row>
    <row r="684" spans="1:5" x14ac:dyDescent="0.25">
      <c r="A684" t="s">
        <v>13</v>
      </c>
      <c r="B684">
        <v>2366</v>
      </c>
      <c r="C684" s="3">
        <v>42342</v>
      </c>
      <c r="E684" t="s">
        <v>9</v>
      </c>
    </row>
    <row r="685" spans="1:5" x14ac:dyDescent="0.25">
      <c r="A685" t="s">
        <v>13</v>
      </c>
      <c r="B685">
        <v>2364</v>
      </c>
      <c r="C685" s="3">
        <v>42342</v>
      </c>
      <c r="E685" t="s">
        <v>10</v>
      </c>
    </row>
    <row r="686" spans="1:5" x14ac:dyDescent="0.25">
      <c r="A686" t="s">
        <v>13</v>
      </c>
      <c r="B686">
        <v>2384</v>
      </c>
      <c r="C686" s="3">
        <v>42342</v>
      </c>
      <c r="E686" t="s">
        <v>9</v>
      </c>
    </row>
    <row r="687" spans="1:5" x14ac:dyDescent="0.25">
      <c r="A687" t="s">
        <v>13</v>
      </c>
      <c r="B687">
        <v>2365</v>
      </c>
      <c r="C687" s="3">
        <v>42342</v>
      </c>
      <c r="E687" t="s">
        <v>9</v>
      </c>
    </row>
    <row r="688" spans="1:5" x14ac:dyDescent="0.25">
      <c r="A688" t="s">
        <v>13</v>
      </c>
      <c r="B688">
        <v>2362</v>
      </c>
      <c r="C688" s="3">
        <v>42342</v>
      </c>
      <c r="E688" t="s">
        <v>9</v>
      </c>
    </row>
    <row r="689" spans="1:5" x14ac:dyDescent="0.25">
      <c r="A689" t="s">
        <v>13</v>
      </c>
      <c r="B689">
        <v>2361</v>
      </c>
      <c r="C689" s="3">
        <v>42342</v>
      </c>
      <c r="E689" t="s">
        <v>9</v>
      </c>
    </row>
    <row r="690" spans="1:5" x14ac:dyDescent="0.25">
      <c r="A690" t="s">
        <v>13</v>
      </c>
      <c r="B690">
        <v>2360</v>
      </c>
      <c r="C690" s="3">
        <v>42342</v>
      </c>
      <c r="E690" t="s">
        <v>9</v>
      </c>
    </row>
    <row r="691" spans="1:5" x14ac:dyDescent="0.25">
      <c r="A691" t="s">
        <v>13</v>
      </c>
      <c r="B691">
        <v>2398</v>
      </c>
      <c r="C691" s="3">
        <v>42342</v>
      </c>
      <c r="E691" t="s">
        <v>9</v>
      </c>
    </row>
    <row r="692" spans="1:5" x14ac:dyDescent="0.25">
      <c r="A692" t="s">
        <v>13</v>
      </c>
      <c r="B692">
        <v>2397</v>
      </c>
      <c r="C692" s="3">
        <v>42342</v>
      </c>
      <c r="E692" t="s">
        <v>9</v>
      </c>
    </row>
    <row r="693" spans="1:5" x14ac:dyDescent="0.25">
      <c r="A693" t="s">
        <v>13</v>
      </c>
      <c r="B693">
        <v>2395</v>
      </c>
      <c r="C693" s="3">
        <v>42342</v>
      </c>
      <c r="E693" t="s">
        <v>9</v>
      </c>
    </row>
    <row r="694" spans="1:5" x14ac:dyDescent="0.25">
      <c r="A694" t="s">
        <v>13</v>
      </c>
      <c r="B694">
        <v>2394</v>
      </c>
      <c r="C694" s="3">
        <v>42342</v>
      </c>
      <c r="E694" t="s">
        <v>9</v>
      </c>
    </row>
    <row r="695" spans="1:5" x14ac:dyDescent="0.25">
      <c r="A695" t="s">
        <v>13</v>
      </c>
      <c r="B695">
        <v>2393</v>
      </c>
      <c r="C695" s="3">
        <v>42342</v>
      </c>
      <c r="E695" t="s">
        <v>9</v>
      </c>
    </row>
    <row r="696" spans="1:5" x14ac:dyDescent="0.25">
      <c r="A696" t="s">
        <v>13</v>
      </c>
      <c r="B696">
        <v>2392</v>
      </c>
      <c r="C696" s="3">
        <v>42342</v>
      </c>
      <c r="E696" t="s">
        <v>10</v>
      </c>
    </row>
    <row r="697" spans="1:5" x14ac:dyDescent="0.25">
      <c r="A697" t="s">
        <v>13</v>
      </c>
      <c r="B697">
        <v>2391</v>
      </c>
      <c r="C697" s="3">
        <v>42342</v>
      </c>
      <c r="E697" t="s">
        <v>10</v>
      </c>
    </row>
    <row r="698" spans="1:5" x14ac:dyDescent="0.25">
      <c r="A698" t="s">
        <v>13</v>
      </c>
      <c r="B698">
        <v>2389</v>
      </c>
      <c r="C698" s="3">
        <v>42342</v>
      </c>
      <c r="E698" t="s">
        <v>9</v>
      </c>
    </row>
    <row r="699" spans="1:5" x14ac:dyDescent="0.25">
      <c r="A699" t="s">
        <v>13</v>
      </c>
      <c r="B699">
        <v>2387</v>
      </c>
      <c r="C699" s="3">
        <v>42342</v>
      </c>
      <c r="E699" t="s">
        <v>9</v>
      </c>
    </row>
    <row r="700" spans="1:5" x14ac:dyDescent="0.25">
      <c r="A700" t="s">
        <v>13</v>
      </c>
      <c r="B700">
        <v>2386</v>
      </c>
      <c r="C700" s="3">
        <v>42342</v>
      </c>
      <c r="E700" t="s">
        <v>9</v>
      </c>
    </row>
    <row r="701" spans="1:5" x14ac:dyDescent="0.25">
      <c r="A701" t="s">
        <v>13</v>
      </c>
      <c r="B701">
        <v>2384</v>
      </c>
      <c r="C701" s="3">
        <v>42342</v>
      </c>
      <c r="E701" t="s">
        <v>9</v>
      </c>
    </row>
    <row r="702" spans="1:5" x14ac:dyDescent="0.25">
      <c r="A702" t="s">
        <v>13</v>
      </c>
      <c r="B702">
        <v>2383</v>
      </c>
      <c r="C702" s="3">
        <v>42342</v>
      </c>
      <c r="E702" t="s">
        <v>9</v>
      </c>
    </row>
    <row r="703" spans="1:5" x14ac:dyDescent="0.25">
      <c r="A703" t="s">
        <v>13</v>
      </c>
      <c r="B703">
        <v>2398</v>
      </c>
      <c r="C703" s="3">
        <v>42342</v>
      </c>
      <c r="E703" t="s">
        <v>9</v>
      </c>
    </row>
    <row r="704" spans="1:5" x14ac:dyDescent="0.25">
      <c r="A704" t="s">
        <v>13</v>
      </c>
      <c r="B704">
        <v>2397</v>
      </c>
      <c r="C704" s="3">
        <v>42342</v>
      </c>
      <c r="E704" t="s">
        <v>9</v>
      </c>
    </row>
    <row r="705" spans="1:5" x14ac:dyDescent="0.25">
      <c r="A705" t="s">
        <v>13</v>
      </c>
      <c r="B705">
        <v>2396</v>
      </c>
      <c r="C705" s="3">
        <v>42342</v>
      </c>
      <c r="E705" t="s">
        <v>9</v>
      </c>
    </row>
    <row r="706" spans="1:5" x14ac:dyDescent="0.25">
      <c r="A706" t="s">
        <v>13</v>
      </c>
      <c r="B706">
        <v>2395</v>
      </c>
      <c r="C706" s="3">
        <v>42342</v>
      </c>
      <c r="E706" t="s">
        <v>9</v>
      </c>
    </row>
    <row r="707" spans="1:5" x14ac:dyDescent="0.25">
      <c r="A707" t="s">
        <v>13</v>
      </c>
      <c r="B707">
        <v>2394</v>
      </c>
      <c r="C707" s="3">
        <v>42342</v>
      </c>
      <c r="E707" t="s">
        <v>9</v>
      </c>
    </row>
    <row r="708" spans="1:5" x14ac:dyDescent="0.25">
      <c r="A708" t="s">
        <v>13</v>
      </c>
      <c r="B708">
        <v>2393</v>
      </c>
      <c r="C708" s="3">
        <v>42342</v>
      </c>
      <c r="E708" t="s">
        <v>9</v>
      </c>
    </row>
    <row r="709" spans="1:5" x14ac:dyDescent="0.25">
      <c r="A709" t="s">
        <v>13</v>
      </c>
      <c r="B709">
        <v>2392</v>
      </c>
      <c r="C709" s="3">
        <v>42342</v>
      </c>
      <c r="E709" t="s">
        <v>9</v>
      </c>
    </row>
    <row r="710" spans="1:5" x14ac:dyDescent="0.25">
      <c r="A710" t="s">
        <v>13</v>
      </c>
      <c r="B710">
        <v>2388</v>
      </c>
      <c r="C710" s="3">
        <v>42342</v>
      </c>
      <c r="E710" t="s">
        <v>9</v>
      </c>
    </row>
    <row r="711" spans="1:5" x14ac:dyDescent="0.25">
      <c r="A711" t="s">
        <v>13</v>
      </c>
      <c r="B711">
        <v>2391</v>
      </c>
      <c r="C711" s="3">
        <v>42342</v>
      </c>
      <c r="E711" t="s">
        <v>9</v>
      </c>
    </row>
    <row r="712" spans="1:5" x14ac:dyDescent="0.25">
      <c r="A712" t="s">
        <v>13</v>
      </c>
      <c r="B712">
        <v>2390</v>
      </c>
      <c r="C712" s="3">
        <v>42342</v>
      </c>
      <c r="E712" t="s">
        <v>9</v>
      </c>
    </row>
    <row r="713" spans="1:5" x14ac:dyDescent="0.25">
      <c r="A713" t="s">
        <v>13</v>
      </c>
      <c r="B713">
        <v>2389</v>
      </c>
      <c r="C713" s="3">
        <v>42342</v>
      </c>
      <c r="E713" t="s">
        <v>9</v>
      </c>
    </row>
    <row r="714" spans="1:5" x14ac:dyDescent="0.25">
      <c r="A714" t="s">
        <v>13</v>
      </c>
      <c r="B714">
        <v>2383</v>
      </c>
      <c r="C714" s="3">
        <v>42342</v>
      </c>
      <c r="E714" t="s">
        <v>9</v>
      </c>
    </row>
    <row r="715" spans="1:5" x14ac:dyDescent="0.25">
      <c r="A715" t="s">
        <v>13</v>
      </c>
      <c r="B715">
        <v>2387</v>
      </c>
      <c r="C715" s="3">
        <v>42342</v>
      </c>
      <c r="E715" t="s">
        <v>9</v>
      </c>
    </row>
    <row r="716" spans="1:5" x14ac:dyDescent="0.25">
      <c r="A716" t="s">
        <v>13</v>
      </c>
      <c r="B716">
        <v>2386</v>
      </c>
      <c r="C716" s="3">
        <v>42342</v>
      </c>
      <c r="E716" t="s">
        <v>9</v>
      </c>
    </row>
    <row r="717" spans="1:5" x14ac:dyDescent="0.25">
      <c r="A717" t="s">
        <v>13</v>
      </c>
      <c r="B717">
        <v>2385</v>
      </c>
      <c r="C717" s="3">
        <v>42342</v>
      </c>
      <c r="E717" t="s">
        <v>9</v>
      </c>
    </row>
    <row r="718" spans="1:5" x14ac:dyDescent="0.25">
      <c r="A718" t="s">
        <v>13</v>
      </c>
      <c r="B718">
        <v>2384</v>
      </c>
      <c r="C718" s="3">
        <v>42342</v>
      </c>
      <c r="E718" t="s">
        <v>9</v>
      </c>
    </row>
    <row r="719" spans="1:5" x14ac:dyDescent="0.25">
      <c r="A719" t="s">
        <v>13</v>
      </c>
      <c r="B719">
        <v>2382</v>
      </c>
      <c r="C719" s="3">
        <v>42342</v>
      </c>
      <c r="E719" t="s">
        <v>9</v>
      </c>
    </row>
    <row r="720" spans="1:5" x14ac:dyDescent="0.25">
      <c r="A720" t="s">
        <v>13</v>
      </c>
      <c r="B720">
        <v>2381</v>
      </c>
      <c r="C720" s="3">
        <v>42342</v>
      </c>
      <c r="E720" t="s">
        <v>9</v>
      </c>
    </row>
    <row r="721" spans="1:5" x14ac:dyDescent="0.25">
      <c r="A721" t="s">
        <v>13</v>
      </c>
      <c r="B721">
        <v>85</v>
      </c>
      <c r="C721" s="3">
        <v>42341</v>
      </c>
      <c r="E721" t="s">
        <v>9</v>
      </c>
    </row>
    <row r="722" spans="1:5" x14ac:dyDescent="0.25">
      <c r="A722" t="s">
        <v>13</v>
      </c>
      <c r="B722">
        <v>98</v>
      </c>
      <c r="C722" s="3">
        <v>42341</v>
      </c>
      <c r="E722" t="s">
        <v>9</v>
      </c>
    </row>
    <row r="723" spans="1:5" x14ac:dyDescent="0.25">
      <c r="A723" t="s">
        <v>13</v>
      </c>
      <c r="B723">
        <v>97</v>
      </c>
      <c r="C723" s="3">
        <v>42341</v>
      </c>
      <c r="E723" t="s">
        <v>9</v>
      </c>
    </row>
    <row r="724" spans="1:5" x14ac:dyDescent="0.25">
      <c r="A724" t="s">
        <v>13</v>
      </c>
      <c r="B724">
        <v>96</v>
      </c>
      <c r="C724" s="3">
        <v>42341</v>
      </c>
      <c r="E724" t="s">
        <v>9</v>
      </c>
    </row>
    <row r="725" spans="1:5" x14ac:dyDescent="0.25">
      <c r="A725" t="s">
        <v>13</v>
      </c>
      <c r="B725">
        <v>95</v>
      </c>
      <c r="C725" s="3">
        <v>42341</v>
      </c>
      <c r="E725" t="s">
        <v>9</v>
      </c>
    </row>
    <row r="726" spans="1:5" x14ac:dyDescent="0.25">
      <c r="A726" t="s">
        <v>13</v>
      </c>
      <c r="B726">
        <v>94</v>
      </c>
      <c r="C726" s="3">
        <v>42341</v>
      </c>
      <c r="E726" t="s">
        <v>9</v>
      </c>
    </row>
    <row r="727" spans="1:5" x14ac:dyDescent="0.25">
      <c r="A727" t="s">
        <v>13</v>
      </c>
      <c r="B727">
        <v>93</v>
      </c>
      <c r="C727" s="3">
        <v>42341</v>
      </c>
      <c r="E727" t="s">
        <v>9</v>
      </c>
    </row>
    <row r="728" spans="1:5" x14ac:dyDescent="0.25">
      <c r="A728" t="s">
        <v>13</v>
      </c>
      <c r="B728">
        <v>92</v>
      </c>
      <c r="C728" s="3">
        <v>42341</v>
      </c>
      <c r="E728" t="s">
        <v>9</v>
      </c>
    </row>
    <row r="729" spans="1:5" x14ac:dyDescent="0.25">
      <c r="A729" t="s">
        <v>13</v>
      </c>
      <c r="B729">
        <v>91</v>
      </c>
      <c r="C729" s="3">
        <v>42341</v>
      </c>
      <c r="E729" t="s">
        <v>9</v>
      </c>
    </row>
    <row r="730" spans="1:5" x14ac:dyDescent="0.25">
      <c r="A730" t="s">
        <v>13</v>
      </c>
      <c r="B730">
        <v>90</v>
      </c>
      <c r="C730" s="3">
        <v>42341</v>
      </c>
      <c r="E730" t="s">
        <v>9</v>
      </c>
    </row>
    <row r="731" spans="1:5" x14ac:dyDescent="0.25">
      <c r="A731" t="s">
        <v>13</v>
      </c>
      <c r="B731">
        <v>89</v>
      </c>
      <c r="C731" s="3">
        <v>42341</v>
      </c>
      <c r="E731" t="s">
        <v>9</v>
      </c>
    </row>
    <row r="732" spans="1:5" x14ac:dyDescent="0.25">
      <c r="A732" t="s">
        <v>13</v>
      </c>
      <c r="B732">
        <v>83</v>
      </c>
      <c r="C732" s="3">
        <v>42341</v>
      </c>
      <c r="E732" t="s">
        <v>12</v>
      </c>
    </row>
    <row r="733" spans="1:5" x14ac:dyDescent="0.25">
      <c r="A733" t="s">
        <v>13</v>
      </c>
      <c r="B733">
        <v>2384</v>
      </c>
      <c r="C733" s="3">
        <v>42341</v>
      </c>
      <c r="E733" t="s">
        <v>12</v>
      </c>
    </row>
    <row r="734" spans="1:5" x14ac:dyDescent="0.25">
      <c r="A734" t="s">
        <v>13</v>
      </c>
      <c r="B734">
        <v>2382</v>
      </c>
      <c r="C734" s="3">
        <v>42341</v>
      </c>
      <c r="E734" t="s">
        <v>10</v>
      </c>
    </row>
    <row r="735" spans="1:5" x14ac:dyDescent="0.25">
      <c r="A735" t="s">
        <v>13</v>
      </c>
      <c r="B735">
        <v>2381</v>
      </c>
      <c r="C735" s="3">
        <v>42341</v>
      </c>
      <c r="E735" t="s">
        <v>10</v>
      </c>
    </row>
    <row r="736" spans="1:5" x14ac:dyDescent="0.25">
      <c r="A736" t="s">
        <v>13</v>
      </c>
      <c r="B736">
        <v>2380</v>
      </c>
      <c r="C736" s="3">
        <v>42341</v>
      </c>
      <c r="E736" t="s">
        <v>10</v>
      </c>
    </row>
    <row r="737" spans="1:5" x14ac:dyDescent="0.25">
      <c r="A737" t="s">
        <v>13</v>
      </c>
      <c r="B737">
        <v>2394</v>
      </c>
      <c r="C737" s="3">
        <v>42341</v>
      </c>
      <c r="E737" t="s">
        <v>9</v>
      </c>
    </row>
    <row r="738" spans="1:5" x14ac:dyDescent="0.25">
      <c r="A738" t="s">
        <v>13</v>
      </c>
      <c r="B738">
        <v>2394</v>
      </c>
      <c r="C738" s="3">
        <v>42341</v>
      </c>
      <c r="E738" t="s">
        <v>9</v>
      </c>
    </row>
    <row r="739" spans="1:5" x14ac:dyDescent="0.25">
      <c r="A739" t="s">
        <v>13</v>
      </c>
      <c r="B739">
        <v>2393</v>
      </c>
      <c r="C739" s="3">
        <v>42341</v>
      </c>
      <c r="E739" t="s">
        <v>9</v>
      </c>
    </row>
    <row r="740" spans="1:5" x14ac:dyDescent="0.25">
      <c r="A740" t="s">
        <v>13</v>
      </c>
      <c r="B740">
        <v>2392</v>
      </c>
      <c r="C740" s="3">
        <v>42341</v>
      </c>
      <c r="E740" t="s">
        <v>9</v>
      </c>
    </row>
    <row r="741" spans="1:5" x14ac:dyDescent="0.25">
      <c r="A741" t="s">
        <v>13</v>
      </c>
      <c r="B741">
        <v>2391</v>
      </c>
      <c r="C741" s="3">
        <v>42341</v>
      </c>
      <c r="E741" t="s">
        <v>9</v>
      </c>
    </row>
    <row r="742" spans="1:5" x14ac:dyDescent="0.25">
      <c r="A742" t="s">
        <v>13</v>
      </c>
      <c r="B742">
        <v>239</v>
      </c>
      <c r="C742" s="3">
        <v>42341</v>
      </c>
      <c r="E742" t="s">
        <v>9</v>
      </c>
    </row>
    <row r="743" spans="1:5" x14ac:dyDescent="0.25">
      <c r="A743" t="s">
        <v>13</v>
      </c>
      <c r="B743">
        <v>2389</v>
      </c>
      <c r="C743" s="3">
        <v>42341</v>
      </c>
      <c r="E743" t="s">
        <v>9</v>
      </c>
    </row>
    <row r="744" spans="1:5" x14ac:dyDescent="0.25">
      <c r="A744" t="s">
        <v>13</v>
      </c>
      <c r="B744">
        <v>2386</v>
      </c>
      <c r="C744" s="3">
        <v>42341</v>
      </c>
      <c r="E744" t="s">
        <v>9</v>
      </c>
    </row>
    <row r="745" spans="1:5" x14ac:dyDescent="0.25">
      <c r="A745" t="s">
        <v>13</v>
      </c>
      <c r="B745">
        <v>2385</v>
      </c>
      <c r="C745" s="3">
        <v>42341</v>
      </c>
      <c r="E745" t="s">
        <v>9</v>
      </c>
    </row>
    <row r="746" spans="1:5" x14ac:dyDescent="0.25">
      <c r="A746" t="s">
        <v>13</v>
      </c>
      <c r="B746">
        <v>2384</v>
      </c>
      <c r="C746" s="3">
        <v>42341</v>
      </c>
      <c r="E746" t="s">
        <v>9</v>
      </c>
    </row>
    <row r="747" spans="1:5" x14ac:dyDescent="0.25">
      <c r="A747" t="s">
        <v>13</v>
      </c>
      <c r="B747">
        <v>2383</v>
      </c>
      <c r="C747" s="3">
        <v>42341</v>
      </c>
      <c r="E747" t="s">
        <v>10</v>
      </c>
    </row>
    <row r="748" spans="1:5" x14ac:dyDescent="0.25">
      <c r="A748" t="s">
        <v>13</v>
      </c>
      <c r="B748">
        <v>2382</v>
      </c>
      <c r="C748" s="3">
        <v>42341</v>
      </c>
      <c r="E748" t="s">
        <v>10</v>
      </c>
    </row>
    <row r="749" spans="1:5" x14ac:dyDescent="0.25">
      <c r="A749" t="s">
        <v>13</v>
      </c>
      <c r="B749">
        <v>2381</v>
      </c>
      <c r="C749" s="3">
        <v>42341</v>
      </c>
      <c r="E749" t="s">
        <v>10</v>
      </c>
    </row>
    <row r="750" spans="1:5" x14ac:dyDescent="0.25">
      <c r="A750" t="s">
        <v>13</v>
      </c>
      <c r="B750">
        <v>2380</v>
      </c>
      <c r="C750" s="3">
        <v>42341</v>
      </c>
      <c r="E750" t="s">
        <v>10</v>
      </c>
    </row>
    <row r="751" spans="1:5" x14ac:dyDescent="0.25">
      <c r="A751" t="s">
        <v>13</v>
      </c>
      <c r="B751">
        <v>2380</v>
      </c>
      <c r="C751" s="3">
        <v>42340</v>
      </c>
      <c r="E751" t="s">
        <v>12</v>
      </c>
    </row>
    <row r="752" spans="1:5" x14ac:dyDescent="0.25">
      <c r="A752" t="s">
        <v>13</v>
      </c>
      <c r="B752">
        <v>2385</v>
      </c>
      <c r="C752" s="3">
        <v>42340</v>
      </c>
      <c r="E752" t="s">
        <v>9</v>
      </c>
    </row>
    <row r="753" spans="1:5" x14ac:dyDescent="0.25">
      <c r="A753" t="s">
        <v>13</v>
      </c>
      <c r="B753">
        <v>2381</v>
      </c>
      <c r="C753" s="3">
        <v>42340</v>
      </c>
      <c r="E753" t="s">
        <v>12</v>
      </c>
    </row>
    <row r="754" spans="1:5" x14ac:dyDescent="0.25">
      <c r="A754" t="s">
        <v>13</v>
      </c>
      <c r="B754">
        <v>2392</v>
      </c>
      <c r="C754" s="3">
        <v>42340</v>
      </c>
      <c r="E754" t="s">
        <v>12</v>
      </c>
    </row>
    <row r="755" spans="1:5" x14ac:dyDescent="0.25">
      <c r="A755" t="s">
        <v>13</v>
      </c>
      <c r="B755">
        <v>2391</v>
      </c>
      <c r="C755" s="3">
        <v>42340</v>
      </c>
      <c r="E755" t="s">
        <v>10</v>
      </c>
    </row>
    <row r="756" spans="1:5" x14ac:dyDescent="0.25">
      <c r="A756" t="s">
        <v>13</v>
      </c>
      <c r="B756">
        <v>2389</v>
      </c>
      <c r="C756" s="3">
        <v>42340</v>
      </c>
      <c r="E756" t="s">
        <v>12</v>
      </c>
    </row>
    <row r="757" spans="1:5" x14ac:dyDescent="0.25">
      <c r="A757" t="s">
        <v>13</v>
      </c>
      <c r="B757">
        <v>2390</v>
      </c>
      <c r="C757" s="3">
        <v>42340</v>
      </c>
      <c r="E757" t="s">
        <v>10</v>
      </c>
    </row>
    <row r="758" spans="1:5" x14ac:dyDescent="0.25">
      <c r="A758" t="s">
        <v>13</v>
      </c>
      <c r="B758">
        <v>2383</v>
      </c>
      <c r="C758" s="3">
        <v>42340</v>
      </c>
      <c r="E758" t="s">
        <v>12</v>
      </c>
    </row>
    <row r="759" spans="1:5" x14ac:dyDescent="0.25">
      <c r="A759" t="s">
        <v>13</v>
      </c>
      <c r="B759">
        <v>2382</v>
      </c>
      <c r="C759" s="3">
        <v>42340</v>
      </c>
      <c r="E759" t="s">
        <v>12</v>
      </c>
    </row>
    <row r="760" spans="1:5" x14ac:dyDescent="0.25">
      <c r="A760" t="s">
        <v>13</v>
      </c>
      <c r="B760">
        <v>2381</v>
      </c>
      <c r="C760" s="3">
        <v>42340</v>
      </c>
      <c r="D760" t="s">
        <v>90</v>
      </c>
      <c r="E760" t="s">
        <v>12</v>
      </c>
    </row>
    <row r="761" spans="1:5" x14ac:dyDescent="0.25">
      <c r="A761" t="s">
        <v>13</v>
      </c>
      <c r="B761">
        <v>2380</v>
      </c>
      <c r="C761" s="3">
        <v>42340</v>
      </c>
      <c r="D761" t="s">
        <v>91</v>
      </c>
      <c r="E761" t="s">
        <v>12</v>
      </c>
    </row>
    <row r="762" spans="1:5" x14ac:dyDescent="0.25">
      <c r="A762" t="s">
        <v>13</v>
      </c>
      <c r="B762">
        <v>2385</v>
      </c>
      <c r="C762" s="3">
        <v>42340</v>
      </c>
      <c r="E762" t="s">
        <v>12</v>
      </c>
    </row>
    <row r="763" spans="1:5" x14ac:dyDescent="0.25">
      <c r="A763" t="s">
        <v>13</v>
      </c>
      <c r="B763">
        <v>2384</v>
      </c>
      <c r="C763" s="3">
        <v>42340</v>
      </c>
      <c r="E763" t="s">
        <v>12</v>
      </c>
    </row>
    <row r="764" spans="1:5" x14ac:dyDescent="0.25">
      <c r="A764" t="s">
        <v>13</v>
      </c>
      <c r="B764">
        <v>2383</v>
      </c>
      <c r="C764" s="3">
        <v>42340</v>
      </c>
      <c r="E764" t="s">
        <v>10</v>
      </c>
    </row>
    <row r="765" spans="1:5" x14ac:dyDescent="0.25">
      <c r="A765" t="s">
        <v>13</v>
      </c>
      <c r="B765">
        <v>2382</v>
      </c>
      <c r="C765" s="3">
        <v>42340</v>
      </c>
      <c r="E765" t="s">
        <v>10</v>
      </c>
    </row>
    <row r="766" spans="1:5" x14ac:dyDescent="0.25">
      <c r="A766" t="s">
        <v>13</v>
      </c>
      <c r="B766">
        <v>2381</v>
      </c>
      <c r="C766" s="3">
        <v>42340</v>
      </c>
      <c r="E766" t="s">
        <v>10</v>
      </c>
    </row>
    <row r="767" spans="1:5" x14ac:dyDescent="0.25">
      <c r="A767" t="s">
        <v>13</v>
      </c>
      <c r="B767">
        <v>2380</v>
      </c>
      <c r="C767" s="3">
        <v>42340</v>
      </c>
      <c r="E767" t="s">
        <v>10</v>
      </c>
    </row>
    <row r="768" spans="1:5" x14ac:dyDescent="0.25">
      <c r="A768" t="s">
        <v>13</v>
      </c>
      <c r="B768">
        <v>814</v>
      </c>
      <c r="C768" s="3">
        <v>42340</v>
      </c>
      <c r="E768" t="s">
        <v>9</v>
      </c>
    </row>
    <row r="769" spans="1:5" x14ac:dyDescent="0.25">
      <c r="A769" t="s">
        <v>13</v>
      </c>
      <c r="B769">
        <v>2387</v>
      </c>
      <c r="C769" s="3">
        <v>42339</v>
      </c>
      <c r="D769">
        <v>9</v>
      </c>
      <c r="E769" t="s">
        <v>10</v>
      </c>
    </row>
    <row r="770" spans="1:5" x14ac:dyDescent="0.25">
      <c r="A770" t="s">
        <v>13</v>
      </c>
      <c r="B770">
        <v>2386</v>
      </c>
      <c r="C770" s="3">
        <v>42339</v>
      </c>
      <c r="D770">
        <v>10</v>
      </c>
      <c r="E770" t="s">
        <v>9</v>
      </c>
    </row>
    <row r="771" spans="1:5" x14ac:dyDescent="0.25">
      <c r="A771" t="s">
        <v>13</v>
      </c>
      <c r="B771">
        <v>2385</v>
      </c>
      <c r="C771" s="3">
        <v>42339</v>
      </c>
      <c r="E771" t="s">
        <v>10</v>
      </c>
    </row>
    <row r="772" spans="1:5" x14ac:dyDescent="0.25">
      <c r="A772" t="s">
        <v>13</v>
      </c>
      <c r="B772">
        <v>2384</v>
      </c>
      <c r="C772" s="3">
        <v>42339</v>
      </c>
      <c r="D772">
        <v>44</v>
      </c>
      <c r="E772" t="s">
        <v>9</v>
      </c>
    </row>
    <row r="773" spans="1:5" x14ac:dyDescent="0.25">
      <c r="A773" t="s">
        <v>13</v>
      </c>
      <c r="B773">
        <v>2383</v>
      </c>
      <c r="C773" s="3">
        <v>42339</v>
      </c>
      <c r="E773" t="s">
        <v>10</v>
      </c>
    </row>
    <row r="774" spans="1:5" x14ac:dyDescent="0.25">
      <c r="A774" t="s">
        <v>13</v>
      </c>
      <c r="B774">
        <v>2382</v>
      </c>
      <c r="C774" s="3">
        <v>42339</v>
      </c>
      <c r="D774">
        <v>46</v>
      </c>
      <c r="E774" t="s">
        <v>9</v>
      </c>
    </row>
    <row r="775" spans="1:5" x14ac:dyDescent="0.25">
      <c r="A775" t="s">
        <v>13</v>
      </c>
      <c r="B775">
        <v>2381</v>
      </c>
      <c r="C775" s="3">
        <v>42339</v>
      </c>
      <c r="E775" t="s">
        <v>10</v>
      </c>
    </row>
    <row r="776" spans="1:5" x14ac:dyDescent="0.25">
      <c r="A776" t="s">
        <v>13</v>
      </c>
      <c r="B776">
        <v>2380</v>
      </c>
      <c r="C776" s="3">
        <v>42339</v>
      </c>
      <c r="E776" t="s">
        <v>10</v>
      </c>
    </row>
  </sheetData>
  <sheetProtection algorithmName="SHA-512" hashValue="0Lt11Y0rBeVnKkgsQdVNPXCThAjSVK40HU0YJ83eoqT8RDXDE5LD+6E2+7TIlhZFh1QEwrpjCTqO8IFn9LHRaw==" saltValue="Y6RihKmfEyZ+Jz1a2D2axw==" spinCount="100000" sheet="1" objects="1" scenarios="1"/>
  <sortState ref="A2:E776">
    <sortCondition descending="1" ref="C1:C1048576"/>
  </sortState>
  <dataConsolidate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L287"/>
  <sheetViews>
    <sheetView workbookViewId="0"/>
  </sheetViews>
  <sheetFormatPr defaultRowHeight="15" x14ac:dyDescent="0.25"/>
  <cols>
    <col min="1" max="1" width="8.42578125" bestFit="1" customWidth="1"/>
    <col min="2" max="2" width="7.28515625" bestFit="1" customWidth="1"/>
    <col min="3" max="3" width="30" style="3" bestFit="1" customWidth="1"/>
    <col min="4" max="4" width="7" bestFit="1" customWidth="1"/>
    <col min="5" max="5" width="9.85546875" bestFit="1" customWidth="1"/>
    <col min="7" max="7" width="30" style="3" bestFit="1" customWidth="1"/>
    <col min="8" max="9" width="4" bestFit="1" customWidth="1"/>
    <col min="10" max="10" width="4.5703125" bestFit="1" customWidth="1"/>
    <col min="11" max="11" width="9.85546875" bestFit="1" customWidth="1"/>
    <col min="12" max="12" width="6.5703125" bestFit="1" customWidth="1"/>
  </cols>
  <sheetData>
    <row r="1" spans="1:12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/>
      <c r="G1" s="2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16</v>
      </c>
    </row>
    <row r="2" spans="1:12" x14ac:dyDescent="0.25">
      <c r="A2" t="s">
        <v>13</v>
      </c>
      <c r="B2">
        <v>2383</v>
      </c>
      <c r="C2" s="3">
        <v>42338</v>
      </c>
      <c r="E2" t="s">
        <v>9</v>
      </c>
      <c r="G2" s="3">
        <v>42309</v>
      </c>
      <c r="H2">
        <f t="shared" ref="H2:H31" si="0">COUNTIFS($E:$E,"P",$C:$C,$G2)</f>
        <v>1</v>
      </c>
      <c r="I2">
        <f t="shared" ref="I2:I31" si="1">COUNTIFS($E:$E,"VIP",$C:$C,$G2)</f>
        <v>1</v>
      </c>
      <c r="J2">
        <f t="shared" ref="J2:J31" si="2">COUNTIFS($E:$E,"CAP",$C:$C,$G2)</f>
        <v>0</v>
      </c>
      <c r="K2">
        <f t="shared" ref="K2:K31" si="3">COUNTIFS($E:$E,"RR Garage",$C:$C,$G2)</f>
        <v>0</v>
      </c>
      <c r="L2">
        <f t="shared" ref="L2:L31" si="4">SUM(H2:K2)</f>
        <v>2</v>
      </c>
    </row>
    <row r="3" spans="1:12" x14ac:dyDescent="0.25">
      <c r="A3" t="s">
        <v>13</v>
      </c>
      <c r="B3">
        <v>2382</v>
      </c>
      <c r="C3" s="3">
        <v>42338</v>
      </c>
      <c r="E3" t="s">
        <v>10</v>
      </c>
      <c r="G3" s="3">
        <v>42310</v>
      </c>
      <c r="H3">
        <f t="shared" si="0"/>
        <v>3</v>
      </c>
      <c r="I3">
        <f t="shared" si="1"/>
        <v>0</v>
      </c>
      <c r="J3">
        <f t="shared" si="2"/>
        <v>0</v>
      </c>
      <c r="K3">
        <f t="shared" si="3"/>
        <v>0</v>
      </c>
      <c r="L3">
        <f t="shared" si="4"/>
        <v>3</v>
      </c>
    </row>
    <row r="4" spans="1:12" x14ac:dyDescent="0.25">
      <c r="A4" t="s">
        <v>13</v>
      </c>
      <c r="B4">
        <v>2381</v>
      </c>
      <c r="C4" s="3">
        <v>42338</v>
      </c>
      <c r="E4" t="s">
        <v>10</v>
      </c>
      <c r="G4" s="3">
        <v>42311</v>
      </c>
      <c r="H4">
        <f t="shared" si="0"/>
        <v>6</v>
      </c>
      <c r="I4">
        <f t="shared" si="1"/>
        <v>0</v>
      </c>
      <c r="J4">
        <f t="shared" si="2"/>
        <v>0</v>
      </c>
      <c r="K4">
        <f t="shared" si="3"/>
        <v>0</v>
      </c>
      <c r="L4">
        <f t="shared" si="4"/>
        <v>6</v>
      </c>
    </row>
    <row r="5" spans="1:12" x14ac:dyDescent="0.25">
      <c r="A5" t="s">
        <v>13</v>
      </c>
      <c r="B5">
        <v>2380</v>
      </c>
      <c r="C5" s="3">
        <v>42338</v>
      </c>
      <c r="E5" t="s">
        <v>9</v>
      </c>
      <c r="G5" s="3">
        <v>42312</v>
      </c>
      <c r="H5">
        <f t="shared" si="0"/>
        <v>6</v>
      </c>
      <c r="I5">
        <f t="shared" si="1"/>
        <v>3</v>
      </c>
      <c r="J5">
        <f t="shared" si="2"/>
        <v>0</v>
      </c>
      <c r="K5">
        <f t="shared" si="3"/>
        <v>0</v>
      </c>
      <c r="L5">
        <f t="shared" si="4"/>
        <v>9</v>
      </c>
    </row>
    <row r="6" spans="1:12" x14ac:dyDescent="0.25">
      <c r="A6" t="s">
        <v>13</v>
      </c>
      <c r="B6">
        <v>2384</v>
      </c>
      <c r="C6" s="3">
        <v>42338</v>
      </c>
      <c r="D6">
        <v>14</v>
      </c>
      <c r="E6" t="s">
        <v>9</v>
      </c>
      <c r="G6" s="3">
        <v>42313</v>
      </c>
      <c r="H6">
        <f t="shared" si="0"/>
        <v>1</v>
      </c>
      <c r="I6">
        <f t="shared" si="1"/>
        <v>5</v>
      </c>
      <c r="J6">
        <f t="shared" si="2"/>
        <v>0</v>
      </c>
      <c r="K6">
        <f t="shared" si="3"/>
        <v>0</v>
      </c>
      <c r="L6">
        <f t="shared" si="4"/>
        <v>6</v>
      </c>
    </row>
    <row r="7" spans="1:12" x14ac:dyDescent="0.25">
      <c r="A7" t="s">
        <v>13</v>
      </c>
      <c r="B7">
        <v>2383</v>
      </c>
      <c r="C7" s="3">
        <v>42338</v>
      </c>
      <c r="D7" t="s">
        <v>10</v>
      </c>
      <c r="E7" t="s">
        <v>10</v>
      </c>
      <c r="G7" s="3">
        <v>42314</v>
      </c>
      <c r="H7">
        <f t="shared" si="0"/>
        <v>18</v>
      </c>
      <c r="I7">
        <f t="shared" si="1"/>
        <v>3</v>
      </c>
      <c r="J7">
        <f t="shared" si="2"/>
        <v>0</v>
      </c>
      <c r="K7">
        <f t="shared" si="3"/>
        <v>0</v>
      </c>
      <c r="L7">
        <f t="shared" si="4"/>
        <v>21</v>
      </c>
    </row>
    <row r="8" spans="1:12" x14ac:dyDescent="0.25">
      <c r="A8" t="s">
        <v>13</v>
      </c>
      <c r="B8">
        <v>2382</v>
      </c>
      <c r="C8" s="3">
        <v>42338</v>
      </c>
      <c r="D8">
        <v>13</v>
      </c>
      <c r="E8" t="s">
        <v>9</v>
      </c>
      <c r="G8" s="3">
        <v>42315</v>
      </c>
      <c r="H8">
        <f t="shared" si="0"/>
        <v>11</v>
      </c>
      <c r="I8">
        <f t="shared" si="1"/>
        <v>4</v>
      </c>
      <c r="J8">
        <f t="shared" si="2"/>
        <v>0</v>
      </c>
      <c r="K8">
        <f t="shared" si="3"/>
        <v>0</v>
      </c>
      <c r="L8">
        <f t="shared" si="4"/>
        <v>15</v>
      </c>
    </row>
    <row r="9" spans="1:12" x14ac:dyDescent="0.25">
      <c r="A9" t="s">
        <v>13</v>
      </c>
      <c r="B9">
        <v>2381</v>
      </c>
      <c r="C9" s="3">
        <v>42338</v>
      </c>
      <c r="D9" t="s">
        <v>10</v>
      </c>
      <c r="E9" t="s">
        <v>10</v>
      </c>
      <c r="G9" s="3">
        <v>42316</v>
      </c>
      <c r="H9">
        <f t="shared" si="0"/>
        <v>4</v>
      </c>
      <c r="I9">
        <f t="shared" si="1"/>
        <v>5</v>
      </c>
      <c r="J9">
        <f t="shared" si="2"/>
        <v>0</v>
      </c>
      <c r="K9">
        <f t="shared" si="3"/>
        <v>0</v>
      </c>
      <c r="L9">
        <f t="shared" si="4"/>
        <v>9</v>
      </c>
    </row>
    <row r="10" spans="1:12" x14ac:dyDescent="0.25">
      <c r="A10" t="s">
        <v>13</v>
      </c>
      <c r="B10">
        <v>2380</v>
      </c>
      <c r="C10" s="3">
        <v>42338</v>
      </c>
      <c r="D10" t="s">
        <v>10</v>
      </c>
      <c r="E10" t="s">
        <v>10</v>
      </c>
      <c r="G10" s="3">
        <v>42317</v>
      </c>
      <c r="H10">
        <f t="shared" si="0"/>
        <v>0</v>
      </c>
      <c r="I10">
        <f t="shared" si="1"/>
        <v>4</v>
      </c>
      <c r="J10">
        <f t="shared" si="2"/>
        <v>0</v>
      </c>
      <c r="K10">
        <f t="shared" si="3"/>
        <v>0</v>
      </c>
      <c r="L10">
        <f t="shared" si="4"/>
        <v>4</v>
      </c>
    </row>
    <row r="11" spans="1:12" x14ac:dyDescent="0.25">
      <c r="A11" t="s">
        <v>13</v>
      </c>
      <c r="B11">
        <v>2381</v>
      </c>
      <c r="C11" s="3">
        <v>42337</v>
      </c>
      <c r="D11">
        <v>42</v>
      </c>
      <c r="E11" t="s">
        <v>9</v>
      </c>
      <c r="G11" s="3">
        <v>42318</v>
      </c>
      <c r="H11">
        <f t="shared" si="0"/>
        <v>1</v>
      </c>
      <c r="I11">
        <f t="shared" si="1"/>
        <v>0</v>
      </c>
      <c r="J11">
        <f t="shared" si="2"/>
        <v>0</v>
      </c>
      <c r="K11">
        <f t="shared" si="3"/>
        <v>0</v>
      </c>
      <c r="L11">
        <f t="shared" si="4"/>
        <v>1</v>
      </c>
    </row>
    <row r="12" spans="1:12" x14ac:dyDescent="0.25">
      <c r="A12" t="s">
        <v>13</v>
      </c>
      <c r="B12">
        <v>2380</v>
      </c>
      <c r="C12" s="3">
        <v>42337</v>
      </c>
      <c r="D12">
        <v>48</v>
      </c>
      <c r="E12" t="s">
        <v>9</v>
      </c>
      <c r="G12" s="3">
        <v>42319</v>
      </c>
      <c r="H12">
        <f t="shared" si="0"/>
        <v>4</v>
      </c>
      <c r="I12">
        <f t="shared" si="1"/>
        <v>3</v>
      </c>
      <c r="J12">
        <f t="shared" si="2"/>
        <v>0</v>
      </c>
      <c r="K12">
        <f t="shared" si="3"/>
        <v>0</v>
      </c>
      <c r="L12">
        <f t="shared" si="4"/>
        <v>7</v>
      </c>
    </row>
    <row r="13" spans="1:12" x14ac:dyDescent="0.25">
      <c r="A13" t="s">
        <v>13</v>
      </c>
      <c r="B13">
        <v>851</v>
      </c>
      <c r="C13" s="3">
        <v>42337</v>
      </c>
      <c r="E13" t="s">
        <v>9</v>
      </c>
      <c r="G13" s="3">
        <v>42320</v>
      </c>
      <c r="H13">
        <f t="shared" si="0"/>
        <v>1</v>
      </c>
      <c r="I13">
        <f t="shared" si="1"/>
        <v>4</v>
      </c>
      <c r="J13">
        <f t="shared" si="2"/>
        <v>0</v>
      </c>
      <c r="K13">
        <f t="shared" si="3"/>
        <v>0</v>
      </c>
      <c r="L13">
        <f t="shared" si="4"/>
        <v>5</v>
      </c>
    </row>
    <row r="14" spans="1:12" x14ac:dyDescent="0.25">
      <c r="A14" t="s">
        <v>13</v>
      </c>
      <c r="B14">
        <v>850</v>
      </c>
      <c r="C14" s="3">
        <v>42337</v>
      </c>
      <c r="D14">
        <v>50</v>
      </c>
      <c r="E14" t="s">
        <v>9</v>
      </c>
      <c r="G14" s="3">
        <v>42321</v>
      </c>
      <c r="H14">
        <f t="shared" si="0"/>
        <v>9</v>
      </c>
      <c r="I14">
        <f t="shared" si="1"/>
        <v>6</v>
      </c>
      <c r="J14">
        <f t="shared" si="2"/>
        <v>0</v>
      </c>
      <c r="K14">
        <f t="shared" si="3"/>
        <v>0</v>
      </c>
      <c r="L14">
        <f t="shared" si="4"/>
        <v>15</v>
      </c>
    </row>
    <row r="15" spans="1:12" x14ac:dyDescent="0.25">
      <c r="A15" t="s">
        <v>13</v>
      </c>
      <c r="B15">
        <v>2381</v>
      </c>
      <c r="C15" s="3">
        <v>42337</v>
      </c>
      <c r="E15" t="s">
        <v>9</v>
      </c>
      <c r="G15" s="3">
        <v>42322</v>
      </c>
      <c r="H15">
        <f t="shared" si="0"/>
        <v>19</v>
      </c>
      <c r="I15">
        <f t="shared" si="1"/>
        <v>3</v>
      </c>
      <c r="J15">
        <f t="shared" si="2"/>
        <v>1</v>
      </c>
      <c r="K15">
        <f t="shared" si="3"/>
        <v>0</v>
      </c>
      <c r="L15">
        <f t="shared" si="4"/>
        <v>23</v>
      </c>
    </row>
    <row r="16" spans="1:12" x14ac:dyDescent="0.25">
      <c r="A16" t="s">
        <v>13</v>
      </c>
      <c r="B16">
        <v>2381</v>
      </c>
      <c r="C16" s="3">
        <v>42337</v>
      </c>
      <c r="E16" t="s">
        <v>10</v>
      </c>
      <c r="G16" s="3">
        <v>42323</v>
      </c>
      <c r="H16">
        <f t="shared" si="0"/>
        <v>2</v>
      </c>
      <c r="I16">
        <f t="shared" si="1"/>
        <v>8</v>
      </c>
      <c r="J16">
        <f t="shared" si="2"/>
        <v>0</v>
      </c>
      <c r="K16">
        <f t="shared" si="3"/>
        <v>0</v>
      </c>
      <c r="L16">
        <f t="shared" si="4"/>
        <v>10</v>
      </c>
    </row>
    <row r="17" spans="1:12" x14ac:dyDescent="0.25">
      <c r="A17" t="s">
        <v>13</v>
      </c>
      <c r="B17">
        <v>2380</v>
      </c>
      <c r="C17" s="3">
        <v>42337</v>
      </c>
      <c r="E17" t="s">
        <v>10</v>
      </c>
      <c r="G17" s="3">
        <v>42324</v>
      </c>
      <c r="H17">
        <f t="shared" si="0"/>
        <v>0</v>
      </c>
      <c r="I17">
        <f t="shared" si="1"/>
        <v>3</v>
      </c>
      <c r="J17">
        <f t="shared" si="2"/>
        <v>0</v>
      </c>
      <c r="K17">
        <f t="shared" si="3"/>
        <v>0</v>
      </c>
      <c r="L17">
        <f t="shared" si="4"/>
        <v>3</v>
      </c>
    </row>
    <row r="18" spans="1:12" x14ac:dyDescent="0.25">
      <c r="A18" t="s">
        <v>13</v>
      </c>
      <c r="B18">
        <v>2390</v>
      </c>
      <c r="C18" s="3">
        <v>42336</v>
      </c>
      <c r="E18" t="s">
        <v>9</v>
      </c>
      <c r="G18" s="3">
        <v>42325</v>
      </c>
      <c r="H18">
        <f t="shared" si="0"/>
        <v>11</v>
      </c>
      <c r="I18">
        <f t="shared" si="1"/>
        <v>3</v>
      </c>
      <c r="J18">
        <f t="shared" si="2"/>
        <v>0</v>
      </c>
      <c r="K18">
        <f t="shared" si="3"/>
        <v>0</v>
      </c>
      <c r="L18">
        <f t="shared" si="4"/>
        <v>14</v>
      </c>
    </row>
    <row r="19" spans="1:12" x14ac:dyDescent="0.25">
      <c r="A19" t="s">
        <v>13</v>
      </c>
      <c r="B19">
        <v>2389</v>
      </c>
      <c r="C19" s="3">
        <v>42336</v>
      </c>
      <c r="E19" t="s">
        <v>9</v>
      </c>
      <c r="G19" s="3">
        <v>42326</v>
      </c>
      <c r="H19">
        <f t="shared" si="0"/>
        <v>1</v>
      </c>
      <c r="I19">
        <f t="shared" si="1"/>
        <v>3</v>
      </c>
      <c r="J19">
        <f t="shared" si="2"/>
        <v>0</v>
      </c>
      <c r="K19">
        <f t="shared" si="3"/>
        <v>0</v>
      </c>
      <c r="L19">
        <f t="shared" si="4"/>
        <v>4</v>
      </c>
    </row>
    <row r="20" spans="1:12" x14ac:dyDescent="0.25">
      <c r="A20" t="s">
        <v>13</v>
      </c>
      <c r="B20">
        <v>2388</v>
      </c>
      <c r="C20" s="3">
        <v>42336</v>
      </c>
      <c r="E20" t="s">
        <v>9</v>
      </c>
      <c r="G20" s="3">
        <v>42327</v>
      </c>
      <c r="H20">
        <f t="shared" si="0"/>
        <v>4</v>
      </c>
      <c r="I20">
        <f t="shared" si="1"/>
        <v>1</v>
      </c>
      <c r="J20">
        <f t="shared" si="2"/>
        <v>0</v>
      </c>
      <c r="K20">
        <f t="shared" si="3"/>
        <v>0</v>
      </c>
      <c r="L20">
        <f t="shared" si="4"/>
        <v>5</v>
      </c>
    </row>
    <row r="21" spans="1:12" x14ac:dyDescent="0.25">
      <c r="A21" t="s">
        <v>13</v>
      </c>
      <c r="B21">
        <v>2387</v>
      </c>
      <c r="C21" s="3">
        <v>42336</v>
      </c>
      <c r="E21" t="s">
        <v>9</v>
      </c>
      <c r="G21" s="3">
        <v>42328</v>
      </c>
      <c r="H21">
        <f t="shared" si="0"/>
        <v>17</v>
      </c>
      <c r="I21">
        <f t="shared" si="1"/>
        <v>2</v>
      </c>
      <c r="J21">
        <f t="shared" si="2"/>
        <v>0</v>
      </c>
      <c r="K21">
        <f t="shared" si="3"/>
        <v>0</v>
      </c>
      <c r="L21">
        <f t="shared" si="4"/>
        <v>19</v>
      </c>
    </row>
    <row r="22" spans="1:12" x14ac:dyDescent="0.25">
      <c r="A22" t="s">
        <v>13</v>
      </c>
      <c r="B22">
        <v>2386</v>
      </c>
      <c r="C22" s="3">
        <v>42336</v>
      </c>
      <c r="E22" t="s">
        <v>9</v>
      </c>
      <c r="G22" s="3">
        <v>42329</v>
      </c>
      <c r="H22">
        <f t="shared" si="0"/>
        <v>15</v>
      </c>
      <c r="I22">
        <f t="shared" si="1"/>
        <v>4</v>
      </c>
      <c r="J22">
        <f t="shared" si="2"/>
        <v>0</v>
      </c>
      <c r="K22">
        <f t="shared" si="3"/>
        <v>0</v>
      </c>
      <c r="L22">
        <f t="shared" si="4"/>
        <v>19</v>
      </c>
    </row>
    <row r="23" spans="1:12" x14ac:dyDescent="0.25">
      <c r="A23" t="s">
        <v>13</v>
      </c>
      <c r="B23">
        <v>2385</v>
      </c>
      <c r="C23" s="3">
        <v>42336</v>
      </c>
      <c r="E23" t="s">
        <v>9</v>
      </c>
      <c r="G23" s="3">
        <v>42330</v>
      </c>
      <c r="H23">
        <f t="shared" si="0"/>
        <v>3</v>
      </c>
      <c r="I23">
        <f t="shared" si="1"/>
        <v>1</v>
      </c>
      <c r="J23">
        <f t="shared" si="2"/>
        <v>0</v>
      </c>
      <c r="K23">
        <f t="shared" si="3"/>
        <v>0</v>
      </c>
      <c r="L23">
        <f t="shared" si="4"/>
        <v>4</v>
      </c>
    </row>
    <row r="24" spans="1:12" x14ac:dyDescent="0.25">
      <c r="A24" t="s">
        <v>13</v>
      </c>
      <c r="B24">
        <v>2384</v>
      </c>
      <c r="C24" s="3">
        <v>42336</v>
      </c>
      <c r="E24" t="s">
        <v>10</v>
      </c>
      <c r="G24" s="3">
        <v>42331</v>
      </c>
      <c r="H24">
        <f t="shared" si="0"/>
        <v>6</v>
      </c>
      <c r="I24">
        <f t="shared" si="1"/>
        <v>0</v>
      </c>
      <c r="J24">
        <f t="shared" si="2"/>
        <v>0</v>
      </c>
      <c r="K24">
        <f t="shared" si="3"/>
        <v>0</v>
      </c>
      <c r="L24">
        <f t="shared" si="4"/>
        <v>6</v>
      </c>
    </row>
    <row r="25" spans="1:12" x14ac:dyDescent="0.25">
      <c r="A25" t="s">
        <v>13</v>
      </c>
      <c r="B25">
        <v>2383</v>
      </c>
      <c r="C25" s="3">
        <v>42336</v>
      </c>
      <c r="E25" t="s">
        <v>9</v>
      </c>
      <c r="G25" s="3">
        <v>42332</v>
      </c>
      <c r="H25">
        <f t="shared" si="0"/>
        <v>0</v>
      </c>
      <c r="I25">
        <f t="shared" si="1"/>
        <v>1</v>
      </c>
      <c r="J25">
        <f t="shared" si="2"/>
        <v>0</v>
      </c>
      <c r="K25">
        <f t="shared" si="3"/>
        <v>0</v>
      </c>
      <c r="L25">
        <f t="shared" si="4"/>
        <v>1</v>
      </c>
    </row>
    <row r="26" spans="1:12" x14ac:dyDescent="0.25">
      <c r="A26" t="s">
        <v>13</v>
      </c>
      <c r="B26">
        <v>2382</v>
      </c>
      <c r="C26" s="3">
        <v>42336</v>
      </c>
      <c r="E26" t="s">
        <v>9</v>
      </c>
      <c r="G26" s="3">
        <v>42333</v>
      </c>
      <c r="H26">
        <f t="shared" si="0"/>
        <v>8</v>
      </c>
      <c r="I26">
        <f t="shared" si="1"/>
        <v>0</v>
      </c>
      <c r="J26">
        <f t="shared" si="2"/>
        <v>0</v>
      </c>
      <c r="K26">
        <f t="shared" si="3"/>
        <v>0</v>
      </c>
      <c r="L26">
        <f t="shared" si="4"/>
        <v>8</v>
      </c>
    </row>
    <row r="27" spans="1:12" x14ac:dyDescent="0.25">
      <c r="A27" t="s">
        <v>13</v>
      </c>
      <c r="B27">
        <v>2381</v>
      </c>
      <c r="C27" s="3">
        <v>42336</v>
      </c>
      <c r="E27" t="s">
        <v>9</v>
      </c>
      <c r="G27" s="3">
        <v>42334</v>
      </c>
      <c r="H27">
        <f t="shared" si="0"/>
        <v>10</v>
      </c>
      <c r="I27">
        <f t="shared" si="1"/>
        <v>1</v>
      </c>
      <c r="J27">
        <f t="shared" si="2"/>
        <v>0</v>
      </c>
      <c r="K27">
        <f t="shared" si="3"/>
        <v>12</v>
      </c>
      <c r="L27">
        <f t="shared" si="4"/>
        <v>23</v>
      </c>
    </row>
    <row r="28" spans="1:12" x14ac:dyDescent="0.25">
      <c r="A28" t="s">
        <v>13</v>
      </c>
      <c r="B28">
        <v>2380</v>
      </c>
      <c r="C28" s="3">
        <v>42336</v>
      </c>
      <c r="D28" t="s">
        <v>10</v>
      </c>
      <c r="E28" t="s">
        <v>10</v>
      </c>
      <c r="G28" s="3">
        <v>42335</v>
      </c>
      <c r="H28">
        <f t="shared" si="0"/>
        <v>9</v>
      </c>
      <c r="I28">
        <f t="shared" si="1"/>
        <v>4</v>
      </c>
      <c r="J28">
        <f t="shared" si="2"/>
        <v>0</v>
      </c>
      <c r="K28">
        <f t="shared" si="3"/>
        <v>1</v>
      </c>
      <c r="L28">
        <f t="shared" si="4"/>
        <v>14</v>
      </c>
    </row>
    <row r="29" spans="1:12" x14ac:dyDescent="0.25">
      <c r="A29" t="s">
        <v>13</v>
      </c>
      <c r="B29">
        <v>2382</v>
      </c>
      <c r="C29" s="3">
        <v>42336</v>
      </c>
      <c r="E29" t="s">
        <v>10</v>
      </c>
      <c r="G29" s="3">
        <v>42336</v>
      </c>
      <c r="H29">
        <f t="shared" si="0"/>
        <v>9</v>
      </c>
      <c r="I29">
        <f t="shared" si="1"/>
        <v>5</v>
      </c>
      <c r="J29">
        <f t="shared" si="2"/>
        <v>0</v>
      </c>
      <c r="K29">
        <f t="shared" si="3"/>
        <v>0</v>
      </c>
      <c r="L29">
        <f t="shared" si="4"/>
        <v>14</v>
      </c>
    </row>
    <row r="30" spans="1:12" x14ac:dyDescent="0.25">
      <c r="A30" t="s">
        <v>13</v>
      </c>
      <c r="B30">
        <v>2381</v>
      </c>
      <c r="C30" s="3">
        <v>42336</v>
      </c>
      <c r="E30" t="s">
        <v>10</v>
      </c>
      <c r="G30" s="3">
        <v>42337</v>
      </c>
      <c r="H30">
        <f t="shared" si="0"/>
        <v>5</v>
      </c>
      <c r="I30">
        <f t="shared" si="1"/>
        <v>2</v>
      </c>
      <c r="J30">
        <f t="shared" si="2"/>
        <v>0</v>
      </c>
      <c r="K30">
        <f t="shared" si="3"/>
        <v>0</v>
      </c>
      <c r="L30">
        <f t="shared" si="4"/>
        <v>7</v>
      </c>
    </row>
    <row r="31" spans="1:12" x14ac:dyDescent="0.25">
      <c r="A31" t="s">
        <v>13</v>
      </c>
      <c r="B31">
        <v>2380</v>
      </c>
      <c r="C31" s="3">
        <v>42336</v>
      </c>
      <c r="D31" t="s">
        <v>10</v>
      </c>
      <c r="E31" t="s">
        <v>10</v>
      </c>
      <c r="G31" s="3">
        <v>42338</v>
      </c>
      <c r="H31">
        <f t="shared" si="0"/>
        <v>4</v>
      </c>
      <c r="I31">
        <f t="shared" si="1"/>
        <v>5</v>
      </c>
      <c r="J31">
        <f t="shared" si="2"/>
        <v>0</v>
      </c>
      <c r="K31">
        <f t="shared" si="3"/>
        <v>0</v>
      </c>
      <c r="L31">
        <f t="shared" si="4"/>
        <v>9</v>
      </c>
    </row>
    <row r="32" spans="1:12" x14ac:dyDescent="0.25">
      <c r="A32" t="s">
        <v>13</v>
      </c>
      <c r="B32">
        <v>2378</v>
      </c>
      <c r="C32" s="3">
        <v>42335</v>
      </c>
      <c r="E32" t="s">
        <v>9</v>
      </c>
      <c r="G32" s="8" t="s">
        <v>15</v>
      </c>
      <c r="H32" s="4">
        <f>SUM(H2:H31)</f>
        <v>188</v>
      </c>
      <c r="I32" s="4">
        <f>SUM(I2:I31)</f>
        <v>84</v>
      </c>
      <c r="J32" s="4">
        <f>SUM(J2:J31)</f>
        <v>1</v>
      </c>
      <c r="K32" s="4">
        <f>SUM(K2:K31)</f>
        <v>13</v>
      </c>
      <c r="L32" s="4">
        <f>SUM(L2:L31)</f>
        <v>286</v>
      </c>
    </row>
    <row r="33" spans="1:5" x14ac:dyDescent="0.25">
      <c r="A33" t="s">
        <v>13</v>
      </c>
      <c r="B33">
        <v>2387</v>
      </c>
      <c r="C33" s="3">
        <v>42335</v>
      </c>
      <c r="E33" t="s">
        <v>9</v>
      </c>
    </row>
    <row r="34" spans="1:5" x14ac:dyDescent="0.25">
      <c r="A34" t="s">
        <v>13</v>
      </c>
      <c r="B34">
        <v>2380</v>
      </c>
      <c r="C34" s="3">
        <v>42335</v>
      </c>
      <c r="D34" t="s">
        <v>14</v>
      </c>
      <c r="E34" t="s">
        <v>9</v>
      </c>
    </row>
    <row r="35" spans="1:5" x14ac:dyDescent="0.25">
      <c r="A35" t="s">
        <v>13</v>
      </c>
      <c r="B35">
        <v>2386</v>
      </c>
      <c r="C35" s="3">
        <v>42335</v>
      </c>
      <c r="E35" t="s">
        <v>9</v>
      </c>
    </row>
    <row r="36" spans="1:5" x14ac:dyDescent="0.25">
      <c r="A36" t="s">
        <v>13</v>
      </c>
      <c r="B36">
        <v>2384</v>
      </c>
      <c r="C36" s="3">
        <v>42335</v>
      </c>
      <c r="D36">
        <v>60</v>
      </c>
      <c r="E36" t="s">
        <v>9</v>
      </c>
    </row>
    <row r="37" spans="1:5" x14ac:dyDescent="0.25">
      <c r="A37" t="s">
        <v>13</v>
      </c>
      <c r="B37">
        <v>2385</v>
      </c>
      <c r="C37" s="3">
        <v>42335</v>
      </c>
      <c r="E37" t="s">
        <v>10</v>
      </c>
    </row>
    <row r="38" spans="1:5" x14ac:dyDescent="0.25">
      <c r="A38" t="s">
        <v>13</v>
      </c>
      <c r="B38">
        <v>2383</v>
      </c>
      <c r="C38" s="3">
        <v>42335</v>
      </c>
      <c r="D38">
        <v>58</v>
      </c>
      <c r="E38" t="s">
        <v>9</v>
      </c>
    </row>
    <row r="39" spans="1:5" x14ac:dyDescent="0.25">
      <c r="A39" t="s">
        <v>13</v>
      </c>
      <c r="B39">
        <v>2381</v>
      </c>
      <c r="C39" s="3">
        <v>42335</v>
      </c>
      <c r="D39" t="s">
        <v>14</v>
      </c>
      <c r="E39" t="s">
        <v>9</v>
      </c>
    </row>
    <row r="40" spans="1:5" x14ac:dyDescent="0.25">
      <c r="A40" t="s">
        <v>13</v>
      </c>
      <c r="B40">
        <v>2382</v>
      </c>
      <c r="C40" s="3">
        <v>42335</v>
      </c>
      <c r="E40" t="s">
        <v>9</v>
      </c>
    </row>
    <row r="41" spans="1:5" x14ac:dyDescent="0.25">
      <c r="A41" t="s">
        <v>13</v>
      </c>
      <c r="B41">
        <v>2684</v>
      </c>
      <c r="C41" s="3">
        <v>42335</v>
      </c>
      <c r="D41" t="s">
        <v>10</v>
      </c>
      <c r="E41" t="s">
        <v>10</v>
      </c>
    </row>
    <row r="42" spans="1:5" x14ac:dyDescent="0.25">
      <c r="A42" t="s">
        <v>13</v>
      </c>
      <c r="B42">
        <v>2383</v>
      </c>
      <c r="C42" s="3">
        <v>42335</v>
      </c>
      <c r="D42">
        <v>65</v>
      </c>
      <c r="E42" t="s">
        <v>12</v>
      </c>
    </row>
    <row r="43" spans="1:5" x14ac:dyDescent="0.25">
      <c r="A43" t="s">
        <v>13</v>
      </c>
      <c r="B43">
        <v>2382</v>
      </c>
      <c r="C43" s="3">
        <v>42335</v>
      </c>
      <c r="E43" t="s">
        <v>9</v>
      </c>
    </row>
    <row r="44" spans="1:5" x14ac:dyDescent="0.25">
      <c r="A44" t="s">
        <v>13</v>
      </c>
      <c r="B44">
        <v>2381</v>
      </c>
      <c r="C44" s="3">
        <v>42335</v>
      </c>
      <c r="D44" t="s">
        <v>10</v>
      </c>
      <c r="E44" t="s">
        <v>10</v>
      </c>
    </row>
    <row r="45" spans="1:5" x14ac:dyDescent="0.25">
      <c r="A45" t="s">
        <v>13</v>
      </c>
      <c r="B45">
        <v>2380</v>
      </c>
      <c r="C45" s="3">
        <v>42335</v>
      </c>
      <c r="E45" t="s">
        <v>10</v>
      </c>
    </row>
    <row r="46" spans="1:5" x14ac:dyDescent="0.25">
      <c r="A46" t="s">
        <v>13</v>
      </c>
      <c r="B46">
        <v>2383</v>
      </c>
      <c r="C46" s="3">
        <v>42334</v>
      </c>
      <c r="E46" t="s">
        <v>9</v>
      </c>
    </row>
    <row r="47" spans="1:5" x14ac:dyDescent="0.25">
      <c r="A47" t="s">
        <v>13</v>
      </c>
      <c r="B47">
        <v>2396</v>
      </c>
      <c r="C47" s="3">
        <v>42334</v>
      </c>
      <c r="E47" t="s">
        <v>9</v>
      </c>
    </row>
    <row r="48" spans="1:5" x14ac:dyDescent="0.25">
      <c r="A48" t="s">
        <v>13</v>
      </c>
      <c r="B48">
        <v>2380</v>
      </c>
      <c r="C48" s="3">
        <v>42334</v>
      </c>
      <c r="E48" t="s">
        <v>9</v>
      </c>
    </row>
    <row r="49" spans="1:5" x14ac:dyDescent="0.25">
      <c r="A49" t="s">
        <v>13</v>
      </c>
      <c r="B49">
        <v>2384</v>
      </c>
      <c r="C49" s="3">
        <v>42334</v>
      </c>
      <c r="E49" t="s">
        <v>12</v>
      </c>
    </row>
    <row r="50" spans="1:5" x14ac:dyDescent="0.25">
      <c r="A50" t="s">
        <v>13</v>
      </c>
      <c r="B50">
        <v>2381</v>
      </c>
      <c r="C50" s="3">
        <v>42334</v>
      </c>
      <c r="E50" t="s">
        <v>9</v>
      </c>
    </row>
    <row r="51" spans="1:5" x14ac:dyDescent="0.25">
      <c r="A51" t="s">
        <v>13</v>
      </c>
      <c r="B51">
        <v>2382</v>
      </c>
      <c r="C51" s="3">
        <v>42334</v>
      </c>
      <c r="E51" t="s">
        <v>12</v>
      </c>
    </row>
    <row r="52" spans="1:5" x14ac:dyDescent="0.25">
      <c r="A52" t="s">
        <v>13</v>
      </c>
      <c r="B52">
        <v>2395</v>
      </c>
      <c r="C52" s="3">
        <v>42334</v>
      </c>
      <c r="E52" t="s">
        <v>12</v>
      </c>
    </row>
    <row r="53" spans="1:5" x14ac:dyDescent="0.25">
      <c r="A53" t="s">
        <v>13</v>
      </c>
      <c r="B53">
        <v>2394</v>
      </c>
      <c r="C53" s="3">
        <v>42334</v>
      </c>
      <c r="E53" t="s">
        <v>12</v>
      </c>
    </row>
    <row r="54" spans="1:5" x14ac:dyDescent="0.25">
      <c r="A54" t="s">
        <v>13</v>
      </c>
      <c r="B54">
        <v>2392</v>
      </c>
      <c r="C54" s="3">
        <v>42334</v>
      </c>
      <c r="E54" t="s">
        <v>9</v>
      </c>
    </row>
    <row r="55" spans="1:5" x14ac:dyDescent="0.25">
      <c r="A55" t="s">
        <v>13</v>
      </c>
      <c r="B55">
        <v>2393</v>
      </c>
      <c r="C55" s="3">
        <v>42334</v>
      </c>
      <c r="E55" t="s">
        <v>12</v>
      </c>
    </row>
    <row r="56" spans="1:5" x14ac:dyDescent="0.25">
      <c r="A56" t="s">
        <v>13</v>
      </c>
      <c r="B56">
        <v>2391</v>
      </c>
      <c r="C56" s="3">
        <v>42334</v>
      </c>
      <c r="E56" t="s">
        <v>9</v>
      </c>
    </row>
    <row r="57" spans="1:5" x14ac:dyDescent="0.25">
      <c r="A57" t="s">
        <v>13</v>
      </c>
      <c r="B57">
        <v>2380</v>
      </c>
      <c r="C57" s="3">
        <v>42334</v>
      </c>
      <c r="E57" t="s">
        <v>10</v>
      </c>
    </row>
    <row r="58" spans="1:5" x14ac:dyDescent="0.25">
      <c r="A58" t="s">
        <v>13</v>
      </c>
      <c r="B58">
        <v>2390</v>
      </c>
      <c r="C58" s="3">
        <v>42334</v>
      </c>
      <c r="E58" t="s">
        <v>12</v>
      </c>
    </row>
    <row r="59" spans="1:5" x14ac:dyDescent="0.25">
      <c r="A59" t="s">
        <v>13</v>
      </c>
      <c r="B59">
        <v>2389</v>
      </c>
      <c r="C59" s="3">
        <v>42334</v>
      </c>
      <c r="E59" t="s">
        <v>9</v>
      </c>
    </row>
    <row r="60" spans="1:5" x14ac:dyDescent="0.25">
      <c r="A60" t="s">
        <v>13</v>
      </c>
      <c r="B60">
        <v>2378</v>
      </c>
      <c r="C60" s="3">
        <v>42334</v>
      </c>
      <c r="E60" t="s">
        <v>9</v>
      </c>
    </row>
    <row r="61" spans="1:5" x14ac:dyDescent="0.25">
      <c r="A61" t="s">
        <v>13</v>
      </c>
      <c r="B61">
        <v>2387</v>
      </c>
      <c r="C61" s="3">
        <v>42334</v>
      </c>
      <c r="E61" t="s">
        <v>9</v>
      </c>
    </row>
    <row r="62" spans="1:5" x14ac:dyDescent="0.25">
      <c r="A62" t="s">
        <v>13</v>
      </c>
      <c r="B62">
        <v>2386</v>
      </c>
      <c r="C62" s="3">
        <v>42334</v>
      </c>
      <c r="E62" t="s">
        <v>12</v>
      </c>
    </row>
    <row r="63" spans="1:5" x14ac:dyDescent="0.25">
      <c r="A63" t="s">
        <v>13</v>
      </c>
      <c r="B63">
        <v>2385</v>
      </c>
      <c r="C63" s="3">
        <v>42334</v>
      </c>
      <c r="E63" t="s">
        <v>12</v>
      </c>
    </row>
    <row r="64" spans="1:5" x14ac:dyDescent="0.25">
      <c r="A64" t="s">
        <v>13</v>
      </c>
      <c r="B64">
        <v>2384</v>
      </c>
      <c r="C64" s="3">
        <v>42334</v>
      </c>
      <c r="E64" t="s">
        <v>12</v>
      </c>
    </row>
    <row r="65" spans="1:5" x14ac:dyDescent="0.25">
      <c r="A65" t="s">
        <v>13</v>
      </c>
      <c r="B65">
        <v>2383</v>
      </c>
      <c r="C65" s="3">
        <v>42334</v>
      </c>
      <c r="E65" t="s">
        <v>9</v>
      </c>
    </row>
    <row r="66" spans="1:5" x14ac:dyDescent="0.25">
      <c r="A66" t="s">
        <v>13</v>
      </c>
      <c r="B66">
        <v>2382</v>
      </c>
      <c r="C66" s="3">
        <v>42334</v>
      </c>
      <c r="E66" t="s">
        <v>12</v>
      </c>
    </row>
    <row r="67" spans="1:5" x14ac:dyDescent="0.25">
      <c r="A67" t="s">
        <v>13</v>
      </c>
      <c r="B67">
        <v>2381</v>
      </c>
      <c r="C67" s="3">
        <v>42334</v>
      </c>
      <c r="E67" t="s">
        <v>12</v>
      </c>
    </row>
    <row r="68" spans="1:5" x14ac:dyDescent="0.25">
      <c r="A68" t="s">
        <v>13</v>
      </c>
      <c r="B68">
        <v>2380</v>
      </c>
      <c r="C68" s="3">
        <v>42334</v>
      </c>
      <c r="E68" t="s">
        <v>12</v>
      </c>
    </row>
    <row r="69" spans="1:5" x14ac:dyDescent="0.25">
      <c r="A69" t="s">
        <v>13</v>
      </c>
      <c r="B69">
        <v>2386</v>
      </c>
      <c r="C69" s="3">
        <v>42333</v>
      </c>
      <c r="E69" t="s">
        <v>9</v>
      </c>
    </row>
    <row r="70" spans="1:5" x14ac:dyDescent="0.25">
      <c r="A70" t="s">
        <v>13</v>
      </c>
      <c r="B70">
        <v>2385</v>
      </c>
      <c r="C70" s="3">
        <v>42333</v>
      </c>
      <c r="E70" t="s">
        <v>9</v>
      </c>
    </row>
    <row r="71" spans="1:5" x14ac:dyDescent="0.25">
      <c r="A71" t="s">
        <v>13</v>
      </c>
      <c r="B71">
        <v>2384</v>
      </c>
      <c r="C71" s="3">
        <v>42333</v>
      </c>
      <c r="E71" t="s">
        <v>9</v>
      </c>
    </row>
    <row r="72" spans="1:5" x14ac:dyDescent="0.25">
      <c r="A72" t="s">
        <v>13</v>
      </c>
      <c r="B72">
        <v>2383</v>
      </c>
      <c r="C72" s="3">
        <v>42333</v>
      </c>
      <c r="E72" t="s">
        <v>9</v>
      </c>
    </row>
    <row r="73" spans="1:5" x14ac:dyDescent="0.25">
      <c r="A73" t="s">
        <v>13</v>
      </c>
      <c r="B73">
        <v>2832</v>
      </c>
      <c r="C73" s="3">
        <v>42333</v>
      </c>
      <c r="E73" t="s">
        <v>9</v>
      </c>
    </row>
    <row r="74" spans="1:5" x14ac:dyDescent="0.25">
      <c r="A74" t="s">
        <v>13</v>
      </c>
      <c r="B74">
        <v>2381</v>
      </c>
      <c r="C74" s="3">
        <v>42333</v>
      </c>
      <c r="E74" t="s">
        <v>9</v>
      </c>
    </row>
    <row r="75" spans="1:5" x14ac:dyDescent="0.25">
      <c r="A75" t="s">
        <v>13</v>
      </c>
      <c r="B75">
        <v>2380</v>
      </c>
      <c r="C75" s="3">
        <v>42333</v>
      </c>
      <c r="E75" t="s">
        <v>9</v>
      </c>
    </row>
    <row r="76" spans="1:5" x14ac:dyDescent="0.25">
      <c r="A76" t="s">
        <v>13</v>
      </c>
      <c r="B76">
        <v>2380</v>
      </c>
      <c r="C76" s="3">
        <v>42333</v>
      </c>
      <c r="D76" t="s">
        <v>17</v>
      </c>
      <c r="E76" t="s">
        <v>9</v>
      </c>
    </row>
    <row r="77" spans="1:5" x14ac:dyDescent="0.25">
      <c r="A77" t="s">
        <v>13</v>
      </c>
      <c r="B77">
        <v>2380</v>
      </c>
      <c r="C77" s="3">
        <v>42332</v>
      </c>
      <c r="E77" t="s">
        <v>10</v>
      </c>
    </row>
    <row r="78" spans="1:5" x14ac:dyDescent="0.25">
      <c r="A78" t="s">
        <v>13</v>
      </c>
      <c r="B78">
        <v>2380</v>
      </c>
      <c r="C78" s="3">
        <v>42331</v>
      </c>
      <c r="E78" t="s">
        <v>9</v>
      </c>
    </row>
    <row r="79" spans="1:5" x14ac:dyDescent="0.25">
      <c r="A79" t="s">
        <v>13</v>
      </c>
      <c r="B79">
        <v>2380</v>
      </c>
      <c r="C79" s="3">
        <v>42331</v>
      </c>
      <c r="E79" t="s">
        <v>9</v>
      </c>
    </row>
    <row r="80" spans="1:5" x14ac:dyDescent="0.25">
      <c r="A80" t="s">
        <v>13</v>
      </c>
      <c r="B80">
        <v>2380</v>
      </c>
      <c r="C80" s="3">
        <v>42331</v>
      </c>
      <c r="D80">
        <v>50</v>
      </c>
      <c r="E80" t="s">
        <v>9</v>
      </c>
    </row>
    <row r="81" spans="1:5" x14ac:dyDescent="0.25">
      <c r="A81" t="s">
        <v>13</v>
      </c>
      <c r="B81">
        <v>2382</v>
      </c>
      <c r="C81" s="3">
        <v>42331</v>
      </c>
      <c r="E81" t="s">
        <v>9</v>
      </c>
    </row>
    <row r="82" spans="1:5" x14ac:dyDescent="0.25">
      <c r="A82" t="s">
        <v>13</v>
      </c>
      <c r="B82">
        <v>2381</v>
      </c>
      <c r="C82" s="3">
        <v>42331</v>
      </c>
      <c r="E82" t="s">
        <v>9</v>
      </c>
    </row>
    <row r="83" spans="1:5" x14ac:dyDescent="0.25">
      <c r="A83" t="s">
        <v>13</v>
      </c>
      <c r="B83">
        <v>2380</v>
      </c>
      <c r="C83" s="3">
        <v>42331</v>
      </c>
      <c r="E83" t="s">
        <v>9</v>
      </c>
    </row>
    <row r="84" spans="1:5" x14ac:dyDescent="0.25">
      <c r="A84" t="s">
        <v>13</v>
      </c>
      <c r="B84">
        <v>2382</v>
      </c>
      <c r="C84" s="3">
        <v>42330</v>
      </c>
      <c r="D84">
        <v>58</v>
      </c>
      <c r="E84" t="s">
        <v>9</v>
      </c>
    </row>
    <row r="85" spans="1:5" x14ac:dyDescent="0.25">
      <c r="A85" t="s">
        <v>13</v>
      </c>
      <c r="B85">
        <v>2381</v>
      </c>
      <c r="C85" s="3">
        <v>42330</v>
      </c>
      <c r="D85">
        <v>41</v>
      </c>
      <c r="E85" t="s">
        <v>9</v>
      </c>
    </row>
    <row r="86" spans="1:5" x14ac:dyDescent="0.25">
      <c r="A86" t="s">
        <v>13</v>
      </c>
      <c r="B86">
        <v>2380</v>
      </c>
      <c r="C86" s="3">
        <v>42330</v>
      </c>
      <c r="D86">
        <v>39</v>
      </c>
      <c r="E86" t="s">
        <v>9</v>
      </c>
    </row>
    <row r="87" spans="1:5" x14ac:dyDescent="0.25">
      <c r="A87" t="s">
        <v>13</v>
      </c>
      <c r="B87">
        <v>2380</v>
      </c>
      <c r="C87" s="3">
        <v>42330</v>
      </c>
      <c r="D87" t="s">
        <v>10</v>
      </c>
      <c r="E87" t="s">
        <v>10</v>
      </c>
    </row>
    <row r="88" spans="1:5" x14ac:dyDescent="0.25">
      <c r="A88" t="s">
        <v>13</v>
      </c>
      <c r="B88">
        <v>2386</v>
      </c>
      <c r="C88" s="3">
        <v>42329</v>
      </c>
      <c r="D88">
        <v>15</v>
      </c>
      <c r="E88" t="s">
        <v>9</v>
      </c>
    </row>
    <row r="89" spans="1:5" x14ac:dyDescent="0.25">
      <c r="A89" t="s">
        <v>13</v>
      </c>
      <c r="B89">
        <v>2394</v>
      </c>
      <c r="C89" s="3">
        <v>42329</v>
      </c>
      <c r="E89" t="s">
        <v>10</v>
      </c>
    </row>
    <row r="90" spans="1:5" x14ac:dyDescent="0.25">
      <c r="A90" t="s">
        <v>13</v>
      </c>
      <c r="B90">
        <v>2393</v>
      </c>
      <c r="C90" s="3">
        <v>42329</v>
      </c>
      <c r="D90">
        <v>52</v>
      </c>
      <c r="E90" t="s">
        <v>9</v>
      </c>
    </row>
    <row r="91" spans="1:5" x14ac:dyDescent="0.25">
      <c r="A91" t="s">
        <v>13</v>
      </c>
      <c r="B91">
        <v>2392</v>
      </c>
      <c r="C91" s="3">
        <v>42329</v>
      </c>
      <c r="D91" t="s">
        <v>10</v>
      </c>
      <c r="E91" t="s">
        <v>10</v>
      </c>
    </row>
    <row r="92" spans="1:5" x14ac:dyDescent="0.25">
      <c r="A92" t="s">
        <v>13</v>
      </c>
      <c r="B92">
        <v>2391</v>
      </c>
      <c r="C92" s="3">
        <v>42329</v>
      </c>
      <c r="D92">
        <v>61</v>
      </c>
      <c r="E92" t="s">
        <v>9</v>
      </c>
    </row>
    <row r="93" spans="1:5" x14ac:dyDescent="0.25">
      <c r="A93" t="s">
        <v>13</v>
      </c>
      <c r="B93">
        <v>2390</v>
      </c>
      <c r="C93" s="3">
        <v>42329</v>
      </c>
      <c r="D93">
        <v>22</v>
      </c>
      <c r="E93" t="s">
        <v>9</v>
      </c>
    </row>
    <row r="94" spans="1:5" x14ac:dyDescent="0.25">
      <c r="A94" t="s">
        <v>13</v>
      </c>
      <c r="B94">
        <v>2389</v>
      </c>
      <c r="C94" s="3">
        <v>42329</v>
      </c>
      <c r="D94">
        <v>19</v>
      </c>
      <c r="E94" t="s">
        <v>9</v>
      </c>
    </row>
    <row r="95" spans="1:5" x14ac:dyDescent="0.25">
      <c r="A95" t="s">
        <v>13</v>
      </c>
      <c r="B95">
        <v>2388</v>
      </c>
      <c r="C95" s="3">
        <v>42329</v>
      </c>
      <c r="D95">
        <v>58</v>
      </c>
      <c r="E95" t="s">
        <v>9</v>
      </c>
    </row>
    <row r="96" spans="1:5" x14ac:dyDescent="0.25">
      <c r="A96" t="s">
        <v>13</v>
      </c>
      <c r="B96">
        <v>2380</v>
      </c>
      <c r="C96" s="3">
        <v>42329</v>
      </c>
      <c r="D96">
        <v>31</v>
      </c>
      <c r="E96" t="s">
        <v>9</v>
      </c>
    </row>
    <row r="97" spans="1:5" x14ac:dyDescent="0.25">
      <c r="A97" t="s">
        <v>13</v>
      </c>
      <c r="B97">
        <v>2387</v>
      </c>
      <c r="C97" s="3">
        <v>42329</v>
      </c>
      <c r="D97">
        <v>37</v>
      </c>
      <c r="E97" t="s">
        <v>9</v>
      </c>
    </row>
    <row r="98" spans="1:5" x14ac:dyDescent="0.25">
      <c r="A98" t="s">
        <v>13</v>
      </c>
      <c r="B98">
        <v>2386</v>
      </c>
      <c r="C98" s="3">
        <v>42329</v>
      </c>
      <c r="D98">
        <v>36</v>
      </c>
      <c r="E98" t="s">
        <v>9</v>
      </c>
    </row>
    <row r="99" spans="1:5" x14ac:dyDescent="0.25">
      <c r="A99" t="s">
        <v>13</v>
      </c>
      <c r="B99">
        <v>2385</v>
      </c>
      <c r="C99" s="3">
        <v>42329</v>
      </c>
      <c r="D99">
        <v>50</v>
      </c>
      <c r="E99" t="s">
        <v>9</v>
      </c>
    </row>
    <row r="100" spans="1:5" x14ac:dyDescent="0.25">
      <c r="A100" t="s">
        <v>13</v>
      </c>
      <c r="B100">
        <v>2384</v>
      </c>
      <c r="C100" s="3">
        <v>42329</v>
      </c>
      <c r="D100">
        <v>49</v>
      </c>
      <c r="E100" t="s">
        <v>9</v>
      </c>
    </row>
    <row r="101" spans="1:5" x14ac:dyDescent="0.25">
      <c r="A101" t="s">
        <v>13</v>
      </c>
      <c r="B101">
        <v>2383</v>
      </c>
      <c r="C101" s="3">
        <v>42329</v>
      </c>
      <c r="D101" t="s">
        <v>14</v>
      </c>
      <c r="E101" t="s">
        <v>9</v>
      </c>
    </row>
    <row r="102" spans="1:5" x14ac:dyDescent="0.25">
      <c r="A102" t="s">
        <v>13</v>
      </c>
      <c r="B102">
        <v>2382</v>
      </c>
      <c r="C102" s="3">
        <v>42329</v>
      </c>
      <c r="D102">
        <v>54</v>
      </c>
      <c r="E102" t="s">
        <v>9</v>
      </c>
    </row>
    <row r="103" spans="1:5" x14ac:dyDescent="0.25">
      <c r="A103" t="s">
        <v>13</v>
      </c>
      <c r="B103">
        <v>2381</v>
      </c>
      <c r="C103" s="3">
        <v>42329</v>
      </c>
      <c r="D103">
        <v>46</v>
      </c>
      <c r="E103" t="s">
        <v>9</v>
      </c>
    </row>
    <row r="104" spans="1:5" x14ac:dyDescent="0.25">
      <c r="A104" t="s">
        <v>13</v>
      </c>
      <c r="B104">
        <v>2380</v>
      </c>
      <c r="C104" s="3">
        <v>42329</v>
      </c>
      <c r="D104" t="s">
        <v>10</v>
      </c>
      <c r="E104" t="s">
        <v>10</v>
      </c>
    </row>
    <row r="105" spans="1:5" x14ac:dyDescent="0.25">
      <c r="A105" t="s">
        <v>13</v>
      </c>
      <c r="B105">
        <v>2381</v>
      </c>
      <c r="C105" s="3">
        <v>42329</v>
      </c>
      <c r="E105" t="s">
        <v>10</v>
      </c>
    </row>
    <row r="106" spans="1:5" x14ac:dyDescent="0.25">
      <c r="A106" t="s">
        <v>13</v>
      </c>
      <c r="B106">
        <v>2380</v>
      </c>
      <c r="C106" s="3">
        <v>42329</v>
      </c>
      <c r="D106" t="s">
        <v>14</v>
      </c>
      <c r="E106" t="s">
        <v>9</v>
      </c>
    </row>
    <row r="107" spans="1:5" x14ac:dyDescent="0.25">
      <c r="A107" t="s">
        <v>13</v>
      </c>
      <c r="B107">
        <v>2394</v>
      </c>
      <c r="C107" s="3">
        <v>42328</v>
      </c>
      <c r="E107" t="s">
        <v>9</v>
      </c>
    </row>
    <row r="108" spans="1:5" x14ac:dyDescent="0.25">
      <c r="A108" t="s">
        <v>13</v>
      </c>
      <c r="B108">
        <v>2393</v>
      </c>
      <c r="C108" s="3">
        <v>42328</v>
      </c>
      <c r="E108" t="s">
        <v>9</v>
      </c>
    </row>
    <row r="109" spans="1:5" x14ac:dyDescent="0.25">
      <c r="A109" t="s">
        <v>13</v>
      </c>
      <c r="B109">
        <v>2392</v>
      </c>
      <c r="C109" s="3">
        <v>42328</v>
      </c>
      <c r="E109" t="s">
        <v>9</v>
      </c>
    </row>
    <row r="110" spans="1:5" x14ac:dyDescent="0.25">
      <c r="A110" t="s">
        <v>13</v>
      </c>
      <c r="B110">
        <v>2391</v>
      </c>
      <c r="C110" s="3">
        <v>42328</v>
      </c>
      <c r="E110" t="s">
        <v>9</v>
      </c>
    </row>
    <row r="111" spans="1:5" x14ac:dyDescent="0.25">
      <c r="A111" t="s">
        <v>13</v>
      </c>
      <c r="B111">
        <v>2390</v>
      </c>
      <c r="C111" s="3">
        <v>42328</v>
      </c>
      <c r="E111" t="s">
        <v>9</v>
      </c>
    </row>
    <row r="112" spans="1:5" x14ac:dyDescent="0.25">
      <c r="A112" t="s">
        <v>13</v>
      </c>
      <c r="B112">
        <v>2389</v>
      </c>
      <c r="C112" s="3">
        <v>42328</v>
      </c>
      <c r="E112" t="s">
        <v>9</v>
      </c>
    </row>
    <row r="113" spans="1:5" x14ac:dyDescent="0.25">
      <c r="A113" t="s">
        <v>13</v>
      </c>
      <c r="B113">
        <v>2388</v>
      </c>
      <c r="C113" s="3">
        <v>42328</v>
      </c>
      <c r="E113" t="s">
        <v>9</v>
      </c>
    </row>
    <row r="114" spans="1:5" x14ac:dyDescent="0.25">
      <c r="A114" t="s">
        <v>13</v>
      </c>
      <c r="B114">
        <v>2387</v>
      </c>
      <c r="C114" s="3">
        <v>42328</v>
      </c>
      <c r="E114" t="s">
        <v>9</v>
      </c>
    </row>
    <row r="115" spans="1:5" x14ac:dyDescent="0.25">
      <c r="A115" t="s">
        <v>13</v>
      </c>
      <c r="B115">
        <v>2386</v>
      </c>
      <c r="C115" s="3">
        <v>42328</v>
      </c>
      <c r="E115" t="s">
        <v>9</v>
      </c>
    </row>
    <row r="116" spans="1:5" x14ac:dyDescent="0.25">
      <c r="A116" t="s">
        <v>13</v>
      </c>
      <c r="B116">
        <v>2385</v>
      </c>
      <c r="C116" s="3">
        <v>42328</v>
      </c>
      <c r="E116" t="s">
        <v>9</v>
      </c>
    </row>
    <row r="117" spans="1:5" x14ac:dyDescent="0.25">
      <c r="A117" t="s">
        <v>13</v>
      </c>
      <c r="B117">
        <v>2384</v>
      </c>
      <c r="C117" s="3">
        <v>42328</v>
      </c>
      <c r="E117" t="s">
        <v>9</v>
      </c>
    </row>
    <row r="118" spans="1:5" x14ac:dyDescent="0.25">
      <c r="A118" t="s">
        <v>13</v>
      </c>
      <c r="B118">
        <v>2383</v>
      </c>
      <c r="C118" s="3">
        <v>42328</v>
      </c>
      <c r="E118" t="s">
        <v>9</v>
      </c>
    </row>
    <row r="119" spans="1:5" x14ac:dyDescent="0.25">
      <c r="A119" t="s">
        <v>13</v>
      </c>
      <c r="B119">
        <v>2382</v>
      </c>
      <c r="C119" s="3">
        <v>42328</v>
      </c>
      <c r="E119" t="s">
        <v>9</v>
      </c>
    </row>
    <row r="120" spans="1:5" x14ac:dyDescent="0.25">
      <c r="A120" t="s">
        <v>13</v>
      </c>
      <c r="B120">
        <v>2381</v>
      </c>
      <c r="C120" s="3">
        <v>42328</v>
      </c>
      <c r="E120" t="s">
        <v>9</v>
      </c>
    </row>
    <row r="121" spans="1:5" x14ac:dyDescent="0.25">
      <c r="A121" t="s">
        <v>13</v>
      </c>
      <c r="B121">
        <v>2380</v>
      </c>
      <c r="C121" s="3">
        <v>42328</v>
      </c>
      <c r="E121" t="s">
        <v>9</v>
      </c>
    </row>
    <row r="122" spans="1:5" x14ac:dyDescent="0.25">
      <c r="A122" t="s">
        <v>13</v>
      </c>
      <c r="B122">
        <v>2383</v>
      </c>
      <c r="C122" s="3">
        <v>42328</v>
      </c>
      <c r="D122">
        <v>46</v>
      </c>
      <c r="E122" t="s">
        <v>9</v>
      </c>
    </row>
    <row r="123" spans="1:5" x14ac:dyDescent="0.25">
      <c r="A123" t="s">
        <v>13</v>
      </c>
      <c r="B123">
        <v>2382</v>
      </c>
      <c r="C123" s="3">
        <v>42328</v>
      </c>
      <c r="D123" t="s">
        <v>10</v>
      </c>
      <c r="E123" t="s">
        <v>10</v>
      </c>
    </row>
    <row r="124" spans="1:5" x14ac:dyDescent="0.25">
      <c r="A124" t="s">
        <v>13</v>
      </c>
      <c r="B124">
        <v>2381</v>
      </c>
      <c r="C124" s="3">
        <v>42328</v>
      </c>
      <c r="D124" t="s">
        <v>10</v>
      </c>
      <c r="E124" t="s">
        <v>10</v>
      </c>
    </row>
    <row r="125" spans="1:5" x14ac:dyDescent="0.25">
      <c r="A125" t="s">
        <v>13</v>
      </c>
      <c r="B125">
        <v>2380</v>
      </c>
      <c r="C125" s="3">
        <v>42328</v>
      </c>
      <c r="D125">
        <v>63</v>
      </c>
      <c r="E125" t="s">
        <v>9</v>
      </c>
    </row>
    <row r="126" spans="1:5" x14ac:dyDescent="0.25">
      <c r="A126" t="s">
        <v>13</v>
      </c>
      <c r="B126">
        <v>2380</v>
      </c>
      <c r="C126" s="3">
        <v>42327</v>
      </c>
      <c r="E126" t="s">
        <v>10</v>
      </c>
    </row>
    <row r="127" spans="1:5" x14ac:dyDescent="0.25">
      <c r="A127" t="s">
        <v>13</v>
      </c>
      <c r="B127">
        <v>2383</v>
      </c>
      <c r="C127" s="3">
        <v>42327</v>
      </c>
      <c r="D127">
        <v>60</v>
      </c>
      <c r="E127" t="s">
        <v>9</v>
      </c>
    </row>
    <row r="128" spans="1:5" x14ac:dyDescent="0.25">
      <c r="A128" t="s">
        <v>13</v>
      </c>
      <c r="B128">
        <v>2382</v>
      </c>
      <c r="C128" s="3">
        <v>42327</v>
      </c>
      <c r="D128">
        <v>13</v>
      </c>
      <c r="E128" t="s">
        <v>9</v>
      </c>
    </row>
    <row r="129" spans="1:5" x14ac:dyDescent="0.25">
      <c r="A129" t="s">
        <v>13</v>
      </c>
      <c r="B129">
        <v>2381</v>
      </c>
      <c r="C129" s="3">
        <v>42327</v>
      </c>
      <c r="D129">
        <v>50</v>
      </c>
      <c r="E129" t="s">
        <v>9</v>
      </c>
    </row>
    <row r="130" spans="1:5" x14ac:dyDescent="0.25">
      <c r="A130" t="s">
        <v>13</v>
      </c>
      <c r="B130">
        <v>2380</v>
      </c>
      <c r="C130" s="3">
        <v>42327</v>
      </c>
      <c r="D130">
        <v>19</v>
      </c>
      <c r="E130" t="s">
        <v>9</v>
      </c>
    </row>
    <row r="131" spans="1:5" x14ac:dyDescent="0.25">
      <c r="A131" t="s">
        <v>13</v>
      </c>
      <c r="B131">
        <v>2383</v>
      </c>
      <c r="C131" s="3">
        <v>42326</v>
      </c>
      <c r="D131">
        <v>31</v>
      </c>
      <c r="E131" t="s">
        <v>9</v>
      </c>
    </row>
    <row r="132" spans="1:5" x14ac:dyDescent="0.25">
      <c r="A132" t="s">
        <v>13</v>
      </c>
      <c r="B132">
        <v>2382</v>
      </c>
      <c r="C132" s="3">
        <v>42326</v>
      </c>
      <c r="D132" t="s">
        <v>10</v>
      </c>
      <c r="E132" t="s">
        <v>10</v>
      </c>
    </row>
    <row r="133" spans="1:5" x14ac:dyDescent="0.25">
      <c r="A133" t="s">
        <v>13</v>
      </c>
      <c r="B133">
        <v>2381</v>
      </c>
      <c r="C133" s="3">
        <v>42326</v>
      </c>
      <c r="D133" t="s">
        <v>10</v>
      </c>
      <c r="E133" t="s">
        <v>10</v>
      </c>
    </row>
    <row r="134" spans="1:5" x14ac:dyDescent="0.25">
      <c r="A134" t="s">
        <v>13</v>
      </c>
      <c r="B134">
        <v>2380</v>
      </c>
      <c r="C134" s="3">
        <v>42326</v>
      </c>
      <c r="D134" t="s">
        <v>10</v>
      </c>
      <c r="E134" t="s">
        <v>10</v>
      </c>
    </row>
    <row r="135" spans="1:5" x14ac:dyDescent="0.25">
      <c r="A135" t="s">
        <v>13</v>
      </c>
      <c r="B135">
        <v>2380</v>
      </c>
      <c r="C135" s="3">
        <v>42325</v>
      </c>
      <c r="D135" t="s">
        <v>10</v>
      </c>
      <c r="E135" t="s">
        <v>10</v>
      </c>
    </row>
    <row r="136" spans="1:5" x14ac:dyDescent="0.25">
      <c r="A136" t="s">
        <v>13</v>
      </c>
      <c r="B136">
        <v>2389</v>
      </c>
      <c r="C136" s="3">
        <v>42325</v>
      </c>
      <c r="D136">
        <v>41</v>
      </c>
      <c r="E136" t="s">
        <v>9</v>
      </c>
    </row>
    <row r="137" spans="1:5" x14ac:dyDescent="0.25">
      <c r="A137" t="s">
        <v>13</v>
      </c>
      <c r="B137">
        <v>2388</v>
      </c>
      <c r="C137" s="3">
        <v>42325</v>
      </c>
      <c r="D137">
        <v>36</v>
      </c>
      <c r="E137" t="s">
        <v>9</v>
      </c>
    </row>
    <row r="138" spans="1:5" x14ac:dyDescent="0.25">
      <c r="A138" t="s">
        <v>13</v>
      </c>
      <c r="B138">
        <v>2387</v>
      </c>
      <c r="C138" s="3">
        <v>42325</v>
      </c>
      <c r="D138">
        <v>40</v>
      </c>
      <c r="E138" t="s">
        <v>9</v>
      </c>
    </row>
    <row r="139" spans="1:5" x14ac:dyDescent="0.25">
      <c r="A139" t="s">
        <v>13</v>
      </c>
      <c r="B139">
        <v>2386</v>
      </c>
      <c r="C139" s="3">
        <v>42325</v>
      </c>
      <c r="D139">
        <v>39</v>
      </c>
      <c r="E139" t="s">
        <v>9</v>
      </c>
    </row>
    <row r="140" spans="1:5" x14ac:dyDescent="0.25">
      <c r="A140" t="s">
        <v>13</v>
      </c>
      <c r="B140">
        <v>2385</v>
      </c>
      <c r="C140" s="3">
        <v>42325</v>
      </c>
      <c r="D140">
        <v>38</v>
      </c>
      <c r="E140" t="s">
        <v>9</v>
      </c>
    </row>
    <row r="141" spans="1:5" x14ac:dyDescent="0.25">
      <c r="A141" t="s">
        <v>13</v>
      </c>
      <c r="B141">
        <v>2384</v>
      </c>
      <c r="C141" s="3">
        <v>42325</v>
      </c>
      <c r="E141" t="s">
        <v>10</v>
      </c>
    </row>
    <row r="142" spans="1:5" x14ac:dyDescent="0.25">
      <c r="A142" t="s">
        <v>13</v>
      </c>
      <c r="B142">
        <v>2383</v>
      </c>
      <c r="C142" s="3">
        <v>42325</v>
      </c>
      <c r="D142">
        <v>44</v>
      </c>
      <c r="E142" t="s">
        <v>9</v>
      </c>
    </row>
    <row r="143" spans="1:5" x14ac:dyDescent="0.25">
      <c r="A143" t="s">
        <v>13</v>
      </c>
      <c r="B143">
        <v>2382</v>
      </c>
      <c r="C143" s="3">
        <v>42325</v>
      </c>
      <c r="D143">
        <v>45</v>
      </c>
      <c r="E143" t="s">
        <v>9</v>
      </c>
    </row>
    <row r="144" spans="1:5" x14ac:dyDescent="0.25">
      <c r="A144" t="s">
        <v>13</v>
      </c>
      <c r="B144">
        <v>2381</v>
      </c>
      <c r="C144" s="3">
        <v>42325</v>
      </c>
      <c r="D144">
        <v>42</v>
      </c>
      <c r="E144" t="s">
        <v>9</v>
      </c>
    </row>
    <row r="145" spans="1:5" x14ac:dyDescent="0.25">
      <c r="A145" t="s">
        <v>13</v>
      </c>
      <c r="B145">
        <v>2380</v>
      </c>
      <c r="C145" s="3">
        <v>42325</v>
      </c>
      <c r="D145">
        <v>47</v>
      </c>
      <c r="E145" t="s">
        <v>9</v>
      </c>
    </row>
    <row r="146" spans="1:5" x14ac:dyDescent="0.25">
      <c r="A146" t="s">
        <v>13</v>
      </c>
      <c r="B146">
        <v>2381</v>
      </c>
      <c r="C146" s="3">
        <v>42325</v>
      </c>
      <c r="E146" t="s">
        <v>9</v>
      </c>
    </row>
    <row r="147" spans="1:5" x14ac:dyDescent="0.25">
      <c r="A147" t="s">
        <v>13</v>
      </c>
      <c r="B147">
        <v>2380</v>
      </c>
      <c r="C147" s="3">
        <v>42325</v>
      </c>
      <c r="D147" t="s">
        <v>10</v>
      </c>
      <c r="E147" t="s">
        <v>10</v>
      </c>
    </row>
    <row r="148" spans="1:5" x14ac:dyDescent="0.25">
      <c r="A148" t="s">
        <v>13</v>
      </c>
      <c r="B148">
        <v>2380</v>
      </c>
      <c r="C148" s="3">
        <v>42325</v>
      </c>
      <c r="D148">
        <v>14</v>
      </c>
      <c r="E148" t="s">
        <v>9</v>
      </c>
    </row>
    <row r="149" spans="1:5" x14ac:dyDescent="0.25">
      <c r="A149" t="s">
        <v>13</v>
      </c>
      <c r="B149">
        <v>2380</v>
      </c>
      <c r="C149" s="3">
        <v>42324</v>
      </c>
      <c r="E149" t="s">
        <v>10</v>
      </c>
    </row>
    <row r="150" spans="1:5" x14ac:dyDescent="0.25">
      <c r="A150" t="s">
        <v>13</v>
      </c>
      <c r="B150">
        <v>2380</v>
      </c>
      <c r="C150" s="3">
        <v>42324</v>
      </c>
      <c r="E150" t="s">
        <v>10</v>
      </c>
    </row>
    <row r="151" spans="1:5" x14ac:dyDescent="0.25">
      <c r="A151" t="s">
        <v>13</v>
      </c>
      <c r="B151">
        <v>2380</v>
      </c>
      <c r="C151" s="3">
        <v>42324</v>
      </c>
      <c r="E151" t="s">
        <v>10</v>
      </c>
    </row>
    <row r="152" spans="1:5" x14ac:dyDescent="0.25">
      <c r="A152" t="s">
        <v>13</v>
      </c>
      <c r="B152">
        <v>2387</v>
      </c>
      <c r="C152" s="3">
        <v>42323</v>
      </c>
      <c r="E152" t="s">
        <v>10</v>
      </c>
    </row>
    <row r="153" spans="1:5" x14ac:dyDescent="0.25">
      <c r="A153" t="s">
        <v>13</v>
      </c>
      <c r="B153">
        <v>2386</v>
      </c>
      <c r="C153" s="3">
        <v>42323</v>
      </c>
      <c r="E153" t="s">
        <v>10</v>
      </c>
    </row>
    <row r="154" spans="1:5" x14ac:dyDescent="0.25">
      <c r="A154" t="s">
        <v>13</v>
      </c>
      <c r="B154">
        <v>2385</v>
      </c>
      <c r="C154" s="3">
        <v>42323</v>
      </c>
      <c r="E154" t="s">
        <v>9</v>
      </c>
    </row>
    <row r="155" spans="1:5" x14ac:dyDescent="0.25">
      <c r="A155" t="s">
        <v>13</v>
      </c>
      <c r="B155">
        <v>2384</v>
      </c>
      <c r="C155" s="3">
        <v>42323</v>
      </c>
      <c r="E155" t="s">
        <v>10</v>
      </c>
    </row>
    <row r="156" spans="1:5" x14ac:dyDescent="0.25">
      <c r="A156" t="s">
        <v>13</v>
      </c>
      <c r="B156">
        <v>2383</v>
      </c>
      <c r="C156" s="3">
        <v>42323</v>
      </c>
      <c r="D156">
        <v>45</v>
      </c>
      <c r="E156" t="s">
        <v>10</v>
      </c>
    </row>
    <row r="157" spans="1:5" x14ac:dyDescent="0.25">
      <c r="A157" t="s">
        <v>13</v>
      </c>
      <c r="B157">
        <v>2382</v>
      </c>
      <c r="C157" s="3">
        <v>42323</v>
      </c>
      <c r="E157" t="s">
        <v>10</v>
      </c>
    </row>
    <row r="158" spans="1:5" x14ac:dyDescent="0.25">
      <c r="A158" t="s">
        <v>13</v>
      </c>
      <c r="B158">
        <v>2381</v>
      </c>
      <c r="C158" s="3">
        <v>42323</v>
      </c>
      <c r="E158" t="s">
        <v>10</v>
      </c>
    </row>
    <row r="159" spans="1:5" x14ac:dyDescent="0.25">
      <c r="A159" t="s">
        <v>13</v>
      </c>
      <c r="B159">
        <v>2380</v>
      </c>
      <c r="C159" s="3">
        <v>42323</v>
      </c>
      <c r="E159" t="s">
        <v>10</v>
      </c>
    </row>
    <row r="160" spans="1:5" x14ac:dyDescent="0.25">
      <c r="A160" t="s">
        <v>13</v>
      </c>
      <c r="B160">
        <v>2831</v>
      </c>
      <c r="C160" s="3">
        <v>42323</v>
      </c>
      <c r="E160" t="s">
        <v>10</v>
      </c>
    </row>
    <row r="161" spans="1:5" x14ac:dyDescent="0.25">
      <c r="A161" t="s">
        <v>13</v>
      </c>
      <c r="B161">
        <v>2830</v>
      </c>
      <c r="C161" s="3">
        <v>42323</v>
      </c>
      <c r="E161" t="s">
        <v>9</v>
      </c>
    </row>
    <row r="162" spans="1:5" x14ac:dyDescent="0.25">
      <c r="A162" t="s">
        <v>13</v>
      </c>
      <c r="B162">
        <v>2380</v>
      </c>
      <c r="C162" s="3">
        <v>42322</v>
      </c>
      <c r="D162">
        <v>2</v>
      </c>
      <c r="E162" t="s">
        <v>9</v>
      </c>
    </row>
    <row r="163" spans="1:5" x14ac:dyDescent="0.25">
      <c r="A163" t="s">
        <v>13</v>
      </c>
      <c r="B163">
        <v>2393</v>
      </c>
      <c r="C163" s="3">
        <v>42322</v>
      </c>
      <c r="D163">
        <v>44</v>
      </c>
      <c r="E163" t="s">
        <v>9</v>
      </c>
    </row>
    <row r="164" spans="1:5" x14ac:dyDescent="0.25">
      <c r="A164" t="s">
        <v>13</v>
      </c>
      <c r="B164">
        <v>2383</v>
      </c>
      <c r="C164" s="3">
        <v>42322</v>
      </c>
      <c r="D164" t="s">
        <v>18</v>
      </c>
      <c r="E164" t="s">
        <v>10</v>
      </c>
    </row>
    <row r="165" spans="1:5" x14ac:dyDescent="0.25">
      <c r="A165" t="s">
        <v>13</v>
      </c>
      <c r="B165">
        <v>2392</v>
      </c>
      <c r="C165" s="3">
        <v>42322</v>
      </c>
      <c r="E165" t="s">
        <v>9</v>
      </c>
    </row>
    <row r="166" spans="1:5" x14ac:dyDescent="0.25">
      <c r="A166" t="s">
        <v>13</v>
      </c>
      <c r="B166">
        <v>2391</v>
      </c>
      <c r="C166" s="3">
        <v>42322</v>
      </c>
      <c r="D166">
        <v>19</v>
      </c>
      <c r="E166" t="s">
        <v>9</v>
      </c>
    </row>
    <row r="167" spans="1:5" x14ac:dyDescent="0.25">
      <c r="A167" t="s">
        <v>13</v>
      </c>
      <c r="B167">
        <v>2389</v>
      </c>
      <c r="C167" s="3">
        <v>42322</v>
      </c>
      <c r="D167">
        <v>56</v>
      </c>
      <c r="E167" t="s">
        <v>9</v>
      </c>
    </row>
    <row r="168" spans="1:5" x14ac:dyDescent="0.25">
      <c r="A168" t="s">
        <v>13</v>
      </c>
      <c r="B168">
        <v>2388</v>
      </c>
      <c r="C168" s="3">
        <v>42322</v>
      </c>
      <c r="D168" t="s">
        <v>19</v>
      </c>
      <c r="E168" t="s">
        <v>11</v>
      </c>
    </row>
    <row r="169" spans="1:5" x14ac:dyDescent="0.25">
      <c r="A169" t="s">
        <v>13</v>
      </c>
      <c r="B169">
        <v>2387</v>
      </c>
      <c r="C169" s="3">
        <v>42322</v>
      </c>
      <c r="D169" t="s">
        <v>18</v>
      </c>
      <c r="E169" t="s">
        <v>10</v>
      </c>
    </row>
    <row r="170" spans="1:5" x14ac:dyDescent="0.25">
      <c r="A170" t="s">
        <v>13</v>
      </c>
      <c r="B170">
        <v>2390</v>
      </c>
      <c r="C170" s="3">
        <v>42322</v>
      </c>
      <c r="D170">
        <v>20</v>
      </c>
      <c r="E170" t="s">
        <v>9</v>
      </c>
    </row>
    <row r="171" spans="1:5" x14ac:dyDescent="0.25">
      <c r="A171" t="s">
        <v>13</v>
      </c>
      <c r="B171">
        <v>2386</v>
      </c>
      <c r="C171" s="3">
        <v>42322</v>
      </c>
      <c r="D171">
        <v>40</v>
      </c>
      <c r="E171" t="s">
        <v>9</v>
      </c>
    </row>
    <row r="172" spans="1:5" x14ac:dyDescent="0.25">
      <c r="A172" t="s">
        <v>13</v>
      </c>
      <c r="B172">
        <v>2385</v>
      </c>
      <c r="C172" s="3">
        <v>42322</v>
      </c>
      <c r="D172">
        <v>55</v>
      </c>
      <c r="E172" t="s">
        <v>9</v>
      </c>
    </row>
    <row r="173" spans="1:5" x14ac:dyDescent="0.25">
      <c r="A173" t="s">
        <v>13</v>
      </c>
      <c r="B173">
        <v>2384</v>
      </c>
      <c r="C173" s="3">
        <v>42322</v>
      </c>
      <c r="D173">
        <v>54</v>
      </c>
      <c r="E173" t="s">
        <v>9</v>
      </c>
    </row>
    <row r="174" spans="1:5" x14ac:dyDescent="0.25">
      <c r="A174" t="s">
        <v>13</v>
      </c>
      <c r="B174">
        <v>2383</v>
      </c>
      <c r="C174" s="3">
        <v>42322</v>
      </c>
      <c r="D174">
        <v>53</v>
      </c>
      <c r="E174" t="s">
        <v>9</v>
      </c>
    </row>
    <row r="175" spans="1:5" x14ac:dyDescent="0.25">
      <c r="A175" t="s">
        <v>13</v>
      </c>
      <c r="B175">
        <v>2382</v>
      </c>
      <c r="C175" s="3">
        <v>42322</v>
      </c>
      <c r="D175">
        <v>18</v>
      </c>
      <c r="E175" t="s">
        <v>9</v>
      </c>
    </row>
    <row r="176" spans="1:5" x14ac:dyDescent="0.25">
      <c r="A176" t="s">
        <v>13</v>
      </c>
      <c r="B176">
        <v>2381</v>
      </c>
      <c r="C176" s="3">
        <v>42322</v>
      </c>
      <c r="D176">
        <v>52</v>
      </c>
      <c r="E176" t="s">
        <v>9</v>
      </c>
    </row>
    <row r="177" spans="1:5" x14ac:dyDescent="0.25">
      <c r="A177" t="s">
        <v>13</v>
      </c>
      <c r="B177">
        <v>2380</v>
      </c>
      <c r="C177" s="3">
        <v>42322</v>
      </c>
      <c r="D177">
        <v>46</v>
      </c>
      <c r="E177" t="s">
        <v>9</v>
      </c>
    </row>
    <row r="178" spans="1:5" x14ac:dyDescent="0.25">
      <c r="A178" t="s">
        <v>13</v>
      </c>
      <c r="B178">
        <v>2386</v>
      </c>
      <c r="C178" s="3">
        <v>42322</v>
      </c>
      <c r="D178">
        <v>50</v>
      </c>
      <c r="E178" t="s">
        <v>9</v>
      </c>
    </row>
    <row r="179" spans="1:5" x14ac:dyDescent="0.25">
      <c r="A179" t="s">
        <v>13</v>
      </c>
      <c r="B179">
        <v>2385</v>
      </c>
      <c r="C179" s="3">
        <v>42322</v>
      </c>
      <c r="E179" t="s">
        <v>10</v>
      </c>
    </row>
    <row r="180" spans="1:5" x14ac:dyDescent="0.25">
      <c r="A180" t="s">
        <v>13</v>
      </c>
      <c r="B180">
        <v>2384</v>
      </c>
      <c r="C180" s="3">
        <v>42322</v>
      </c>
      <c r="D180">
        <v>11</v>
      </c>
      <c r="E180" t="s">
        <v>9</v>
      </c>
    </row>
    <row r="181" spans="1:5" x14ac:dyDescent="0.25">
      <c r="A181" t="s">
        <v>13</v>
      </c>
      <c r="B181">
        <v>2383</v>
      </c>
      <c r="C181" s="3">
        <v>42322</v>
      </c>
      <c r="D181">
        <v>30</v>
      </c>
      <c r="E181" t="s">
        <v>9</v>
      </c>
    </row>
    <row r="182" spans="1:5" x14ac:dyDescent="0.25">
      <c r="A182" t="s">
        <v>13</v>
      </c>
      <c r="B182">
        <v>2382</v>
      </c>
      <c r="C182" s="3">
        <v>42322</v>
      </c>
      <c r="D182">
        <v>29</v>
      </c>
      <c r="E182" t="s">
        <v>9</v>
      </c>
    </row>
    <row r="183" spans="1:5" x14ac:dyDescent="0.25">
      <c r="A183" t="s">
        <v>13</v>
      </c>
      <c r="B183">
        <v>2381</v>
      </c>
      <c r="C183" s="3">
        <v>42322</v>
      </c>
      <c r="D183">
        <v>28</v>
      </c>
      <c r="E183" t="s">
        <v>9</v>
      </c>
    </row>
    <row r="184" spans="1:5" x14ac:dyDescent="0.25">
      <c r="A184" t="s">
        <v>13</v>
      </c>
      <c r="B184">
        <v>2380</v>
      </c>
      <c r="C184" s="3">
        <v>42322</v>
      </c>
      <c r="D184">
        <v>45</v>
      </c>
      <c r="E184" t="s">
        <v>9</v>
      </c>
    </row>
    <row r="185" spans="1:5" x14ac:dyDescent="0.25">
      <c r="A185" t="s">
        <v>13</v>
      </c>
      <c r="B185">
        <v>2386</v>
      </c>
      <c r="C185" s="3">
        <v>42321</v>
      </c>
      <c r="E185" t="s">
        <v>9</v>
      </c>
    </row>
    <row r="186" spans="1:5" x14ac:dyDescent="0.25">
      <c r="A186" t="s">
        <v>13</v>
      </c>
      <c r="B186">
        <v>2385</v>
      </c>
      <c r="C186" s="3">
        <v>42321</v>
      </c>
      <c r="E186" t="s">
        <v>10</v>
      </c>
    </row>
    <row r="187" spans="1:5" x14ac:dyDescent="0.25">
      <c r="A187" t="s">
        <v>13</v>
      </c>
      <c r="B187">
        <v>2384</v>
      </c>
      <c r="C187" s="3">
        <v>42321</v>
      </c>
      <c r="D187">
        <v>5</v>
      </c>
      <c r="E187" t="s">
        <v>9</v>
      </c>
    </row>
    <row r="188" spans="1:5" x14ac:dyDescent="0.25">
      <c r="A188" t="s">
        <v>13</v>
      </c>
      <c r="B188">
        <v>2383</v>
      </c>
      <c r="C188" s="3">
        <v>42321</v>
      </c>
      <c r="E188" t="s">
        <v>9</v>
      </c>
    </row>
    <row r="189" spans="1:5" x14ac:dyDescent="0.25">
      <c r="A189" t="s">
        <v>13</v>
      </c>
      <c r="B189">
        <v>2382</v>
      </c>
      <c r="C189" s="3">
        <v>42321</v>
      </c>
      <c r="D189">
        <v>8</v>
      </c>
      <c r="E189" t="s">
        <v>9</v>
      </c>
    </row>
    <row r="190" spans="1:5" x14ac:dyDescent="0.25">
      <c r="A190" t="s">
        <v>13</v>
      </c>
      <c r="B190">
        <v>2381</v>
      </c>
      <c r="C190" s="3">
        <v>42321</v>
      </c>
      <c r="E190" t="s">
        <v>10</v>
      </c>
    </row>
    <row r="191" spans="1:5" x14ac:dyDescent="0.25">
      <c r="A191" t="s">
        <v>13</v>
      </c>
      <c r="B191">
        <v>2380</v>
      </c>
      <c r="C191" s="3">
        <v>42321</v>
      </c>
      <c r="E191" t="s">
        <v>10</v>
      </c>
    </row>
    <row r="192" spans="1:5" x14ac:dyDescent="0.25">
      <c r="A192" t="s">
        <v>13</v>
      </c>
      <c r="B192">
        <v>2387</v>
      </c>
      <c r="C192" s="3">
        <v>42321</v>
      </c>
      <c r="E192" t="s">
        <v>9</v>
      </c>
    </row>
    <row r="193" spans="1:5" x14ac:dyDescent="0.25">
      <c r="A193" t="s">
        <v>13</v>
      </c>
      <c r="B193">
        <v>2386</v>
      </c>
      <c r="C193" s="3">
        <v>42321</v>
      </c>
      <c r="D193">
        <v>60</v>
      </c>
      <c r="E193" t="s">
        <v>9</v>
      </c>
    </row>
    <row r="194" spans="1:5" x14ac:dyDescent="0.25">
      <c r="A194" t="s">
        <v>13</v>
      </c>
      <c r="B194">
        <v>2385</v>
      </c>
      <c r="C194" s="3">
        <v>42321</v>
      </c>
      <c r="D194">
        <v>68</v>
      </c>
      <c r="E194" t="s">
        <v>9</v>
      </c>
    </row>
    <row r="195" spans="1:5" x14ac:dyDescent="0.25">
      <c r="A195" t="s">
        <v>13</v>
      </c>
      <c r="B195">
        <v>2384</v>
      </c>
      <c r="C195" s="3">
        <v>42321</v>
      </c>
      <c r="D195">
        <v>67</v>
      </c>
      <c r="E195" t="s">
        <v>9</v>
      </c>
    </row>
    <row r="196" spans="1:5" x14ac:dyDescent="0.25">
      <c r="A196" t="s">
        <v>13</v>
      </c>
      <c r="B196">
        <v>2383</v>
      </c>
      <c r="C196" s="3">
        <v>42321</v>
      </c>
      <c r="D196">
        <v>22</v>
      </c>
      <c r="E196" t="s">
        <v>9</v>
      </c>
    </row>
    <row r="197" spans="1:5" x14ac:dyDescent="0.25">
      <c r="A197" t="s">
        <v>13</v>
      </c>
      <c r="B197">
        <v>2382</v>
      </c>
      <c r="C197" s="3">
        <v>42321</v>
      </c>
      <c r="D197" t="s">
        <v>10</v>
      </c>
      <c r="E197" t="s">
        <v>10</v>
      </c>
    </row>
    <row r="198" spans="1:5" x14ac:dyDescent="0.25">
      <c r="A198" t="s">
        <v>13</v>
      </c>
      <c r="B198">
        <v>2381</v>
      </c>
      <c r="C198" s="3">
        <v>42321</v>
      </c>
      <c r="D198" t="s">
        <v>10</v>
      </c>
      <c r="E198" t="s">
        <v>10</v>
      </c>
    </row>
    <row r="199" spans="1:5" x14ac:dyDescent="0.25">
      <c r="A199" t="s">
        <v>13</v>
      </c>
      <c r="B199">
        <v>2380</v>
      </c>
      <c r="C199" s="3">
        <v>42321</v>
      </c>
      <c r="D199" t="s">
        <v>10</v>
      </c>
      <c r="E199" t="s">
        <v>10</v>
      </c>
    </row>
    <row r="200" spans="1:5" x14ac:dyDescent="0.25">
      <c r="A200" t="s">
        <v>13</v>
      </c>
      <c r="B200">
        <v>2382</v>
      </c>
      <c r="C200" s="3">
        <v>42320</v>
      </c>
      <c r="D200" t="s">
        <v>10</v>
      </c>
      <c r="E200" t="s">
        <v>10</v>
      </c>
    </row>
    <row r="201" spans="1:5" x14ac:dyDescent="0.25">
      <c r="A201" t="s">
        <v>13</v>
      </c>
      <c r="B201">
        <v>2381</v>
      </c>
      <c r="C201" s="3">
        <v>42320</v>
      </c>
      <c r="D201" t="s">
        <v>10</v>
      </c>
      <c r="E201" t="s">
        <v>10</v>
      </c>
    </row>
    <row r="202" spans="1:5" x14ac:dyDescent="0.25">
      <c r="A202" t="s">
        <v>13</v>
      </c>
      <c r="B202">
        <v>2380</v>
      </c>
      <c r="C202" s="3">
        <v>42320</v>
      </c>
      <c r="D202">
        <v>1</v>
      </c>
      <c r="E202" t="s">
        <v>10</v>
      </c>
    </row>
    <row r="203" spans="1:5" x14ac:dyDescent="0.25">
      <c r="A203" t="s">
        <v>13</v>
      </c>
      <c r="B203">
        <v>2301</v>
      </c>
      <c r="C203" s="3">
        <v>42320</v>
      </c>
      <c r="E203" t="s">
        <v>9</v>
      </c>
    </row>
    <row r="204" spans="1:5" x14ac:dyDescent="0.25">
      <c r="A204" t="s">
        <v>13</v>
      </c>
      <c r="B204">
        <v>2380</v>
      </c>
      <c r="C204" s="3">
        <v>42320</v>
      </c>
      <c r="E204" t="s">
        <v>10</v>
      </c>
    </row>
    <row r="205" spans="1:5" x14ac:dyDescent="0.25">
      <c r="A205" t="s">
        <v>13</v>
      </c>
      <c r="B205">
        <v>2386</v>
      </c>
      <c r="C205" s="3">
        <v>42319</v>
      </c>
      <c r="D205" t="s">
        <v>10</v>
      </c>
      <c r="E205" t="s">
        <v>10</v>
      </c>
    </row>
    <row r="206" spans="1:5" x14ac:dyDescent="0.25">
      <c r="A206" t="s">
        <v>13</v>
      </c>
      <c r="B206">
        <v>2385</v>
      </c>
      <c r="C206" s="3">
        <v>42319</v>
      </c>
      <c r="D206">
        <v>32</v>
      </c>
      <c r="E206" t="s">
        <v>9</v>
      </c>
    </row>
    <row r="207" spans="1:5" x14ac:dyDescent="0.25">
      <c r="A207" t="s">
        <v>13</v>
      </c>
      <c r="B207">
        <v>2384</v>
      </c>
      <c r="C207" s="3">
        <v>42319</v>
      </c>
      <c r="D207">
        <v>33</v>
      </c>
      <c r="E207" t="s">
        <v>9</v>
      </c>
    </row>
    <row r="208" spans="1:5" x14ac:dyDescent="0.25">
      <c r="A208" t="s">
        <v>13</v>
      </c>
      <c r="B208">
        <v>2383</v>
      </c>
      <c r="C208" s="3">
        <v>42319</v>
      </c>
      <c r="D208" t="s">
        <v>10</v>
      </c>
      <c r="E208" t="s">
        <v>10</v>
      </c>
    </row>
    <row r="209" spans="1:5" x14ac:dyDescent="0.25">
      <c r="A209" t="s">
        <v>13</v>
      </c>
      <c r="B209">
        <v>2382</v>
      </c>
      <c r="C209" s="3">
        <v>42319</v>
      </c>
      <c r="D209">
        <v>38</v>
      </c>
      <c r="E209" t="s">
        <v>9</v>
      </c>
    </row>
    <row r="210" spans="1:5" x14ac:dyDescent="0.25">
      <c r="A210" t="s">
        <v>13</v>
      </c>
      <c r="B210">
        <v>2381</v>
      </c>
      <c r="C210" s="3">
        <v>42319</v>
      </c>
      <c r="D210">
        <v>36</v>
      </c>
      <c r="E210" t="s">
        <v>9</v>
      </c>
    </row>
    <row r="211" spans="1:5" x14ac:dyDescent="0.25">
      <c r="A211" t="s">
        <v>13</v>
      </c>
      <c r="B211">
        <v>2380</v>
      </c>
      <c r="C211" s="3">
        <v>42319</v>
      </c>
      <c r="D211" t="s">
        <v>10</v>
      </c>
      <c r="E211" t="s">
        <v>10</v>
      </c>
    </row>
    <row r="212" spans="1:5" x14ac:dyDescent="0.25">
      <c r="A212" t="s">
        <v>13</v>
      </c>
      <c r="B212">
        <v>2380</v>
      </c>
      <c r="C212" s="3">
        <v>42318</v>
      </c>
      <c r="D212">
        <v>14</v>
      </c>
      <c r="E212" t="s">
        <v>9</v>
      </c>
    </row>
    <row r="213" spans="1:5" x14ac:dyDescent="0.25">
      <c r="A213" t="s">
        <v>13</v>
      </c>
      <c r="B213">
        <v>2380</v>
      </c>
      <c r="C213" s="3">
        <v>42317</v>
      </c>
      <c r="D213" t="s">
        <v>18</v>
      </c>
      <c r="E213" t="s">
        <v>10</v>
      </c>
    </row>
    <row r="214" spans="1:5" x14ac:dyDescent="0.25">
      <c r="A214" t="s">
        <v>13</v>
      </c>
      <c r="B214">
        <v>2380</v>
      </c>
      <c r="C214" s="3">
        <v>42317</v>
      </c>
      <c r="D214" t="s">
        <v>10</v>
      </c>
      <c r="E214" t="s">
        <v>10</v>
      </c>
    </row>
    <row r="215" spans="1:5" x14ac:dyDescent="0.25">
      <c r="A215" t="s">
        <v>13</v>
      </c>
      <c r="B215">
        <v>2380</v>
      </c>
      <c r="C215" s="3">
        <v>42317</v>
      </c>
      <c r="E215" t="s">
        <v>10</v>
      </c>
    </row>
    <row r="216" spans="1:5" x14ac:dyDescent="0.25">
      <c r="A216" t="s">
        <v>13</v>
      </c>
      <c r="B216">
        <v>2381</v>
      </c>
      <c r="C216" s="3">
        <v>42317</v>
      </c>
      <c r="E216" t="s">
        <v>10</v>
      </c>
    </row>
    <row r="217" spans="1:5" x14ac:dyDescent="0.25">
      <c r="A217" t="s">
        <v>13</v>
      </c>
      <c r="B217">
        <v>2382</v>
      </c>
      <c r="C217" s="3">
        <v>42316</v>
      </c>
      <c r="D217">
        <v>25</v>
      </c>
      <c r="E217" t="s">
        <v>9</v>
      </c>
    </row>
    <row r="218" spans="1:5" x14ac:dyDescent="0.25">
      <c r="A218" t="s">
        <v>13</v>
      </c>
      <c r="B218">
        <v>2381</v>
      </c>
      <c r="C218" s="3">
        <v>42316</v>
      </c>
      <c r="D218">
        <v>50</v>
      </c>
      <c r="E218" t="s">
        <v>9</v>
      </c>
    </row>
    <row r="219" spans="1:5" x14ac:dyDescent="0.25">
      <c r="A219" t="s">
        <v>13</v>
      </c>
      <c r="B219">
        <v>2380</v>
      </c>
      <c r="C219" s="3">
        <v>42316</v>
      </c>
      <c r="D219" t="s">
        <v>10</v>
      </c>
      <c r="E219" t="s">
        <v>10</v>
      </c>
    </row>
    <row r="220" spans="1:5" x14ac:dyDescent="0.25">
      <c r="A220" t="s">
        <v>13</v>
      </c>
      <c r="B220">
        <v>2385</v>
      </c>
      <c r="C220" s="3">
        <v>42316</v>
      </c>
      <c r="D220">
        <v>31</v>
      </c>
      <c r="E220" t="s">
        <v>9</v>
      </c>
    </row>
    <row r="221" spans="1:5" x14ac:dyDescent="0.25">
      <c r="A221" t="s">
        <v>13</v>
      </c>
      <c r="B221">
        <v>2384</v>
      </c>
      <c r="C221" s="3">
        <v>42316</v>
      </c>
      <c r="D221">
        <v>32</v>
      </c>
      <c r="E221" t="s">
        <v>9</v>
      </c>
    </row>
    <row r="222" spans="1:5" x14ac:dyDescent="0.25">
      <c r="A222" t="s">
        <v>13</v>
      </c>
      <c r="B222">
        <v>2383</v>
      </c>
      <c r="C222" s="3">
        <v>42316</v>
      </c>
      <c r="E222" t="s">
        <v>10</v>
      </c>
    </row>
    <row r="223" spans="1:5" x14ac:dyDescent="0.25">
      <c r="A223" t="s">
        <v>13</v>
      </c>
      <c r="B223">
        <v>2382</v>
      </c>
      <c r="C223" s="3">
        <v>42316</v>
      </c>
      <c r="E223" t="s">
        <v>10</v>
      </c>
    </row>
    <row r="224" spans="1:5" x14ac:dyDescent="0.25">
      <c r="A224" t="s">
        <v>13</v>
      </c>
      <c r="B224">
        <v>2381</v>
      </c>
      <c r="C224" s="3">
        <v>42316</v>
      </c>
      <c r="E224" t="s">
        <v>10</v>
      </c>
    </row>
    <row r="225" spans="1:5" x14ac:dyDescent="0.25">
      <c r="A225" t="s">
        <v>13</v>
      </c>
      <c r="B225">
        <v>2380</v>
      </c>
      <c r="C225" s="3">
        <v>42316</v>
      </c>
      <c r="D225" t="s">
        <v>10</v>
      </c>
      <c r="E225" t="s">
        <v>10</v>
      </c>
    </row>
    <row r="226" spans="1:5" x14ac:dyDescent="0.25">
      <c r="A226" t="s">
        <v>13</v>
      </c>
      <c r="B226">
        <v>2389</v>
      </c>
      <c r="C226" s="3">
        <v>42315</v>
      </c>
      <c r="D226">
        <v>59</v>
      </c>
      <c r="E226" t="s">
        <v>9</v>
      </c>
    </row>
    <row r="227" spans="1:5" x14ac:dyDescent="0.25">
      <c r="A227" t="s">
        <v>13</v>
      </c>
      <c r="B227">
        <v>2388</v>
      </c>
      <c r="C227" s="3">
        <v>42315</v>
      </c>
      <c r="E227" t="s">
        <v>10</v>
      </c>
    </row>
    <row r="228" spans="1:5" x14ac:dyDescent="0.25">
      <c r="A228" t="s">
        <v>13</v>
      </c>
      <c r="B228">
        <v>2387</v>
      </c>
      <c r="C228" s="3">
        <v>42315</v>
      </c>
      <c r="D228">
        <v>29</v>
      </c>
      <c r="E228" t="s">
        <v>9</v>
      </c>
    </row>
    <row r="229" spans="1:5" x14ac:dyDescent="0.25">
      <c r="A229" t="s">
        <v>13</v>
      </c>
      <c r="B229">
        <v>2386</v>
      </c>
      <c r="C229" s="3">
        <v>42315</v>
      </c>
      <c r="D229">
        <v>20</v>
      </c>
      <c r="E229" t="s">
        <v>9</v>
      </c>
    </row>
    <row r="230" spans="1:5" x14ac:dyDescent="0.25">
      <c r="A230" t="s">
        <v>13</v>
      </c>
      <c r="B230">
        <v>2385</v>
      </c>
      <c r="C230" s="3">
        <v>42315</v>
      </c>
      <c r="D230">
        <v>45</v>
      </c>
      <c r="E230" t="s">
        <v>9</v>
      </c>
    </row>
    <row r="231" spans="1:5" x14ac:dyDescent="0.25">
      <c r="A231" t="s">
        <v>13</v>
      </c>
      <c r="B231">
        <v>2384</v>
      </c>
      <c r="C231" s="3">
        <v>42315</v>
      </c>
      <c r="E231" t="s">
        <v>10</v>
      </c>
    </row>
    <row r="232" spans="1:5" x14ac:dyDescent="0.25">
      <c r="A232" t="s">
        <v>13</v>
      </c>
      <c r="B232">
        <v>2383</v>
      </c>
      <c r="C232" s="3">
        <v>42315</v>
      </c>
      <c r="E232" t="s">
        <v>10</v>
      </c>
    </row>
    <row r="233" spans="1:5" x14ac:dyDescent="0.25">
      <c r="A233" t="s">
        <v>13</v>
      </c>
      <c r="B233">
        <v>2382</v>
      </c>
      <c r="C233" s="3">
        <v>42315</v>
      </c>
      <c r="E233" t="s">
        <v>10</v>
      </c>
    </row>
    <row r="234" spans="1:5" x14ac:dyDescent="0.25">
      <c r="A234" t="s">
        <v>13</v>
      </c>
      <c r="B234">
        <v>2381</v>
      </c>
      <c r="C234" s="3">
        <v>42315</v>
      </c>
      <c r="D234">
        <v>23</v>
      </c>
      <c r="E234" t="s">
        <v>9</v>
      </c>
    </row>
    <row r="235" spans="1:5" x14ac:dyDescent="0.25">
      <c r="A235" t="s">
        <v>13</v>
      </c>
      <c r="B235">
        <v>2380</v>
      </c>
      <c r="C235" s="3">
        <v>42315</v>
      </c>
      <c r="D235">
        <v>33</v>
      </c>
      <c r="E235" t="s">
        <v>9</v>
      </c>
    </row>
    <row r="236" spans="1:5" x14ac:dyDescent="0.25">
      <c r="A236" t="s">
        <v>13</v>
      </c>
      <c r="B236">
        <v>2384</v>
      </c>
      <c r="C236" s="3">
        <v>42315</v>
      </c>
      <c r="D236">
        <v>33</v>
      </c>
      <c r="E236" t="s">
        <v>9</v>
      </c>
    </row>
    <row r="237" spans="1:5" x14ac:dyDescent="0.25">
      <c r="A237" t="s">
        <v>13</v>
      </c>
      <c r="B237">
        <v>2383</v>
      </c>
      <c r="C237" s="3">
        <v>42315</v>
      </c>
      <c r="D237">
        <v>44</v>
      </c>
      <c r="E237" t="s">
        <v>9</v>
      </c>
    </row>
    <row r="238" spans="1:5" x14ac:dyDescent="0.25">
      <c r="A238" t="s">
        <v>13</v>
      </c>
      <c r="B238">
        <v>2382</v>
      </c>
      <c r="C238" s="3">
        <v>42315</v>
      </c>
      <c r="D238">
        <v>45</v>
      </c>
      <c r="E238" t="s">
        <v>9</v>
      </c>
    </row>
    <row r="239" spans="1:5" x14ac:dyDescent="0.25">
      <c r="A239" t="s">
        <v>13</v>
      </c>
      <c r="B239">
        <v>2381</v>
      </c>
      <c r="C239" s="3">
        <v>42315</v>
      </c>
      <c r="D239">
        <v>46</v>
      </c>
      <c r="E239" t="s">
        <v>9</v>
      </c>
    </row>
    <row r="240" spans="1:5" x14ac:dyDescent="0.25">
      <c r="A240" t="s">
        <v>13</v>
      </c>
      <c r="B240">
        <v>2380</v>
      </c>
      <c r="C240" s="3">
        <v>42315</v>
      </c>
      <c r="D240">
        <v>45</v>
      </c>
      <c r="E240" t="s">
        <v>9</v>
      </c>
    </row>
    <row r="241" spans="1:5" x14ac:dyDescent="0.25">
      <c r="A241" t="s">
        <v>13</v>
      </c>
      <c r="B241">
        <v>2380</v>
      </c>
      <c r="C241" s="3">
        <v>42314</v>
      </c>
      <c r="D241">
        <v>7</v>
      </c>
      <c r="E241" t="s">
        <v>9</v>
      </c>
    </row>
    <row r="242" spans="1:5" x14ac:dyDescent="0.25">
      <c r="A242" t="s">
        <v>13</v>
      </c>
      <c r="B242">
        <v>2392</v>
      </c>
      <c r="C242" s="3">
        <v>42314</v>
      </c>
      <c r="D242">
        <v>54</v>
      </c>
      <c r="E242" t="s">
        <v>9</v>
      </c>
    </row>
    <row r="243" spans="1:5" x14ac:dyDescent="0.25">
      <c r="A243" t="s">
        <v>13</v>
      </c>
      <c r="B243">
        <v>2391</v>
      </c>
      <c r="C243" s="3">
        <v>42314</v>
      </c>
      <c r="D243" t="s">
        <v>10</v>
      </c>
      <c r="E243" t="s">
        <v>10</v>
      </c>
    </row>
    <row r="244" spans="1:5" x14ac:dyDescent="0.25">
      <c r="A244" t="s">
        <v>13</v>
      </c>
      <c r="B244">
        <v>2390</v>
      </c>
      <c r="C244" s="3">
        <v>42314</v>
      </c>
      <c r="D244">
        <v>47</v>
      </c>
      <c r="E244" t="s">
        <v>9</v>
      </c>
    </row>
    <row r="245" spans="1:5" x14ac:dyDescent="0.25">
      <c r="A245" t="s">
        <v>13</v>
      </c>
      <c r="B245">
        <v>2389</v>
      </c>
      <c r="C245" s="3">
        <v>42314</v>
      </c>
      <c r="D245">
        <v>21</v>
      </c>
      <c r="E245" t="s">
        <v>9</v>
      </c>
    </row>
    <row r="246" spans="1:5" x14ac:dyDescent="0.25">
      <c r="A246" t="s">
        <v>13</v>
      </c>
      <c r="B246">
        <v>2384</v>
      </c>
      <c r="C246" s="3">
        <v>42314</v>
      </c>
      <c r="D246">
        <v>12</v>
      </c>
      <c r="E246" t="s">
        <v>9</v>
      </c>
    </row>
    <row r="247" spans="1:5" x14ac:dyDescent="0.25">
      <c r="A247" t="s">
        <v>13</v>
      </c>
      <c r="B247">
        <v>2388</v>
      </c>
      <c r="C247" s="3">
        <v>42314</v>
      </c>
      <c r="D247">
        <v>9</v>
      </c>
      <c r="E247" t="s">
        <v>9</v>
      </c>
    </row>
    <row r="248" spans="1:5" x14ac:dyDescent="0.25">
      <c r="A248" t="s">
        <v>13</v>
      </c>
      <c r="B248">
        <v>2387</v>
      </c>
      <c r="C248" s="3">
        <v>42314</v>
      </c>
      <c r="D248">
        <v>49</v>
      </c>
      <c r="E248" t="s">
        <v>9</v>
      </c>
    </row>
    <row r="249" spans="1:5" x14ac:dyDescent="0.25">
      <c r="A249" t="s">
        <v>13</v>
      </c>
      <c r="B249">
        <v>2386</v>
      </c>
      <c r="C249" s="3">
        <v>42314</v>
      </c>
      <c r="D249">
        <v>7</v>
      </c>
      <c r="E249" t="s">
        <v>9</v>
      </c>
    </row>
    <row r="250" spans="1:5" x14ac:dyDescent="0.25">
      <c r="A250" t="s">
        <v>13</v>
      </c>
      <c r="B250">
        <v>2385</v>
      </c>
      <c r="C250" s="3">
        <v>42314</v>
      </c>
      <c r="E250" t="s">
        <v>10</v>
      </c>
    </row>
    <row r="251" spans="1:5" x14ac:dyDescent="0.25">
      <c r="A251" t="s">
        <v>13</v>
      </c>
      <c r="B251">
        <v>2384</v>
      </c>
      <c r="C251" s="3">
        <v>42314</v>
      </c>
      <c r="D251" t="s">
        <v>14</v>
      </c>
      <c r="E251" t="s">
        <v>9</v>
      </c>
    </row>
    <row r="252" spans="1:5" x14ac:dyDescent="0.25">
      <c r="A252" t="s">
        <v>13</v>
      </c>
      <c r="B252">
        <v>2383</v>
      </c>
      <c r="C252" s="3">
        <v>42314</v>
      </c>
      <c r="E252" t="s">
        <v>9</v>
      </c>
    </row>
    <row r="253" spans="1:5" x14ac:dyDescent="0.25">
      <c r="A253" t="s">
        <v>13</v>
      </c>
      <c r="B253">
        <v>2382</v>
      </c>
      <c r="C253" s="3">
        <v>42314</v>
      </c>
      <c r="D253">
        <v>5</v>
      </c>
      <c r="E253" t="s">
        <v>9</v>
      </c>
    </row>
    <row r="254" spans="1:5" x14ac:dyDescent="0.25">
      <c r="A254" t="s">
        <v>13</v>
      </c>
      <c r="B254">
        <v>2381</v>
      </c>
      <c r="C254" s="3">
        <v>42314</v>
      </c>
      <c r="D254">
        <v>46</v>
      </c>
      <c r="E254" t="s">
        <v>9</v>
      </c>
    </row>
    <row r="255" spans="1:5" x14ac:dyDescent="0.25">
      <c r="A255" t="s">
        <v>13</v>
      </c>
      <c r="B255">
        <v>2380</v>
      </c>
      <c r="C255" s="3">
        <v>42314</v>
      </c>
      <c r="D255">
        <v>2</v>
      </c>
      <c r="E255" t="s">
        <v>9</v>
      </c>
    </row>
    <row r="256" spans="1:5" x14ac:dyDescent="0.25">
      <c r="A256" t="s">
        <v>13</v>
      </c>
      <c r="B256">
        <v>2385</v>
      </c>
      <c r="C256" s="3">
        <v>42314</v>
      </c>
      <c r="E256" t="s">
        <v>10</v>
      </c>
    </row>
    <row r="257" spans="1:5" x14ac:dyDescent="0.25">
      <c r="A257" t="s">
        <v>13</v>
      </c>
      <c r="B257">
        <v>2384</v>
      </c>
      <c r="C257" s="3">
        <v>42314</v>
      </c>
      <c r="D257">
        <v>25</v>
      </c>
      <c r="E257" t="s">
        <v>9</v>
      </c>
    </row>
    <row r="258" spans="1:5" x14ac:dyDescent="0.25">
      <c r="A258" t="s">
        <v>13</v>
      </c>
      <c r="B258">
        <v>2383</v>
      </c>
      <c r="C258" s="3">
        <v>42314</v>
      </c>
      <c r="D258">
        <v>33</v>
      </c>
      <c r="E258" t="s">
        <v>9</v>
      </c>
    </row>
    <row r="259" spans="1:5" x14ac:dyDescent="0.25">
      <c r="A259" t="s">
        <v>13</v>
      </c>
      <c r="B259">
        <v>2382</v>
      </c>
      <c r="C259" s="3">
        <v>42314</v>
      </c>
      <c r="D259">
        <v>22</v>
      </c>
      <c r="E259" t="s">
        <v>9</v>
      </c>
    </row>
    <row r="260" spans="1:5" x14ac:dyDescent="0.25">
      <c r="A260" t="s">
        <v>13</v>
      </c>
      <c r="B260">
        <v>2381</v>
      </c>
      <c r="C260" s="3">
        <v>42314</v>
      </c>
      <c r="D260">
        <v>20</v>
      </c>
      <c r="E260" t="s">
        <v>9</v>
      </c>
    </row>
    <row r="261" spans="1:5" x14ac:dyDescent="0.25">
      <c r="A261" t="s">
        <v>13</v>
      </c>
      <c r="B261">
        <v>2380</v>
      </c>
      <c r="C261" s="3">
        <v>42314</v>
      </c>
      <c r="D261">
        <v>43</v>
      </c>
      <c r="E261" t="s">
        <v>9</v>
      </c>
    </row>
    <row r="262" spans="1:5" x14ac:dyDescent="0.25">
      <c r="A262" t="s">
        <v>13</v>
      </c>
      <c r="B262">
        <v>2385</v>
      </c>
      <c r="C262" s="3">
        <v>42313</v>
      </c>
      <c r="E262" t="s">
        <v>10</v>
      </c>
    </row>
    <row r="263" spans="1:5" x14ac:dyDescent="0.25">
      <c r="A263" t="s">
        <v>13</v>
      </c>
      <c r="B263">
        <v>2384</v>
      </c>
      <c r="C263" s="3">
        <v>42313</v>
      </c>
      <c r="E263" t="s">
        <v>10</v>
      </c>
    </row>
    <row r="264" spans="1:5" x14ac:dyDescent="0.25">
      <c r="A264" t="s">
        <v>13</v>
      </c>
      <c r="B264">
        <v>2383</v>
      </c>
      <c r="C264" s="3">
        <v>42313</v>
      </c>
      <c r="E264" t="s">
        <v>10</v>
      </c>
    </row>
    <row r="265" spans="1:5" x14ac:dyDescent="0.25">
      <c r="A265" t="s">
        <v>13</v>
      </c>
      <c r="B265">
        <v>2382</v>
      </c>
      <c r="C265" s="3">
        <v>42313</v>
      </c>
      <c r="E265" t="s">
        <v>10</v>
      </c>
    </row>
    <row r="266" spans="1:5" x14ac:dyDescent="0.25">
      <c r="A266" t="s">
        <v>13</v>
      </c>
      <c r="B266">
        <v>2381</v>
      </c>
      <c r="C266" s="3">
        <v>42313</v>
      </c>
      <c r="D266">
        <v>9</v>
      </c>
      <c r="E266" t="s">
        <v>9</v>
      </c>
    </row>
    <row r="267" spans="1:5" x14ac:dyDescent="0.25">
      <c r="A267" t="s">
        <v>13</v>
      </c>
      <c r="B267">
        <v>2380</v>
      </c>
      <c r="C267" s="3">
        <v>42313</v>
      </c>
      <c r="E267" t="s">
        <v>10</v>
      </c>
    </row>
    <row r="268" spans="1:5" x14ac:dyDescent="0.25">
      <c r="A268" t="s">
        <v>13</v>
      </c>
      <c r="B268">
        <v>2385</v>
      </c>
      <c r="C268" s="3">
        <v>42312</v>
      </c>
      <c r="D268">
        <v>24</v>
      </c>
      <c r="E268" t="s">
        <v>9</v>
      </c>
    </row>
    <row r="269" spans="1:5" x14ac:dyDescent="0.25">
      <c r="A269" t="s">
        <v>13</v>
      </c>
      <c r="B269">
        <v>2384</v>
      </c>
      <c r="C269" s="3">
        <v>42312</v>
      </c>
      <c r="D269">
        <v>44</v>
      </c>
      <c r="E269" t="s">
        <v>9</v>
      </c>
    </row>
    <row r="270" spans="1:5" x14ac:dyDescent="0.25">
      <c r="A270" t="s">
        <v>13</v>
      </c>
      <c r="B270">
        <v>2383</v>
      </c>
      <c r="C270" s="3">
        <v>42312</v>
      </c>
      <c r="D270" t="s">
        <v>20</v>
      </c>
      <c r="E270" t="s">
        <v>9</v>
      </c>
    </row>
    <row r="271" spans="1:5" x14ac:dyDescent="0.25">
      <c r="A271" t="s">
        <v>13</v>
      </c>
      <c r="B271">
        <v>2382</v>
      </c>
      <c r="C271" s="3">
        <v>42312</v>
      </c>
      <c r="E271" t="s">
        <v>9</v>
      </c>
    </row>
    <row r="272" spans="1:5" x14ac:dyDescent="0.25">
      <c r="A272" t="s">
        <v>13</v>
      </c>
      <c r="B272">
        <v>2381</v>
      </c>
      <c r="C272" s="3">
        <v>42312</v>
      </c>
      <c r="D272" t="s">
        <v>10</v>
      </c>
      <c r="E272" t="s">
        <v>10</v>
      </c>
    </row>
    <row r="273" spans="1:5" x14ac:dyDescent="0.25">
      <c r="A273" t="s">
        <v>13</v>
      </c>
      <c r="B273">
        <v>2380</v>
      </c>
      <c r="C273" s="3">
        <v>42312</v>
      </c>
      <c r="D273" t="s">
        <v>18</v>
      </c>
      <c r="E273" t="s">
        <v>10</v>
      </c>
    </row>
    <row r="274" spans="1:5" x14ac:dyDescent="0.25">
      <c r="A274" t="s">
        <v>13</v>
      </c>
      <c r="B274">
        <v>2382</v>
      </c>
      <c r="C274" s="3">
        <v>42312</v>
      </c>
      <c r="D274">
        <v>10</v>
      </c>
      <c r="E274" t="s">
        <v>9</v>
      </c>
    </row>
    <row r="275" spans="1:5" x14ac:dyDescent="0.25">
      <c r="A275" t="s">
        <v>13</v>
      </c>
      <c r="B275">
        <v>2381</v>
      </c>
      <c r="C275" s="3">
        <v>42312</v>
      </c>
      <c r="D275">
        <v>20</v>
      </c>
      <c r="E275" t="s">
        <v>9</v>
      </c>
    </row>
    <row r="276" spans="1:5" x14ac:dyDescent="0.25">
      <c r="A276" t="s">
        <v>13</v>
      </c>
      <c r="B276">
        <v>2380</v>
      </c>
      <c r="C276" s="3">
        <v>42312</v>
      </c>
      <c r="D276" t="s">
        <v>18</v>
      </c>
      <c r="E276" t="s">
        <v>10</v>
      </c>
    </row>
    <row r="277" spans="1:5" x14ac:dyDescent="0.25">
      <c r="A277" t="s">
        <v>13</v>
      </c>
      <c r="B277">
        <v>2383</v>
      </c>
      <c r="C277" s="3">
        <v>42311</v>
      </c>
      <c r="D277">
        <v>44</v>
      </c>
      <c r="E277" t="s">
        <v>9</v>
      </c>
    </row>
    <row r="278" spans="1:5" x14ac:dyDescent="0.25">
      <c r="A278" t="s">
        <v>13</v>
      </c>
      <c r="B278">
        <v>2382</v>
      </c>
      <c r="C278" s="3">
        <v>42311</v>
      </c>
      <c r="D278">
        <v>47</v>
      </c>
      <c r="E278" t="s">
        <v>9</v>
      </c>
    </row>
    <row r="279" spans="1:5" x14ac:dyDescent="0.25">
      <c r="A279" t="s">
        <v>13</v>
      </c>
      <c r="B279">
        <v>2381</v>
      </c>
      <c r="C279" s="3">
        <v>42311</v>
      </c>
      <c r="D279">
        <v>45</v>
      </c>
      <c r="E279" t="s">
        <v>9</v>
      </c>
    </row>
    <row r="280" spans="1:5" x14ac:dyDescent="0.25">
      <c r="A280" t="s">
        <v>13</v>
      </c>
      <c r="B280">
        <v>2380</v>
      </c>
      <c r="C280" s="3">
        <v>42311</v>
      </c>
      <c r="D280">
        <v>43</v>
      </c>
      <c r="E280" t="s">
        <v>9</v>
      </c>
    </row>
    <row r="281" spans="1:5" x14ac:dyDescent="0.25">
      <c r="A281" t="s">
        <v>13</v>
      </c>
      <c r="B281">
        <v>2381</v>
      </c>
      <c r="C281" s="3">
        <v>42311</v>
      </c>
      <c r="D281" t="s">
        <v>20</v>
      </c>
      <c r="E281" t="s">
        <v>9</v>
      </c>
    </row>
    <row r="282" spans="1:5" x14ac:dyDescent="0.25">
      <c r="A282" t="s">
        <v>13</v>
      </c>
      <c r="B282">
        <v>2380</v>
      </c>
      <c r="C282" s="3">
        <v>42311</v>
      </c>
      <c r="D282">
        <v>29</v>
      </c>
      <c r="E282" t="s">
        <v>9</v>
      </c>
    </row>
    <row r="283" spans="1:5" x14ac:dyDescent="0.25">
      <c r="A283" t="s">
        <v>13</v>
      </c>
      <c r="B283">
        <v>2349</v>
      </c>
      <c r="C283" s="3">
        <v>42310</v>
      </c>
      <c r="D283">
        <v>50</v>
      </c>
      <c r="E283" t="s">
        <v>9</v>
      </c>
    </row>
    <row r="284" spans="1:5" x14ac:dyDescent="0.25">
      <c r="A284" t="s">
        <v>13</v>
      </c>
      <c r="B284">
        <v>2349</v>
      </c>
      <c r="C284" s="3">
        <v>42310</v>
      </c>
      <c r="E284" t="s">
        <v>9</v>
      </c>
    </row>
    <row r="285" spans="1:5" x14ac:dyDescent="0.25">
      <c r="A285" t="s">
        <v>13</v>
      </c>
      <c r="B285">
        <v>2</v>
      </c>
      <c r="C285" s="3">
        <v>42310</v>
      </c>
      <c r="E285" t="s">
        <v>9</v>
      </c>
    </row>
    <row r="286" spans="1:5" x14ac:dyDescent="0.25">
      <c r="A286" t="s">
        <v>13</v>
      </c>
      <c r="B286">
        <v>2349</v>
      </c>
      <c r="C286" s="3">
        <v>42309</v>
      </c>
      <c r="E286" t="s">
        <v>9</v>
      </c>
    </row>
    <row r="287" spans="1:5" x14ac:dyDescent="0.25">
      <c r="A287" t="s">
        <v>13</v>
      </c>
      <c r="B287">
        <v>8332</v>
      </c>
      <c r="C287" s="3">
        <v>42309</v>
      </c>
      <c r="E287" t="s">
        <v>10</v>
      </c>
    </row>
  </sheetData>
  <sheetProtection algorithmName="SHA-512" hashValue="AUR5XS9XCjmx5A9iTv0cNG/tNj5Er0OSjPaovhbFYl1msvCDp8RUGvTYqj2ZIEfX2vzdD7tJcPXrThq9F80fbA==" saltValue="jmfwbiw1aoaPFEZ28iuB0Q==" spinCount="100000" sheet="1" objects="1" scenarios="1"/>
  <sortState ref="A2:E292">
    <sortCondition descending="1" ref="C1:C1048576"/>
  </sortState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6600"/>
  </sheetPr>
  <dimension ref="A1:K53"/>
  <sheetViews>
    <sheetView workbookViewId="0">
      <selection activeCell="K15" sqref="K15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27.5703125" style="6" bestFit="1" customWidth="1"/>
    <col min="4" max="4" width="7" bestFit="1" customWidth="1"/>
    <col min="5" max="5" width="4.5703125" bestFit="1" customWidth="1"/>
    <col min="7" max="7" width="27.5703125" style="6" bestFit="1" customWidth="1"/>
    <col min="8" max="8" width="3" bestFit="1" customWidth="1"/>
    <col min="9" max="9" width="4" bestFit="1" customWidth="1"/>
    <col min="10" max="10" width="4.5703125" bestFit="1" customWidth="1"/>
    <col min="11" max="11" width="9.85546875" bestFit="1" customWidth="1"/>
  </cols>
  <sheetData>
    <row r="1" spans="1:11" x14ac:dyDescent="0.25">
      <c r="A1" s="1" t="s">
        <v>0</v>
      </c>
      <c r="B1" s="1" t="s">
        <v>3</v>
      </c>
      <c r="C1" s="5" t="s">
        <v>2</v>
      </c>
      <c r="D1" s="1" t="s">
        <v>4</v>
      </c>
      <c r="E1" s="1" t="s">
        <v>1</v>
      </c>
      <c r="F1" s="1"/>
      <c r="G1" s="5" t="s">
        <v>8</v>
      </c>
      <c r="H1" s="1" t="s">
        <v>9</v>
      </c>
      <c r="I1" s="1" t="s">
        <v>10</v>
      </c>
      <c r="J1" s="1" t="s">
        <v>11</v>
      </c>
      <c r="K1" s="1" t="s">
        <v>12</v>
      </c>
    </row>
    <row r="2" spans="1:11" x14ac:dyDescent="0.25">
      <c r="A2" t="s">
        <v>13</v>
      </c>
      <c r="B2">
        <v>8294</v>
      </c>
      <c r="C2" s="6">
        <v>42307</v>
      </c>
      <c r="E2" t="s">
        <v>10</v>
      </c>
      <c r="G2" s="6">
        <v>42278</v>
      </c>
      <c r="H2">
        <f t="shared" ref="H2:H32" si="0">COUNTIFS($E:$E,"P",$C:$C,$G2)</f>
        <v>0</v>
      </c>
      <c r="I2">
        <f t="shared" ref="I2:I32" si="1">COUNTIFS($E:$E,"VIP",$C:$C,$G2)</f>
        <v>0</v>
      </c>
      <c r="J2">
        <f t="shared" ref="J2:J32" si="2">COUNTIFS($E:$E,"CAP",$C:$C,$G2)</f>
        <v>0</v>
      </c>
      <c r="K2">
        <f t="shared" ref="K2:K32" si="3">COUNTIFS($E:$E,"RR Garage",$C:$C,$G2)</f>
        <v>0</v>
      </c>
    </row>
    <row r="3" spans="1:11" x14ac:dyDescent="0.25">
      <c r="A3" t="s">
        <v>13</v>
      </c>
      <c r="B3">
        <v>8293</v>
      </c>
      <c r="C3" s="6">
        <v>42307</v>
      </c>
      <c r="E3" t="s">
        <v>9</v>
      </c>
      <c r="G3" s="6">
        <v>42279</v>
      </c>
      <c r="H3">
        <f t="shared" si="0"/>
        <v>0</v>
      </c>
      <c r="I3">
        <f t="shared" si="1"/>
        <v>0</v>
      </c>
      <c r="J3">
        <f t="shared" si="2"/>
        <v>0</v>
      </c>
      <c r="K3">
        <f t="shared" si="3"/>
        <v>0</v>
      </c>
    </row>
    <row r="4" spans="1:11" x14ac:dyDescent="0.25">
      <c r="A4" t="s">
        <v>13</v>
      </c>
      <c r="B4">
        <v>8291</v>
      </c>
      <c r="C4" s="6">
        <v>42307</v>
      </c>
      <c r="E4" t="s">
        <v>10</v>
      </c>
      <c r="G4" s="6">
        <v>42280</v>
      </c>
      <c r="H4">
        <f t="shared" si="0"/>
        <v>0</v>
      </c>
      <c r="I4">
        <f t="shared" si="1"/>
        <v>0</v>
      </c>
      <c r="J4">
        <f t="shared" si="2"/>
        <v>0</v>
      </c>
      <c r="K4">
        <f t="shared" si="3"/>
        <v>0</v>
      </c>
    </row>
    <row r="5" spans="1:11" x14ac:dyDescent="0.25">
      <c r="A5" t="s">
        <v>13</v>
      </c>
      <c r="B5">
        <v>8292</v>
      </c>
      <c r="C5" s="6">
        <v>42307</v>
      </c>
      <c r="D5">
        <v>49</v>
      </c>
      <c r="E5" t="s">
        <v>9</v>
      </c>
      <c r="G5" s="6">
        <v>42281</v>
      </c>
      <c r="H5">
        <f t="shared" si="0"/>
        <v>0</v>
      </c>
      <c r="I5">
        <f t="shared" si="1"/>
        <v>0</v>
      </c>
      <c r="J5">
        <f t="shared" si="2"/>
        <v>0</v>
      </c>
      <c r="K5">
        <f t="shared" si="3"/>
        <v>0</v>
      </c>
    </row>
    <row r="6" spans="1:11" x14ac:dyDescent="0.25">
      <c r="A6" t="s">
        <v>13</v>
      </c>
      <c r="B6">
        <v>8290</v>
      </c>
      <c r="C6" s="6">
        <v>42307</v>
      </c>
      <c r="D6">
        <v>39</v>
      </c>
      <c r="E6" t="s">
        <v>9</v>
      </c>
      <c r="G6" s="6">
        <v>42282</v>
      </c>
      <c r="H6">
        <f t="shared" si="0"/>
        <v>0</v>
      </c>
      <c r="I6">
        <f t="shared" si="1"/>
        <v>0</v>
      </c>
      <c r="J6">
        <f t="shared" si="2"/>
        <v>0</v>
      </c>
      <c r="K6">
        <f t="shared" si="3"/>
        <v>0</v>
      </c>
    </row>
    <row r="7" spans="1:11" x14ac:dyDescent="0.25">
      <c r="A7" t="s">
        <v>13</v>
      </c>
      <c r="B7">
        <v>2351</v>
      </c>
      <c r="C7" s="6">
        <v>42307</v>
      </c>
      <c r="E7" t="s">
        <v>9</v>
      </c>
      <c r="G7" s="6">
        <v>42283</v>
      </c>
      <c r="H7">
        <f t="shared" si="0"/>
        <v>0</v>
      </c>
      <c r="I7">
        <f t="shared" si="1"/>
        <v>0</v>
      </c>
      <c r="J7">
        <f t="shared" si="2"/>
        <v>0</v>
      </c>
      <c r="K7">
        <f t="shared" si="3"/>
        <v>0</v>
      </c>
    </row>
    <row r="8" spans="1:11" x14ac:dyDescent="0.25">
      <c r="A8" t="s">
        <v>13</v>
      </c>
      <c r="B8">
        <v>2350</v>
      </c>
      <c r="C8" s="6">
        <v>42307</v>
      </c>
      <c r="E8" t="s">
        <v>9</v>
      </c>
      <c r="G8" s="6">
        <v>42284</v>
      </c>
      <c r="H8">
        <f t="shared" si="0"/>
        <v>0</v>
      </c>
      <c r="I8">
        <f t="shared" si="1"/>
        <v>0</v>
      </c>
      <c r="J8">
        <f t="shared" si="2"/>
        <v>0</v>
      </c>
      <c r="K8">
        <f t="shared" si="3"/>
        <v>0</v>
      </c>
    </row>
    <row r="9" spans="1:11" x14ac:dyDescent="0.25">
      <c r="A9" t="s">
        <v>13</v>
      </c>
      <c r="B9">
        <v>2349</v>
      </c>
      <c r="C9" s="6">
        <v>42307</v>
      </c>
      <c r="D9">
        <v>59</v>
      </c>
      <c r="E9" t="s">
        <v>9</v>
      </c>
      <c r="G9" s="6">
        <v>42285</v>
      </c>
      <c r="H9">
        <f t="shared" si="0"/>
        <v>0</v>
      </c>
      <c r="I9">
        <f t="shared" si="1"/>
        <v>0</v>
      </c>
      <c r="J9">
        <f t="shared" si="2"/>
        <v>0</v>
      </c>
      <c r="K9">
        <f t="shared" si="3"/>
        <v>0</v>
      </c>
    </row>
    <row r="10" spans="1:11" x14ac:dyDescent="0.25">
      <c r="A10" t="s">
        <v>13</v>
      </c>
      <c r="B10">
        <v>8289</v>
      </c>
      <c r="C10" s="6">
        <v>42307</v>
      </c>
      <c r="E10" t="s">
        <v>10</v>
      </c>
      <c r="G10" s="6">
        <v>42286</v>
      </c>
      <c r="H10">
        <f t="shared" si="0"/>
        <v>0</v>
      </c>
      <c r="I10">
        <f t="shared" si="1"/>
        <v>0</v>
      </c>
      <c r="J10">
        <f t="shared" si="2"/>
        <v>0</v>
      </c>
      <c r="K10">
        <f t="shared" si="3"/>
        <v>0</v>
      </c>
    </row>
    <row r="11" spans="1:11" x14ac:dyDescent="0.25">
      <c r="A11" t="s">
        <v>13</v>
      </c>
      <c r="B11">
        <v>8288</v>
      </c>
      <c r="C11" s="6">
        <v>42307</v>
      </c>
      <c r="D11">
        <v>44</v>
      </c>
      <c r="E11" t="s">
        <v>9</v>
      </c>
      <c r="G11" s="6">
        <v>42287</v>
      </c>
      <c r="H11">
        <f t="shared" si="0"/>
        <v>0</v>
      </c>
      <c r="I11">
        <f t="shared" si="1"/>
        <v>0</v>
      </c>
      <c r="J11">
        <f t="shared" si="2"/>
        <v>0</v>
      </c>
      <c r="K11">
        <f t="shared" si="3"/>
        <v>0</v>
      </c>
    </row>
    <row r="12" spans="1:11" x14ac:dyDescent="0.25">
      <c r="A12" t="s">
        <v>13</v>
      </c>
      <c r="B12">
        <v>8286</v>
      </c>
      <c r="C12" s="6">
        <v>42307</v>
      </c>
      <c r="D12" t="s">
        <v>10</v>
      </c>
      <c r="E12" t="s">
        <v>10</v>
      </c>
      <c r="G12" s="6">
        <v>42288</v>
      </c>
      <c r="H12">
        <f t="shared" si="0"/>
        <v>0</v>
      </c>
      <c r="I12">
        <f t="shared" si="1"/>
        <v>0</v>
      </c>
      <c r="J12">
        <f t="shared" si="2"/>
        <v>0</v>
      </c>
      <c r="K12">
        <f t="shared" si="3"/>
        <v>0</v>
      </c>
    </row>
    <row r="13" spans="1:11" x14ac:dyDescent="0.25">
      <c r="A13" t="s">
        <v>13</v>
      </c>
      <c r="B13">
        <v>8285</v>
      </c>
      <c r="C13" s="6">
        <v>42307</v>
      </c>
      <c r="D13">
        <v>22</v>
      </c>
      <c r="E13" t="s">
        <v>9</v>
      </c>
      <c r="G13" s="6">
        <v>42289</v>
      </c>
      <c r="H13">
        <f t="shared" si="0"/>
        <v>0</v>
      </c>
      <c r="I13">
        <f t="shared" si="1"/>
        <v>0</v>
      </c>
      <c r="J13">
        <f t="shared" si="2"/>
        <v>0</v>
      </c>
      <c r="K13">
        <f t="shared" si="3"/>
        <v>0</v>
      </c>
    </row>
    <row r="14" spans="1:11" x14ac:dyDescent="0.25">
      <c r="A14" t="s">
        <v>13</v>
      </c>
      <c r="B14">
        <v>2350</v>
      </c>
      <c r="C14" s="6">
        <v>42307</v>
      </c>
      <c r="E14" t="s">
        <v>10</v>
      </c>
      <c r="G14" s="6">
        <v>42290</v>
      </c>
      <c r="H14">
        <f t="shared" si="0"/>
        <v>0</v>
      </c>
      <c r="I14">
        <f t="shared" si="1"/>
        <v>0</v>
      </c>
      <c r="J14">
        <f t="shared" si="2"/>
        <v>0</v>
      </c>
      <c r="K14">
        <f t="shared" si="3"/>
        <v>0</v>
      </c>
    </row>
    <row r="15" spans="1:11" x14ac:dyDescent="0.25">
      <c r="A15" t="s">
        <v>13</v>
      </c>
      <c r="B15">
        <v>2349</v>
      </c>
      <c r="C15" s="6">
        <v>42307</v>
      </c>
      <c r="D15">
        <v>50</v>
      </c>
      <c r="E15" t="s">
        <v>9</v>
      </c>
      <c r="G15" s="6">
        <v>42291</v>
      </c>
      <c r="H15">
        <f t="shared" si="0"/>
        <v>0</v>
      </c>
      <c r="I15">
        <f t="shared" si="1"/>
        <v>0</v>
      </c>
      <c r="J15">
        <f t="shared" si="2"/>
        <v>0</v>
      </c>
      <c r="K15">
        <f t="shared" si="3"/>
        <v>0</v>
      </c>
    </row>
    <row r="16" spans="1:11" x14ac:dyDescent="0.25">
      <c r="A16" t="s">
        <v>13</v>
      </c>
      <c r="B16">
        <v>8280</v>
      </c>
      <c r="C16" s="6">
        <v>42306</v>
      </c>
      <c r="D16">
        <v>56</v>
      </c>
      <c r="E16" t="s">
        <v>9</v>
      </c>
      <c r="G16" s="6">
        <v>42292</v>
      </c>
      <c r="H16">
        <f t="shared" si="0"/>
        <v>0</v>
      </c>
      <c r="I16">
        <f t="shared" si="1"/>
        <v>0</v>
      </c>
      <c r="J16">
        <f t="shared" si="2"/>
        <v>0</v>
      </c>
      <c r="K16">
        <f t="shared" si="3"/>
        <v>0</v>
      </c>
    </row>
    <row r="17" spans="1:11" x14ac:dyDescent="0.25">
      <c r="A17" t="s">
        <v>13</v>
      </c>
      <c r="B17">
        <v>8279</v>
      </c>
      <c r="C17" s="6">
        <v>42306</v>
      </c>
      <c r="D17">
        <v>57</v>
      </c>
      <c r="E17" t="s">
        <v>9</v>
      </c>
      <c r="G17" s="6">
        <v>42293</v>
      </c>
      <c r="H17">
        <f t="shared" si="0"/>
        <v>0</v>
      </c>
      <c r="I17">
        <f t="shared" si="1"/>
        <v>0</v>
      </c>
      <c r="J17">
        <f t="shared" si="2"/>
        <v>0</v>
      </c>
      <c r="K17">
        <f t="shared" si="3"/>
        <v>0</v>
      </c>
    </row>
    <row r="18" spans="1:11" x14ac:dyDescent="0.25">
      <c r="A18" t="s">
        <v>13</v>
      </c>
      <c r="B18">
        <v>8278</v>
      </c>
      <c r="C18" s="6">
        <v>42306</v>
      </c>
      <c r="D18">
        <v>25</v>
      </c>
      <c r="E18" t="s">
        <v>9</v>
      </c>
      <c r="G18" s="6">
        <v>42294</v>
      </c>
      <c r="H18">
        <f t="shared" si="0"/>
        <v>0</v>
      </c>
      <c r="I18">
        <f t="shared" si="1"/>
        <v>0</v>
      </c>
      <c r="J18">
        <f t="shared" si="2"/>
        <v>0</v>
      </c>
      <c r="K18">
        <f t="shared" si="3"/>
        <v>0</v>
      </c>
    </row>
    <row r="19" spans="1:11" x14ac:dyDescent="0.25">
      <c r="A19" t="s">
        <v>13</v>
      </c>
      <c r="B19">
        <v>8277</v>
      </c>
      <c r="C19" s="6">
        <v>42306</v>
      </c>
      <c r="D19">
        <v>59</v>
      </c>
      <c r="E19" t="s">
        <v>9</v>
      </c>
      <c r="G19" s="6">
        <v>42295</v>
      </c>
      <c r="H19">
        <f t="shared" si="0"/>
        <v>0</v>
      </c>
      <c r="I19">
        <f t="shared" si="1"/>
        <v>0</v>
      </c>
      <c r="J19">
        <f t="shared" si="2"/>
        <v>0</v>
      </c>
      <c r="K19">
        <f t="shared" si="3"/>
        <v>0</v>
      </c>
    </row>
    <row r="20" spans="1:11" x14ac:dyDescent="0.25">
      <c r="A20" t="s">
        <v>13</v>
      </c>
      <c r="B20">
        <v>8276</v>
      </c>
      <c r="C20" s="6">
        <v>42306</v>
      </c>
      <c r="D20">
        <v>61</v>
      </c>
      <c r="E20" t="s">
        <v>9</v>
      </c>
      <c r="G20" s="6">
        <v>42296</v>
      </c>
      <c r="H20">
        <f t="shared" si="0"/>
        <v>0</v>
      </c>
      <c r="I20">
        <f t="shared" si="1"/>
        <v>0</v>
      </c>
      <c r="J20">
        <f t="shared" si="2"/>
        <v>0</v>
      </c>
      <c r="K20">
        <f t="shared" si="3"/>
        <v>0</v>
      </c>
    </row>
    <row r="21" spans="1:11" x14ac:dyDescent="0.25">
      <c r="A21" t="s">
        <v>13</v>
      </c>
      <c r="B21">
        <v>8275</v>
      </c>
      <c r="C21" s="6">
        <v>42306</v>
      </c>
      <c r="D21">
        <v>60</v>
      </c>
      <c r="E21" t="s">
        <v>9</v>
      </c>
      <c r="G21" s="6">
        <v>42297</v>
      </c>
      <c r="H21">
        <f t="shared" si="0"/>
        <v>0</v>
      </c>
      <c r="I21">
        <f t="shared" si="1"/>
        <v>0</v>
      </c>
      <c r="J21">
        <f t="shared" si="2"/>
        <v>0</v>
      </c>
      <c r="K21">
        <f t="shared" si="3"/>
        <v>0</v>
      </c>
    </row>
    <row r="22" spans="1:11" x14ac:dyDescent="0.25">
      <c r="A22" t="s">
        <v>13</v>
      </c>
      <c r="B22">
        <v>8274</v>
      </c>
      <c r="C22" s="6">
        <v>42306</v>
      </c>
      <c r="D22">
        <v>62</v>
      </c>
      <c r="E22" t="s">
        <v>9</v>
      </c>
      <c r="G22" s="6">
        <v>42298</v>
      </c>
      <c r="H22">
        <f t="shared" si="0"/>
        <v>0</v>
      </c>
      <c r="I22">
        <f t="shared" si="1"/>
        <v>0</v>
      </c>
      <c r="J22">
        <f t="shared" si="2"/>
        <v>0</v>
      </c>
      <c r="K22">
        <f t="shared" si="3"/>
        <v>0</v>
      </c>
    </row>
    <row r="23" spans="1:11" x14ac:dyDescent="0.25">
      <c r="A23" t="s">
        <v>13</v>
      </c>
      <c r="B23">
        <v>8273</v>
      </c>
      <c r="C23" s="6">
        <v>42306</v>
      </c>
      <c r="D23">
        <v>42</v>
      </c>
      <c r="E23" t="s">
        <v>9</v>
      </c>
      <c r="G23" s="6">
        <v>42299</v>
      </c>
      <c r="H23">
        <f t="shared" si="0"/>
        <v>0</v>
      </c>
      <c r="I23">
        <f t="shared" si="1"/>
        <v>0</v>
      </c>
      <c r="J23">
        <f t="shared" si="2"/>
        <v>0</v>
      </c>
      <c r="K23">
        <f t="shared" si="3"/>
        <v>0</v>
      </c>
    </row>
    <row r="24" spans="1:11" x14ac:dyDescent="0.25">
      <c r="A24" t="s">
        <v>13</v>
      </c>
      <c r="B24">
        <v>8270</v>
      </c>
      <c r="C24" s="6">
        <v>42306</v>
      </c>
      <c r="E24" t="s">
        <v>10</v>
      </c>
      <c r="G24" s="6">
        <v>42300</v>
      </c>
      <c r="H24">
        <f t="shared" si="0"/>
        <v>0</v>
      </c>
      <c r="I24">
        <f t="shared" si="1"/>
        <v>0</v>
      </c>
      <c r="J24">
        <f t="shared" si="2"/>
        <v>0</v>
      </c>
      <c r="K24">
        <f t="shared" si="3"/>
        <v>0</v>
      </c>
    </row>
    <row r="25" spans="1:11" x14ac:dyDescent="0.25">
      <c r="A25" t="s">
        <v>13</v>
      </c>
      <c r="B25">
        <v>2350</v>
      </c>
      <c r="C25" s="6">
        <v>42306</v>
      </c>
      <c r="E25" t="s">
        <v>9</v>
      </c>
      <c r="G25" s="6">
        <v>42301</v>
      </c>
      <c r="H25">
        <f t="shared" si="0"/>
        <v>0</v>
      </c>
      <c r="I25">
        <f t="shared" si="1"/>
        <v>0</v>
      </c>
      <c r="J25">
        <f t="shared" si="2"/>
        <v>0</v>
      </c>
      <c r="K25">
        <f t="shared" si="3"/>
        <v>0</v>
      </c>
    </row>
    <row r="26" spans="1:11" x14ac:dyDescent="0.25">
      <c r="A26" t="s">
        <v>13</v>
      </c>
      <c r="B26">
        <v>2350</v>
      </c>
      <c r="C26" s="6">
        <v>42306</v>
      </c>
      <c r="E26" t="s">
        <v>9</v>
      </c>
      <c r="G26" s="6">
        <v>42302</v>
      </c>
      <c r="H26">
        <f t="shared" si="0"/>
        <v>0</v>
      </c>
      <c r="I26">
        <f t="shared" si="1"/>
        <v>0</v>
      </c>
      <c r="J26">
        <f t="shared" si="2"/>
        <v>0</v>
      </c>
      <c r="K26">
        <f t="shared" si="3"/>
        <v>0</v>
      </c>
    </row>
    <row r="27" spans="1:11" x14ac:dyDescent="0.25">
      <c r="A27" t="s">
        <v>13</v>
      </c>
      <c r="B27">
        <v>2349</v>
      </c>
      <c r="C27" s="6">
        <v>42306</v>
      </c>
      <c r="E27" t="s">
        <v>9</v>
      </c>
      <c r="G27" s="6">
        <v>42303</v>
      </c>
      <c r="H27">
        <f t="shared" si="0"/>
        <v>0</v>
      </c>
      <c r="I27">
        <f t="shared" si="1"/>
        <v>0</v>
      </c>
      <c r="J27">
        <f t="shared" si="2"/>
        <v>0</v>
      </c>
      <c r="K27">
        <f t="shared" si="3"/>
        <v>0</v>
      </c>
    </row>
    <row r="28" spans="1:11" x14ac:dyDescent="0.25">
      <c r="A28" t="s">
        <v>13</v>
      </c>
      <c r="B28">
        <v>2349</v>
      </c>
      <c r="C28" s="6">
        <v>42306</v>
      </c>
      <c r="D28">
        <v>55</v>
      </c>
      <c r="E28" t="s">
        <v>10</v>
      </c>
      <c r="G28" s="6">
        <v>42304</v>
      </c>
      <c r="H28">
        <f t="shared" si="0"/>
        <v>0</v>
      </c>
      <c r="I28">
        <f t="shared" si="1"/>
        <v>0</v>
      </c>
      <c r="J28">
        <f t="shared" si="2"/>
        <v>0</v>
      </c>
      <c r="K28">
        <f t="shared" si="3"/>
        <v>0</v>
      </c>
    </row>
    <row r="29" spans="1:11" x14ac:dyDescent="0.25">
      <c r="A29" t="s">
        <v>13</v>
      </c>
      <c r="B29">
        <v>258</v>
      </c>
      <c r="C29" s="6">
        <v>42306</v>
      </c>
      <c r="E29" t="s">
        <v>9</v>
      </c>
      <c r="G29" s="6">
        <v>42305</v>
      </c>
      <c r="H29">
        <f t="shared" si="0"/>
        <v>6</v>
      </c>
      <c r="I29">
        <f t="shared" si="1"/>
        <v>0</v>
      </c>
      <c r="J29">
        <f t="shared" si="2"/>
        <v>1</v>
      </c>
      <c r="K29">
        <f t="shared" si="3"/>
        <v>0</v>
      </c>
    </row>
    <row r="30" spans="1:11" x14ac:dyDescent="0.25">
      <c r="A30" t="s">
        <v>13</v>
      </c>
      <c r="B30">
        <v>2349</v>
      </c>
      <c r="C30" s="6">
        <v>42306</v>
      </c>
      <c r="E30" t="s">
        <v>9</v>
      </c>
      <c r="G30" s="6">
        <v>42306</v>
      </c>
      <c r="H30">
        <f t="shared" si="0"/>
        <v>16</v>
      </c>
      <c r="I30">
        <f t="shared" si="1"/>
        <v>2</v>
      </c>
      <c r="J30">
        <f t="shared" si="2"/>
        <v>0</v>
      </c>
      <c r="K30">
        <f t="shared" si="3"/>
        <v>0</v>
      </c>
    </row>
    <row r="31" spans="1:11" x14ac:dyDescent="0.25">
      <c r="A31" t="s">
        <v>13</v>
      </c>
      <c r="B31">
        <v>2350</v>
      </c>
      <c r="C31" s="6">
        <v>42306</v>
      </c>
      <c r="E31" t="s">
        <v>9</v>
      </c>
      <c r="G31" s="6">
        <v>42307</v>
      </c>
      <c r="H31">
        <f t="shared" si="0"/>
        <v>9</v>
      </c>
      <c r="I31">
        <f t="shared" si="1"/>
        <v>5</v>
      </c>
      <c r="J31">
        <f t="shared" si="2"/>
        <v>0</v>
      </c>
      <c r="K31">
        <f t="shared" si="3"/>
        <v>0</v>
      </c>
    </row>
    <row r="32" spans="1:11" x14ac:dyDescent="0.25">
      <c r="A32" t="s">
        <v>13</v>
      </c>
      <c r="B32">
        <v>2349</v>
      </c>
      <c r="C32" s="6">
        <v>42306</v>
      </c>
      <c r="D32">
        <v>50</v>
      </c>
      <c r="E32" t="s">
        <v>9</v>
      </c>
      <c r="G32" s="6">
        <v>42308</v>
      </c>
      <c r="H32">
        <f t="shared" si="0"/>
        <v>0</v>
      </c>
      <c r="I32">
        <f t="shared" si="1"/>
        <v>0</v>
      </c>
      <c r="J32">
        <f t="shared" si="2"/>
        <v>0</v>
      </c>
      <c r="K32">
        <f t="shared" si="3"/>
        <v>0</v>
      </c>
    </row>
    <row r="33" spans="1:11" x14ac:dyDescent="0.25">
      <c r="A33" t="s">
        <v>13</v>
      </c>
      <c r="B33">
        <v>2300</v>
      </c>
      <c r="C33" s="6">
        <v>42306</v>
      </c>
      <c r="E33" t="s">
        <v>9</v>
      </c>
      <c r="G33" s="7" t="s">
        <v>15</v>
      </c>
      <c r="H33" s="4">
        <f>SUM(H2:H32)</f>
        <v>31</v>
      </c>
      <c r="I33" s="4">
        <f>SUM(I2:I32)</f>
        <v>7</v>
      </c>
      <c r="J33" s="4">
        <f>SUM(J2:J32)</f>
        <v>1</v>
      </c>
      <c r="K33" s="4">
        <f>SUM(K2:K32)</f>
        <v>0</v>
      </c>
    </row>
    <row r="34" spans="1:11" x14ac:dyDescent="0.25">
      <c r="A34" t="s">
        <v>13</v>
      </c>
      <c r="B34">
        <v>8267</v>
      </c>
      <c r="C34" s="6">
        <v>42305</v>
      </c>
      <c r="D34">
        <v>41</v>
      </c>
      <c r="E34" t="s">
        <v>9</v>
      </c>
    </row>
    <row r="35" spans="1:11" x14ac:dyDescent="0.25">
      <c r="A35" t="s">
        <v>13</v>
      </c>
      <c r="B35">
        <v>8266</v>
      </c>
      <c r="C35" s="6">
        <v>42305</v>
      </c>
      <c r="D35" t="s">
        <v>14</v>
      </c>
      <c r="E35" t="s">
        <v>9</v>
      </c>
    </row>
    <row r="36" spans="1:11" x14ac:dyDescent="0.25">
      <c r="A36" t="s">
        <v>13</v>
      </c>
      <c r="B36">
        <v>2300</v>
      </c>
      <c r="C36" s="6">
        <v>42305</v>
      </c>
      <c r="E36" t="s">
        <v>9</v>
      </c>
    </row>
    <row r="37" spans="1:11" x14ac:dyDescent="0.25">
      <c r="A37" t="s">
        <v>13</v>
      </c>
      <c r="B37">
        <v>2300</v>
      </c>
      <c r="C37" s="6">
        <v>42305</v>
      </c>
      <c r="D37">
        <v>50</v>
      </c>
      <c r="E37" t="s">
        <v>11</v>
      </c>
    </row>
    <row r="38" spans="1:11" x14ac:dyDescent="0.25">
      <c r="A38" t="s">
        <v>13</v>
      </c>
      <c r="B38">
        <v>2301</v>
      </c>
      <c r="C38" s="6">
        <v>42305</v>
      </c>
      <c r="E38" t="s">
        <v>9</v>
      </c>
    </row>
    <row r="39" spans="1:11" x14ac:dyDescent="0.25">
      <c r="A39" t="s">
        <v>13</v>
      </c>
      <c r="B39">
        <v>2340</v>
      </c>
      <c r="C39" s="6">
        <v>42305</v>
      </c>
      <c r="E39" t="s">
        <v>9</v>
      </c>
    </row>
    <row r="40" spans="1:11" x14ac:dyDescent="0.25">
      <c r="A40" t="s">
        <v>13</v>
      </c>
      <c r="B40">
        <v>2300</v>
      </c>
      <c r="C40" s="6">
        <v>42305</v>
      </c>
      <c r="E40" t="s">
        <v>9</v>
      </c>
    </row>
    <row r="41" spans="1:11" x14ac:dyDescent="0.25">
      <c r="A41" t="s">
        <v>13</v>
      </c>
      <c r="B41">
        <v>2350</v>
      </c>
      <c r="C41" s="6">
        <v>42305</v>
      </c>
      <c r="D41">
        <v>40</v>
      </c>
    </row>
    <row r="42" spans="1:11" x14ac:dyDescent="0.25">
      <c r="A42" t="s">
        <v>13</v>
      </c>
      <c r="B42">
        <v>2349</v>
      </c>
      <c r="C42" s="6">
        <v>42305</v>
      </c>
      <c r="D42">
        <v>50</v>
      </c>
    </row>
    <row r="43" spans="1:11" x14ac:dyDescent="0.25">
      <c r="A43" t="s">
        <v>13</v>
      </c>
      <c r="B43">
        <v>2340</v>
      </c>
      <c r="C43" s="6">
        <v>42305</v>
      </c>
      <c r="D43">
        <v>54</v>
      </c>
    </row>
    <row r="44" spans="1:11" x14ac:dyDescent="0.25">
      <c r="A44" t="s">
        <v>13</v>
      </c>
      <c r="B44">
        <v>2340</v>
      </c>
      <c r="C44" s="6">
        <v>42304</v>
      </c>
    </row>
    <row r="45" spans="1:11" x14ac:dyDescent="0.25">
      <c r="A45" t="s">
        <v>13</v>
      </c>
      <c r="B45">
        <v>2340</v>
      </c>
      <c r="C45" s="6">
        <v>42304</v>
      </c>
    </row>
    <row r="46" spans="1:11" x14ac:dyDescent="0.25">
      <c r="A46" t="s">
        <v>13</v>
      </c>
      <c r="B46">
        <v>2300</v>
      </c>
      <c r="C46" s="6">
        <v>42304</v>
      </c>
    </row>
    <row r="47" spans="1:11" x14ac:dyDescent="0.25">
      <c r="A47" t="s">
        <v>13</v>
      </c>
      <c r="B47">
        <v>2300</v>
      </c>
      <c r="C47" s="6">
        <v>42304</v>
      </c>
    </row>
    <row r="48" spans="1:11" x14ac:dyDescent="0.25">
      <c r="A48" t="s">
        <v>13</v>
      </c>
      <c r="B48">
        <v>2300</v>
      </c>
      <c r="C48" s="6">
        <v>42304</v>
      </c>
      <c r="D48">
        <v>53</v>
      </c>
    </row>
    <row r="49" spans="1:3" x14ac:dyDescent="0.25">
      <c r="A49" t="s">
        <v>13</v>
      </c>
      <c r="B49">
        <v>4566</v>
      </c>
      <c r="C49" s="6">
        <v>42303</v>
      </c>
    </row>
    <row r="50" spans="1:3" x14ac:dyDescent="0.25">
      <c r="A50" t="s">
        <v>13</v>
      </c>
      <c r="B50">
        <v>9743</v>
      </c>
      <c r="C50" s="6">
        <v>42303</v>
      </c>
    </row>
    <row r="51" spans="1:3" x14ac:dyDescent="0.25">
      <c r="A51" t="s">
        <v>13</v>
      </c>
      <c r="B51">
        <v>4563</v>
      </c>
      <c r="C51" s="6">
        <v>42303</v>
      </c>
    </row>
    <row r="52" spans="1:3" x14ac:dyDescent="0.25">
      <c r="A52" t="s">
        <v>13</v>
      </c>
      <c r="B52">
        <v>9744</v>
      </c>
      <c r="C52" s="6">
        <v>42303</v>
      </c>
    </row>
    <row r="53" spans="1:3" x14ac:dyDescent="0.25">
      <c r="A53" t="s">
        <v>13</v>
      </c>
      <c r="B53">
        <v>9743</v>
      </c>
      <c r="C53" s="6">
        <v>42303</v>
      </c>
    </row>
  </sheetData>
  <sheetProtection algorithmName="SHA-512" hashValue="426s/1bGwSCAoNmfJhJ4KK7k3ti02fN6cMLYTSnkXbZM9NQwfcxdie3G+OPDis5vwnZnkwUCvNVf25xdcajlKw==" saltValue="WHisBUafE+rKsmhezi+C9w==" spinCount="100000" sheet="1" objects="1" scenarios="1"/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A50021"/>
  </sheetPr>
  <dimension ref="A1:M31"/>
  <sheetViews>
    <sheetView workbookViewId="0">
      <selection activeCell="M32" sqref="M32"/>
    </sheetView>
  </sheetViews>
  <sheetFormatPr defaultRowHeight="15" x14ac:dyDescent="0.25"/>
  <cols>
    <col min="1" max="1" width="8.42578125" bestFit="1" customWidth="1"/>
    <col min="2" max="2" width="7.28515625" bestFit="1" customWidth="1"/>
    <col min="3" max="3" width="5.140625" style="3" bestFit="1" customWidth="1"/>
    <col min="4" max="4" width="6" bestFit="1" customWidth="1"/>
    <col min="5" max="5" width="3.7109375" bestFit="1" customWidth="1"/>
    <col min="6" max="6" width="6.7109375" bestFit="1" customWidth="1"/>
    <col min="7" max="7" width="8.5703125" bestFit="1" customWidth="1"/>
    <col min="10" max="10" width="30.42578125" style="3" bestFit="1" customWidth="1"/>
    <col min="11" max="11" width="2.140625" bestFit="1" customWidth="1"/>
    <col min="12" max="12" width="4" bestFit="1" customWidth="1"/>
    <col min="13" max="13" width="4.5703125" bestFit="1" customWidth="1"/>
  </cols>
  <sheetData>
    <row r="1" spans="1:13" x14ac:dyDescent="0.25">
      <c r="A1" s="1" t="s">
        <v>0</v>
      </c>
      <c r="B1" s="1" t="s">
        <v>3</v>
      </c>
      <c r="C1" s="2" t="s">
        <v>2</v>
      </c>
      <c r="D1" s="1" t="s">
        <v>4</v>
      </c>
      <c r="E1" s="1" t="s">
        <v>1</v>
      </c>
      <c r="F1" s="1" t="s">
        <v>5</v>
      </c>
      <c r="G1" s="1" t="s">
        <v>6</v>
      </c>
      <c r="H1" s="1" t="s">
        <v>7</v>
      </c>
      <c r="I1" s="1"/>
      <c r="J1" s="2" t="s">
        <v>8</v>
      </c>
      <c r="K1" s="1" t="s">
        <v>9</v>
      </c>
      <c r="L1" s="1" t="s">
        <v>10</v>
      </c>
      <c r="M1" s="1" t="s">
        <v>11</v>
      </c>
    </row>
    <row r="2" spans="1:13" x14ac:dyDescent="0.25">
      <c r="F2">
        <f>COUNTIF($E:$E,"P")</f>
        <v>0</v>
      </c>
      <c r="G2">
        <f>COUNTIF($E:$E,"VIP")</f>
        <v>0</v>
      </c>
      <c r="H2">
        <f>COUNTIF($E:$E,"CAP")</f>
        <v>0</v>
      </c>
      <c r="J2" s="3">
        <v>42248</v>
      </c>
      <c r="K2">
        <f t="shared" ref="K2:K31" si="0">COUNTIFS($E:$E,"P",$C:$C,$J2)</f>
        <v>0</v>
      </c>
      <c r="L2">
        <f t="shared" ref="L2:L31" si="1">COUNTIFS($E:$E,"VIP",$C:$C,$J2)</f>
        <v>0</v>
      </c>
      <c r="M2">
        <f t="shared" ref="M2:M31" si="2">COUNTIFS($E:$E,"CAP",$C:$C,$J2)</f>
        <v>0</v>
      </c>
    </row>
    <row r="3" spans="1:13" x14ac:dyDescent="0.25">
      <c r="J3" s="3">
        <v>42249</v>
      </c>
      <c r="K3">
        <f t="shared" si="0"/>
        <v>0</v>
      </c>
      <c r="L3">
        <f t="shared" si="1"/>
        <v>0</v>
      </c>
      <c r="M3">
        <f t="shared" si="2"/>
        <v>0</v>
      </c>
    </row>
    <row r="4" spans="1:13" x14ac:dyDescent="0.25">
      <c r="J4" s="3">
        <v>42250</v>
      </c>
      <c r="K4">
        <f t="shared" si="0"/>
        <v>0</v>
      </c>
      <c r="L4">
        <f t="shared" si="1"/>
        <v>0</v>
      </c>
      <c r="M4">
        <f t="shared" si="2"/>
        <v>0</v>
      </c>
    </row>
    <row r="5" spans="1:13" x14ac:dyDescent="0.25">
      <c r="J5" s="3">
        <v>42251</v>
      </c>
      <c r="K5">
        <f t="shared" si="0"/>
        <v>0</v>
      </c>
      <c r="L5">
        <f t="shared" si="1"/>
        <v>0</v>
      </c>
      <c r="M5">
        <f t="shared" si="2"/>
        <v>0</v>
      </c>
    </row>
    <row r="6" spans="1:13" x14ac:dyDescent="0.25">
      <c r="J6" s="3">
        <v>42252</v>
      </c>
      <c r="K6">
        <f t="shared" si="0"/>
        <v>0</v>
      </c>
      <c r="L6">
        <f t="shared" si="1"/>
        <v>0</v>
      </c>
      <c r="M6">
        <f t="shared" si="2"/>
        <v>0</v>
      </c>
    </row>
    <row r="7" spans="1:13" x14ac:dyDescent="0.25">
      <c r="J7" s="3">
        <v>42253</v>
      </c>
      <c r="K7">
        <f t="shared" si="0"/>
        <v>0</v>
      </c>
      <c r="L7">
        <f t="shared" si="1"/>
        <v>0</v>
      </c>
      <c r="M7">
        <f t="shared" si="2"/>
        <v>0</v>
      </c>
    </row>
    <row r="8" spans="1:13" x14ac:dyDescent="0.25">
      <c r="J8" s="3">
        <v>42254</v>
      </c>
      <c r="K8">
        <f t="shared" si="0"/>
        <v>0</v>
      </c>
      <c r="L8">
        <f t="shared" si="1"/>
        <v>0</v>
      </c>
      <c r="M8">
        <f t="shared" si="2"/>
        <v>0</v>
      </c>
    </row>
    <row r="9" spans="1:13" x14ac:dyDescent="0.25">
      <c r="J9" s="3">
        <v>42255</v>
      </c>
      <c r="K9">
        <f t="shared" si="0"/>
        <v>0</v>
      </c>
      <c r="L9">
        <f t="shared" si="1"/>
        <v>0</v>
      </c>
      <c r="M9">
        <f t="shared" si="2"/>
        <v>0</v>
      </c>
    </row>
    <row r="10" spans="1:13" x14ac:dyDescent="0.25">
      <c r="J10" s="3">
        <v>42256</v>
      </c>
      <c r="K10">
        <f t="shared" si="0"/>
        <v>0</v>
      </c>
      <c r="L10">
        <f t="shared" si="1"/>
        <v>0</v>
      </c>
      <c r="M10">
        <f t="shared" si="2"/>
        <v>0</v>
      </c>
    </row>
    <row r="11" spans="1:13" x14ac:dyDescent="0.25">
      <c r="J11" s="3">
        <v>42257</v>
      </c>
      <c r="K11">
        <f t="shared" si="0"/>
        <v>0</v>
      </c>
      <c r="L11">
        <f t="shared" si="1"/>
        <v>0</v>
      </c>
      <c r="M11">
        <f t="shared" si="2"/>
        <v>0</v>
      </c>
    </row>
    <row r="12" spans="1:13" x14ac:dyDescent="0.25">
      <c r="J12" s="3">
        <v>42258</v>
      </c>
      <c r="K12">
        <f t="shared" si="0"/>
        <v>0</v>
      </c>
      <c r="L12">
        <f t="shared" si="1"/>
        <v>0</v>
      </c>
      <c r="M12">
        <f t="shared" si="2"/>
        <v>0</v>
      </c>
    </row>
    <row r="13" spans="1:13" x14ac:dyDescent="0.25">
      <c r="J13" s="3">
        <v>42259</v>
      </c>
      <c r="K13">
        <f t="shared" si="0"/>
        <v>0</v>
      </c>
      <c r="L13">
        <f t="shared" si="1"/>
        <v>0</v>
      </c>
      <c r="M13">
        <f t="shared" si="2"/>
        <v>0</v>
      </c>
    </row>
    <row r="14" spans="1:13" x14ac:dyDescent="0.25">
      <c r="J14" s="3">
        <v>42260</v>
      </c>
      <c r="K14">
        <f t="shared" si="0"/>
        <v>0</v>
      </c>
      <c r="L14">
        <f t="shared" si="1"/>
        <v>0</v>
      </c>
      <c r="M14">
        <f t="shared" si="2"/>
        <v>0</v>
      </c>
    </row>
    <row r="15" spans="1:13" x14ac:dyDescent="0.25">
      <c r="J15" s="3">
        <v>42261</v>
      </c>
      <c r="K15">
        <f t="shared" si="0"/>
        <v>0</v>
      </c>
      <c r="L15">
        <f t="shared" si="1"/>
        <v>0</v>
      </c>
      <c r="M15">
        <f t="shared" si="2"/>
        <v>0</v>
      </c>
    </row>
    <row r="16" spans="1:13" x14ac:dyDescent="0.25">
      <c r="J16" s="3">
        <v>42262</v>
      </c>
      <c r="K16">
        <f t="shared" si="0"/>
        <v>0</v>
      </c>
      <c r="L16">
        <f t="shared" si="1"/>
        <v>0</v>
      </c>
      <c r="M16">
        <f t="shared" si="2"/>
        <v>0</v>
      </c>
    </row>
    <row r="17" spans="10:13" x14ac:dyDescent="0.25">
      <c r="J17" s="3">
        <v>42263</v>
      </c>
      <c r="K17">
        <f t="shared" si="0"/>
        <v>0</v>
      </c>
      <c r="L17">
        <f t="shared" si="1"/>
        <v>0</v>
      </c>
      <c r="M17">
        <f t="shared" si="2"/>
        <v>0</v>
      </c>
    </row>
    <row r="18" spans="10:13" x14ac:dyDescent="0.25">
      <c r="J18" s="3">
        <v>42264</v>
      </c>
      <c r="K18">
        <f t="shared" si="0"/>
        <v>0</v>
      </c>
      <c r="L18">
        <f t="shared" si="1"/>
        <v>0</v>
      </c>
      <c r="M18">
        <f t="shared" si="2"/>
        <v>0</v>
      </c>
    </row>
    <row r="19" spans="10:13" x14ac:dyDescent="0.25">
      <c r="J19" s="3">
        <v>42265</v>
      </c>
      <c r="K19">
        <f t="shared" si="0"/>
        <v>0</v>
      </c>
      <c r="L19">
        <f t="shared" si="1"/>
        <v>0</v>
      </c>
      <c r="M19">
        <f t="shared" si="2"/>
        <v>0</v>
      </c>
    </row>
    <row r="20" spans="10:13" x14ac:dyDescent="0.25">
      <c r="J20" s="3">
        <v>42266</v>
      </c>
      <c r="K20">
        <f t="shared" si="0"/>
        <v>0</v>
      </c>
      <c r="L20">
        <f t="shared" si="1"/>
        <v>0</v>
      </c>
      <c r="M20">
        <f t="shared" si="2"/>
        <v>0</v>
      </c>
    </row>
    <row r="21" spans="10:13" x14ac:dyDescent="0.25">
      <c r="J21" s="3">
        <v>42267</v>
      </c>
      <c r="K21">
        <f t="shared" si="0"/>
        <v>0</v>
      </c>
      <c r="L21">
        <f t="shared" si="1"/>
        <v>0</v>
      </c>
      <c r="M21">
        <f t="shared" si="2"/>
        <v>0</v>
      </c>
    </row>
    <row r="22" spans="10:13" x14ac:dyDescent="0.25">
      <c r="J22" s="3">
        <v>42268</v>
      </c>
      <c r="K22">
        <f t="shared" si="0"/>
        <v>0</v>
      </c>
      <c r="L22">
        <f t="shared" si="1"/>
        <v>0</v>
      </c>
      <c r="M22">
        <f t="shared" si="2"/>
        <v>0</v>
      </c>
    </row>
    <row r="23" spans="10:13" x14ac:dyDescent="0.25">
      <c r="J23" s="3">
        <v>42269</v>
      </c>
      <c r="K23">
        <f t="shared" si="0"/>
        <v>0</v>
      </c>
      <c r="L23">
        <f t="shared" si="1"/>
        <v>0</v>
      </c>
      <c r="M23">
        <f t="shared" si="2"/>
        <v>0</v>
      </c>
    </row>
    <row r="24" spans="10:13" x14ac:dyDescent="0.25">
      <c r="J24" s="3">
        <v>42270</v>
      </c>
      <c r="K24">
        <f t="shared" si="0"/>
        <v>0</v>
      </c>
      <c r="L24">
        <f t="shared" si="1"/>
        <v>0</v>
      </c>
      <c r="M24">
        <f t="shared" si="2"/>
        <v>0</v>
      </c>
    </row>
    <row r="25" spans="10:13" x14ac:dyDescent="0.25">
      <c r="J25" s="3">
        <v>42271</v>
      </c>
      <c r="K25">
        <f t="shared" si="0"/>
        <v>0</v>
      </c>
      <c r="L25">
        <f t="shared" si="1"/>
        <v>0</v>
      </c>
      <c r="M25">
        <f t="shared" si="2"/>
        <v>0</v>
      </c>
    </row>
    <row r="26" spans="10:13" x14ac:dyDescent="0.25">
      <c r="J26" s="3">
        <v>42272</v>
      </c>
      <c r="K26">
        <f t="shared" si="0"/>
        <v>0</v>
      </c>
      <c r="L26">
        <f t="shared" si="1"/>
        <v>0</v>
      </c>
      <c r="M26">
        <f t="shared" si="2"/>
        <v>0</v>
      </c>
    </row>
    <row r="27" spans="10:13" x14ac:dyDescent="0.25">
      <c r="J27" s="3">
        <v>42273</v>
      </c>
      <c r="K27">
        <f t="shared" si="0"/>
        <v>0</v>
      </c>
      <c r="L27">
        <f t="shared" si="1"/>
        <v>0</v>
      </c>
      <c r="M27">
        <f t="shared" si="2"/>
        <v>0</v>
      </c>
    </row>
    <row r="28" spans="10:13" x14ac:dyDescent="0.25">
      <c r="J28" s="3">
        <v>42274</v>
      </c>
      <c r="K28">
        <f t="shared" si="0"/>
        <v>0</v>
      </c>
      <c r="L28">
        <f t="shared" si="1"/>
        <v>0</v>
      </c>
      <c r="M28">
        <f t="shared" si="2"/>
        <v>0</v>
      </c>
    </row>
    <row r="29" spans="10:13" x14ac:dyDescent="0.25">
      <c r="J29" s="3">
        <v>42275</v>
      </c>
      <c r="K29">
        <f t="shared" si="0"/>
        <v>0</v>
      </c>
      <c r="L29">
        <f t="shared" si="1"/>
        <v>0</v>
      </c>
      <c r="M29">
        <f t="shared" si="2"/>
        <v>0</v>
      </c>
    </row>
    <row r="30" spans="10:13" x14ac:dyDescent="0.25">
      <c r="J30" s="3">
        <v>42276</v>
      </c>
      <c r="K30">
        <f t="shared" si="0"/>
        <v>0</v>
      </c>
      <c r="L30">
        <f t="shared" si="1"/>
        <v>0</v>
      </c>
      <c r="M30">
        <f t="shared" si="2"/>
        <v>0</v>
      </c>
    </row>
    <row r="31" spans="10:13" x14ac:dyDescent="0.25">
      <c r="J31" s="3">
        <v>42277</v>
      </c>
      <c r="K31">
        <f t="shared" si="0"/>
        <v>0</v>
      </c>
      <c r="L31">
        <f t="shared" si="1"/>
        <v>0</v>
      </c>
      <c r="M31">
        <f t="shared" si="2"/>
        <v>0</v>
      </c>
    </row>
  </sheetData>
  <sheetProtection algorithmName="SHA-512" hashValue="RpZTkyDgR9Jx30nMSNSI4i/izDkAKu3CDCrP/iVGN/A4Fx3P1jQkV5K3CwC+NOsatk8j7BFUKB41PVZIu0lK8Q==" saltValue="YrPGD92OA3bFDinmUVoug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Dec 15</vt:lpstr>
      <vt:lpstr>Nov 15</vt:lpstr>
      <vt:lpstr>Oct 15</vt:lpstr>
      <vt:lpstr>Sep 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Richter</dc:creator>
  <cp:lastModifiedBy>Jonathan Richter</cp:lastModifiedBy>
  <dcterms:created xsi:type="dcterms:W3CDTF">2015-11-04T23:32:57Z</dcterms:created>
  <dcterms:modified xsi:type="dcterms:W3CDTF">2016-02-17T10:37:04Z</dcterms:modified>
</cp:coreProperties>
</file>
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drawings/drawing3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"/>
    </mc:Choice>
  </mc:AlternateContent>
  <workbookProtection workbookAlgorithmName="SHA-512" workbookHashValue="4g+7CUPq4HHoV11qve3osRWoJvA3jM6WDqw6p3tAFSzRHTh5PGf4D0VhUNxm8gvpVw8cuXAuoU3WkBhvyPrLAw==" workbookSaltValue="Z2VJeQdhOa5PsngYvHgenw==" workbookSpinCount="100000" lockStructure="1"/>
  <bookViews>
    <workbookView xWindow="0" yWindow="0" windowWidth="23040" windowHeight="9960" tabRatio="586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TM" sheetId="10" r:id="rId10"/>
    <sheet name="OT" sheetId="11" r:id="rId11"/>
    <sheet name="Import" sheetId="13" r:id="rId12"/>
  </sheets>
  <functionGroups builtInGroupCount="18"/>
  <definedNames>
    <definedName name="_xlnm._FilterDatabase" localSheetId="11" hidden="1">Import!$B:$B</definedName>
    <definedName name="_xlnm._FilterDatabase" localSheetId="5" hidden="1">'T22'!$E$1:$Q$127</definedName>
    <definedName name="_xlnm._FilterDatabase" localSheetId="0" hidden="1">Total!$A$4:$V$45</definedName>
    <definedName name="DriverData">Driver!$A$1:$V$19</definedName>
    <definedName name="DriverEmp">Driver!$C$1:$V$1</definedName>
    <definedName name="DriverSortField">Driver!$C$1:$V$19</definedName>
    <definedName name="EmployeeList">Total!$X$2:$X$45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ursSpentTracker">Import!$V$1:$Y$1</definedName>
    <definedName name="ImportTable">Import!$J$1:$T$4,Import!$J$6:$K$6</definedName>
    <definedName name="Password">Import!$T$23</definedName>
    <definedName name="PayDay1">Import!$T$7</definedName>
    <definedName name="PayDay10">Import!$T$16</definedName>
    <definedName name="PayDay11">Import!$T$17</definedName>
    <definedName name="PayDay12">Import!$T$18</definedName>
    <definedName name="PayDay13">Import!$T$19</definedName>
    <definedName name="PayDay14">Import!$T$20</definedName>
    <definedName name="PayDay15">Import!$T$21</definedName>
    <definedName name="PayDay16">Import!$T$22</definedName>
    <definedName name="PayDay2">Import!$T$8</definedName>
    <definedName name="PayDay3">Import!$T$9</definedName>
    <definedName name="PayDay4">Import!$T$10</definedName>
    <definedName name="PayDay5">Import!$T$11</definedName>
    <definedName name="PayDay6">Import!$T$12</definedName>
    <definedName name="PayDay7">Import!$T$13</definedName>
    <definedName name="PayDay8">Import!$T$14</definedName>
    <definedName name="PayDay9">Import!$T$15</definedName>
    <definedName name="PayPeriod">Import!$T$7:$T$22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egWage">Total!$B$2:$B$45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Total!$A$4:$A$45</definedName>
    <definedName name="TotalGRow">Total!$A$5:$X$5</definedName>
    <definedName name="TotalMisc">Total!$U$2:$U$45</definedName>
    <definedName name="TotalNonHrly">Total!$X$2:$X$3</definedName>
    <definedName name="TotalRegWage">Total!$B$2:$B$45</definedName>
    <definedName name="TotalSecWage">Total!$C$2:$C$45</definedName>
    <definedName name="TotalSortField">Total!$A$4:$X$45</definedName>
    <definedName name="TotalTotals">Total!$D$52:$G$52</definedName>
    <definedName name="TotalVariance">Total!$V$49</definedName>
    <definedName name="TotalWGRows">Total!$A$4:$X$5</definedName>
    <definedName name="TotalWRow">Total!$A$4:$X$4</definedName>
    <definedName name="Z_802CA4C3_1A0C_4029_B73F_1EE5B8B22311_.wvu.FilterData" localSheetId="11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Total!$A$4:$V$45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A16" i="14" l="1"/>
  <c r="F16" i="14" s="1"/>
  <c r="G16" i="14" s="1"/>
  <c r="A15" i="14"/>
  <c r="F15" i="14" s="1"/>
  <c r="G15" i="14" s="1"/>
  <c r="A14" i="14"/>
  <c r="F14" i="14" s="1"/>
  <c r="G14" i="14" s="1"/>
  <c r="A13" i="14"/>
  <c r="F13" i="14" s="1"/>
  <c r="G13" i="14" s="1"/>
  <c r="A12" i="14"/>
  <c r="F12" i="14" s="1"/>
  <c r="G12" i="14" s="1"/>
  <c r="A11" i="14"/>
  <c r="F11" i="14" s="1"/>
  <c r="G11" i="14" s="1"/>
  <c r="A10" i="14"/>
  <c r="F10" i="14" s="1"/>
  <c r="G10" i="14" s="1"/>
  <c r="A9" i="14"/>
  <c r="F9" i="14" s="1"/>
  <c r="G9" i="14" s="1"/>
  <c r="A8" i="14"/>
  <c r="F8" i="14" s="1"/>
  <c r="G8" i="14" s="1"/>
  <c r="A7" i="14"/>
  <c r="F7" i="14" s="1"/>
  <c r="G7" i="14" s="1"/>
  <c r="A6" i="14"/>
  <c r="F6" i="14" s="1"/>
  <c r="G6" i="14" s="1"/>
  <c r="A5" i="14"/>
  <c r="F5" i="14" s="1"/>
  <c r="G5" i="14" s="1"/>
  <c r="A4" i="14"/>
  <c r="F4" i="14" s="1"/>
  <c r="G4" i="14" s="1"/>
  <c r="A3" i="14"/>
  <c r="F3" i="14" s="1"/>
  <c r="G3" i="14" s="1"/>
  <c r="A2" i="14"/>
  <c r="F2" i="14" s="1"/>
  <c r="G2" i="14" s="1"/>
  <c r="X16" i="8"/>
  <c r="U16" i="8"/>
  <c r="M16" i="8"/>
  <c r="L16" i="8"/>
  <c r="U13" i="8"/>
  <c r="U12" i="8"/>
  <c r="T12" i="8"/>
  <c r="L12" i="8"/>
  <c r="H12" i="8"/>
  <c r="U9" i="8"/>
  <c r="M9" i="8"/>
  <c r="T8" i="8"/>
  <c r="P8" i="8"/>
  <c r="H8" i="8"/>
  <c r="U7" i="8"/>
  <c r="M5" i="8"/>
  <c r="X4" i="8"/>
  <c r="P4" i="8"/>
  <c r="M4" i="8"/>
  <c r="H4" i="8"/>
  <c r="G4" i="8"/>
  <c r="L3" i="8"/>
  <c r="A16" i="8"/>
  <c r="T16" i="8" s="1"/>
  <c r="A15" i="8"/>
  <c r="Y15" i="8" s="1"/>
  <c r="A14" i="8"/>
  <c r="A13" i="8"/>
  <c r="Y13" i="8" s="1"/>
  <c r="A12" i="8"/>
  <c r="P12" i="8" s="1"/>
  <c r="A11" i="8"/>
  <c r="Y11" i="8" s="1"/>
  <c r="A10" i="8"/>
  <c r="A9" i="8"/>
  <c r="Y9" i="8" s="1"/>
  <c r="A8" i="8"/>
  <c r="X8" i="8" s="1"/>
  <c r="A7" i="8"/>
  <c r="Y7" i="8" s="1"/>
  <c r="A6" i="8"/>
  <c r="A5" i="8"/>
  <c r="Y5" i="8" s="1"/>
  <c r="A4" i="8"/>
  <c r="U4" i="8" s="1"/>
  <c r="A3" i="8"/>
  <c r="W3" i="8" s="1"/>
  <c r="A2" i="8"/>
  <c r="W2" i="8" s="1"/>
  <c r="M15" i="8" l="1"/>
  <c r="T3" i="8"/>
  <c r="I4" i="8"/>
  <c r="T4" i="8"/>
  <c r="U5" i="8"/>
  <c r="L8" i="8"/>
  <c r="U8" i="8"/>
  <c r="M11" i="8"/>
  <c r="M12" i="8"/>
  <c r="X12" i="8"/>
  <c r="U15" i="8"/>
  <c r="P16" i="8"/>
  <c r="P3" i="8"/>
  <c r="H3" i="8"/>
  <c r="X3" i="8"/>
  <c r="L4" i="8"/>
  <c r="M7" i="8"/>
  <c r="M8" i="8"/>
  <c r="U11" i="8"/>
  <c r="M13" i="8"/>
  <c r="H16" i="8"/>
  <c r="W6" i="8"/>
  <c r="S6" i="8"/>
  <c r="O6" i="8"/>
  <c r="K6" i="8"/>
  <c r="G6" i="8"/>
  <c r="Z6" i="8"/>
  <c r="V6" i="8"/>
  <c r="R6" i="8"/>
  <c r="N6" i="8"/>
  <c r="J6" i="8"/>
  <c r="F6" i="8"/>
  <c r="W10" i="8"/>
  <c r="S10" i="8"/>
  <c r="O10" i="8"/>
  <c r="K10" i="8"/>
  <c r="G10" i="8"/>
  <c r="Z10" i="8"/>
  <c r="V10" i="8"/>
  <c r="R10" i="8"/>
  <c r="N10" i="8"/>
  <c r="J10" i="8"/>
  <c r="F10" i="8"/>
  <c r="W14" i="8"/>
  <c r="S14" i="8"/>
  <c r="O14" i="8"/>
  <c r="K14" i="8"/>
  <c r="G14" i="8"/>
  <c r="Z14" i="8"/>
  <c r="V14" i="8"/>
  <c r="R14" i="8"/>
  <c r="N14" i="8"/>
  <c r="J14" i="8"/>
  <c r="F14" i="8"/>
  <c r="H2" i="8"/>
  <c r="L2" i="8"/>
  <c r="P2" i="8"/>
  <c r="T2" i="8"/>
  <c r="X2" i="8"/>
  <c r="U6" i="8"/>
  <c r="H5" i="8"/>
  <c r="P5" i="8"/>
  <c r="X5" i="8"/>
  <c r="H6" i="8"/>
  <c r="P6" i="8"/>
  <c r="X6" i="8"/>
  <c r="H7" i="8"/>
  <c r="P7" i="8"/>
  <c r="X7" i="8"/>
  <c r="H9" i="8"/>
  <c r="P9" i="8"/>
  <c r="X9" i="8"/>
  <c r="H10" i="8"/>
  <c r="P10" i="8"/>
  <c r="X10" i="8"/>
  <c r="H11" i="8"/>
  <c r="P11" i="8"/>
  <c r="X11" i="8"/>
  <c r="H13" i="8"/>
  <c r="P13" i="8"/>
  <c r="X13" i="8"/>
  <c r="H14" i="8"/>
  <c r="P14" i="8"/>
  <c r="X14" i="8"/>
  <c r="H15" i="8"/>
  <c r="P15" i="8"/>
  <c r="X15" i="8"/>
  <c r="W4" i="8"/>
  <c r="S4" i="8"/>
  <c r="O4" i="8"/>
  <c r="Z4" i="8"/>
  <c r="V4" i="8"/>
  <c r="R4" i="8"/>
  <c r="N4" i="8"/>
  <c r="J4" i="8"/>
  <c r="W8" i="8"/>
  <c r="S8" i="8"/>
  <c r="O8" i="8"/>
  <c r="K8" i="8"/>
  <c r="G8" i="8"/>
  <c r="Z8" i="8"/>
  <c r="V8" i="8"/>
  <c r="R8" i="8"/>
  <c r="N8" i="8"/>
  <c r="J8" i="8"/>
  <c r="F8" i="8"/>
  <c r="W12" i="8"/>
  <c r="S12" i="8"/>
  <c r="O12" i="8"/>
  <c r="K12" i="8"/>
  <c r="G12" i="8"/>
  <c r="Z12" i="8"/>
  <c r="V12" i="8"/>
  <c r="R12" i="8"/>
  <c r="N12" i="8"/>
  <c r="J12" i="8"/>
  <c r="F12" i="8"/>
  <c r="W16" i="8"/>
  <c r="S16" i="8"/>
  <c r="O16" i="8"/>
  <c r="K16" i="8"/>
  <c r="G16" i="8"/>
  <c r="Z16" i="8"/>
  <c r="V16" i="8"/>
  <c r="R16" i="8"/>
  <c r="N16" i="8"/>
  <c r="J16" i="8"/>
  <c r="F16" i="8"/>
  <c r="F2" i="8"/>
  <c r="J2" i="8"/>
  <c r="N2" i="8"/>
  <c r="R2" i="8"/>
  <c r="V2" i="8"/>
  <c r="Z2" i="8"/>
  <c r="F3" i="8"/>
  <c r="J3" i="8"/>
  <c r="N3" i="8"/>
  <c r="R3" i="8"/>
  <c r="V3" i="8"/>
  <c r="Z3" i="8"/>
  <c r="F4" i="8"/>
  <c r="K4" i="8"/>
  <c r="Q4" i="8"/>
  <c r="Y4" i="8"/>
  <c r="I5" i="8"/>
  <c r="Q5" i="8"/>
  <c r="I6" i="8"/>
  <c r="Q6" i="8"/>
  <c r="Y6" i="8"/>
  <c r="I7" i="8"/>
  <c r="Q7" i="8"/>
  <c r="I8" i="8"/>
  <c r="Q8" i="8"/>
  <c r="Y8" i="8"/>
  <c r="I9" i="8"/>
  <c r="Q9" i="8"/>
  <c r="I10" i="8"/>
  <c r="Q10" i="8"/>
  <c r="Y10" i="8"/>
  <c r="I11" i="8"/>
  <c r="Q11" i="8"/>
  <c r="I12" i="8"/>
  <c r="Q12" i="8"/>
  <c r="Y12" i="8"/>
  <c r="I13" i="8"/>
  <c r="Q13" i="8"/>
  <c r="I14" i="8"/>
  <c r="Q14" i="8"/>
  <c r="Y14" i="8"/>
  <c r="I15" i="8"/>
  <c r="Q15" i="8"/>
  <c r="I16" i="8"/>
  <c r="Q16" i="8"/>
  <c r="Y16" i="8"/>
  <c r="M6" i="8"/>
  <c r="M10" i="8"/>
  <c r="U10" i="8"/>
  <c r="M14" i="8"/>
  <c r="U14" i="8"/>
  <c r="W7" i="8"/>
  <c r="S7" i="8"/>
  <c r="O7" i="8"/>
  <c r="K7" i="8"/>
  <c r="G7" i="8"/>
  <c r="Z7" i="8"/>
  <c r="V7" i="8"/>
  <c r="R7" i="8"/>
  <c r="N7" i="8"/>
  <c r="J7" i="8"/>
  <c r="F7" i="8"/>
  <c r="W11" i="8"/>
  <c r="S11" i="8"/>
  <c r="O11" i="8"/>
  <c r="K11" i="8"/>
  <c r="G11" i="8"/>
  <c r="Z11" i="8"/>
  <c r="V11" i="8"/>
  <c r="R11" i="8"/>
  <c r="N11" i="8"/>
  <c r="J11" i="8"/>
  <c r="F11" i="8"/>
  <c r="W15" i="8"/>
  <c r="S15" i="8"/>
  <c r="O15" i="8"/>
  <c r="K15" i="8"/>
  <c r="G15" i="8"/>
  <c r="Z15" i="8"/>
  <c r="V15" i="8"/>
  <c r="R15" i="8"/>
  <c r="N15" i="8"/>
  <c r="J15" i="8"/>
  <c r="F15" i="8"/>
  <c r="I2" i="8"/>
  <c r="M2" i="8"/>
  <c r="Q2" i="8"/>
  <c r="U2" i="8"/>
  <c r="Y2" i="8"/>
  <c r="I3" i="8"/>
  <c r="M3" i="8"/>
  <c r="Q3" i="8"/>
  <c r="U3" i="8"/>
  <c r="Y3" i="8"/>
  <c r="W5" i="8"/>
  <c r="S5" i="8"/>
  <c r="O5" i="8"/>
  <c r="K5" i="8"/>
  <c r="G5" i="8"/>
  <c r="Z5" i="8"/>
  <c r="V5" i="8"/>
  <c r="R5" i="8"/>
  <c r="N5" i="8"/>
  <c r="J5" i="8"/>
  <c r="F5" i="8"/>
  <c r="W9" i="8"/>
  <c r="S9" i="8"/>
  <c r="O9" i="8"/>
  <c r="K9" i="8"/>
  <c r="G9" i="8"/>
  <c r="Z9" i="8"/>
  <c r="V9" i="8"/>
  <c r="R9" i="8"/>
  <c r="N9" i="8"/>
  <c r="J9" i="8"/>
  <c r="F9" i="8"/>
  <c r="W13" i="8"/>
  <c r="S13" i="8"/>
  <c r="O13" i="8"/>
  <c r="K13" i="8"/>
  <c r="G13" i="8"/>
  <c r="Z13" i="8"/>
  <c r="V13" i="8"/>
  <c r="R13" i="8"/>
  <c r="N13" i="8"/>
  <c r="J13" i="8"/>
  <c r="F13" i="8"/>
  <c r="G2" i="8"/>
  <c r="K2" i="8"/>
  <c r="O2" i="8"/>
  <c r="S2" i="8"/>
  <c r="G3" i="8"/>
  <c r="K3" i="8"/>
  <c r="O3" i="8"/>
  <c r="S3" i="8"/>
  <c r="L5" i="8"/>
  <c r="T5" i="8"/>
  <c r="L6" i="8"/>
  <c r="T6" i="8"/>
  <c r="L7" i="8"/>
  <c r="T7" i="8"/>
  <c r="L9" i="8"/>
  <c r="T9" i="8"/>
  <c r="L10" i="8"/>
  <c r="T10" i="8"/>
  <c r="L11" i="8"/>
  <c r="T11" i="8"/>
  <c r="L13" i="8"/>
  <c r="T13" i="8"/>
  <c r="L14" i="8"/>
  <c r="T14" i="8"/>
  <c r="L15" i="8"/>
  <c r="T15" i="8"/>
  <c r="B11" i="8" l="1"/>
  <c r="C11" i="8" s="1"/>
  <c r="D11" i="8" s="1"/>
  <c r="B4" i="8"/>
  <c r="C4" i="8" s="1"/>
  <c r="D4" i="8" s="1"/>
  <c r="B12" i="8"/>
  <c r="C12" i="8" s="1"/>
  <c r="D12" i="8" s="1"/>
  <c r="B5" i="8"/>
  <c r="C5" i="8" s="1"/>
  <c r="D5" i="8" s="1"/>
  <c r="B9" i="8"/>
  <c r="C9" i="8" s="1"/>
  <c r="D9" i="8" s="1"/>
  <c r="B16" i="8"/>
  <c r="C16" i="8" s="1"/>
  <c r="D16" i="8" s="1"/>
  <c r="B6" i="8"/>
  <c r="C6" i="8" s="1"/>
  <c r="D6" i="8" s="1"/>
  <c r="B13" i="8"/>
  <c r="C13" i="8" s="1"/>
  <c r="D13" i="8" s="1"/>
  <c r="B3" i="8"/>
  <c r="C3" i="8" s="1"/>
  <c r="D3" i="8" s="1"/>
  <c r="B10" i="8"/>
  <c r="C10" i="8" s="1"/>
  <c r="D10" i="8" s="1"/>
  <c r="B2" i="8"/>
  <c r="C2" i="8" s="1"/>
  <c r="D2" i="8" s="1"/>
  <c r="B15" i="8"/>
  <c r="C15" i="8" s="1"/>
  <c r="D15" i="8" s="1"/>
  <c r="B7" i="8"/>
  <c r="C7" i="8" s="1"/>
  <c r="D7" i="8" s="1"/>
  <c r="B8" i="8"/>
  <c r="C8" i="8" s="1"/>
  <c r="D8" i="8" s="1"/>
  <c r="B14" i="8"/>
  <c r="C14" i="8" s="1"/>
  <c r="D14" i="8" s="1"/>
  <c r="X41" i="1"/>
  <c r="X11" i="1"/>
  <c r="X6" i="1"/>
  <c r="P41" i="1" l="1"/>
  <c r="I41" i="1"/>
  <c r="Q41" i="1"/>
  <c r="P11" i="1"/>
  <c r="I11" i="1"/>
  <c r="Q11" i="1"/>
  <c r="N11" i="1"/>
  <c r="M6" i="1"/>
  <c r="S6" i="1"/>
  <c r="O6" i="1"/>
  <c r="M11" i="1"/>
  <c r="L41" i="1"/>
  <c r="H41" i="1"/>
  <c r="G11" i="1"/>
  <c r="O11" i="1"/>
  <c r="S11" i="1"/>
  <c r="N6" i="1"/>
  <c r="S41" i="1"/>
  <c r="O41" i="1"/>
  <c r="G41" i="1"/>
  <c r="R41" i="1"/>
  <c r="F41" i="1"/>
  <c r="M41" i="1"/>
  <c r="A95" i="6" l="1"/>
  <c r="A92" i="6"/>
  <c r="A89" i="6"/>
  <c r="A86" i="6"/>
  <c r="A83" i="6"/>
  <c r="A80" i="6"/>
  <c r="A77" i="6"/>
  <c r="A74" i="6"/>
  <c r="A71" i="6"/>
  <c r="A68" i="6"/>
  <c r="A65" i="6"/>
  <c r="A62" i="6"/>
  <c r="A59" i="6"/>
  <c r="A56" i="6"/>
  <c r="A53" i="6"/>
  <c r="A50" i="6"/>
  <c r="A47" i="6"/>
  <c r="A44" i="6"/>
  <c r="A41" i="6"/>
  <c r="A38" i="6"/>
  <c r="A35" i="6"/>
  <c r="A32" i="6"/>
  <c r="A29" i="6"/>
  <c r="A26" i="6"/>
  <c r="A23" i="6"/>
  <c r="A20" i="6"/>
  <c r="A17" i="6"/>
  <c r="A14" i="6"/>
  <c r="A11" i="6"/>
  <c r="A8" i="6"/>
  <c r="A5" i="6"/>
  <c r="A2" i="6"/>
  <c r="A95" i="5"/>
  <c r="A92" i="5"/>
  <c r="A89" i="5"/>
  <c r="A86" i="5"/>
  <c r="A83" i="5"/>
  <c r="A80" i="5"/>
  <c r="A77" i="5"/>
  <c r="A74" i="5"/>
  <c r="A71" i="5"/>
  <c r="A68" i="5"/>
  <c r="A65" i="5"/>
  <c r="A62" i="5"/>
  <c r="A59" i="5"/>
  <c r="A56" i="5"/>
  <c r="A53" i="5"/>
  <c r="A50" i="5"/>
  <c r="A47" i="5"/>
  <c r="A44" i="5"/>
  <c r="A41" i="5"/>
  <c r="A38" i="5"/>
  <c r="A35" i="5"/>
  <c r="A32" i="5"/>
  <c r="A29" i="5"/>
  <c r="A26" i="5"/>
  <c r="A23" i="5"/>
  <c r="A20" i="5"/>
  <c r="A17" i="5"/>
  <c r="A14" i="5"/>
  <c r="A11" i="5"/>
  <c r="A8" i="5"/>
  <c r="A5" i="5"/>
  <c r="A2" i="5"/>
  <c r="BC86" i="3" l="1"/>
  <c r="F22" i="14" l="1"/>
  <c r="G22" i="14" s="1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1" i="14"/>
  <c r="G21" i="14" s="1"/>
  <c r="F20" i="14"/>
  <c r="G20" i="14" s="1"/>
  <c r="F19" i="14"/>
  <c r="G19" i="14" s="1"/>
  <c r="F18" i="14"/>
  <c r="G18" i="14" s="1"/>
  <c r="E34" i="14"/>
  <c r="D34" i="14"/>
  <c r="E17" i="14"/>
  <c r="D17" i="14"/>
  <c r="D35" i="14" l="1"/>
  <c r="E35" i="14"/>
  <c r="G17" i="14"/>
  <c r="B40" i="8" s="1"/>
  <c r="F17" i="14"/>
  <c r="F34" i="14"/>
  <c r="G34" i="14"/>
  <c r="B41" i="8" s="1"/>
  <c r="G35" i="14" l="1"/>
  <c r="B42" i="8" s="1"/>
  <c r="F35" i="14"/>
  <c r="X18" i="1" l="1"/>
  <c r="O18" i="1" l="1"/>
  <c r="G18" i="1"/>
  <c r="M18" i="1"/>
  <c r="S18" i="1"/>
  <c r="X31" i="1"/>
  <c r="X14" i="1"/>
  <c r="X10" i="1"/>
  <c r="X30" i="1"/>
  <c r="I14" i="1" l="1"/>
  <c r="Q14" i="1"/>
  <c r="I30" i="1"/>
  <c r="Q30" i="1"/>
  <c r="Q10" i="1"/>
  <c r="I10" i="1"/>
  <c r="O14" i="1"/>
  <c r="M10" i="1"/>
  <c r="G14" i="1"/>
  <c r="R30" i="1"/>
  <c r="L30" i="1"/>
  <c r="N30" i="1"/>
  <c r="O30" i="1"/>
  <c r="G30" i="1"/>
  <c r="S10" i="1"/>
  <c r="O10" i="1"/>
  <c r="G10" i="1"/>
  <c r="N10" i="1"/>
  <c r="O31" i="1"/>
  <c r="G31" i="1"/>
  <c r="M2" i="13"/>
  <c r="S2" i="13"/>
  <c r="R2" i="13"/>
  <c r="Q2" i="13"/>
  <c r="P2" i="13"/>
  <c r="O2" i="13"/>
  <c r="N2" i="13"/>
  <c r="L2" i="13"/>
  <c r="X28" i="1" l="1"/>
  <c r="X22" i="1"/>
  <c r="P22" i="1" l="1"/>
  <c r="I22" i="1"/>
  <c r="Q22" i="1"/>
  <c r="I28" i="1"/>
  <c r="Q28" i="1"/>
  <c r="P28" i="1"/>
  <c r="A94" i="6"/>
  <c r="A88" i="6"/>
  <c r="A82" i="6"/>
  <c r="A76" i="6"/>
  <c r="A70" i="6"/>
  <c r="A64" i="6"/>
  <c r="A58" i="6"/>
  <c r="A52" i="6"/>
  <c r="A46" i="6"/>
  <c r="A40" i="6"/>
  <c r="A34" i="6"/>
  <c r="A28" i="6"/>
  <c r="A22" i="6"/>
  <c r="A16" i="6"/>
  <c r="A10" i="6"/>
  <c r="A4" i="6"/>
  <c r="A94" i="5"/>
  <c r="A97" i="5" s="1"/>
  <c r="A88" i="5"/>
  <c r="A87" i="5" s="1"/>
  <c r="A90" i="5" s="1"/>
  <c r="A82" i="5"/>
  <c r="A85" i="5" s="1"/>
  <c r="A76" i="5"/>
  <c r="A75" i="5" s="1"/>
  <c r="A78" i="5" s="1"/>
  <c r="A70" i="5"/>
  <c r="A73" i="5" s="1"/>
  <c r="A64" i="5"/>
  <c r="A63" i="5" s="1"/>
  <c r="A66" i="5" s="1"/>
  <c r="A58" i="5"/>
  <c r="A52" i="5"/>
  <c r="A51" i="5" s="1"/>
  <c r="A54" i="5" s="1"/>
  <c r="A46" i="5"/>
  <c r="A45" i="5" s="1"/>
  <c r="A48" i="5" s="1"/>
  <c r="A40" i="5"/>
  <c r="A39" i="5" s="1"/>
  <c r="A42" i="5" s="1"/>
  <c r="A34" i="5"/>
  <c r="A33" i="5" s="1"/>
  <c r="A36" i="5" s="1"/>
  <c r="A28" i="5"/>
  <c r="A27" i="5" s="1"/>
  <c r="A30" i="5" s="1"/>
  <c r="A22" i="5"/>
  <c r="A25" i="5" s="1"/>
  <c r="A16" i="5"/>
  <c r="A15" i="5" s="1"/>
  <c r="A18" i="5" s="1"/>
  <c r="A10" i="5"/>
  <c r="A9" i="5" s="1"/>
  <c r="A12" i="5" s="1"/>
  <c r="A4" i="5"/>
  <c r="A57" i="5"/>
  <c r="A60" i="5" s="1"/>
  <c r="A61" i="5"/>
  <c r="A93" i="5" l="1"/>
  <c r="A96" i="5" s="1"/>
  <c r="A81" i="5"/>
  <c r="A84" i="5" s="1"/>
  <c r="A49" i="5"/>
  <c r="A37" i="5"/>
  <c r="A21" i="5"/>
  <c r="A24" i="5" s="1"/>
  <c r="A69" i="5"/>
  <c r="A72" i="5" s="1"/>
  <c r="A91" i="5"/>
  <c r="A79" i="5"/>
  <c r="A67" i="5"/>
  <c r="A55" i="5"/>
  <c r="A43" i="5"/>
  <c r="A31" i="5"/>
  <c r="A19" i="5"/>
  <c r="A13" i="5"/>
  <c r="X19" i="1" l="1"/>
  <c r="I19" i="1" l="1"/>
  <c r="Q19" i="1"/>
  <c r="A7" i="6"/>
  <c r="A13" i="6" l="1"/>
  <c r="A3" i="6"/>
  <c r="A6" i="6" s="1"/>
  <c r="A9" i="6" l="1"/>
  <c r="A12" i="6" s="1"/>
  <c r="A19" i="6"/>
  <c r="A15" i="6"/>
  <c r="A18" i="6" s="1"/>
  <c r="F20" i="8"/>
  <c r="G20" i="8"/>
  <c r="I20" i="8"/>
  <c r="K20" i="8"/>
  <c r="L20" i="8"/>
  <c r="H20" i="8"/>
  <c r="J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F21" i="8"/>
  <c r="G21" i="8"/>
  <c r="I21" i="8"/>
  <c r="K21" i="8"/>
  <c r="L21" i="8"/>
  <c r="H21" i="8"/>
  <c r="J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F22" i="8"/>
  <c r="G22" i="8"/>
  <c r="I22" i="8"/>
  <c r="K22" i="8"/>
  <c r="L22" i="8"/>
  <c r="H22" i="8"/>
  <c r="J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F23" i="8"/>
  <c r="G23" i="8"/>
  <c r="I23" i="8"/>
  <c r="K23" i="8"/>
  <c r="L23" i="8"/>
  <c r="H23" i="8"/>
  <c r="J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F24" i="8"/>
  <c r="G24" i="8"/>
  <c r="I24" i="8"/>
  <c r="K24" i="8"/>
  <c r="L24" i="8"/>
  <c r="H24" i="8"/>
  <c r="J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F25" i="8"/>
  <c r="G25" i="8"/>
  <c r="I25" i="8"/>
  <c r="K25" i="8"/>
  <c r="L25" i="8"/>
  <c r="H25" i="8"/>
  <c r="J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F26" i="8"/>
  <c r="G26" i="8"/>
  <c r="I26" i="8"/>
  <c r="K26" i="8"/>
  <c r="L26" i="8"/>
  <c r="H26" i="8"/>
  <c r="J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F27" i="8"/>
  <c r="G27" i="8"/>
  <c r="I27" i="8"/>
  <c r="K27" i="8"/>
  <c r="L27" i="8"/>
  <c r="H27" i="8"/>
  <c r="J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F28" i="8"/>
  <c r="G28" i="8"/>
  <c r="I28" i="8"/>
  <c r="K28" i="8"/>
  <c r="L28" i="8"/>
  <c r="H28" i="8"/>
  <c r="J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F29" i="8"/>
  <c r="G29" i="8"/>
  <c r="I29" i="8"/>
  <c r="K29" i="8"/>
  <c r="L29" i="8"/>
  <c r="H29" i="8"/>
  <c r="J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F30" i="8"/>
  <c r="G30" i="8"/>
  <c r="I30" i="8"/>
  <c r="K30" i="8"/>
  <c r="L30" i="8"/>
  <c r="H30" i="8"/>
  <c r="J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F31" i="8"/>
  <c r="G31" i="8"/>
  <c r="I31" i="8"/>
  <c r="K31" i="8"/>
  <c r="L31" i="8"/>
  <c r="H31" i="8"/>
  <c r="J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F32" i="8"/>
  <c r="G32" i="8"/>
  <c r="I32" i="8"/>
  <c r="K32" i="8"/>
  <c r="L32" i="8"/>
  <c r="H32" i="8"/>
  <c r="J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F33" i="8"/>
  <c r="G33" i="8"/>
  <c r="I33" i="8"/>
  <c r="K33" i="8"/>
  <c r="L33" i="8"/>
  <c r="H33" i="8"/>
  <c r="J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F34" i="8"/>
  <c r="G34" i="8"/>
  <c r="I34" i="8"/>
  <c r="K34" i="8"/>
  <c r="L34" i="8"/>
  <c r="H34" i="8"/>
  <c r="J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G19" i="8"/>
  <c r="I19" i="8"/>
  <c r="K19" i="8"/>
  <c r="L19" i="8"/>
  <c r="H19" i="8"/>
  <c r="J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F19" i="8"/>
  <c r="A25" i="6" l="1"/>
  <c r="A21" i="6"/>
  <c r="A24" i="6" s="1"/>
  <c r="A31" i="6" l="1"/>
  <c r="A27" i="6"/>
  <c r="A30" i="6" s="1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H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F87" i="4"/>
  <c r="D87" i="4"/>
  <c r="G87" i="4"/>
  <c r="E87" i="4"/>
  <c r="C80" i="4"/>
  <c r="A77" i="4"/>
  <c r="C75" i="4"/>
  <c r="A72" i="4"/>
  <c r="C70" i="4"/>
  <c r="A67" i="4"/>
  <c r="C65" i="4"/>
  <c r="A62" i="4"/>
  <c r="C60" i="4"/>
  <c r="A57" i="4"/>
  <c r="C55" i="4"/>
  <c r="A52" i="4"/>
  <c r="C50" i="4"/>
  <c r="A47" i="4"/>
  <c r="C45" i="4"/>
  <c r="A42" i="4"/>
  <c r="C40" i="4"/>
  <c r="A37" i="4"/>
  <c r="C35" i="4"/>
  <c r="A32" i="4"/>
  <c r="C30" i="4"/>
  <c r="A27" i="4"/>
  <c r="C25" i="4"/>
  <c r="A22" i="4"/>
  <c r="C20" i="4"/>
  <c r="A17" i="4"/>
  <c r="C15" i="4"/>
  <c r="A12" i="4"/>
  <c r="C10" i="4"/>
  <c r="A7" i="4"/>
  <c r="C5" i="4"/>
  <c r="A2" i="4"/>
  <c r="C10" i="3"/>
  <c r="C15" i="3"/>
  <c r="C20" i="3"/>
  <c r="C25" i="3"/>
  <c r="C30" i="3"/>
  <c r="C35" i="3"/>
  <c r="C40" i="3"/>
  <c r="C45" i="3"/>
  <c r="C50" i="3"/>
  <c r="C55" i="3"/>
  <c r="C60" i="3"/>
  <c r="C65" i="3"/>
  <c r="C70" i="3"/>
  <c r="C75" i="3"/>
  <c r="C80" i="3"/>
  <c r="E2" i="4" l="1"/>
  <c r="I2" i="4"/>
  <c r="M2" i="4"/>
  <c r="Q2" i="4"/>
  <c r="U2" i="4"/>
  <c r="Y2" i="4"/>
  <c r="AC2" i="4"/>
  <c r="AG2" i="4"/>
  <c r="AK2" i="4"/>
  <c r="AO2" i="4"/>
  <c r="AS2" i="4"/>
  <c r="AW2" i="4"/>
  <c r="BA2" i="4"/>
  <c r="E3" i="4"/>
  <c r="I3" i="4"/>
  <c r="M3" i="4"/>
  <c r="Q3" i="4"/>
  <c r="U3" i="4"/>
  <c r="Y3" i="4"/>
  <c r="AC3" i="4"/>
  <c r="AG3" i="4"/>
  <c r="AK3" i="4"/>
  <c r="AO3" i="4"/>
  <c r="AS3" i="4"/>
  <c r="AW3" i="4"/>
  <c r="G2" i="4"/>
  <c r="J2" i="4"/>
  <c r="N2" i="4"/>
  <c r="R2" i="4"/>
  <c r="V2" i="4"/>
  <c r="Z2" i="4"/>
  <c r="AD2" i="4"/>
  <c r="AH2" i="4"/>
  <c r="AL2" i="4"/>
  <c r="AP2" i="4"/>
  <c r="AT2" i="4"/>
  <c r="AX2" i="4"/>
  <c r="BB2" i="4"/>
  <c r="G3" i="4"/>
  <c r="J3" i="4"/>
  <c r="N3" i="4"/>
  <c r="R3" i="4"/>
  <c r="V3" i="4"/>
  <c r="Z3" i="4"/>
  <c r="AD3" i="4"/>
  <c r="AH3" i="4"/>
  <c r="AL3" i="4"/>
  <c r="AP3" i="4"/>
  <c r="AT3" i="4"/>
  <c r="AX3" i="4"/>
  <c r="D2" i="4"/>
  <c r="K2" i="4"/>
  <c r="O2" i="4"/>
  <c r="S2" i="4"/>
  <c r="W2" i="4"/>
  <c r="AA2" i="4"/>
  <c r="AE2" i="4"/>
  <c r="AI2" i="4"/>
  <c r="AM2" i="4"/>
  <c r="AQ2" i="4"/>
  <c r="AU2" i="4"/>
  <c r="AY2" i="4"/>
  <c r="BC2" i="4"/>
  <c r="D3" i="4"/>
  <c r="K3" i="4"/>
  <c r="O3" i="4"/>
  <c r="S3" i="4"/>
  <c r="W3" i="4"/>
  <c r="AA3" i="4"/>
  <c r="AE3" i="4"/>
  <c r="AI3" i="4"/>
  <c r="AM3" i="4"/>
  <c r="AQ3" i="4"/>
  <c r="AU3" i="4"/>
  <c r="AY3" i="4"/>
  <c r="F2" i="4"/>
  <c r="L2" i="4"/>
  <c r="P2" i="4"/>
  <c r="T2" i="4"/>
  <c r="X2" i="4"/>
  <c r="AB2" i="4"/>
  <c r="AF2" i="4"/>
  <c r="AJ2" i="4"/>
  <c r="AN2" i="4"/>
  <c r="AR2" i="4"/>
  <c r="AV2" i="4"/>
  <c r="AZ2" i="4"/>
  <c r="BD2" i="4"/>
  <c r="F3" i="4"/>
  <c r="L3" i="4"/>
  <c r="P3" i="4"/>
  <c r="T3" i="4"/>
  <c r="X3" i="4"/>
  <c r="AB3" i="4"/>
  <c r="AF3" i="4"/>
  <c r="AJ3" i="4"/>
  <c r="AN3" i="4"/>
  <c r="AR3" i="4"/>
  <c r="AV3" i="4"/>
  <c r="AZ3" i="4"/>
  <c r="BA3" i="4"/>
  <c r="H3" i="4"/>
  <c r="BB3" i="4"/>
  <c r="BC3" i="4"/>
  <c r="BD3" i="4"/>
  <c r="H2" i="4"/>
  <c r="G12" i="4"/>
  <c r="J12" i="4"/>
  <c r="N12" i="4"/>
  <c r="R12" i="4"/>
  <c r="V12" i="4"/>
  <c r="Z12" i="4"/>
  <c r="AD12" i="4"/>
  <c r="AH12" i="4"/>
  <c r="AL12" i="4"/>
  <c r="AP12" i="4"/>
  <c r="AT12" i="4"/>
  <c r="AX12" i="4"/>
  <c r="BB12" i="4"/>
  <c r="E13" i="4"/>
  <c r="I13" i="4"/>
  <c r="M13" i="4"/>
  <c r="Q13" i="4"/>
  <c r="U13" i="4"/>
  <c r="Y13" i="4"/>
  <c r="AC13" i="4"/>
  <c r="AG13" i="4"/>
  <c r="AK13" i="4"/>
  <c r="AO13" i="4"/>
  <c r="AS13" i="4"/>
  <c r="AW13" i="4"/>
  <c r="BA13" i="4"/>
  <c r="E12" i="4"/>
  <c r="I12" i="4"/>
  <c r="M12" i="4"/>
  <c r="Q12" i="4"/>
  <c r="U12" i="4"/>
  <c r="Y12" i="4"/>
  <c r="AC12" i="4"/>
  <c r="AG12" i="4"/>
  <c r="AK12" i="4"/>
  <c r="AO12" i="4"/>
  <c r="AS12" i="4"/>
  <c r="AW12" i="4"/>
  <c r="BA12" i="4"/>
  <c r="H13" i="4"/>
  <c r="F13" i="4"/>
  <c r="L13" i="4"/>
  <c r="P13" i="4"/>
  <c r="T13" i="4"/>
  <c r="X13" i="4"/>
  <c r="AB13" i="4"/>
  <c r="AF13" i="4"/>
  <c r="AJ13" i="4"/>
  <c r="AN13" i="4"/>
  <c r="AR13" i="4"/>
  <c r="AV13" i="4"/>
  <c r="AZ13" i="4"/>
  <c r="BD13" i="4"/>
  <c r="K12" i="4"/>
  <c r="S12" i="4"/>
  <c r="AA12" i="4"/>
  <c r="AI12" i="4"/>
  <c r="AQ12" i="4"/>
  <c r="AY12" i="4"/>
  <c r="G13" i="4"/>
  <c r="N13" i="4"/>
  <c r="V13" i="4"/>
  <c r="AD13" i="4"/>
  <c r="AL13" i="4"/>
  <c r="AT13" i="4"/>
  <c r="BB13" i="4"/>
  <c r="F12" i="4"/>
  <c r="P12" i="4"/>
  <c r="X12" i="4"/>
  <c r="AF12" i="4"/>
  <c r="AN12" i="4"/>
  <c r="AV12" i="4"/>
  <c r="BD12" i="4"/>
  <c r="K13" i="4"/>
  <c r="S13" i="4"/>
  <c r="AA13" i="4"/>
  <c r="AI13" i="4"/>
  <c r="AQ13" i="4"/>
  <c r="AY13" i="4"/>
  <c r="L12" i="4"/>
  <c r="AB12" i="4"/>
  <c r="AR12" i="4"/>
  <c r="D13" i="4"/>
  <c r="W13" i="4"/>
  <c r="AM13" i="4"/>
  <c r="BC13" i="4"/>
  <c r="O12" i="4"/>
  <c r="AE12" i="4"/>
  <c r="AU12" i="4"/>
  <c r="J13" i="4"/>
  <c r="Z13" i="4"/>
  <c r="AP13" i="4"/>
  <c r="H12" i="4"/>
  <c r="T12" i="4"/>
  <c r="AJ12" i="4"/>
  <c r="AZ12" i="4"/>
  <c r="O13" i="4"/>
  <c r="AE13" i="4"/>
  <c r="AU13" i="4"/>
  <c r="D12" i="4"/>
  <c r="W12" i="4"/>
  <c r="AM12" i="4"/>
  <c r="BC12" i="4"/>
  <c r="R13" i="4"/>
  <c r="AH13" i="4"/>
  <c r="AX13" i="4"/>
  <c r="G22" i="4"/>
  <c r="J22" i="4"/>
  <c r="N22" i="4"/>
  <c r="R22" i="4"/>
  <c r="V22" i="4"/>
  <c r="E22" i="4"/>
  <c r="I22" i="4"/>
  <c r="M22" i="4"/>
  <c r="Q22" i="4"/>
  <c r="U22" i="4"/>
  <c r="Y22" i="4"/>
  <c r="D22" i="4"/>
  <c r="O22" i="4"/>
  <c r="W22" i="4"/>
  <c r="AB22" i="4"/>
  <c r="AF22" i="4"/>
  <c r="AJ22" i="4"/>
  <c r="AN22" i="4"/>
  <c r="AR22" i="4"/>
  <c r="AV22" i="4"/>
  <c r="AZ22" i="4"/>
  <c r="BD22" i="4"/>
  <c r="D23" i="4"/>
  <c r="K23" i="4"/>
  <c r="O23" i="4"/>
  <c r="S23" i="4"/>
  <c r="W23" i="4"/>
  <c r="AA23" i="4"/>
  <c r="AE23" i="4"/>
  <c r="AI23" i="4"/>
  <c r="AM23" i="4"/>
  <c r="AQ23" i="4"/>
  <c r="AU23" i="4"/>
  <c r="AY23" i="4"/>
  <c r="BC23" i="4"/>
  <c r="H22" i="4"/>
  <c r="L22" i="4"/>
  <c r="T22" i="4"/>
  <c r="AA22" i="4"/>
  <c r="AE22" i="4"/>
  <c r="AI22" i="4"/>
  <c r="AM22" i="4"/>
  <c r="AQ22" i="4"/>
  <c r="AU22" i="4"/>
  <c r="AY22" i="4"/>
  <c r="BC22" i="4"/>
  <c r="G23" i="4"/>
  <c r="J23" i="4"/>
  <c r="N23" i="4"/>
  <c r="R23" i="4"/>
  <c r="V23" i="4"/>
  <c r="Z23" i="4"/>
  <c r="AD23" i="4"/>
  <c r="AH23" i="4"/>
  <c r="AL23" i="4"/>
  <c r="AP23" i="4"/>
  <c r="AT23" i="4"/>
  <c r="AX23" i="4"/>
  <c r="BB23" i="4"/>
  <c r="F22" i="4"/>
  <c r="X22" i="4"/>
  <c r="AG22" i="4"/>
  <c r="AO22" i="4"/>
  <c r="AW22" i="4"/>
  <c r="H23" i="4"/>
  <c r="L23" i="4"/>
  <c r="T23" i="4"/>
  <c r="AB23" i="4"/>
  <c r="AJ23" i="4"/>
  <c r="AR23" i="4"/>
  <c r="AZ23" i="4"/>
  <c r="K22" i="4"/>
  <c r="Z22" i="4"/>
  <c r="AH22" i="4"/>
  <c r="AP22" i="4"/>
  <c r="AX22" i="4"/>
  <c r="E23" i="4"/>
  <c r="M23" i="4"/>
  <c r="U23" i="4"/>
  <c r="AC23" i="4"/>
  <c r="AK23" i="4"/>
  <c r="AS23" i="4"/>
  <c r="BA23" i="4"/>
  <c r="P22" i="4"/>
  <c r="AC22" i="4"/>
  <c r="AK22" i="4"/>
  <c r="AS22" i="4"/>
  <c r="BA22" i="4"/>
  <c r="F23" i="4"/>
  <c r="P23" i="4"/>
  <c r="X23" i="4"/>
  <c r="AF23" i="4"/>
  <c r="AN23" i="4"/>
  <c r="AV23" i="4"/>
  <c r="BD23" i="4"/>
  <c r="S22" i="4"/>
  <c r="AD22" i="4"/>
  <c r="AL22" i="4"/>
  <c r="AT22" i="4"/>
  <c r="BB22" i="4"/>
  <c r="I23" i="4"/>
  <c r="Q23" i="4"/>
  <c r="Y23" i="4"/>
  <c r="AG23" i="4"/>
  <c r="AO23" i="4"/>
  <c r="AW23" i="4"/>
  <c r="G32" i="4"/>
  <c r="J32" i="4"/>
  <c r="N32" i="4"/>
  <c r="R32" i="4"/>
  <c r="V32" i="4"/>
  <c r="Z32" i="4"/>
  <c r="AD32" i="4"/>
  <c r="AH32" i="4"/>
  <c r="AL32" i="4"/>
  <c r="AP32" i="4"/>
  <c r="AT32" i="4"/>
  <c r="AX32" i="4"/>
  <c r="BB32" i="4"/>
  <c r="E33" i="4"/>
  <c r="I33" i="4"/>
  <c r="M33" i="4"/>
  <c r="Q33" i="4"/>
  <c r="U33" i="4"/>
  <c r="Y33" i="4"/>
  <c r="AC33" i="4"/>
  <c r="AG33" i="4"/>
  <c r="AK33" i="4"/>
  <c r="AO33" i="4"/>
  <c r="AS33" i="4"/>
  <c r="AW33" i="4"/>
  <c r="BA33" i="4"/>
  <c r="D32" i="4"/>
  <c r="K32" i="4"/>
  <c r="O32" i="4"/>
  <c r="S32" i="4"/>
  <c r="W32" i="4"/>
  <c r="AA32" i="4"/>
  <c r="AE32" i="4"/>
  <c r="AI32" i="4"/>
  <c r="AM32" i="4"/>
  <c r="AQ32" i="4"/>
  <c r="AU32" i="4"/>
  <c r="AY32" i="4"/>
  <c r="BC32" i="4"/>
  <c r="G33" i="4"/>
  <c r="J33" i="4"/>
  <c r="N33" i="4"/>
  <c r="R33" i="4"/>
  <c r="V33" i="4"/>
  <c r="Z33" i="4"/>
  <c r="AD33" i="4"/>
  <c r="AH33" i="4"/>
  <c r="AL33" i="4"/>
  <c r="AP33" i="4"/>
  <c r="AT33" i="4"/>
  <c r="AX33" i="4"/>
  <c r="BB33" i="4"/>
  <c r="H32" i="4"/>
  <c r="F32" i="4"/>
  <c r="L32" i="4"/>
  <c r="P32" i="4"/>
  <c r="T32" i="4"/>
  <c r="X32" i="4"/>
  <c r="AB32" i="4"/>
  <c r="AF32" i="4"/>
  <c r="AJ32" i="4"/>
  <c r="AN32" i="4"/>
  <c r="AR32" i="4"/>
  <c r="AV32" i="4"/>
  <c r="AZ32" i="4"/>
  <c r="BD32" i="4"/>
  <c r="D33" i="4"/>
  <c r="K33" i="4"/>
  <c r="O33" i="4"/>
  <c r="S33" i="4"/>
  <c r="W33" i="4"/>
  <c r="AA33" i="4"/>
  <c r="AE33" i="4"/>
  <c r="E32" i="4"/>
  <c r="I32" i="4"/>
  <c r="M32" i="4"/>
  <c r="Q32" i="4"/>
  <c r="U32" i="4"/>
  <c r="Y32" i="4"/>
  <c r="AC32" i="4"/>
  <c r="AG32" i="4"/>
  <c r="AK32" i="4"/>
  <c r="AO32" i="4"/>
  <c r="AS32" i="4"/>
  <c r="AW32" i="4"/>
  <c r="BA32" i="4"/>
  <c r="H33" i="4"/>
  <c r="F33" i="4"/>
  <c r="L33" i="4"/>
  <c r="P33" i="4"/>
  <c r="T33" i="4"/>
  <c r="X33" i="4"/>
  <c r="AB33" i="4"/>
  <c r="AF33" i="4"/>
  <c r="AJ33" i="4"/>
  <c r="AN33" i="4"/>
  <c r="AR33" i="4"/>
  <c r="AV33" i="4"/>
  <c r="AZ33" i="4"/>
  <c r="BD33" i="4"/>
  <c r="AI33" i="4"/>
  <c r="AY33" i="4"/>
  <c r="AM33" i="4"/>
  <c r="BC33" i="4"/>
  <c r="AQ33" i="4"/>
  <c r="AU33" i="4"/>
  <c r="G42" i="4"/>
  <c r="J42" i="4"/>
  <c r="N42" i="4"/>
  <c r="R42" i="4"/>
  <c r="V42" i="4"/>
  <c r="Z42" i="4"/>
  <c r="AD42" i="4"/>
  <c r="AH42" i="4"/>
  <c r="AL42" i="4"/>
  <c r="AP42" i="4"/>
  <c r="AT42" i="4"/>
  <c r="AX42" i="4"/>
  <c r="BB42" i="4"/>
  <c r="E43" i="4"/>
  <c r="I43" i="4"/>
  <c r="M43" i="4"/>
  <c r="Q43" i="4"/>
  <c r="U43" i="4"/>
  <c r="Y43" i="4"/>
  <c r="AC43" i="4"/>
  <c r="AG43" i="4"/>
  <c r="AK43" i="4"/>
  <c r="AO43" i="4"/>
  <c r="AS43" i="4"/>
  <c r="AW43" i="4"/>
  <c r="BA43" i="4"/>
  <c r="D42" i="4"/>
  <c r="K42" i="4"/>
  <c r="O42" i="4"/>
  <c r="S42" i="4"/>
  <c r="W42" i="4"/>
  <c r="AA42" i="4"/>
  <c r="AE42" i="4"/>
  <c r="AI42" i="4"/>
  <c r="AM42" i="4"/>
  <c r="AQ42" i="4"/>
  <c r="AU42" i="4"/>
  <c r="AY42" i="4"/>
  <c r="BC42" i="4"/>
  <c r="G43" i="4"/>
  <c r="J43" i="4"/>
  <c r="N43" i="4"/>
  <c r="R43" i="4"/>
  <c r="V43" i="4"/>
  <c r="Z43" i="4"/>
  <c r="AD43" i="4"/>
  <c r="AH43" i="4"/>
  <c r="AL43" i="4"/>
  <c r="AP43" i="4"/>
  <c r="AT43" i="4"/>
  <c r="AX43" i="4"/>
  <c r="BB43" i="4"/>
  <c r="H42" i="4"/>
  <c r="F42" i="4"/>
  <c r="L42" i="4"/>
  <c r="P42" i="4"/>
  <c r="T42" i="4"/>
  <c r="X42" i="4"/>
  <c r="AB42" i="4"/>
  <c r="AF42" i="4"/>
  <c r="AJ42" i="4"/>
  <c r="AN42" i="4"/>
  <c r="AR42" i="4"/>
  <c r="AV42" i="4"/>
  <c r="AZ42" i="4"/>
  <c r="BD42" i="4"/>
  <c r="D43" i="4"/>
  <c r="K43" i="4"/>
  <c r="O43" i="4"/>
  <c r="S43" i="4"/>
  <c r="W43" i="4"/>
  <c r="AA43" i="4"/>
  <c r="AE43" i="4"/>
  <c r="AI43" i="4"/>
  <c r="AM43" i="4"/>
  <c r="AQ43" i="4"/>
  <c r="AU43" i="4"/>
  <c r="AY43" i="4"/>
  <c r="BC43" i="4"/>
  <c r="E42" i="4"/>
  <c r="I42" i="4"/>
  <c r="M42" i="4"/>
  <c r="Q42" i="4"/>
  <c r="U42" i="4"/>
  <c r="Y42" i="4"/>
  <c r="AC42" i="4"/>
  <c r="AG42" i="4"/>
  <c r="AK42" i="4"/>
  <c r="AO42" i="4"/>
  <c r="AS42" i="4"/>
  <c r="AW42" i="4"/>
  <c r="BA42" i="4"/>
  <c r="H43" i="4"/>
  <c r="F43" i="4"/>
  <c r="L43" i="4"/>
  <c r="P43" i="4"/>
  <c r="T43" i="4"/>
  <c r="X43" i="4"/>
  <c r="AB43" i="4"/>
  <c r="AF43" i="4"/>
  <c r="AJ43" i="4"/>
  <c r="AN43" i="4"/>
  <c r="AR43" i="4"/>
  <c r="AV43" i="4"/>
  <c r="AZ43" i="4"/>
  <c r="BD43" i="4"/>
  <c r="G52" i="4"/>
  <c r="J52" i="4"/>
  <c r="N52" i="4"/>
  <c r="R52" i="4"/>
  <c r="V52" i="4"/>
  <c r="Z52" i="4"/>
  <c r="AD52" i="4"/>
  <c r="AH52" i="4"/>
  <c r="AL52" i="4"/>
  <c r="AP52" i="4"/>
  <c r="AT52" i="4"/>
  <c r="AX52" i="4"/>
  <c r="BB52" i="4"/>
  <c r="E53" i="4"/>
  <c r="I53" i="4"/>
  <c r="D52" i="4"/>
  <c r="K52" i="4"/>
  <c r="O52" i="4"/>
  <c r="S52" i="4"/>
  <c r="W52" i="4"/>
  <c r="AA52" i="4"/>
  <c r="AE52" i="4"/>
  <c r="AI52" i="4"/>
  <c r="AM52" i="4"/>
  <c r="AQ52" i="4"/>
  <c r="AU52" i="4"/>
  <c r="AY52" i="4"/>
  <c r="BC52" i="4"/>
  <c r="G53" i="4"/>
  <c r="J53" i="4"/>
  <c r="H52" i="4"/>
  <c r="F52" i="4"/>
  <c r="L52" i="4"/>
  <c r="P52" i="4"/>
  <c r="T52" i="4"/>
  <c r="X52" i="4"/>
  <c r="AB52" i="4"/>
  <c r="AF52" i="4"/>
  <c r="AJ52" i="4"/>
  <c r="AN52" i="4"/>
  <c r="AR52" i="4"/>
  <c r="AV52" i="4"/>
  <c r="AZ52" i="4"/>
  <c r="E52" i="4"/>
  <c r="I52" i="4"/>
  <c r="M52" i="4"/>
  <c r="Q52" i="4"/>
  <c r="U52" i="4"/>
  <c r="Y52" i="4"/>
  <c r="AC52" i="4"/>
  <c r="AG52" i="4"/>
  <c r="AK52" i="4"/>
  <c r="AO52" i="4"/>
  <c r="AS52" i="4"/>
  <c r="AW52" i="4"/>
  <c r="BA52" i="4"/>
  <c r="BD52" i="4"/>
  <c r="K53" i="4"/>
  <c r="O53" i="4"/>
  <c r="S53" i="4"/>
  <c r="W53" i="4"/>
  <c r="AA53" i="4"/>
  <c r="AE53" i="4"/>
  <c r="AI53" i="4"/>
  <c r="AM53" i="4"/>
  <c r="AQ53" i="4"/>
  <c r="AU53" i="4"/>
  <c r="AY53" i="4"/>
  <c r="BC53" i="4"/>
  <c r="H53" i="4"/>
  <c r="L53" i="4"/>
  <c r="P53" i="4"/>
  <c r="T53" i="4"/>
  <c r="X53" i="4"/>
  <c r="AB53" i="4"/>
  <c r="AF53" i="4"/>
  <c r="AJ53" i="4"/>
  <c r="AN53" i="4"/>
  <c r="AR53" i="4"/>
  <c r="AV53" i="4"/>
  <c r="AZ53" i="4"/>
  <c r="BD53" i="4"/>
  <c r="D53" i="4"/>
  <c r="M53" i="4"/>
  <c r="Q53" i="4"/>
  <c r="U53" i="4"/>
  <c r="Y53" i="4"/>
  <c r="AC53" i="4"/>
  <c r="AG53" i="4"/>
  <c r="AK53" i="4"/>
  <c r="AO53" i="4"/>
  <c r="AS53" i="4"/>
  <c r="AW53" i="4"/>
  <c r="BA53" i="4"/>
  <c r="F53" i="4"/>
  <c r="N53" i="4"/>
  <c r="R53" i="4"/>
  <c r="V53" i="4"/>
  <c r="Z53" i="4"/>
  <c r="AD53" i="4"/>
  <c r="AH53" i="4"/>
  <c r="AL53" i="4"/>
  <c r="AP53" i="4"/>
  <c r="AT53" i="4"/>
  <c r="AX53" i="4"/>
  <c r="BB53" i="4"/>
  <c r="H62" i="4"/>
  <c r="F62" i="4"/>
  <c r="L62" i="4"/>
  <c r="P62" i="4"/>
  <c r="T62" i="4"/>
  <c r="X62" i="4"/>
  <c r="AB62" i="4"/>
  <c r="AF62" i="4"/>
  <c r="AJ62" i="4"/>
  <c r="AN62" i="4"/>
  <c r="AR62" i="4"/>
  <c r="AV62" i="4"/>
  <c r="AZ62" i="4"/>
  <c r="BD62" i="4"/>
  <c r="D63" i="4"/>
  <c r="K63" i="4"/>
  <c r="O63" i="4"/>
  <c r="S63" i="4"/>
  <c r="W63" i="4"/>
  <c r="AA63" i="4"/>
  <c r="AE63" i="4"/>
  <c r="AI63" i="4"/>
  <c r="AM63" i="4"/>
  <c r="AQ63" i="4"/>
  <c r="AU63" i="4"/>
  <c r="AY63" i="4"/>
  <c r="BC63" i="4"/>
  <c r="E62" i="4"/>
  <c r="I62" i="4"/>
  <c r="M62" i="4"/>
  <c r="Q62" i="4"/>
  <c r="U62" i="4"/>
  <c r="Y62" i="4"/>
  <c r="AC62" i="4"/>
  <c r="AG62" i="4"/>
  <c r="AK62" i="4"/>
  <c r="AO62" i="4"/>
  <c r="AS62" i="4"/>
  <c r="AW62" i="4"/>
  <c r="BA62" i="4"/>
  <c r="H63" i="4"/>
  <c r="F63" i="4"/>
  <c r="L63" i="4"/>
  <c r="P63" i="4"/>
  <c r="T63" i="4"/>
  <c r="X63" i="4"/>
  <c r="AB63" i="4"/>
  <c r="AF63" i="4"/>
  <c r="AJ63" i="4"/>
  <c r="AN63" i="4"/>
  <c r="AR63" i="4"/>
  <c r="AV63" i="4"/>
  <c r="AZ63" i="4"/>
  <c r="BD63" i="4"/>
  <c r="G62" i="4"/>
  <c r="J62" i="4"/>
  <c r="N62" i="4"/>
  <c r="R62" i="4"/>
  <c r="V62" i="4"/>
  <c r="Z62" i="4"/>
  <c r="AD62" i="4"/>
  <c r="AH62" i="4"/>
  <c r="AL62" i="4"/>
  <c r="AP62" i="4"/>
  <c r="AT62" i="4"/>
  <c r="AX62" i="4"/>
  <c r="BB62" i="4"/>
  <c r="E63" i="4"/>
  <c r="I63" i="4"/>
  <c r="M63" i="4"/>
  <c r="Q63" i="4"/>
  <c r="U63" i="4"/>
  <c r="Y63" i="4"/>
  <c r="AC63" i="4"/>
  <c r="AG63" i="4"/>
  <c r="AK63" i="4"/>
  <c r="AO63" i="4"/>
  <c r="AS63" i="4"/>
  <c r="AW63" i="4"/>
  <c r="BA63" i="4"/>
  <c r="D62" i="4"/>
  <c r="K62" i="4"/>
  <c r="O62" i="4"/>
  <c r="S62" i="4"/>
  <c r="W62" i="4"/>
  <c r="AA62" i="4"/>
  <c r="AE62" i="4"/>
  <c r="AI62" i="4"/>
  <c r="AM62" i="4"/>
  <c r="AQ62" i="4"/>
  <c r="AU62" i="4"/>
  <c r="AY62" i="4"/>
  <c r="BC62" i="4"/>
  <c r="G63" i="4"/>
  <c r="J63" i="4"/>
  <c r="N63" i="4"/>
  <c r="R63" i="4"/>
  <c r="V63" i="4"/>
  <c r="Z63" i="4"/>
  <c r="AD63" i="4"/>
  <c r="AH63" i="4"/>
  <c r="AL63" i="4"/>
  <c r="AP63" i="4"/>
  <c r="AT63" i="4"/>
  <c r="AX63" i="4"/>
  <c r="BB63" i="4"/>
  <c r="H72" i="4"/>
  <c r="F72" i="4"/>
  <c r="L72" i="4"/>
  <c r="P72" i="4"/>
  <c r="T72" i="4"/>
  <c r="X72" i="4"/>
  <c r="AB72" i="4"/>
  <c r="AF72" i="4"/>
  <c r="AJ72" i="4"/>
  <c r="AN72" i="4"/>
  <c r="AR72" i="4"/>
  <c r="AV72" i="4"/>
  <c r="AZ72" i="4"/>
  <c r="BD72" i="4"/>
  <c r="D73" i="4"/>
  <c r="K73" i="4"/>
  <c r="O73" i="4"/>
  <c r="S73" i="4"/>
  <c r="W73" i="4"/>
  <c r="AA73" i="4"/>
  <c r="AE73" i="4"/>
  <c r="AI73" i="4"/>
  <c r="AM73" i="4"/>
  <c r="AQ73" i="4"/>
  <c r="AU73" i="4"/>
  <c r="AY73" i="4"/>
  <c r="BC73" i="4"/>
  <c r="E72" i="4"/>
  <c r="I72" i="4"/>
  <c r="M72" i="4"/>
  <c r="Q72" i="4"/>
  <c r="U72" i="4"/>
  <c r="Y72" i="4"/>
  <c r="AC72" i="4"/>
  <c r="AG72" i="4"/>
  <c r="AK72" i="4"/>
  <c r="AO72" i="4"/>
  <c r="AS72" i="4"/>
  <c r="AW72" i="4"/>
  <c r="BA72" i="4"/>
  <c r="H73" i="4"/>
  <c r="F73" i="4"/>
  <c r="L73" i="4"/>
  <c r="P73" i="4"/>
  <c r="T73" i="4"/>
  <c r="X73" i="4"/>
  <c r="AB73" i="4"/>
  <c r="AF73" i="4"/>
  <c r="AJ73" i="4"/>
  <c r="AN73" i="4"/>
  <c r="AR73" i="4"/>
  <c r="AV73" i="4"/>
  <c r="AZ73" i="4"/>
  <c r="BD73" i="4"/>
  <c r="G72" i="4"/>
  <c r="J72" i="4"/>
  <c r="N72" i="4"/>
  <c r="R72" i="4"/>
  <c r="V72" i="4"/>
  <c r="Z72" i="4"/>
  <c r="AD72" i="4"/>
  <c r="AH72" i="4"/>
  <c r="AL72" i="4"/>
  <c r="AP72" i="4"/>
  <c r="AT72" i="4"/>
  <c r="AX72" i="4"/>
  <c r="BB72" i="4"/>
  <c r="E73" i="4"/>
  <c r="I73" i="4"/>
  <c r="M73" i="4"/>
  <c r="Q73" i="4"/>
  <c r="U73" i="4"/>
  <c r="Y73" i="4"/>
  <c r="AC73" i="4"/>
  <c r="AG73" i="4"/>
  <c r="AK73" i="4"/>
  <c r="AO73" i="4"/>
  <c r="AS73" i="4"/>
  <c r="AW73" i="4"/>
  <c r="BA73" i="4"/>
  <c r="D72" i="4"/>
  <c r="K72" i="4"/>
  <c r="O72" i="4"/>
  <c r="S72" i="4"/>
  <c r="W72" i="4"/>
  <c r="AA72" i="4"/>
  <c r="AE72" i="4"/>
  <c r="AI72" i="4"/>
  <c r="AM72" i="4"/>
  <c r="AQ72" i="4"/>
  <c r="AU72" i="4"/>
  <c r="AY72" i="4"/>
  <c r="BC72" i="4"/>
  <c r="G73" i="4"/>
  <c r="J73" i="4"/>
  <c r="N73" i="4"/>
  <c r="R73" i="4"/>
  <c r="V73" i="4"/>
  <c r="Z73" i="4"/>
  <c r="AD73" i="4"/>
  <c r="AH73" i="4"/>
  <c r="AL73" i="4"/>
  <c r="AP73" i="4"/>
  <c r="AT73" i="4"/>
  <c r="AX73" i="4"/>
  <c r="BB73" i="4"/>
  <c r="H7" i="4"/>
  <c r="F7" i="4"/>
  <c r="L7" i="4"/>
  <c r="P7" i="4"/>
  <c r="T7" i="4"/>
  <c r="X7" i="4"/>
  <c r="AB7" i="4"/>
  <c r="AF7" i="4"/>
  <c r="AJ7" i="4"/>
  <c r="AN7" i="4"/>
  <c r="AR7" i="4"/>
  <c r="AV7" i="4"/>
  <c r="AZ7" i="4"/>
  <c r="BD7" i="4"/>
  <c r="D8" i="4"/>
  <c r="K8" i="4"/>
  <c r="O8" i="4"/>
  <c r="S8" i="4"/>
  <c r="W8" i="4"/>
  <c r="AA8" i="4"/>
  <c r="AE8" i="4"/>
  <c r="AI8" i="4"/>
  <c r="AM8" i="4"/>
  <c r="AQ8" i="4"/>
  <c r="AU8" i="4"/>
  <c r="AY8" i="4"/>
  <c r="BC8" i="4"/>
  <c r="D7" i="4"/>
  <c r="K7" i="4"/>
  <c r="O7" i="4"/>
  <c r="S7" i="4"/>
  <c r="W7" i="4"/>
  <c r="AA7" i="4"/>
  <c r="AE7" i="4"/>
  <c r="AI7" i="4"/>
  <c r="AM7" i="4"/>
  <c r="AQ7" i="4"/>
  <c r="AU7" i="4"/>
  <c r="AY7" i="4"/>
  <c r="BC7" i="4"/>
  <c r="G8" i="4"/>
  <c r="J8" i="4"/>
  <c r="N8" i="4"/>
  <c r="R8" i="4"/>
  <c r="V8" i="4"/>
  <c r="Z8" i="4"/>
  <c r="AD8" i="4"/>
  <c r="AH8" i="4"/>
  <c r="AL8" i="4"/>
  <c r="AP8" i="4"/>
  <c r="AT8" i="4"/>
  <c r="AX8" i="4"/>
  <c r="BB8" i="4"/>
  <c r="E7" i="4"/>
  <c r="M7" i="4"/>
  <c r="U7" i="4"/>
  <c r="AC7" i="4"/>
  <c r="AK7" i="4"/>
  <c r="AS7" i="4"/>
  <c r="BA7" i="4"/>
  <c r="F8" i="4"/>
  <c r="P8" i="4"/>
  <c r="X8" i="4"/>
  <c r="AF8" i="4"/>
  <c r="AN8" i="4"/>
  <c r="AV8" i="4"/>
  <c r="BD8" i="4"/>
  <c r="J7" i="4"/>
  <c r="R7" i="4"/>
  <c r="Z7" i="4"/>
  <c r="AH7" i="4"/>
  <c r="AP7" i="4"/>
  <c r="AX7" i="4"/>
  <c r="E8" i="4"/>
  <c r="M8" i="4"/>
  <c r="U8" i="4"/>
  <c r="AC8" i="4"/>
  <c r="AK8" i="4"/>
  <c r="AS8" i="4"/>
  <c r="BA8" i="4"/>
  <c r="G7" i="4"/>
  <c r="V7" i="4"/>
  <c r="AL7" i="4"/>
  <c r="BB7" i="4"/>
  <c r="Q8" i="4"/>
  <c r="AG8" i="4"/>
  <c r="AW8" i="4"/>
  <c r="I7" i="4"/>
  <c r="Y7" i="4"/>
  <c r="AO7" i="4"/>
  <c r="H8" i="4"/>
  <c r="T8" i="4"/>
  <c r="AJ8" i="4"/>
  <c r="AZ8" i="4"/>
  <c r="N7" i="4"/>
  <c r="AD7" i="4"/>
  <c r="AT7" i="4"/>
  <c r="I8" i="4"/>
  <c r="Y8" i="4"/>
  <c r="AO8" i="4"/>
  <c r="Q7" i="4"/>
  <c r="AG7" i="4"/>
  <c r="AW7" i="4"/>
  <c r="L8" i="4"/>
  <c r="AB8" i="4"/>
  <c r="AR8" i="4"/>
  <c r="H17" i="4"/>
  <c r="F17" i="4"/>
  <c r="L17" i="4"/>
  <c r="P17" i="4"/>
  <c r="T17" i="4"/>
  <c r="X17" i="4"/>
  <c r="AB17" i="4"/>
  <c r="AF17" i="4"/>
  <c r="AJ17" i="4"/>
  <c r="AN17" i="4"/>
  <c r="AR17" i="4"/>
  <c r="AV17" i="4"/>
  <c r="AZ17" i="4"/>
  <c r="BD17" i="4"/>
  <c r="D18" i="4"/>
  <c r="K18" i="4"/>
  <c r="O18" i="4"/>
  <c r="S18" i="4"/>
  <c r="W18" i="4"/>
  <c r="AA18" i="4"/>
  <c r="AE18" i="4"/>
  <c r="AI18" i="4"/>
  <c r="AM18" i="4"/>
  <c r="AQ18" i="4"/>
  <c r="AU18" i="4"/>
  <c r="AY18" i="4"/>
  <c r="BC18" i="4"/>
  <c r="D17" i="4"/>
  <c r="K17" i="4"/>
  <c r="O17" i="4"/>
  <c r="S17" i="4"/>
  <c r="W17" i="4"/>
  <c r="AA17" i="4"/>
  <c r="AE17" i="4"/>
  <c r="AI17" i="4"/>
  <c r="AM17" i="4"/>
  <c r="AQ17" i="4"/>
  <c r="AU17" i="4"/>
  <c r="AY17" i="4"/>
  <c r="BC17" i="4"/>
  <c r="G18" i="4"/>
  <c r="J18" i="4"/>
  <c r="N18" i="4"/>
  <c r="R18" i="4"/>
  <c r="V18" i="4"/>
  <c r="Z18" i="4"/>
  <c r="AD18" i="4"/>
  <c r="AH18" i="4"/>
  <c r="AL18" i="4"/>
  <c r="AP18" i="4"/>
  <c r="AT18" i="4"/>
  <c r="AX18" i="4"/>
  <c r="BB18" i="4"/>
  <c r="I17" i="4"/>
  <c r="Q17" i="4"/>
  <c r="Y17" i="4"/>
  <c r="AG17" i="4"/>
  <c r="AO17" i="4"/>
  <c r="AW17" i="4"/>
  <c r="H18" i="4"/>
  <c r="L18" i="4"/>
  <c r="T18" i="4"/>
  <c r="AB18" i="4"/>
  <c r="AJ18" i="4"/>
  <c r="AR18" i="4"/>
  <c r="AZ18" i="4"/>
  <c r="G17" i="4"/>
  <c r="N17" i="4"/>
  <c r="V17" i="4"/>
  <c r="AD17" i="4"/>
  <c r="AL17" i="4"/>
  <c r="AT17" i="4"/>
  <c r="BB17" i="4"/>
  <c r="I18" i="4"/>
  <c r="Q18" i="4"/>
  <c r="Y18" i="4"/>
  <c r="AG18" i="4"/>
  <c r="AO18" i="4"/>
  <c r="AW18" i="4"/>
  <c r="R17" i="4"/>
  <c r="AH17" i="4"/>
  <c r="AX17" i="4"/>
  <c r="M18" i="4"/>
  <c r="AC18" i="4"/>
  <c r="AS18" i="4"/>
  <c r="E17" i="4"/>
  <c r="U17" i="4"/>
  <c r="AK17" i="4"/>
  <c r="BA17" i="4"/>
  <c r="P18" i="4"/>
  <c r="AF18" i="4"/>
  <c r="AV18" i="4"/>
  <c r="J17" i="4"/>
  <c r="Z17" i="4"/>
  <c r="AP17" i="4"/>
  <c r="E18" i="4"/>
  <c r="U18" i="4"/>
  <c r="AK18" i="4"/>
  <c r="BA18" i="4"/>
  <c r="M17" i="4"/>
  <c r="AC17" i="4"/>
  <c r="AS17" i="4"/>
  <c r="F18" i="4"/>
  <c r="X18" i="4"/>
  <c r="AN18" i="4"/>
  <c r="BD18" i="4"/>
  <c r="G27" i="4"/>
  <c r="J27" i="4"/>
  <c r="N27" i="4"/>
  <c r="R27" i="4"/>
  <c r="V27" i="4"/>
  <c r="Z27" i="4"/>
  <c r="AD27" i="4"/>
  <c r="AH27" i="4"/>
  <c r="AL27" i="4"/>
  <c r="AP27" i="4"/>
  <c r="AT27" i="4"/>
  <c r="AX27" i="4"/>
  <c r="BB27" i="4"/>
  <c r="E28" i="4"/>
  <c r="I28" i="4"/>
  <c r="M28" i="4"/>
  <c r="Q28" i="4"/>
  <c r="U28" i="4"/>
  <c r="Y28" i="4"/>
  <c r="AC28" i="4"/>
  <c r="AG28" i="4"/>
  <c r="AK28" i="4"/>
  <c r="AO28" i="4"/>
  <c r="AS28" i="4"/>
  <c r="AW28" i="4"/>
  <c r="E27" i="4"/>
  <c r="I27" i="4"/>
  <c r="M27" i="4"/>
  <c r="Q27" i="4"/>
  <c r="U27" i="4"/>
  <c r="Y27" i="4"/>
  <c r="AC27" i="4"/>
  <c r="AG27" i="4"/>
  <c r="AK27" i="4"/>
  <c r="AO27" i="4"/>
  <c r="AS27" i="4"/>
  <c r="AW27" i="4"/>
  <c r="BA27" i="4"/>
  <c r="H28" i="4"/>
  <c r="F28" i="4"/>
  <c r="L28" i="4"/>
  <c r="P28" i="4"/>
  <c r="T28" i="4"/>
  <c r="X28" i="4"/>
  <c r="AB28" i="4"/>
  <c r="AF28" i="4"/>
  <c r="AJ28" i="4"/>
  <c r="D27" i="4"/>
  <c r="O27" i="4"/>
  <c r="W27" i="4"/>
  <c r="AE27" i="4"/>
  <c r="AM27" i="4"/>
  <c r="AU27" i="4"/>
  <c r="BC27" i="4"/>
  <c r="J28" i="4"/>
  <c r="R28" i="4"/>
  <c r="Z28" i="4"/>
  <c r="AH28" i="4"/>
  <c r="AN28" i="4"/>
  <c r="AT28" i="4"/>
  <c r="AY28" i="4"/>
  <c r="BC28" i="4"/>
  <c r="F27" i="4"/>
  <c r="P27" i="4"/>
  <c r="X27" i="4"/>
  <c r="AF27" i="4"/>
  <c r="AN27" i="4"/>
  <c r="AV27" i="4"/>
  <c r="BD27" i="4"/>
  <c r="K28" i="4"/>
  <c r="S28" i="4"/>
  <c r="AA28" i="4"/>
  <c r="AI28" i="4"/>
  <c r="AP28" i="4"/>
  <c r="AU28" i="4"/>
  <c r="AZ28" i="4"/>
  <c r="BD28" i="4"/>
  <c r="K27" i="4"/>
  <c r="S27" i="4"/>
  <c r="AA27" i="4"/>
  <c r="AI27" i="4"/>
  <c r="AQ27" i="4"/>
  <c r="AY27" i="4"/>
  <c r="G28" i="4"/>
  <c r="N28" i="4"/>
  <c r="V28" i="4"/>
  <c r="AD28" i="4"/>
  <c r="AL28" i="4"/>
  <c r="AQ28" i="4"/>
  <c r="AV28" i="4"/>
  <c r="BA28" i="4"/>
  <c r="H27" i="4"/>
  <c r="L27" i="4"/>
  <c r="T27" i="4"/>
  <c r="AB27" i="4"/>
  <c r="AJ27" i="4"/>
  <c r="AR27" i="4"/>
  <c r="AZ27" i="4"/>
  <c r="D28" i="4"/>
  <c r="O28" i="4"/>
  <c r="W28" i="4"/>
  <c r="AE28" i="4"/>
  <c r="AM28" i="4"/>
  <c r="AR28" i="4"/>
  <c r="AX28" i="4"/>
  <c r="BB28" i="4"/>
  <c r="H37" i="4"/>
  <c r="F37" i="4"/>
  <c r="L37" i="4"/>
  <c r="P37" i="4"/>
  <c r="T37" i="4"/>
  <c r="X37" i="4"/>
  <c r="AB37" i="4"/>
  <c r="AF37" i="4"/>
  <c r="AJ37" i="4"/>
  <c r="AN37" i="4"/>
  <c r="AR37" i="4"/>
  <c r="AV37" i="4"/>
  <c r="AZ37" i="4"/>
  <c r="BD37" i="4"/>
  <c r="D38" i="4"/>
  <c r="K38" i="4"/>
  <c r="E37" i="4"/>
  <c r="I37" i="4"/>
  <c r="M37" i="4"/>
  <c r="Q37" i="4"/>
  <c r="U37" i="4"/>
  <c r="Y37" i="4"/>
  <c r="AC37" i="4"/>
  <c r="AG37" i="4"/>
  <c r="AK37" i="4"/>
  <c r="AO37" i="4"/>
  <c r="AS37" i="4"/>
  <c r="AW37" i="4"/>
  <c r="D37" i="4"/>
  <c r="K37" i="4"/>
  <c r="O37" i="4"/>
  <c r="S37" i="4"/>
  <c r="W37" i="4"/>
  <c r="AA37" i="4"/>
  <c r="N37" i="4"/>
  <c r="AD37" i="4"/>
  <c r="AL37" i="4"/>
  <c r="AT37" i="4"/>
  <c r="BA37" i="4"/>
  <c r="E38" i="4"/>
  <c r="J38" i="4"/>
  <c r="O38" i="4"/>
  <c r="S38" i="4"/>
  <c r="W38" i="4"/>
  <c r="AA38" i="4"/>
  <c r="AE38" i="4"/>
  <c r="AI38" i="4"/>
  <c r="AM38" i="4"/>
  <c r="AQ38" i="4"/>
  <c r="AU38" i="4"/>
  <c r="AY38" i="4"/>
  <c r="BC38" i="4"/>
  <c r="R37" i="4"/>
  <c r="AE37" i="4"/>
  <c r="AM37" i="4"/>
  <c r="AU37" i="4"/>
  <c r="BB37" i="4"/>
  <c r="G38" i="4"/>
  <c r="L38" i="4"/>
  <c r="P38" i="4"/>
  <c r="T38" i="4"/>
  <c r="X38" i="4"/>
  <c r="AB38" i="4"/>
  <c r="AF38" i="4"/>
  <c r="AJ38" i="4"/>
  <c r="AN38" i="4"/>
  <c r="AR38" i="4"/>
  <c r="AV38" i="4"/>
  <c r="AZ38" i="4"/>
  <c r="BD38" i="4"/>
  <c r="G37" i="4"/>
  <c r="V37" i="4"/>
  <c r="AH37" i="4"/>
  <c r="AP37" i="4"/>
  <c r="AX37" i="4"/>
  <c r="BC37" i="4"/>
  <c r="F38" i="4"/>
  <c r="M38" i="4"/>
  <c r="Q38" i="4"/>
  <c r="U38" i="4"/>
  <c r="Y38" i="4"/>
  <c r="AC38" i="4"/>
  <c r="AG38" i="4"/>
  <c r="AK38" i="4"/>
  <c r="AO38" i="4"/>
  <c r="AS38" i="4"/>
  <c r="AW38" i="4"/>
  <c r="BA38" i="4"/>
  <c r="J37" i="4"/>
  <c r="Z37" i="4"/>
  <c r="AI37" i="4"/>
  <c r="AQ37" i="4"/>
  <c r="AY37" i="4"/>
  <c r="H38" i="4"/>
  <c r="I38" i="4"/>
  <c r="N38" i="4"/>
  <c r="R38" i="4"/>
  <c r="V38" i="4"/>
  <c r="Z38" i="4"/>
  <c r="AD38" i="4"/>
  <c r="AH38" i="4"/>
  <c r="AL38" i="4"/>
  <c r="AP38" i="4"/>
  <c r="AT38" i="4"/>
  <c r="AX38" i="4"/>
  <c r="BB38" i="4"/>
  <c r="H47" i="4"/>
  <c r="F47" i="4"/>
  <c r="L47" i="4"/>
  <c r="P47" i="4"/>
  <c r="T47" i="4"/>
  <c r="X47" i="4"/>
  <c r="AB47" i="4"/>
  <c r="AF47" i="4"/>
  <c r="AJ47" i="4"/>
  <c r="AN47" i="4"/>
  <c r="AR47" i="4"/>
  <c r="AV47" i="4"/>
  <c r="AZ47" i="4"/>
  <c r="BD47" i="4"/>
  <c r="D48" i="4"/>
  <c r="K48" i="4"/>
  <c r="O48" i="4"/>
  <c r="S48" i="4"/>
  <c r="W48" i="4"/>
  <c r="AA48" i="4"/>
  <c r="AE48" i="4"/>
  <c r="AI48" i="4"/>
  <c r="AM48" i="4"/>
  <c r="AQ48" i="4"/>
  <c r="AU48" i="4"/>
  <c r="AY48" i="4"/>
  <c r="BC48" i="4"/>
  <c r="E47" i="4"/>
  <c r="I47" i="4"/>
  <c r="M47" i="4"/>
  <c r="Q47" i="4"/>
  <c r="U47" i="4"/>
  <c r="Y47" i="4"/>
  <c r="AC47" i="4"/>
  <c r="AG47" i="4"/>
  <c r="AK47" i="4"/>
  <c r="AO47" i="4"/>
  <c r="AS47" i="4"/>
  <c r="AW47" i="4"/>
  <c r="BA47" i="4"/>
  <c r="H48" i="4"/>
  <c r="F48" i="4"/>
  <c r="L48" i="4"/>
  <c r="P48" i="4"/>
  <c r="T48" i="4"/>
  <c r="X48" i="4"/>
  <c r="AB48" i="4"/>
  <c r="AF48" i="4"/>
  <c r="AJ48" i="4"/>
  <c r="AN48" i="4"/>
  <c r="AR48" i="4"/>
  <c r="AV48" i="4"/>
  <c r="AZ48" i="4"/>
  <c r="BD48" i="4"/>
  <c r="G47" i="4"/>
  <c r="J47" i="4"/>
  <c r="N47" i="4"/>
  <c r="R47" i="4"/>
  <c r="V47" i="4"/>
  <c r="Z47" i="4"/>
  <c r="AD47" i="4"/>
  <c r="AH47" i="4"/>
  <c r="AL47" i="4"/>
  <c r="AP47" i="4"/>
  <c r="AT47" i="4"/>
  <c r="AX47" i="4"/>
  <c r="BB47" i="4"/>
  <c r="E48" i="4"/>
  <c r="I48" i="4"/>
  <c r="M48" i="4"/>
  <c r="Q48" i="4"/>
  <c r="U48" i="4"/>
  <c r="Y48" i="4"/>
  <c r="AC48" i="4"/>
  <c r="AG48" i="4"/>
  <c r="AK48" i="4"/>
  <c r="AO48" i="4"/>
  <c r="AS48" i="4"/>
  <c r="AW48" i="4"/>
  <c r="BA48" i="4"/>
  <c r="D47" i="4"/>
  <c r="K47" i="4"/>
  <c r="O47" i="4"/>
  <c r="S47" i="4"/>
  <c r="W47" i="4"/>
  <c r="AA47" i="4"/>
  <c r="AE47" i="4"/>
  <c r="AI47" i="4"/>
  <c r="AM47" i="4"/>
  <c r="AQ47" i="4"/>
  <c r="AU47" i="4"/>
  <c r="AY47" i="4"/>
  <c r="BC47" i="4"/>
  <c r="G48" i="4"/>
  <c r="J48" i="4"/>
  <c r="N48" i="4"/>
  <c r="R48" i="4"/>
  <c r="V48" i="4"/>
  <c r="Z48" i="4"/>
  <c r="AD48" i="4"/>
  <c r="AH48" i="4"/>
  <c r="AL48" i="4"/>
  <c r="AP48" i="4"/>
  <c r="AT48" i="4"/>
  <c r="AX48" i="4"/>
  <c r="BB48" i="4"/>
  <c r="G57" i="4"/>
  <c r="J57" i="4"/>
  <c r="N57" i="4"/>
  <c r="R57" i="4"/>
  <c r="V57" i="4"/>
  <c r="Z57" i="4"/>
  <c r="AD57" i="4"/>
  <c r="AH57" i="4"/>
  <c r="AL57" i="4"/>
  <c r="AP57" i="4"/>
  <c r="AT57" i="4"/>
  <c r="AX57" i="4"/>
  <c r="BB57" i="4"/>
  <c r="E58" i="4"/>
  <c r="I58" i="4"/>
  <c r="M58" i="4"/>
  <c r="Q58" i="4"/>
  <c r="U58" i="4"/>
  <c r="Y58" i="4"/>
  <c r="AC58" i="4"/>
  <c r="AG58" i="4"/>
  <c r="AK58" i="4"/>
  <c r="AO58" i="4"/>
  <c r="AS58" i="4"/>
  <c r="AW58" i="4"/>
  <c r="BA58" i="4"/>
  <c r="D57" i="4"/>
  <c r="K57" i="4"/>
  <c r="O57" i="4"/>
  <c r="S57" i="4"/>
  <c r="W57" i="4"/>
  <c r="AA57" i="4"/>
  <c r="AE57" i="4"/>
  <c r="AI57" i="4"/>
  <c r="AM57" i="4"/>
  <c r="AQ57" i="4"/>
  <c r="AU57" i="4"/>
  <c r="AY57" i="4"/>
  <c r="BC57" i="4"/>
  <c r="G58" i="4"/>
  <c r="J58" i="4"/>
  <c r="N58" i="4"/>
  <c r="R58" i="4"/>
  <c r="V58" i="4"/>
  <c r="Z58" i="4"/>
  <c r="AD58" i="4"/>
  <c r="AH58" i="4"/>
  <c r="AL58" i="4"/>
  <c r="AP58" i="4"/>
  <c r="AT58" i="4"/>
  <c r="AX58" i="4"/>
  <c r="BB58" i="4"/>
  <c r="H57" i="4"/>
  <c r="F57" i="4"/>
  <c r="L57" i="4"/>
  <c r="P57" i="4"/>
  <c r="T57" i="4"/>
  <c r="X57" i="4"/>
  <c r="AB57" i="4"/>
  <c r="AF57" i="4"/>
  <c r="AJ57" i="4"/>
  <c r="AN57" i="4"/>
  <c r="AR57" i="4"/>
  <c r="AV57" i="4"/>
  <c r="AZ57" i="4"/>
  <c r="BD57" i="4"/>
  <c r="D58" i="4"/>
  <c r="K58" i="4"/>
  <c r="O58" i="4"/>
  <c r="S58" i="4"/>
  <c r="W58" i="4"/>
  <c r="AA58" i="4"/>
  <c r="AE58" i="4"/>
  <c r="AI58" i="4"/>
  <c r="AM58" i="4"/>
  <c r="AQ58" i="4"/>
  <c r="AU58" i="4"/>
  <c r="AY58" i="4"/>
  <c r="BC58" i="4"/>
  <c r="E57" i="4"/>
  <c r="I57" i="4"/>
  <c r="M57" i="4"/>
  <c r="Q57" i="4"/>
  <c r="U57" i="4"/>
  <c r="Y57" i="4"/>
  <c r="AC57" i="4"/>
  <c r="AG57" i="4"/>
  <c r="AK57" i="4"/>
  <c r="AO57" i="4"/>
  <c r="AS57" i="4"/>
  <c r="AW57" i="4"/>
  <c r="BA57" i="4"/>
  <c r="H58" i="4"/>
  <c r="F58" i="4"/>
  <c r="L58" i="4"/>
  <c r="P58" i="4"/>
  <c r="T58" i="4"/>
  <c r="X58" i="4"/>
  <c r="AB58" i="4"/>
  <c r="AF58" i="4"/>
  <c r="AJ58" i="4"/>
  <c r="AN58" i="4"/>
  <c r="AR58" i="4"/>
  <c r="AV58" i="4"/>
  <c r="AZ58" i="4"/>
  <c r="BD58" i="4"/>
  <c r="G67" i="4"/>
  <c r="J67" i="4"/>
  <c r="N67" i="4"/>
  <c r="R67" i="4"/>
  <c r="V67" i="4"/>
  <c r="Z67" i="4"/>
  <c r="AD67" i="4"/>
  <c r="AH67" i="4"/>
  <c r="AL67" i="4"/>
  <c r="AP67" i="4"/>
  <c r="AT67" i="4"/>
  <c r="AX67" i="4"/>
  <c r="BB67" i="4"/>
  <c r="E68" i="4"/>
  <c r="I68" i="4"/>
  <c r="M68" i="4"/>
  <c r="Q68" i="4"/>
  <c r="U68" i="4"/>
  <c r="Y68" i="4"/>
  <c r="AC68" i="4"/>
  <c r="AG68" i="4"/>
  <c r="AK68" i="4"/>
  <c r="AO68" i="4"/>
  <c r="AS68" i="4"/>
  <c r="AW68" i="4"/>
  <c r="BA68" i="4"/>
  <c r="D67" i="4"/>
  <c r="K67" i="4"/>
  <c r="O67" i="4"/>
  <c r="S67" i="4"/>
  <c r="W67" i="4"/>
  <c r="AA67" i="4"/>
  <c r="AE67" i="4"/>
  <c r="AI67" i="4"/>
  <c r="AM67" i="4"/>
  <c r="AQ67" i="4"/>
  <c r="AU67" i="4"/>
  <c r="AY67" i="4"/>
  <c r="BC67" i="4"/>
  <c r="G68" i="4"/>
  <c r="J68" i="4"/>
  <c r="N68" i="4"/>
  <c r="R68" i="4"/>
  <c r="V68" i="4"/>
  <c r="Z68" i="4"/>
  <c r="AD68" i="4"/>
  <c r="AH68" i="4"/>
  <c r="AL68" i="4"/>
  <c r="AP68" i="4"/>
  <c r="AT68" i="4"/>
  <c r="AX68" i="4"/>
  <c r="BB68" i="4"/>
  <c r="H67" i="4"/>
  <c r="F67" i="4"/>
  <c r="L67" i="4"/>
  <c r="P67" i="4"/>
  <c r="T67" i="4"/>
  <c r="X67" i="4"/>
  <c r="AB67" i="4"/>
  <c r="AF67" i="4"/>
  <c r="AJ67" i="4"/>
  <c r="AN67" i="4"/>
  <c r="AR67" i="4"/>
  <c r="AV67" i="4"/>
  <c r="AZ67" i="4"/>
  <c r="BD67" i="4"/>
  <c r="D68" i="4"/>
  <c r="K68" i="4"/>
  <c r="O68" i="4"/>
  <c r="S68" i="4"/>
  <c r="W68" i="4"/>
  <c r="AA68" i="4"/>
  <c r="AE68" i="4"/>
  <c r="AI68" i="4"/>
  <c r="AM68" i="4"/>
  <c r="AQ68" i="4"/>
  <c r="AU68" i="4"/>
  <c r="AY68" i="4"/>
  <c r="BC68" i="4"/>
  <c r="E67" i="4"/>
  <c r="I67" i="4"/>
  <c r="M67" i="4"/>
  <c r="Q67" i="4"/>
  <c r="U67" i="4"/>
  <c r="Y67" i="4"/>
  <c r="AC67" i="4"/>
  <c r="AG67" i="4"/>
  <c r="AK67" i="4"/>
  <c r="AO67" i="4"/>
  <c r="AS67" i="4"/>
  <c r="AW67" i="4"/>
  <c r="BA67" i="4"/>
  <c r="H68" i="4"/>
  <c r="F68" i="4"/>
  <c r="L68" i="4"/>
  <c r="P68" i="4"/>
  <c r="T68" i="4"/>
  <c r="X68" i="4"/>
  <c r="AB68" i="4"/>
  <c r="AF68" i="4"/>
  <c r="AJ68" i="4"/>
  <c r="AN68" i="4"/>
  <c r="AR68" i="4"/>
  <c r="AV68" i="4"/>
  <c r="AZ68" i="4"/>
  <c r="BD68" i="4"/>
  <c r="G77" i="4"/>
  <c r="J77" i="4"/>
  <c r="N77" i="4"/>
  <c r="R77" i="4"/>
  <c r="V77" i="4"/>
  <c r="Z77" i="4"/>
  <c r="AD77" i="4"/>
  <c r="AH77" i="4"/>
  <c r="AL77" i="4"/>
  <c r="AP77" i="4"/>
  <c r="AT77" i="4"/>
  <c r="AX77" i="4"/>
  <c r="BB77" i="4"/>
  <c r="E78" i="4"/>
  <c r="I78" i="4"/>
  <c r="M78" i="4"/>
  <c r="Q78" i="4"/>
  <c r="U78" i="4"/>
  <c r="Y78" i="4"/>
  <c r="AC78" i="4"/>
  <c r="AG78" i="4"/>
  <c r="AK78" i="4"/>
  <c r="AO78" i="4"/>
  <c r="AS78" i="4"/>
  <c r="AW78" i="4"/>
  <c r="BA78" i="4"/>
  <c r="D77" i="4"/>
  <c r="K77" i="4"/>
  <c r="O77" i="4"/>
  <c r="S77" i="4"/>
  <c r="W77" i="4"/>
  <c r="AA77" i="4"/>
  <c r="AE77" i="4"/>
  <c r="AI77" i="4"/>
  <c r="AM77" i="4"/>
  <c r="AQ77" i="4"/>
  <c r="AU77" i="4"/>
  <c r="AY77" i="4"/>
  <c r="BC77" i="4"/>
  <c r="G78" i="4"/>
  <c r="J78" i="4"/>
  <c r="N78" i="4"/>
  <c r="R78" i="4"/>
  <c r="V78" i="4"/>
  <c r="Z78" i="4"/>
  <c r="AD78" i="4"/>
  <c r="AH78" i="4"/>
  <c r="AL78" i="4"/>
  <c r="AP78" i="4"/>
  <c r="AT78" i="4"/>
  <c r="AX78" i="4"/>
  <c r="BB78" i="4"/>
  <c r="H77" i="4"/>
  <c r="F77" i="4"/>
  <c r="L77" i="4"/>
  <c r="P77" i="4"/>
  <c r="T77" i="4"/>
  <c r="X77" i="4"/>
  <c r="AB77" i="4"/>
  <c r="AF77" i="4"/>
  <c r="AJ77" i="4"/>
  <c r="AN77" i="4"/>
  <c r="AR77" i="4"/>
  <c r="AV77" i="4"/>
  <c r="AZ77" i="4"/>
  <c r="BD77" i="4"/>
  <c r="D78" i="4"/>
  <c r="K78" i="4"/>
  <c r="O78" i="4"/>
  <c r="S78" i="4"/>
  <c r="W78" i="4"/>
  <c r="AA78" i="4"/>
  <c r="AE78" i="4"/>
  <c r="AI78" i="4"/>
  <c r="AM78" i="4"/>
  <c r="AQ78" i="4"/>
  <c r="AU78" i="4"/>
  <c r="AY78" i="4"/>
  <c r="BC78" i="4"/>
  <c r="E77" i="4"/>
  <c r="I77" i="4"/>
  <c r="M77" i="4"/>
  <c r="Q77" i="4"/>
  <c r="U77" i="4"/>
  <c r="Y77" i="4"/>
  <c r="AC77" i="4"/>
  <c r="AG77" i="4"/>
  <c r="AK77" i="4"/>
  <c r="AO77" i="4"/>
  <c r="AS77" i="4"/>
  <c r="AW77" i="4"/>
  <c r="BA77" i="4"/>
  <c r="H78" i="4"/>
  <c r="F78" i="4"/>
  <c r="L78" i="4"/>
  <c r="P78" i="4"/>
  <c r="T78" i="4"/>
  <c r="X78" i="4"/>
  <c r="AB78" i="4"/>
  <c r="AF78" i="4"/>
  <c r="AJ78" i="4"/>
  <c r="AN78" i="4"/>
  <c r="AR78" i="4"/>
  <c r="AV78" i="4"/>
  <c r="AZ78" i="4"/>
  <c r="BD78" i="4"/>
  <c r="A37" i="6"/>
  <c r="A33" i="6"/>
  <c r="A36" i="6" s="1"/>
  <c r="C87" i="4"/>
  <c r="A43" i="6" l="1"/>
  <c r="A39" i="6"/>
  <c r="A42" i="6" s="1"/>
  <c r="E85" i="4"/>
  <c r="C32" i="4"/>
  <c r="S85" i="4"/>
  <c r="C27" i="4"/>
  <c r="C17" i="4"/>
  <c r="J85" i="4"/>
  <c r="AF85" i="4"/>
  <c r="BC85" i="4"/>
  <c r="L85" i="4"/>
  <c r="AC85" i="4"/>
  <c r="C77" i="4"/>
  <c r="C67" i="4"/>
  <c r="C42" i="4"/>
  <c r="C22" i="4"/>
  <c r="AT85" i="4"/>
  <c r="AE85" i="4"/>
  <c r="O85" i="4"/>
  <c r="AV85" i="4"/>
  <c r="C12" i="4"/>
  <c r="AB85" i="4"/>
  <c r="BA85" i="4"/>
  <c r="AK85" i="4"/>
  <c r="V85" i="4"/>
  <c r="G85" i="4"/>
  <c r="C2" i="4"/>
  <c r="U85" i="4"/>
  <c r="AQ85" i="4"/>
  <c r="Q85" i="4"/>
  <c r="AI85" i="4"/>
  <c r="BB85" i="4"/>
  <c r="AH85" i="4"/>
  <c r="AO85" i="4"/>
  <c r="C37" i="4"/>
  <c r="C62" i="4"/>
  <c r="C57" i="4"/>
  <c r="AP85" i="4"/>
  <c r="AA85" i="4"/>
  <c r="K85" i="4"/>
  <c r="AJ85" i="4"/>
  <c r="P85" i="4"/>
  <c r="AW85" i="4"/>
  <c r="AG85" i="4"/>
  <c r="R85" i="4"/>
  <c r="BD85" i="4"/>
  <c r="I85" i="4"/>
  <c r="H85" i="4"/>
  <c r="I18" i="1" s="1"/>
  <c r="AZ85" i="4"/>
  <c r="T85" i="4"/>
  <c r="C72" i="4"/>
  <c r="C47" i="4"/>
  <c r="AX85" i="4"/>
  <c r="M85" i="4"/>
  <c r="AM85" i="4"/>
  <c r="Z85" i="4"/>
  <c r="AU85" i="4"/>
  <c r="C52" i="4"/>
  <c r="AL85" i="4"/>
  <c r="W85" i="4"/>
  <c r="D85" i="4"/>
  <c r="I6" i="1" s="1"/>
  <c r="Y85" i="4"/>
  <c r="AY85" i="4"/>
  <c r="C7" i="4"/>
  <c r="AS85" i="4"/>
  <c r="AD85" i="4"/>
  <c r="N85" i="4"/>
  <c r="AR85" i="4"/>
  <c r="X85" i="4"/>
  <c r="AN85" i="4"/>
  <c r="F85" i="4"/>
  <c r="I31" i="1" l="1"/>
  <c r="A49" i="6"/>
  <c r="A45" i="6"/>
  <c r="A48" i="6" s="1"/>
  <c r="C85" i="4"/>
  <c r="I48" i="1" s="1"/>
  <c r="A55" i="6" l="1"/>
  <c r="A51" i="6"/>
  <c r="A54" i="6" s="1"/>
  <c r="A2" i="11"/>
  <c r="A61" i="6" l="1"/>
  <c r="A57" i="6"/>
  <c r="A60" i="6" s="1"/>
  <c r="A77" i="3"/>
  <c r="A72" i="3"/>
  <c r="A67" i="3"/>
  <c r="A62" i="3"/>
  <c r="A57" i="3"/>
  <c r="A52" i="3"/>
  <c r="A47" i="3"/>
  <c r="A42" i="3"/>
  <c r="A37" i="3"/>
  <c r="A32" i="3"/>
  <c r="A27" i="3"/>
  <c r="A22" i="3"/>
  <c r="A17" i="3"/>
  <c r="A12" i="3"/>
  <c r="A7" i="3"/>
  <c r="A2" i="3"/>
  <c r="BC13" i="3" l="1"/>
  <c r="BC12" i="3"/>
  <c r="BC73" i="3"/>
  <c r="BC72" i="3"/>
  <c r="BC17" i="3"/>
  <c r="BC18" i="3"/>
  <c r="BC58" i="3"/>
  <c r="BC57" i="3"/>
  <c r="BC23" i="3"/>
  <c r="BC22" i="3"/>
  <c r="BC63" i="3"/>
  <c r="BC62" i="3"/>
  <c r="BC33" i="3"/>
  <c r="BC32" i="3"/>
  <c r="BC53" i="3"/>
  <c r="BC52" i="3"/>
  <c r="BC38" i="3"/>
  <c r="BC37" i="3"/>
  <c r="BC78" i="3"/>
  <c r="BC77" i="3"/>
  <c r="BC3" i="3"/>
  <c r="BC2" i="3"/>
  <c r="BC43" i="3"/>
  <c r="BC42" i="3"/>
  <c r="BC8" i="3"/>
  <c r="BC7" i="3"/>
  <c r="BC27" i="3"/>
  <c r="BC28" i="3"/>
  <c r="BC48" i="3"/>
  <c r="BC47" i="3"/>
  <c r="BC68" i="3"/>
  <c r="BC67" i="3"/>
  <c r="L32" i="3"/>
  <c r="F32" i="3"/>
  <c r="H32" i="3"/>
  <c r="N32" i="3"/>
  <c r="Y32" i="3"/>
  <c r="R32" i="3"/>
  <c r="AC32" i="3"/>
  <c r="AG32" i="3"/>
  <c r="AK32" i="3"/>
  <c r="AO32" i="3"/>
  <c r="AS32" i="3"/>
  <c r="AW32" i="3"/>
  <c r="BA32" i="3"/>
  <c r="X33" i="3"/>
  <c r="Q33" i="3"/>
  <c r="E33" i="3"/>
  <c r="M33" i="3"/>
  <c r="U33" i="3"/>
  <c r="K33" i="3"/>
  <c r="AB33" i="3"/>
  <c r="AF33" i="3"/>
  <c r="AJ33" i="3"/>
  <c r="AN33" i="3"/>
  <c r="AR33" i="3"/>
  <c r="AV33" i="3"/>
  <c r="AZ33" i="3"/>
  <c r="BD33" i="3"/>
  <c r="W32" i="3"/>
  <c r="G32" i="3"/>
  <c r="I32" i="3"/>
  <c r="P32" i="3"/>
  <c r="Z32" i="3"/>
  <c r="T32" i="3"/>
  <c r="AD32" i="3"/>
  <c r="AH32" i="3"/>
  <c r="AL32" i="3"/>
  <c r="AP32" i="3"/>
  <c r="AT32" i="3"/>
  <c r="AX32" i="3"/>
  <c r="BB32" i="3"/>
  <c r="L33" i="3"/>
  <c r="F33" i="3"/>
  <c r="H33" i="3"/>
  <c r="N33" i="3"/>
  <c r="Y33" i="3"/>
  <c r="R33" i="3"/>
  <c r="AC33" i="3"/>
  <c r="AG33" i="3"/>
  <c r="AK33" i="3"/>
  <c r="AO33" i="3"/>
  <c r="AS33" i="3"/>
  <c r="AW33" i="3"/>
  <c r="BA33" i="3"/>
  <c r="D32" i="3"/>
  <c r="O32" i="3"/>
  <c r="J32" i="3"/>
  <c r="S32" i="3"/>
  <c r="V32" i="3"/>
  <c r="AA32" i="3"/>
  <c r="AE32" i="3"/>
  <c r="AI32" i="3"/>
  <c r="AM32" i="3"/>
  <c r="AQ32" i="3"/>
  <c r="AU32" i="3"/>
  <c r="AY32" i="3"/>
  <c r="W33" i="3"/>
  <c r="G33" i="3"/>
  <c r="I33" i="3"/>
  <c r="P33" i="3"/>
  <c r="Z33" i="3"/>
  <c r="T33" i="3"/>
  <c r="AD33" i="3"/>
  <c r="AH33" i="3"/>
  <c r="AL33" i="3"/>
  <c r="AP33" i="3"/>
  <c r="AT33" i="3"/>
  <c r="AX33" i="3"/>
  <c r="BB33" i="3"/>
  <c r="X32" i="3"/>
  <c r="Q32" i="3"/>
  <c r="E32" i="3"/>
  <c r="M32" i="3"/>
  <c r="U32" i="3"/>
  <c r="K32" i="3"/>
  <c r="AB32" i="3"/>
  <c r="AF32" i="3"/>
  <c r="AJ32" i="3"/>
  <c r="AN32" i="3"/>
  <c r="AR32" i="3"/>
  <c r="AV32" i="3"/>
  <c r="AZ32" i="3"/>
  <c r="BD32" i="3"/>
  <c r="D33" i="3"/>
  <c r="O33" i="3"/>
  <c r="J33" i="3"/>
  <c r="S33" i="3"/>
  <c r="V33" i="3"/>
  <c r="AA33" i="3"/>
  <c r="AE33" i="3"/>
  <c r="AI33" i="3"/>
  <c r="AM33" i="3"/>
  <c r="AQ33" i="3"/>
  <c r="AU33" i="3"/>
  <c r="AY33" i="3"/>
  <c r="L52" i="3"/>
  <c r="F52" i="3"/>
  <c r="H52" i="3"/>
  <c r="N52" i="3"/>
  <c r="Y52" i="3"/>
  <c r="R52" i="3"/>
  <c r="AC52" i="3"/>
  <c r="AG52" i="3"/>
  <c r="AK52" i="3"/>
  <c r="AO52" i="3"/>
  <c r="AS52" i="3"/>
  <c r="AW52" i="3"/>
  <c r="BA52" i="3"/>
  <c r="X53" i="3"/>
  <c r="Q53" i="3"/>
  <c r="E53" i="3"/>
  <c r="M53" i="3"/>
  <c r="U53" i="3"/>
  <c r="K53" i="3"/>
  <c r="AB53" i="3"/>
  <c r="AF53" i="3"/>
  <c r="AJ53" i="3"/>
  <c r="AN53" i="3"/>
  <c r="AR53" i="3"/>
  <c r="AV53" i="3"/>
  <c r="AZ53" i="3"/>
  <c r="BD53" i="3"/>
  <c r="W52" i="3"/>
  <c r="G52" i="3"/>
  <c r="I52" i="3"/>
  <c r="P52" i="3"/>
  <c r="Z52" i="3"/>
  <c r="T52" i="3"/>
  <c r="AD52" i="3"/>
  <c r="AH52" i="3"/>
  <c r="AL52" i="3"/>
  <c r="AP52" i="3"/>
  <c r="AT52" i="3"/>
  <c r="AX52" i="3"/>
  <c r="BB52" i="3"/>
  <c r="L53" i="3"/>
  <c r="F53" i="3"/>
  <c r="H53" i="3"/>
  <c r="N53" i="3"/>
  <c r="Y53" i="3"/>
  <c r="R53" i="3"/>
  <c r="AC53" i="3"/>
  <c r="AG53" i="3"/>
  <c r="AK53" i="3"/>
  <c r="AO53" i="3"/>
  <c r="AS53" i="3"/>
  <c r="AW53" i="3"/>
  <c r="BA53" i="3"/>
  <c r="D52" i="3"/>
  <c r="O52" i="3"/>
  <c r="J52" i="3"/>
  <c r="S52" i="3"/>
  <c r="V52" i="3"/>
  <c r="AA52" i="3"/>
  <c r="AE52" i="3"/>
  <c r="AI52" i="3"/>
  <c r="AM52" i="3"/>
  <c r="AQ52" i="3"/>
  <c r="AU52" i="3"/>
  <c r="AY52" i="3"/>
  <c r="W53" i="3"/>
  <c r="G53" i="3"/>
  <c r="I53" i="3"/>
  <c r="P53" i="3"/>
  <c r="Z53" i="3"/>
  <c r="T53" i="3"/>
  <c r="AD53" i="3"/>
  <c r="AH53" i="3"/>
  <c r="AL53" i="3"/>
  <c r="AP53" i="3"/>
  <c r="AT53" i="3"/>
  <c r="AX53" i="3"/>
  <c r="BB53" i="3"/>
  <c r="X52" i="3"/>
  <c r="Q52" i="3"/>
  <c r="E52" i="3"/>
  <c r="M52" i="3"/>
  <c r="U52" i="3"/>
  <c r="K52" i="3"/>
  <c r="AB52" i="3"/>
  <c r="AF52" i="3"/>
  <c r="AJ52" i="3"/>
  <c r="AN52" i="3"/>
  <c r="AR52" i="3"/>
  <c r="AV52" i="3"/>
  <c r="AZ52" i="3"/>
  <c r="BD52" i="3"/>
  <c r="D53" i="3"/>
  <c r="O53" i="3"/>
  <c r="J53" i="3"/>
  <c r="S53" i="3"/>
  <c r="V53" i="3"/>
  <c r="AA53" i="3"/>
  <c r="AE53" i="3"/>
  <c r="AI53" i="3"/>
  <c r="AM53" i="3"/>
  <c r="AQ53" i="3"/>
  <c r="AU53" i="3"/>
  <c r="AY53" i="3"/>
  <c r="D72" i="3"/>
  <c r="O72" i="3"/>
  <c r="J72" i="3"/>
  <c r="S72" i="3"/>
  <c r="V72" i="3"/>
  <c r="AA72" i="3"/>
  <c r="AE72" i="3"/>
  <c r="AI72" i="3"/>
  <c r="AM72" i="3"/>
  <c r="AQ72" i="3"/>
  <c r="AU72" i="3"/>
  <c r="AY72" i="3"/>
  <c r="W73" i="3"/>
  <c r="G73" i="3"/>
  <c r="I73" i="3"/>
  <c r="P73" i="3"/>
  <c r="Z73" i="3"/>
  <c r="T73" i="3"/>
  <c r="AD73" i="3"/>
  <c r="AH73" i="3"/>
  <c r="AL73" i="3"/>
  <c r="AP73" i="3"/>
  <c r="AT73" i="3"/>
  <c r="AX73" i="3"/>
  <c r="BB73" i="3"/>
  <c r="X72" i="3"/>
  <c r="Q72" i="3"/>
  <c r="E72" i="3"/>
  <c r="M72" i="3"/>
  <c r="U72" i="3"/>
  <c r="K72" i="3"/>
  <c r="AB72" i="3"/>
  <c r="AF72" i="3"/>
  <c r="AJ72" i="3"/>
  <c r="AN72" i="3"/>
  <c r="AR72" i="3"/>
  <c r="AV72" i="3"/>
  <c r="AZ72" i="3"/>
  <c r="BD72" i="3"/>
  <c r="D73" i="3"/>
  <c r="O73" i="3"/>
  <c r="J73" i="3"/>
  <c r="S73" i="3"/>
  <c r="V73" i="3"/>
  <c r="AA73" i="3"/>
  <c r="AE73" i="3"/>
  <c r="AI73" i="3"/>
  <c r="AM73" i="3"/>
  <c r="AQ73" i="3"/>
  <c r="AU73" i="3"/>
  <c r="AY73" i="3"/>
  <c r="L72" i="3"/>
  <c r="F72" i="3"/>
  <c r="H72" i="3"/>
  <c r="N72" i="3"/>
  <c r="Y72" i="3"/>
  <c r="R72" i="3"/>
  <c r="AC72" i="3"/>
  <c r="AG72" i="3"/>
  <c r="AK72" i="3"/>
  <c r="AO72" i="3"/>
  <c r="AS72" i="3"/>
  <c r="AW72" i="3"/>
  <c r="BA72" i="3"/>
  <c r="X73" i="3"/>
  <c r="Q73" i="3"/>
  <c r="E73" i="3"/>
  <c r="M73" i="3"/>
  <c r="U73" i="3"/>
  <c r="K73" i="3"/>
  <c r="AB73" i="3"/>
  <c r="AF73" i="3"/>
  <c r="AJ73" i="3"/>
  <c r="AN73" i="3"/>
  <c r="AR73" i="3"/>
  <c r="AV73" i="3"/>
  <c r="AZ73" i="3"/>
  <c r="BD73" i="3"/>
  <c r="W72" i="3"/>
  <c r="G72" i="3"/>
  <c r="I72" i="3"/>
  <c r="P72" i="3"/>
  <c r="Z72" i="3"/>
  <c r="T72" i="3"/>
  <c r="AD72" i="3"/>
  <c r="AH72" i="3"/>
  <c r="AL72" i="3"/>
  <c r="AP72" i="3"/>
  <c r="AT72" i="3"/>
  <c r="AX72" i="3"/>
  <c r="BB72" i="3"/>
  <c r="L73" i="3"/>
  <c r="F73" i="3"/>
  <c r="H73" i="3"/>
  <c r="N73" i="3"/>
  <c r="Y73" i="3"/>
  <c r="R73" i="3"/>
  <c r="AC73" i="3"/>
  <c r="AG73" i="3"/>
  <c r="AK73" i="3"/>
  <c r="AO73" i="3"/>
  <c r="AS73" i="3"/>
  <c r="AW73" i="3"/>
  <c r="BA73" i="3"/>
  <c r="D17" i="3"/>
  <c r="O17" i="3"/>
  <c r="J17" i="3"/>
  <c r="S17" i="3"/>
  <c r="V17" i="3"/>
  <c r="AA17" i="3"/>
  <c r="AE17" i="3"/>
  <c r="AI17" i="3"/>
  <c r="AM17" i="3"/>
  <c r="AQ17" i="3"/>
  <c r="AU17" i="3"/>
  <c r="AY17" i="3"/>
  <c r="W18" i="3"/>
  <c r="G18" i="3"/>
  <c r="I18" i="3"/>
  <c r="P18" i="3"/>
  <c r="Z18" i="3"/>
  <c r="T18" i="3"/>
  <c r="AD18" i="3"/>
  <c r="AH18" i="3"/>
  <c r="AL18" i="3"/>
  <c r="AP18" i="3"/>
  <c r="AT18" i="3"/>
  <c r="AX18" i="3"/>
  <c r="BB18" i="3"/>
  <c r="X17" i="3"/>
  <c r="Q17" i="3"/>
  <c r="E17" i="3"/>
  <c r="M17" i="3"/>
  <c r="U17" i="3"/>
  <c r="K17" i="3"/>
  <c r="AB17" i="3"/>
  <c r="AF17" i="3"/>
  <c r="AJ17" i="3"/>
  <c r="AN17" i="3"/>
  <c r="AR17" i="3"/>
  <c r="AV17" i="3"/>
  <c r="AZ17" i="3"/>
  <c r="BD17" i="3"/>
  <c r="D18" i="3"/>
  <c r="O18" i="3"/>
  <c r="J18" i="3"/>
  <c r="S18" i="3"/>
  <c r="V18" i="3"/>
  <c r="AA18" i="3"/>
  <c r="AE18" i="3"/>
  <c r="AI18" i="3"/>
  <c r="AM18" i="3"/>
  <c r="AQ18" i="3"/>
  <c r="AU18" i="3"/>
  <c r="AY18" i="3"/>
  <c r="L17" i="3"/>
  <c r="F17" i="3"/>
  <c r="H17" i="3"/>
  <c r="N17" i="3"/>
  <c r="Y17" i="3"/>
  <c r="R17" i="3"/>
  <c r="AC17" i="3"/>
  <c r="AG17" i="3"/>
  <c r="AK17" i="3"/>
  <c r="AO17" i="3"/>
  <c r="AS17" i="3"/>
  <c r="AW17" i="3"/>
  <c r="BA17" i="3"/>
  <c r="X18" i="3"/>
  <c r="Q18" i="3"/>
  <c r="E18" i="3"/>
  <c r="M18" i="3"/>
  <c r="U18" i="3"/>
  <c r="K18" i="3"/>
  <c r="AB18" i="3"/>
  <c r="AF18" i="3"/>
  <c r="AJ18" i="3"/>
  <c r="AN18" i="3"/>
  <c r="AR18" i="3"/>
  <c r="AV18" i="3"/>
  <c r="AZ18" i="3"/>
  <c r="BD18" i="3"/>
  <c r="W17" i="3"/>
  <c r="G17" i="3"/>
  <c r="I17" i="3"/>
  <c r="P17" i="3"/>
  <c r="Z17" i="3"/>
  <c r="T17" i="3"/>
  <c r="AD17" i="3"/>
  <c r="AH17" i="3"/>
  <c r="AL17" i="3"/>
  <c r="AP17" i="3"/>
  <c r="AT17" i="3"/>
  <c r="AX17" i="3"/>
  <c r="BB17" i="3"/>
  <c r="L18" i="3"/>
  <c r="F18" i="3"/>
  <c r="H18" i="3"/>
  <c r="N18" i="3"/>
  <c r="Y18" i="3"/>
  <c r="R18" i="3"/>
  <c r="AC18" i="3"/>
  <c r="AG18" i="3"/>
  <c r="AK18" i="3"/>
  <c r="AO18" i="3"/>
  <c r="AS18" i="3"/>
  <c r="AW18" i="3"/>
  <c r="BA18" i="3"/>
  <c r="D57" i="3"/>
  <c r="O57" i="3"/>
  <c r="J57" i="3"/>
  <c r="S57" i="3"/>
  <c r="V57" i="3"/>
  <c r="AA57" i="3"/>
  <c r="AE57" i="3"/>
  <c r="AI57" i="3"/>
  <c r="AM57" i="3"/>
  <c r="AQ57" i="3"/>
  <c r="AU57" i="3"/>
  <c r="AY57" i="3"/>
  <c r="W58" i="3"/>
  <c r="G58" i="3"/>
  <c r="I58" i="3"/>
  <c r="P58" i="3"/>
  <c r="Z58" i="3"/>
  <c r="T58" i="3"/>
  <c r="AD58" i="3"/>
  <c r="AH58" i="3"/>
  <c r="AL58" i="3"/>
  <c r="AP58" i="3"/>
  <c r="AT58" i="3"/>
  <c r="AX58" i="3"/>
  <c r="BB58" i="3"/>
  <c r="X57" i="3"/>
  <c r="Q57" i="3"/>
  <c r="E57" i="3"/>
  <c r="M57" i="3"/>
  <c r="U57" i="3"/>
  <c r="K57" i="3"/>
  <c r="AB57" i="3"/>
  <c r="AF57" i="3"/>
  <c r="AJ57" i="3"/>
  <c r="AN57" i="3"/>
  <c r="AR57" i="3"/>
  <c r="AV57" i="3"/>
  <c r="AZ57" i="3"/>
  <c r="BD57" i="3"/>
  <c r="D58" i="3"/>
  <c r="O58" i="3"/>
  <c r="J58" i="3"/>
  <c r="S58" i="3"/>
  <c r="V58" i="3"/>
  <c r="AA58" i="3"/>
  <c r="AE58" i="3"/>
  <c r="AI58" i="3"/>
  <c r="AM58" i="3"/>
  <c r="AQ58" i="3"/>
  <c r="AU58" i="3"/>
  <c r="AY58" i="3"/>
  <c r="L57" i="3"/>
  <c r="F57" i="3"/>
  <c r="H57" i="3"/>
  <c r="N57" i="3"/>
  <c r="Y57" i="3"/>
  <c r="R57" i="3"/>
  <c r="AC57" i="3"/>
  <c r="AG57" i="3"/>
  <c r="AK57" i="3"/>
  <c r="AO57" i="3"/>
  <c r="AS57" i="3"/>
  <c r="AW57" i="3"/>
  <c r="BA57" i="3"/>
  <c r="X58" i="3"/>
  <c r="Q58" i="3"/>
  <c r="E58" i="3"/>
  <c r="M58" i="3"/>
  <c r="U58" i="3"/>
  <c r="K58" i="3"/>
  <c r="AB58" i="3"/>
  <c r="AF58" i="3"/>
  <c r="AJ58" i="3"/>
  <c r="AN58" i="3"/>
  <c r="AR58" i="3"/>
  <c r="AV58" i="3"/>
  <c r="AZ58" i="3"/>
  <c r="BD58" i="3"/>
  <c r="W57" i="3"/>
  <c r="G57" i="3"/>
  <c r="I57" i="3"/>
  <c r="P57" i="3"/>
  <c r="Z57" i="3"/>
  <c r="T57" i="3"/>
  <c r="AD57" i="3"/>
  <c r="AH57" i="3"/>
  <c r="AL57" i="3"/>
  <c r="AP57" i="3"/>
  <c r="AT57" i="3"/>
  <c r="AX57" i="3"/>
  <c r="BB57" i="3"/>
  <c r="L58" i="3"/>
  <c r="F58" i="3"/>
  <c r="H58" i="3"/>
  <c r="N58" i="3"/>
  <c r="Y58" i="3"/>
  <c r="R58" i="3"/>
  <c r="AC58" i="3"/>
  <c r="AG58" i="3"/>
  <c r="AK58" i="3"/>
  <c r="AO58" i="3"/>
  <c r="AS58" i="3"/>
  <c r="AW58" i="3"/>
  <c r="BA58" i="3"/>
  <c r="L77" i="3"/>
  <c r="F77" i="3"/>
  <c r="H77" i="3"/>
  <c r="N77" i="3"/>
  <c r="Y77" i="3"/>
  <c r="R77" i="3"/>
  <c r="AC77" i="3"/>
  <c r="AG77" i="3"/>
  <c r="AK77" i="3"/>
  <c r="AO77" i="3"/>
  <c r="AS77" i="3"/>
  <c r="AW77" i="3"/>
  <c r="BA77" i="3"/>
  <c r="X78" i="3"/>
  <c r="Q78" i="3"/>
  <c r="E78" i="3"/>
  <c r="M78" i="3"/>
  <c r="U78" i="3"/>
  <c r="K78" i="3"/>
  <c r="AB78" i="3"/>
  <c r="AF78" i="3"/>
  <c r="AJ78" i="3"/>
  <c r="AN78" i="3"/>
  <c r="AR78" i="3"/>
  <c r="AV78" i="3"/>
  <c r="AZ78" i="3"/>
  <c r="BD78" i="3"/>
  <c r="W77" i="3"/>
  <c r="G77" i="3"/>
  <c r="I77" i="3"/>
  <c r="P77" i="3"/>
  <c r="Z77" i="3"/>
  <c r="T77" i="3"/>
  <c r="AD77" i="3"/>
  <c r="AH77" i="3"/>
  <c r="AL77" i="3"/>
  <c r="AP77" i="3"/>
  <c r="AT77" i="3"/>
  <c r="AX77" i="3"/>
  <c r="BB77" i="3"/>
  <c r="L78" i="3"/>
  <c r="F78" i="3"/>
  <c r="H78" i="3"/>
  <c r="N78" i="3"/>
  <c r="Y78" i="3"/>
  <c r="R78" i="3"/>
  <c r="AC78" i="3"/>
  <c r="AG78" i="3"/>
  <c r="AK78" i="3"/>
  <c r="AO78" i="3"/>
  <c r="AS78" i="3"/>
  <c r="AW78" i="3"/>
  <c r="BA78" i="3"/>
  <c r="D77" i="3"/>
  <c r="O77" i="3"/>
  <c r="J77" i="3"/>
  <c r="S77" i="3"/>
  <c r="V77" i="3"/>
  <c r="AA77" i="3"/>
  <c r="AE77" i="3"/>
  <c r="AI77" i="3"/>
  <c r="AM77" i="3"/>
  <c r="AQ77" i="3"/>
  <c r="AU77" i="3"/>
  <c r="AY77" i="3"/>
  <c r="W78" i="3"/>
  <c r="G78" i="3"/>
  <c r="I78" i="3"/>
  <c r="P78" i="3"/>
  <c r="Z78" i="3"/>
  <c r="T78" i="3"/>
  <c r="AD78" i="3"/>
  <c r="AH78" i="3"/>
  <c r="AL78" i="3"/>
  <c r="AP78" i="3"/>
  <c r="AT78" i="3"/>
  <c r="AX78" i="3"/>
  <c r="BB78" i="3"/>
  <c r="X77" i="3"/>
  <c r="Q77" i="3"/>
  <c r="E77" i="3"/>
  <c r="M77" i="3"/>
  <c r="U77" i="3"/>
  <c r="K77" i="3"/>
  <c r="AB77" i="3"/>
  <c r="AF77" i="3"/>
  <c r="AJ77" i="3"/>
  <c r="AN77" i="3"/>
  <c r="AR77" i="3"/>
  <c r="AV77" i="3"/>
  <c r="AZ77" i="3"/>
  <c r="BD77" i="3"/>
  <c r="D78" i="3"/>
  <c r="O78" i="3"/>
  <c r="J78" i="3"/>
  <c r="S78" i="3"/>
  <c r="V78" i="3"/>
  <c r="AA78" i="3"/>
  <c r="AE78" i="3"/>
  <c r="AI78" i="3"/>
  <c r="AM78" i="3"/>
  <c r="AQ78" i="3"/>
  <c r="AU78" i="3"/>
  <c r="AY78" i="3"/>
  <c r="L12" i="3"/>
  <c r="F12" i="3"/>
  <c r="H12" i="3"/>
  <c r="N12" i="3"/>
  <c r="Y12" i="3"/>
  <c r="R12" i="3"/>
  <c r="AC12" i="3"/>
  <c r="AG12" i="3"/>
  <c r="AK12" i="3"/>
  <c r="AO12" i="3"/>
  <c r="AS12" i="3"/>
  <c r="AW12" i="3"/>
  <c r="BA12" i="3"/>
  <c r="X13" i="3"/>
  <c r="Q13" i="3"/>
  <c r="E13" i="3"/>
  <c r="M13" i="3"/>
  <c r="U13" i="3"/>
  <c r="K13" i="3"/>
  <c r="AB13" i="3"/>
  <c r="AF13" i="3"/>
  <c r="AJ13" i="3"/>
  <c r="AN13" i="3"/>
  <c r="AR13" i="3"/>
  <c r="AV13" i="3"/>
  <c r="AZ13" i="3"/>
  <c r="BD13" i="3"/>
  <c r="W12" i="3"/>
  <c r="G12" i="3"/>
  <c r="I12" i="3"/>
  <c r="P12" i="3"/>
  <c r="Z12" i="3"/>
  <c r="T12" i="3"/>
  <c r="AD12" i="3"/>
  <c r="AH12" i="3"/>
  <c r="AL12" i="3"/>
  <c r="AP12" i="3"/>
  <c r="AT12" i="3"/>
  <c r="AX12" i="3"/>
  <c r="BB12" i="3"/>
  <c r="L13" i="3"/>
  <c r="F13" i="3"/>
  <c r="H13" i="3"/>
  <c r="N13" i="3"/>
  <c r="Y13" i="3"/>
  <c r="R13" i="3"/>
  <c r="AC13" i="3"/>
  <c r="AG13" i="3"/>
  <c r="AK13" i="3"/>
  <c r="AO13" i="3"/>
  <c r="AS13" i="3"/>
  <c r="AW13" i="3"/>
  <c r="BA13" i="3"/>
  <c r="D12" i="3"/>
  <c r="O12" i="3"/>
  <c r="J12" i="3"/>
  <c r="S12" i="3"/>
  <c r="V12" i="3"/>
  <c r="AA12" i="3"/>
  <c r="AE12" i="3"/>
  <c r="AI12" i="3"/>
  <c r="AM12" i="3"/>
  <c r="AQ12" i="3"/>
  <c r="AU12" i="3"/>
  <c r="AY12" i="3"/>
  <c r="W13" i="3"/>
  <c r="G13" i="3"/>
  <c r="I13" i="3"/>
  <c r="P13" i="3"/>
  <c r="Z13" i="3"/>
  <c r="T13" i="3"/>
  <c r="AD13" i="3"/>
  <c r="AH13" i="3"/>
  <c r="AL13" i="3"/>
  <c r="AP13" i="3"/>
  <c r="AT13" i="3"/>
  <c r="AX13" i="3"/>
  <c r="BB13" i="3"/>
  <c r="X12" i="3"/>
  <c r="Q12" i="3"/>
  <c r="E12" i="3"/>
  <c r="M12" i="3"/>
  <c r="U12" i="3"/>
  <c r="K12" i="3"/>
  <c r="AB12" i="3"/>
  <c r="AF12" i="3"/>
  <c r="AJ12" i="3"/>
  <c r="AN12" i="3"/>
  <c r="AR12" i="3"/>
  <c r="AV12" i="3"/>
  <c r="AZ12" i="3"/>
  <c r="BD12" i="3"/>
  <c r="D13" i="3"/>
  <c r="O13" i="3"/>
  <c r="J13" i="3"/>
  <c r="S13" i="3"/>
  <c r="V13" i="3"/>
  <c r="AA13" i="3"/>
  <c r="AE13" i="3"/>
  <c r="AI13" i="3"/>
  <c r="AM13" i="3"/>
  <c r="AQ13" i="3"/>
  <c r="AU13" i="3"/>
  <c r="AY13" i="3"/>
  <c r="D37" i="3"/>
  <c r="O37" i="3"/>
  <c r="J37" i="3"/>
  <c r="S37" i="3"/>
  <c r="V37" i="3"/>
  <c r="AA37" i="3"/>
  <c r="AE37" i="3"/>
  <c r="AI37" i="3"/>
  <c r="AM37" i="3"/>
  <c r="AQ37" i="3"/>
  <c r="AU37" i="3"/>
  <c r="AY37" i="3"/>
  <c r="X37" i="3"/>
  <c r="Q37" i="3"/>
  <c r="E37" i="3"/>
  <c r="M37" i="3"/>
  <c r="U37" i="3"/>
  <c r="K37" i="3"/>
  <c r="AB37" i="3"/>
  <c r="AF37" i="3"/>
  <c r="AJ37" i="3"/>
  <c r="AN37" i="3"/>
  <c r="AR37" i="3"/>
  <c r="AV37" i="3"/>
  <c r="L37" i="3"/>
  <c r="F37" i="3"/>
  <c r="H37" i="3"/>
  <c r="N37" i="3"/>
  <c r="Y37" i="3"/>
  <c r="R37" i="3"/>
  <c r="AC37" i="3"/>
  <c r="AG37" i="3"/>
  <c r="AK37" i="3"/>
  <c r="AO37" i="3"/>
  <c r="W37" i="3"/>
  <c r="G37" i="3"/>
  <c r="I37" i="3"/>
  <c r="P37" i="3"/>
  <c r="Z37" i="3"/>
  <c r="T37" i="3"/>
  <c r="AD37" i="3"/>
  <c r="AH37" i="3"/>
  <c r="AL37" i="3"/>
  <c r="AP37" i="3"/>
  <c r="AX37" i="3"/>
  <c r="W38" i="3"/>
  <c r="G38" i="3"/>
  <c r="I38" i="3"/>
  <c r="P38" i="3"/>
  <c r="Z38" i="3"/>
  <c r="T38" i="3"/>
  <c r="AD38" i="3"/>
  <c r="AH38" i="3"/>
  <c r="AL38" i="3"/>
  <c r="AP38" i="3"/>
  <c r="AT38" i="3"/>
  <c r="AX38" i="3"/>
  <c r="BB38" i="3"/>
  <c r="AS37" i="3"/>
  <c r="AZ37" i="3"/>
  <c r="BD37" i="3"/>
  <c r="D38" i="3"/>
  <c r="O38" i="3"/>
  <c r="J38" i="3"/>
  <c r="S38" i="3"/>
  <c r="V38" i="3"/>
  <c r="AA38" i="3"/>
  <c r="AE38" i="3"/>
  <c r="AI38" i="3"/>
  <c r="AM38" i="3"/>
  <c r="AQ38" i="3"/>
  <c r="AU38" i="3"/>
  <c r="AY38" i="3"/>
  <c r="AT37" i="3"/>
  <c r="BA37" i="3"/>
  <c r="X38" i="3"/>
  <c r="Q38" i="3"/>
  <c r="E38" i="3"/>
  <c r="M38" i="3"/>
  <c r="U38" i="3"/>
  <c r="K38" i="3"/>
  <c r="AB38" i="3"/>
  <c r="AF38" i="3"/>
  <c r="AJ38" i="3"/>
  <c r="AN38" i="3"/>
  <c r="AR38" i="3"/>
  <c r="AV38" i="3"/>
  <c r="AZ38" i="3"/>
  <c r="BD38" i="3"/>
  <c r="AW37" i="3"/>
  <c r="BB37" i="3"/>
  <c r="L38" i="3"/>
  <c r="F38" i="3"/>
  <c r="H38" i="3"/>
  <c r="N38" i="3"/>
  <c r="Y38" i="3"/>
  <c r="R38" i="3"/>
  <c r="AC38" i="3"/>
  <c r="AG38" i="3"/>
  <c r="AK38" i="3"/>
  <c r="AO38" i="3"/>
  <c r="AS38" i="3"/>
  <c r="AW38" i="3"/>
  <c r="BA38" i="3"/>
  <c r="Q2" i="3"/>
  <c r="E2" i="3"/>
  <c r="M2" i="3"/>
  <c r="U2" i="3"/>
  <c r="K2" i="3"/>
  <c r="AB2" i="3"/>
  <c r="AF2" i="3"/>
  <c r="AJ2" i="3"/>
  <c r="AN2" i="3"/>
  <c r="AR2" i="3"/>
  <c r="AV2" i="3"/>
  <c r="AZ2" i="3"/>
  <c r="BD2" i="3"/>
  <c r="Q3" i="3"/>
  <c r="E3" i="3"/>
  <c r="M3" i="3"/>
  <c r="U3" i="3"/>
  <c r="K3" i="3"/>
  <c r="AB3" i="3"/>
  <c r="AF3" i="3"/>
  <c r="AJ3" i="3"/>
  <c r="AN3" i="3"/>
  <c r="AR3" i="3"/>
  <c r="AV3" i="3"/>
  <c r="AZ3" i="3"/>
  <c r="BD3" i="3"/>
  <c r="BB3" i="3"/>
  <c r="L2" i="3"/>
  <c r="F2" i="3"/>
  <c r="H2" i="3"/>
  <c r="N2" i="3"/>
  <c r="Y2" i="3"/>
  <c r="R2" i="3"/>
  <c r="AC2" i="3"/>
  <c r="AG2" i="3"/>
  <c r="AK2" i="3"/>
  <c r="AO2" i="3"/>
  <c r="AS2" i="3"/>
  <c r="AW2" i="3"/>
  <c r="BA2" i="3"/>
  <c r="L3" i="3"/>
  <c r="F3" i="3"/>
  <c r="H3" i="3"/>
  <c r="N3" i="3"/>
  <c r="Y3" i="3"/>
  <c r="R3" i="3"/>
  <c r="AC3" i="3"/>
  <c r="AG3" i="3"/>
  <c r="AK3" i="3"/>
  <c r="AO3" i="3"/>
  <c r="AS3" i="3"/>
  <c r="AW3" i="3"/>
  <c r="BA3" i="3"/>
  <c r="X3" i="3"/>
  <c r="W2" i="3"/>
  <c r="G2" i="3"/>
  <c r="I2" i="3"/>
  <c r="P2" i="3"/>
  <c r="Z2" i="3"/>
  <c r="T2" i="3"/>
  <c r="AD2" i="3"/>
  <c r="AH2" i="3"/>
  <c r="AL2" i="3"/>
  <c r="AP2" i="3"/>
  <c r="AT2" i="3"/>
  <c r="AX2" i="3"/>
  <c r="BB2" i="3"/>
  <c r="W3" i="3"/>
  <c r="G3" i="3"/>
  <c r="I3" i="3"/>
  <c r="P3" i="3"/>
  <c r="Z3" i="3"/>
  <c r="T3" i="3"/>
  <c r="AD3" i="3"/>
  <c r="AH3" i="3"/>
  <c r="AL3" i="3"/>
  <c r="AP3" i="3"/>
  <c r="AT3" i="3"/>
  <c r="AX3" i="3"/>
  <c r="X2" i="3"/>
  <c r="D2" i="3"/>
  <c r="O2" i="3"/>
  <c r="J2" i="3"/>
  <c r="S2" i="3"/>
  <c r="V2" i="3"/>
  <c r="AA2" i="3"/>
  <c r="AE2" i="3"/>
  <c r="AI2" i="3"/>
  <c r="AM2" i="3"/>
  <c r="AQ2" i="3"/>
  <c r="AU2" i="3"/>
  <c r="AY2" i="3"/>
  <c r="D3" i="3"/>
  <c r="O3" i="3"/>
  <c r="J3" i="3"/>
  <c r="S3" i="3"/>
  <c r="V3" i="3"/>
  <c r="AA3" i="3"/>
  <c r="AE3" i="3"/>
  <c r="AI3" i="3"/>
  <c r="AM3" i="3"/>
  <c r="AQ3" i="3"/>
  <c r="AU3" i="3"/>
  <c r="AY3" i="3"/>
  <c r="L22" i="3"/>
  <c r="F22" i="3"/>
  <c r="H22" i="3"/>
  <c r="N22" i="3"/>
  <c r="Y22" i="3"/>
  <c r="R22" i="3"/>
  <c r="AC22" i="3"/>
  <c r="AG22" i="3"/>
  <c r="AK22" i="3"/>
  <c r="AO22" i="3"/>
  <c r="AS22" i="3"/>
  <c r="AW22" i="3"/>
  <c r="BA22" i="3"/>
  <c r="X23" i="3"/>
  <c r="Q23" i="3"/>
  <c r="E23" i="3"/>
  <c r="M23" i="3"/>
  <c r="U23" i="3"/>
  <c r="K23" i="3"/>
  <c r="AB23" i="3"/>
  <c r="AF23" i="3"/>
  <c r="AJ23" i="3"/>
  <c r="AN23" i="3"/>
  <c r="AR23" i="3"/>
  <c r="AV23" i="3"/>
  <c r="AZ23" i="3"/>
  <c r="BD23" i="3"/>
  <c r="W22" i="3"/>
  <c r="G22" i="3"/>
  <c r="I22" i="3"/>
  <c r="P22" i="3"/>
  <c r="Z22" i="3"/>
  <c r="T22" i="3"/>
  <c r="AD22" i="3"/>
  <c r="AH22" i="3"/>
  <c r="AL22" i="3"/>
  <c r="AP22" i="3"/>
  <c r="AT22" i="3"/>
  <c r="AX22" i="3"/>
  <c r="BB22" i="3"/>
  <c r="L23" i="3"/>
  <c r="F23" i="3"/>
  <c r="H23" i="3"/>
  <c r="N23" i="3"/>
  <c r="Y23" i="3"/>
  <c r="R23" i="3"/>
  <c r="AC23" i="3"/>
  <c r="AG23" i="3"/>
  <c r="AK23" i="3"/>
  <c r="AO23" i="3"/>
  <c r="AS23" i="3"/>
  <c r="AW23" i="3"/>
  <c r="BA23" i="3"/>
  <c r="D22" i="3"/>
  <c r="O22" i="3"/>
  <c r="J22" i="3"/>
  <c r="S22" i="3"/>
  <c r="V22" i="3"/>
  <c r="AA22" i="3"/>
  <c r="AE22" i="3"/>
  <c r="AI22" i="3"/>
  <c r="AM22" i="3"/>
  <c r="AQ22" i="3"/>
  <c r="AU22" i="3"/>
  <c r="AY22" i="3"/>
  <c r="W23" i="3"/>
  <c r="G23" i="3"/>
  <c r="I23" i="3"/>
  <c r="P23" i="3"/>
  <c r="Z23" i="3"/>
  <c r="T23" i="3"/>
  <c r="AD23" i="3"/>
  <c r="AH23" i="3"/>
  <c r="AL23" i="3"/>
  <c r="AP23" i="3"/>
  <c r="AT23" i="3"/>
  <c r="AX23" i="3"/>
  <c r="BB23" i="3"/>
  <c r="X22" i="3"/>
  <c r="Q22" i="3"/>
  <c r="E22" i="3"/>
  <c r="M22" i="3"/>
  <c r="U22" i="3"/>
  <c r="K22" i="3"/>
  <c r="AB22" i="3"/>
  <c r="AF22" i="3"/>
  <c r="AJ22" i="3"/>
  <c r="AN22" i="3"/>
  <c r="AR22" i="3"/>
  <c r="AV22" i="3"/>
  <c r="AZ22" i="3"/>
  <c r="BD22" i="3"/>
  <c r="D23" i="3"/>
  <c r="O23" i="3"/>
  <c r="J23" i="3"/>
  <c r="S23" i="3"/>
  <c r="V23" i="3"/>
  <c r="AA23" i="3"/>
  <c r="AE23" i="3"/>
  <c r="AI23" i="3"/>
  <c r="AM23" i="3"/>
  <c r="AQ23" i="3"/>
  <c r="AU23" i="3"/>
  <c r="AY23" i="3"/>
  <c r="L42" i="3"/>
  <c r="F42" i="3"/>
  <c r="H42" i="3"/>
  <c r="N42" i="3"/>
  <c r="Y42" i="3"/>
  <c r="R42" i="3"/>
  <c r="AC42" i="3"/>
  <c r="AG42" i="3"/>
  <c r="AK42" i="3"/>
  <c r="AO42" i="3"/>
  <c r="AS42" i="3"/>
  <c r="AW42" i="3"/>
  <c r="BA42" i="3"/>
  <c r="X43" i="3"/>
  <c r="Q43" i="3"/>
  <c r="E43" i="3"/>
  <c r="M43" i="3"/>
  <c r="U43" i="3"/>
  <c r="K43" i="3"/>
  <c r="AB43" i="3"/>
  <c r="AF43" i="3"/>
  <c r="AJ43" i="3"/>
  <c r="AN43" i="3"/>
  <c r="AR43" i="3"/>
  <c r="AV43" i="3"/>
  <c r="AZ43" i="3"/>
  <c r="BD43" i="3"/>
  <c r="W42" i="3"/>
  <c r="G42" i="3"/>
  <c r="I42" i="3"/>
  <c r="P42" i="3"/>
  <c r="Z42" i="3"/>
  <c r="T42" i="3"/>
  <c r="AD42" i="3"/>
  <c r="AH42" i="3"/>
  <c r="AL42" i="3"/>
  <c r="AP42" i="3"/>
  <c r="AT42" i="3"/>
  <c r="AX42" i="3"/>
  <c r="BB42" i="3"/>
  <c r="L43" i="3"/>
  <c r="F43" i="3"/>
  <c r="H43" i="3"/>
  <c r="N43" i="3"/>
  <c r="Y43" i="3"/>
  <c r="R43" i="3"/>
  <c r="AC43" i="3"/>
  <c r="AG43" i="3"/>
  <c r="AK43" i="3"/>
  <c r="AO43" i="3"/>
  <c r="AS43" i="3"/>
  <c r="AW43" i="3"/>
  <c r="BA43" i="3"/>
  <c r="D42" i="3"/>
  <c r="O42" i="3"/>
  <c r="J42" i="3"/>
  <c r="S42" i="3"/>
  <c r="V42" i="3"/>
  <c r="AA42" i="3"/>
  <c r="AE42" i="3"/>
  <c r="AI42" i="3"/>
  <c r="AM42" i="3"/>
  <c r="AQ42" i="3"/>
  <c r="AU42" i="3"/>
  <c r="AY42" i="3"/>
  <c r="W43" i="3"/>
  <c r="G43" i="3"/>
  <c r="I43" i="3"/>
  <c r="P43" i="3"/>
  <c r="Z43" i="3"/>
  <c r="T43" i="3"/>
  <c r="AD43" i="3"/>
  <c r="AH43" i="3"/>
  <c r="AL43" i="3"/>
  <c r="AP43" i="3"/>
  <c r="AT43" i="3"/>
  <c r="AX43" i="3"/>
  <c r="BB43" i="3"/>
  <c r="X42" i="3"/>
  <c r="Q42" i="3"/>
  <c r="E42" i="3"/>
  <c r="M42" i="3"/>
  <c r="U42" i="3"/>
  <c r="K42" i="3"/>
  <c r="AB42" i="3"/>
  <c r="AF42" i="3"/>
  <c r="AJ42" i="3"/>
  <c r="AN42" i="3"/>
  <c r="AR42" i="3"/>
  <c r="AV42" i="3"/>
  <c r="AZ42" i="3"/>
  <c r="BD42" i="3"/>
  <c r="D43" i="3"/>
  <c r="O43" i="3"/>
  <c r="J43" i="3"/>
  <c r="S43" i="3"/>
  <c r="V43" i="3"/>
  <c r="AA43" i="3"/>
  <c r="AE43" i="3"/>
  <c r="AI43" i="3"/>
  <c r="AM43" i="3"/>
  <c r="AQ43" i="3"/>
  <c r="AU43" i="3"/>
  <c r="AY43" i="3"/>
  <c r="L62" i="3"/>
  <c r="F62" i="3"/>
  <c r="H62" i="3"/>
  <c r="N62" i="3"/>
  <c r="Y62" i="3"/>
  <c r="R62" i="3"/>
  <c r="AC62" i="3"/>
  <c r="AG62" i="3"/>
  <c r="AK62" i="3"/>
  <c r="AO62" i="3"/>
  <c r="AS62" i="3"/>
  <c r="AW62" i="3"/>
  <c r="BA62" i="3"/>
  <c r="X63" i="3"/>
  <c r="Q63" i="3"/>
  <c r="E63" i="3"/>
  <c r="M63" i="3"/>
  <c r="U63" i="3"/>
  <c r="K63" i="3"/>
  <c r="AB63" i="3"/>
  <c r="AF63" i="3"/>
  <c r="AJ63" i="3"/>
  <c r="AN63" i="3"/>
  <c r="AR63" i="3"/>
  <c r="AV63" i="3"/>
  <c r="AZ63" i="3"/>
  <c r="BD63" i="3"/>
  <c r="W62" i="3"/>
  <c r="G62" i="3"/>
  <c r="I62" i="3"/>
  <c r="P62" i="3"/>
  <c r="Z62" i="3"/>
  <c r="T62" i="3"/>
  <c r="AD62" i="3"/>
  <c r="AH62" i="3"/>
  <c r="AL62" i="3"/>
  <c r="AP62" i="3"/>
  <c r="AT62" i="3"/>
  <c r="AX62" i="3"/>
  <c r="BB62" i="3"/>
  <c r="L63" i="3"/>
  <c r="F63" i="3"/>
  <c r="H63" i="3"/>
  <c r="N63" i="3"/>
  <c r="Y63" i="3"/>
  <c r="R63" i="3"/>
  <c r="AC63" i="3"/>
  <c r="AG63" i="3"/>
  <c r="AK63" i="3"/>
  <c r="AO63" i="3"/>
  <c r="AS63" i="3"/>
  <c r="AW63" i="3"/>
  <c r="BA63" i="3"/>
  <c r="D62" i="3"/>
  <c r="O62" i="3"/>
  <c r="J62" i="3"/>
  <c r="S62" i="3"/>
  <c r="V62" i="3"/>
  <c r="AA62" i="3"/>
  <c r="AE62" i="3"/>
  <c r="AI62" i="3"/>
  <c r="AM62" i="3"/>
  <c r="AQ62" i="3"/>
  <c r="AU62" i="3"/>
  <c r="AY62" i="3"/>
  <c r="W63" i="3"/>
  <c r="G63" i="3"/>
  <c r="I63" i="3"/>
  <c r="P63" i="3"/>
  <c r="Z63" i="3"/>
  <c r="T63" i="3"/>
  <c r="AD63" i="3"/>
  <c r="AH63" i="3"/>
  <c r="AL63" i="3"/>
  <c r="AP63" i="3"/>
  <c r="AT63" i="3"/>
  <c r="AX63" i="3"/>
  <c r="BB63" i="3"/>
  <c r="X62" i="3"/>
  <c r="Q62" i="3"/>
  <c r="E62" i="3"/>
  <c r="M62" i="3"/>
  <c r="U62" i="3"/>
  <c r="K62" i="3"/>
  <c r="AB62" i="3"/>
  <c r="AF62" i="3"/>
  <c r="AJ62" i="3"/>
  <c r="AN62" i="3"/>
  <c r="AR62" i="3"/>
  <c r="AV62" i="3"/>
  <c r="AZ62" i="3"/>
  <c r="BD62" i="3"/>
  <c r="D63" i="3"/>
  <c r="O63" i="3"/>
  <c r="J63" i="3"/>
  <c r="S63" i="3"/>
  <c r="V63" i="3"/>
  <c r="AA63" i="3"/>
  <c r="AE63" i="3"/>
  <c r="AI63" i="3"/>
  <c r="AM63" i="3"/>
  <c r="AQ63" i="3"/>
  <c r="AU63" i="3"/>
  <c r="AY63" i="3"/>
  <c r="D7" i="3"/>
  <c r="O7" i="3"/>
  <c r="J7" i="3"/>
  <c r="S7" i="3"/>
  <c r="V7" i="3"/>
  <c r="AA7" i="3"/>
  <c r="AE7" i="3"/>
  <c r="AI7" i="3"/>
  <c r="AM7" i="3"/>
  <c r="AQ7" i="3"/>
  <c r="AU7" i="3"/>
  <c r="AY7" i="3"/>
  <c r="W8" i="3"/>
  <c r="G8" i="3"/>
  <c r="I8" i="3"/>
  <c r="P8" i="3"/>
  <c r="Z8" i="3"/>
  <c r="T8" i="3"/>
  <c r="AD8" i="3"/>
  <c r="AH8" i="3"/>
  <c r="AL8" i="3"/>
  <c r="AP8" i="3"/>
  <c r="AT8" i="3"/>
  <c r="AX8" i="3"/>
  <c r="BB8" i="3"/>
  <c r="X7" i="3"/>
  <c r="Q7" i="3"/>
  <c r="E7" i="3"/>
  <c r="M7" i="3"/>
  <c r="U7" i="3"/>
  <c r="K7" i="3"/>
  <c r="AB7" i="3"/>
  <c r="AF7" i="3"/>
  <c r="AJ7" i="3"/>
  <c r="AN7" i="3"/>
  <c r="AR7" i="3"/>
  <c r="AV7" i="3"/>
  <c r="AZ7" i="3"/>
  <c r="BD7" i="3"/>
  <c r="D8" i="3"/>
  <c r="O8" i="3"/>
  <c r="J8" i="3"/>
  <c r="S8" i="3"/>
  <c r="V8" i="3"/>
  <c r="AA8" i="3"/>
  <c r="AE8" i="3"/>
  <c r="AI8" i="3"/>
  <c r="AM8" i="3"/>
  <c r="AQ8" i="3"/>
  <c r="AU8" i="3"/>
  <c r="AY8" i="3"/>
  <c r="L7" i="3"/>
  <c r="F7" i="3"/>
  <c r="H7" i="3"/>
  <c r="N7" i="3"/>
  <c r="Y7" i="3"/>
  <c r="R7" i="3"/>
  <c r="AC7" i="3"/>
  <c r="AG7" i="3"/>
  <c r="AK7" i="3"/>
  <c r="AO7" i="3"/>
  <c r="AS7" i="3"/>
  <c r="AW7" i="3"/>
  <c r="BA7" i="3"/>
  <c r="X8" i="3"/>
  <c r="Q8" i="3"/>
  <c r="E8" i="3"/>
  <c r="M8" i="3"/>
  <c r="U8" i="3"/>
  <c r="K8" i="3"/>
  <c r="AB8" i="3"/>
  <c r="AF8" i="3"/>
  <c r="AJ8" i="3"/>
  <c r="AN8" i="3"/>
  <c r="AR8" i="3"/>
  <c r="AV8" i="3"/>
  <c r="AZ8" i="3"/>
  <c r="BD8" i="3"/>
  <c r="W7" i="3"/>
  <c r="G7" i="3"/>
  <c r="I7" i="3"/>
  <c r="P7" i="3"/>
  <c r="Z7" i="3"/>
  <c r="T7" i="3"/>
  <c r="AD7" i="3"/>
  <c r="AH7" i="3"/>
  <c r="AL7" i="3"/>
  <c r="AP7" i="3"/>
  <c r="AT7" i="3"/>
  <c r="AX7" i="3"/>
  <c r="BB7" i="3"/>
  <c r="L8" i="3"/>
  <c r="F8" i="3"/>
  <c r="H8" i="3"/>
  <c r="N8" i="3"/>
  <c r="Y8" i="3"/>
  <c r="R8" i="3"/>
  <c r="AC8" i="3"/>
  <c r="AG8" i="3"/>
  <c r="AK8" i="3"/>
  <c r="AO8" i="3"/>
  <c r="AS8" i="3"/>
  <c r="AW8" i="3"/>
  <c r="BA8" i="3"/>
  <c r="D27" i="3"/>
  <c r="O27" i="3"/>
  <c r="J27" i="3"/>
  <c r="S27" i="3"/>
  <c r="V27" i="3"/>
  <c r="AA27" i="3"/>
  <c r="AE27" i="3"/>
  <c r="AI27" i="3"/>
  <c r="AM27" i="3"/>
  <c r="AQ27" i="3"/>
  <c r="AU27" i="3"/>
  <c r="AY27" i="3"/>
  <c r="W28" i="3"/>
  <c r="G28" i="3"/>
  <c r="I28" i="3"/>
  <c r="P28" i="3"/>
  <c r="Z28" i="3"/>
  <c r="T28" i="3"/>
  <c r="AD28" i="3"/>
  <c r="AH28" i="3"/>
  <c r="AL28" i="3"/>
  <c r="AP28" i="3"/>
  <c r="AT28" i="3"/>
  <c r="AX28" i="3"/>
  <c r="BB28" i="3"/>
  <c r="X27" i="3"/>
  <c r="Q27" i="3"/>
  <c r="E27" i="3"/>
  <c r="M27" i="3"/>
  <c r="U27" i="3"/>
  <c r="K27" i="3"/>
  <c r="AB27" i="3"/>
  <c r="AF27" i="3"/>
  <c r="AJ27" i="3"/>
  <c r="AN27" i="3"/>
  <c r="AR27" i="3"/>
  <c r="AV27" i="3"/>
  <c r="AZ27" i="3"/>
  <c r="BD27" i="3"/>
  <c r="D28" i="3"/>
  <c r="O28" i="3"/>
  <c r="J28" i="3"/>
  <c r="S28" i="3"/>
  <c r="V28" i="3"/>
  <c r="AA28" i="3"/>
  <c r="AE28" i="3"/>
  <c r="AI28" i="3"/>
  <c r="AM28" i="3"/>
  <c r="AQ28" i="3"/>
  <c r="AU28" i="3"/>
  <c r="AY28" i="3"/>
  <c r="L27" i="3"/>
  <c r="F27" i="3"/>
  <c r="H27" i="3"/>
  <c r="N27" i="3"/>
  <c r="Y27" i="3"/>
  <c r="R27" i="3"/>
  <c r="AC27" i="3"/>
  <c r="AG27" i="3"/>
  <c r="AK27" i="3"/>
  <c r="AO27" i="3"/>
  <c r="AS27" i="3"/>
  <c r="AW27" i="3"/>
  <c r="BA27" i="3"/>
  <c r="X28" i="3"/>
  <c r="Q28" i="3"/>
  <c r="E28" i="3"/>
  <c r="M28" i="3"/>
  <c r="U28" i="3"/>
  <c r="K28" i="3"/>
  <c r="AB28" i="3"/>
  <c r="AF28" i="3"/>
  <c r="AJ28" i="3"/>
  <c r="AN28" i="3"/>
  <c r="AR28" i="3"/>
  <c r="AV28" i="3"/>
  <c r="AZ28" i="3"/>
  <c r="BD28" i="3"/>
  <c r="W27" i="3"/>
  <c r="G27" i="3"/>
  <c r="I27" i="3"/>
  <c r="P27" i="3"/>
  <c r="Z27" i="3"/>
  <c r="T27" i="3"/>
  <c r="AD27" i="3"/>
  <c r="AH27" i="3"/>
  <c r="AL27" i="3"/>
  <c r="AP27" i="3"/>
  <c r="AT27" i="3"/>
  <c r="AX27" i="3"/>
  <c r="BB27" i="3"/>
  <c r="L28" i="3"/>
  <c r="F28" i="3"/>
  <c r="H28" i="3"/>
  <c r="N28" i="3"/>
  <c r="Y28" i="3"/>
  <c r="R28" i="3"/>
  <c r="AC28" i="3"/>
  <c r="AG28" i="3"/>
  <c r="AK28" i="3"/>
  <c r="AO28" i="3"/>
  <c r="AS28" i="3"/>
  <c r="AW28" i="3"/>
  <c r="BA28" i="3"/>
  <c r="D47" i="3"/>
  <c r="O47" i="3"/>
  <c r="J47" i="3"/>
  <c r="S47" i="3"/>
  <c r="V47" i="3"/>
  <c r="AA47" i="3"/>
  <c r="AE47" i="3"/>
  <c r="AI47" i="3"/>
  <c r="AM47" i="3"/>
  <c r="AQ47" i="3"/>
  <c r="AU47" i="3"/>
  <c r="AY47" i="3"/>
  <c r="W48" i="3"/>
  <c r="G48" i="3"/>
  <c r="I48" i="3"/>
  <c r="P48" i="3"/>
  <c r="Z48" i="3"/>
  <c r="T48" i="3"/>
  <c r="AD48" i="3"/>
  <c r="AH48" i="3"/>
  <c r="AL48" i="3"/>
  <c r="AP48" i="3"/>
  <c r="AT48" i="3"/>
  <c r="AX48" i="3"/>
  <c r="BB48" i="3"/>
  <c r="X47" i="3"/>
  <c r="Q47" i="3"/>
  <c r="E47" i="3"/>
  <c r="M47" i="3"/>
  <c r="U47" i="3"/>
  <c r="K47" i="3"/>
  <c r="AB47" i="3"/>
  <c r="AF47" i="3"/>
  <c r="AJ47" i="3"/>
  <c r="AN47" i="3"/>
  <c r="AR47" i="3"/>
  <c r="AV47" i="3"/>
  <c r="AZ47" i="3"/>
  <c r="BD47" i="3"/>
  <c r="D48" i="3"/>
  <c r="O48" i="3"/>
  <c r="J48" i="3"/>
  <c r="S48" i="3"/>
  <c r="V48" i="3"/>
  <c r="AA48" i="3"/>
  <c r="AE48" i="3"/>
  <c r="AI48" i="3"/>
  <c r="AM48" i="3"/>
  <c r="AQ48" i="3"/>
  <c r="AU48" i="3"/>
  <c r="AY48" i="3"/>
  <c r="L47" i="3"/>
  <c r="F47" i="3"/>
  <c r="H47" i="3"/>
  <c r="N47" i="3"/>
  <c r="Y47" i="3"/>
  <c r="R47" i="3"/>
  <c r="AC47" i="3"/>
  <c r="AG47" i="3"/>
  <c r="AK47" i="3"/>
  <c r="AO47" i="3"/>
  <c r="AS47" i="3"/>
  <c r="AW47" i="3"/>
  <c r="BA47" i="3"/>
  <c r="X48" i="3"/>
  <c r="Q48" i="3"/>
  <c r="E48" i="3"/>
  <c r="M48" i="3"/>
  <c r="U48" i="3"/>
  <c r="K48" i="3"/>
  <c r="AB48" i="3"/>
  <c r="AF48" i="3"/>
  <c r="AJ48" i="3"/>
  <c r="AN48" i="3"/>
  <c r="AR48" i="3"/>
  <c r="AV48" i="3"/>
  <c r="AZ48" i="3"/>
  <c r="BD48" i="3"/>
  <c r="W47" i="3"/>
  <c r="G47" i="3"/>
  <c r="I47" i="3"/>
  <c r="P47" i="3"/>
  <c r="Z47" i="3"/>
  <c r="T47" i="3"/>
  <c r="AD47" i="3"/>
  <c r="AH47" i="3"/>
  <c r="AL47" i="3"/>
  <c r="AP47" i="3"/>
  <c r="AT47" i="3"/>
  <c r="AX47" i="3"/>
  <c r="BB47" i="3"/>
  <c r="L48" i="3"/>
  <c r="F48" i="3"/>
  <c r="H48" i="3"/>
  <c r="N48" i="3"/>
  <c r="Y48" i="3"/>
  <c r="R48" i="3"/>
  <c r="AC48" i="3"/>
  <c r="AG48" i="3"/>
  <c r="AK48" i="3"/>
  <c r="AO48" i="3"/>
  <c r="AS48" i="3"/>
  <c r="AW48" i="3"/>
  <c r="BA48" i="3"/>
  <c r="D67" i="3"/>
  <c r="O67" i="3"/>
  <c r="J67" i="3"/>
  <c r="S67" i="3"/>
  <c r="V67" i="3"/>
  <c r="AA67" i="3"/>
  <c r="AE67" i="3"/>
  <c r="AI67" i="3"/>
  <c r="AM67" i="3"/>
  <c r="AQ67" i="3"/>
  <c r="AU67" i="3"/>
  <c r="AY67" i="3"/>
  <c r="W68" i="3"/>
  <c r="G68" i="3"/>
  <c r="I68" i="3"/>
  <c r="P68" i="3"/>
  <c r="Z68" i="3"/>
  <c r="T68" i="3"/>
  <c r="AD68" i="3"/>
  <c r="AH68" i="3"/>
  <c r="AL68" i="3"/>
  <c r="X67" i="3"/>
  <c r="Q67" i="3"/>
  <c r="E67" i="3"/>
  <c r="M67" i="3"/>
  <c r="U67" i="3"/>
  <c r="K67" i="3"/>
  <c r="AB67" i="3"/>
  <c r="AF67" i="3"/>
  <c r="AJ67" i="3"/>
  <c r="AN67" i="3"/>
  <c r="AR67" i="3"/>
  <c r="AV67" i="3"/>
  <c r="AZ67" i="3"/>
  <c r="BD67" i="3"/>
  <c r="D68" i="3"/>
  <c r="O68" i="3"/>
  <c r="J68" i="3"/>
  <c r="S68" i="3"/>
  <c r="V68" i="3"/>
  <c r="AA68" i="3"/>
  <c r="AE68" i="3"/>
  <c r="AI68" i="3"/>
  <c r="L67" i="3"/>
  <c r="F67" i="3"/>
  <c r="H67" i="3"/>
  <c r="N67" i="3"/>
  <c r="Y67" i="3"/>
  <c r="R67" i="3"/>
  <c r="AC67" i="3"/>
  <c r="AG67" i="3"/>
  <c r="AK67" i="3"/>
  <c r="AO67" i="3"/>
  <c r="AS67" i="3"/>
  <c r="AW67" i="3"/>
  <c r="BA67" i="3"/>
  <c r="X68" i="3"/>
  <c r="Q68" i="3"/>
  <c r="E68" i="3"/>
  <c r="M68" i="3"/>
  <c r="U68" i="3"/>
  <c r="K68" i="3"/>
  <c r="AB68" i="3"/>
  <c r="AF68" i="3"/>
  <c r="AJ68" i="3"/>
  <c r="AN68" i="3"/>
  <c r="W67" i="3"/>
  <c r="G67" i="3"/>
  <c r="I67" i="3"/>
  <c r="P67" i="3"/>
  <c r="Z67" i="3"/>
  <c r="T67" i="3"/>
  <c r="AD67" i="3"/>
  <c r="AH67" i="3"/>
  <c r="AL67" i="3"/>
  <c r="AP67" i="3"/>
  <c r="AT67" i="3"/>
  <c r="AX67" i="3"/>
  <c r="BB67" i="3"/>
  <c r="L68" i="3"/>
  <c r="F68" i="3"/>
  <c r="H68" i="3"/>
  <c r="N68" i="3"/>
  <c r="Y68" i="3"/>
  <c r="R68" i="3"/>
  <c r="AC68" i="3"/>
  <c r="AG68" i="3"/>
  <c r="AK68" i="3"/>
  <c r="AM68" i="3"/>
  <c r="AR68" i="3"/>
  <c r="AV68" i="3"/>
  <c r="AZ68" i="3"/>
  <c r="BD68" i="3"/>
  <c r="AO68" i="3"/>
  <c r="AS68" i="3"/>
  <c r="AW68" i="3"/>
  <c r="BA68" i="3"/>
  <c r="AP68" i="3"/>
  <c r="AT68" i="3"/>
  <c r="AX68" i="3"/>
  <c r="BB68" i="3"/>
  <c r="AQ68" i="3"/>
  <c r="AU68" i="3"/>
  <c r="AY68" i="3"/>
  <c r="A67" i="6"/>
  <c r="A63" i="6"/>
  <c r="A66" i="6" s="1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D2" i="10" s="1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2" i="2"/>
  <c r="BC84" i="3" l="1"/>
  <c r="I4" i="7"/>
  <c r="M4" i="7"/>
  <c r="Q4" i="7"/>
  <c r="U4" i="7"/>
  <c r="Y4" i="7"/>
  <c r="AC4" i="7"/>
  <c r="AG4" i="7"/>
  <c r="AK4" i="7"/>
  <c r="AO4" i="7"/>
  <c r="J4" i="7"/>
  <c r="N4" i="7"/>
  <c r="R4" i="7"/>
  <c r="V4" i="7"/>
  <c r="Z4" i="7"/>
  <c r="AD4" i="7"/>
  <c r="AH4" i="7"/>
  <c r="AL4" i="7"/>
  <c r="K4" i="7"/>
  <c r="O4" i="7"/>
  <c r="S4" i="7"/>
  <c r="W4" i="7"/>
  <c r="AA4" i="7"/>
  <c r="AE4" i="7"/>
  <c r="AI4" i="7"/>
  <c r="AM4" i="7"/>
  <c r="H4" i="7"/>
  <c r="L4" i="7"/>
  <c r="P4" i="7"/>
  <c r="T4" i="7"/>
  <c r="X4" i="7"/>
  <c r="AB4" i="7"/>
  <c r="AF4" i="7"/>
  <c r="AJ4" i="7"/>
  <c r="AN4" i="7"/>
  <c r="I8" i="7"/>
  <c r="M8" i="7"/>
  <c r="Q8" i="7"/>
  <c r="U8" i="7"/>
  <c r="Y8" i="7"/>
  <c r="AC8" i="7"/>
  <c r="AG8" i="7"/>
  <c r="AK8" i="7"/>
  <c r="AO8" i="7"/>
  <c r="J8" i="7"/>
  <c r="N8" i="7"/>
  <c r="R8" i="7"/>
  <c r="V8" i="7"/>
  <c r="Z8" i="7"/>
  <c r="AD8" i="7"/>
  <c r="AH8" i="7"/>
  <c r="AL8" i="7"/>
  <c r="K8" i="7"/>
  <c r="O8" i="7"/>
  <c r="S8" i="7"/>
  <c r="W8" i="7"/>
  <c r="AA8" i="7"/>
  <c r="AE8" i="7"/>
  <c r="AI8" i="7"/>
  <c r="AM8" i="7"/>
  <c r="H8" i="7"/>
  <c r="L8" i="7"/>
  <c r="P8" i="7"/>
  <c r="T8" i="7"/>
  <c r="X8" i="7"/>
  <c r="AB8" i="7"/>
  <c r="AF8" i="7"/>
  <c r="AJ8" i="7"/>
  <c r="AN8" i="7"/>
  <c r="I12" i="7"/>
  <c r="M12" i="7"/>
  <c r="Q12" i="7"/>
  <c r="U12" i="7"/>
  <c r="Y12" i="7"/>
  <c r="AC12" i="7"/>
  <c r="AG12" i="7"/>
  <c r="AK12" i="7"/>
  <c r="AO12" i="7"/>
  <c r="J12" i="7"/>
  <c r="N12" i="7"/>
  <c r="R12" i="7"/>
  <c r="V12" i="7"/>
  <c r="Z12" i="7"/>
  <c r="AD12" i="7"/>
  <c r="AH12" i="7"/>
  <c r="AL12" i="7"/>
  <c r="K12" i="7"/>
  <c r="O12" i="7"/>
  <c r="S12" i="7"/>
  <c r="W12" i="7"/>
  <c r="AA12" i="7"/>
  <c r="AE12" i="7"/>
  <c r="AI12" i="7"/>
  <c r="AM12" i="7"/>
  <c r="H12" i="7"/>
  <c r="L12" i="7"/>
  <c r="P12" i="7"/>
  <c r="T12" i="7"/>
  <c r="X12" i="7"/>
  <c r="AB12" i="7"/>
  <c r="AF12" i="7"/>
  <c r="AJ12" i="7"/>
  <c r="AN12" i="7"/>
  <c r="J16" i="7"/>
  <c r="N16" i="7"/>
  <c r="R16" i="7"/>
  <c r="V16" i="7"/>
  <c r="Z16" i="7"/>
  <c r="AD16" i="7"/>
  <c r="AH16" i="7"/>
  <c r="AL16" i="7"/>
  <c r="K16" i="7"/>
  <c r="O16" i="7"/>
  <c r="S16" i="7"/>
  <c r="W16" i="7"/>
  <c r="AA16" i="7"/>
  <c r="AE16" i="7"/>
  <c r="AI16" i="7"/>
  <c r="AM16" i="7"/>
  <c r="H16" i="7"/>
  <c r="L16" i="7"/>
  <c r="P16" i="7"/>
  <c r="T16" i="7"/>
  <c r="X16" i="7"/>
  <c r="AB16" i="7"/>
  <c r="AF16" i="7"/>
  <c r="AJ16" i="7"/>
  <c r="AN16" i="7"/>
  <c r="I16" i="7"/>
  <c r="M16" i="7"/>
  <c r="Q16" i="7"/>
  <c r="U16" i="7"/>
  <c r="Y16" i="7"/>
  <c r="AC16" i="7"/>
  <c r="AG16" i="7"/>
  <c r="AK16" i="7"/>
  <c r="AO16" i="7"/>
  <c r="K9" i="7"/>
  <c r="O9" i="7"/>
  <c r="S9" i="7"/>
  <c r="W9" i="7"/>
  <c r="AA9" i="7"/>
  <c r="AE9" i="7"/>
  <c r="AI9" i="7"/>
  <c r="AM9" i="7"/>
  <c r="H9" i="7"/>
  <c r="L9" i="7"/>
  <c r="P9" i="7"/>
  <c r="T9" i="7"/>
  <c r="X9" i="7"/>
  <c r="AB9" i="7"/>
  <c r="AF9" i="7"/>
  <c r="AJ9" i="7"/>
  <c r="AN9" i="7"/>
  <c r="I9" i="7"/>
  <c r="M9" i="7"/>
  <c r="Q9" i="7"/>
  <c r="U9" i="7"/>
  <c r="Y9" i="7"/>
  <c r="AC9" i="7"/>
  <c r="AG9" i="7"/>
  <c r="AK9" i="7"/>
  <c r="AO9" i="7"/>
  <c r="J9" i="7"/>
  <c r="N9" i="7"/>
  <c r="R9" i="7"/>
  <c r="V9" i="7"/>
  <c r="Z9" i="7"/>
  <c r="AD9" i="7"/>
  <c r="AH9" i="7"/>
  <c r="AL9" i="7"/>
  <c r="H17" i="7"/>
  <c r="L17" i="7"/>
  <c r="P17" i="7"/>
  <c r="T17" i="7"/>
  <c r="X17" i="7"/>
  <c r="AB17" i="7"/>
  <c r="AF17" i="7"/>
  <c r="AJ17" i="7"/>
  <c r="AN17" i="7"/>
  <c r="I17" i="7"/>
  <c r="M17" i="7"/>
  <c r="Q17" i="7"/>
  <c r="U17" i="7"/>
  <c r="Y17" i="7"/>
  <c r="AC17" i="7"/>
  <c r="AG17" i="7"/>
  <c r="AK17" i="7"/>
  <c r="AO17" i="7"/>
  <c r="J17" i="7"/>
  <c r="N17" i="7"/>
  <c r="R17" i="7"/>
  <c r="V17" i="7"/>
  <c r="Z17" i="7"/>
  <c r="AD17" i="7"/>
  <c r="AH17" i="7"/>
  <c r="AL17" i="7"/>
  <c r="K17" i="7"/>
  <c r="O17" i="7"/>
  <c r="S17" i="7"/>
  <c r="W17" i="7"/>
  <c r="AA17" i="7"/>
  <c r="AE17" i="7"/>
  <c r="AI17" i="7"/>
  <c r="AM17" i="7"/>
  <c r="K2" i="7"/>
  <c r="O2" i="7"/>
  <c r="S2" i="7"/>
  <c r="W2" i="7"/>
  <c r="AA2" i="7"/>
  <c r="AE2" i="7"/>
  <c r="AI2" i="7"/>
  <c r="AM2" i="7"/>
  <c r="Y2" i="7"/>
  <c r="AK2" i="7"/>
  <c r="R2" i="7"/>
  <c r="AD2" i="7"/>
  <c r="L2" i="7"/>
  <c r="P2" i="7"/>
  <c r="T2" i="7"/>
  <c r="X2" i="7"/>
  <c r="AB2" i="7"/>
  <c r="AF2" i="7"/>
  <c r="AJ2" i="7"/>
  <c r="AN2" i="7"/>
  <c r="AG2" i="7"/>
  <c r="V2" i="7"/>
  <c r="AL2" i="7"/>
  <c r="I2" i="7"/>
  <c r="M2" i="7"/>
  <c r="Q2" i="7"/>
  <c r="U2" i="7"/>
  <c r="AC2" i="7"/>
  <c r="AO2" i="7"/>
  <c r="Z2" i="7"/>
  <c r="J2" i="7"/>
  <c r="N2" i="7"/>
  <c r="AH2" i="7"/>
  <c r="H2" i="7"/>
  <c r="I6" i="7"/>
  <c r="M6" i="7"/>
  <c r="Q6" i="7"/>
  <c r="U6" i="7"/>
  <c r="Y6" i="7"/>
  <c r="AC6" i="7"/>
  <c r="AG6" i="7"/>
  <c r="AK6" i="7"/>
  <c r="AO6" i="7"/>
  <c r="J6" i="7"/>
  <c r="N6" i="7"/>
  <c r="R6" i="7"/>
  <c r="V6" i="7"/>
  <c r="Z6" i="7"/>
  <c r="AD6" i="7"/>
  <c r="AH6" i="7"/>
  <c r="AL6" i="7"/>
  <c r="K6" i="7"/>
  <c r="O6" i="7"/>
  <c r="S6" i="7"/>
  <c r="W6" i="7"/>
  <c r="AA6" i="7"/>
  <c r="AE6" i="7"/>
  <c r="AI6" i="7"/>
  <c r="AM6" i="7"/>
  <c r="H6" i="7"/>
  <c r="L6" i="7"/>
  <c r="P6" i="7"/>
  <c r="T6" i="7"/>
  <c r="X6" i="7"/>
  <c r="AB6" i="7"/>
  <c r="AF6" i="7"/>
  <c r="AJ6" i="7"/>
  <c r="AN6" i="7"/>
  <c r="I10" i="7"/>
  <c r="M10" i="7"/>
  <c r="Q10" i="7"/>
  <c r="U10" i="7"/>
  <c r="Y10" i="7"/>
  <c r="AC10" i="7"/>
  <c r="AG10" i="7"/>
  <c r="AK10" i="7"/>
  <c r="AO10" i="7"/>
  <c r="J10" i="7"/>
  <c r="N10" i="7"/>
  <c r="R10" i="7"/>
  <c r="V10" i="7"/>
  <c r="Z10" i="7"/>
  <c r="AD10" i="7"/>
  <c r="AH10" i="7"/>
  <c r="AL10" i="7"/>
  <c r="K10" i="7"/>
  <c r="O10" i="7"/>
  <c r="S10" i="7"/>
  <c r="W10" i="7"/>
  <c r="AA10" i="7"/>
  <c r="AE10" i="7"/>
  <c r="AI10" i="7"/>
  <c r="AM10" i="7"/>
  <c r="H10" i="7"/>
  <c r="L10" i="7"/>
  <c r="P10" i="7"/>
  <c r="T10" i="7"/>
  <c r="X10" i="7"/>
  <c r="AB10" i="7"/>
  <c r="AF10" i="7"/>
  <c r="AJ10" i="7"/>
  <c r="AN10" i="7"/>
  <c r="J14" i="7"/>
  <c r="N14" i="7"/>
  <c r="R14" i="7"/>
  <c r="V14" i="7"/>
  <c r="Z14" i="7"/>
  <c r="AD14" i="7"/>
  <c r="AH14" i="7"/>
  <c r="AL14" i="7"/>
  <c r="K14" i="7"/>
  <c r="O14" i="7"/>
  <c r="S14" i="7"/>
  <c r="W14" i="7"/>
  <c r="AA14" i="7"/>
  <c r="AE14" i="7"/>
  <c r="AI14" i="7"/>
  <c r="AM14" i="7"/>
  <c r="H14" i="7"/>
  <c r="L14" i="7"/>
  <c r="P14" i="7"/>
  <c r="T14" i="7"/>
  <c r="X14" i="7"/>
  <c r="AB14" i="7"/>
  <c r="AF14" i="7"/>
  <c r="AJ14" i="7"/>
  <c r="AN14" i="7"/>
  <c r="I14" i="7"/>
  <c r="M14" i="7"/>
  <c r="Q14" i="7"/>
  <c r="U14" i="7"/>
  <c r="Y14" i="7"/>
  <c r="AC14" i="7"/>
  <c r="AG14" i="7"/>
  <c r="AK14" i="7"/>
  <c r="AO14" i="7"/>
  <c r="K5" i="7"/>
  <c r="O5" i="7"/>
  <c r="S5" i="7"/>
  <c r="W5" i="7"/>
  <c r="AA5" i="7"/>
  <c r="AE5" i="7"/>
  <c r="AI5" i="7"/>
  <c r="AM5" i="7"/>
  <c r="H5" i="7"/>
  <c r="L5" i="7"/>
  <c r="P5" i="7"/>
  <c r="T5" i="7"/>
  <c r="X5" i="7"/>
  <c r="AB5" i="7"/>
  <c r="AF5" i="7"/>
  <c r="AJ5" i="7"/>
  <c r="AN5" i="7"/>
  <c r="I5" i="7"/>
  <c r="M5" i="7"/>
  <c r="Q5" i="7"/>
  <c r="U5" i="7"/>
  <c r="Y5" i="7"/>
  <c r="AC5" i="7"/>
  <c r="AG5" i="7"/>
  <c r="AK5" i="7"/>
  <c r="AO5" i="7"/>
  <c r="J5" i="7"/>
  <c r="N5" i="7"/>
  <c r="R5" i="7"/>
  <c r="V5" i="7"/>
  <c r="Z5" i="7"/>
  <c r="AD5" i="7"/>
  <c r="AH5" i="7"/>
  <c r="AL5" i="7"/>
  <c r="K13" i="7"/>
  <c r="H13" i="7"/>
  <c r="L13" i="7"/>
  <c r="J13" i="7"/>
  <c r="P13" i="7"/>
  <c r="T13" i="7"/>
  <c r="X13" i="7"/>
  <c r="AB13" i="7"/>
  <c r="AF13" i="7"/>
  <c r="AJ13" i="7"/>
  <c r="AN13" i="7"/>
  <c r="M13" i="7"/>
  <c r="Q13" i="7"/>
  <c r="U13" i="7"/>
  <c r="Y13" i="7"/>
  <c r="AC13" i="7"/>
  <c r="AG13" i="7"/>
  <c r="AK13" i="7"/>
  <c r="AO13" i="7"/>
  <c r="N13" i="7"/>
  <c r="R13" i="7"/>
  <c r="V13" i="7"/>
  <c r="Z13" i="7"/>
  <c r="AD13" i="7"/>
  <c r="AH13" i="7"/>
  <c r="AL13" i="7"/>
  <c r="I13" i="7"/>
  <c r="O13" i="7"/>
  <c r="S13" i="7"/>
  <c r="W13" i="7"/>
  <c r="AA13" i="7"/>
  <c r="AE13" i="7"/>
  <c r="AI13" i="7"/>
  <c r="AM13" i="7"/>
  <c r="K3" i="7"/>
  <c r="O3" i="7"/>
  <c r="S3" i="7"/>
  <c r="W3" i="7"/>
  <c r="AA3" i="7"/>
  <c r="AE3" i="7"/>
  <c r="AI3" i="7"/>
  <c r="AM3" i="7"/>
  <c r="H3" i="7"/>
  <c r="L3" i="7"/>
  <c r="P3" i="7"/>
  <c r="T3" i="7"/>
  <c r="X3" i="7"/>
  <c r="AB3" i="7"/>
  <c r="AF3" i="7"/>
  <c r="AJ3" i="7"/>
  <c r="AN3" i="7"/>
  <c r="I3" i="7"/>
  <c r="M3" i="7"/>
  <c r="Q3" i="7"/>
  <c r="U3" i="7"/>
  <c r="Y3" i="7"/>
  <c r="AC3" i="7"/>
  <c r="AG3" i="7"/>
  <c r="AK3" i="7"/>
  <c r="AO3" i="7"/>
  <c r="J3" i="7"/>
  <c r="N3" i="7"/>
  <c r="R3" i="7"/>
  <c r="V3" i="7"/>
  <c r="Z3" i="7"/>
  <c r="AD3" i="7"/>
  <c r="AH3" i="7"/>
  <c r="AL3" i="7"/>
  <c r="K7" i="7"/>
  <c r="O7" i="7"/>
  <c r="S7" i="7"/>
  <c r="W7" i="7"/>
  <c r="AA7" i="7"/>
  <c r="AE7" i="7"/>
  <c r="AI7" i="7"/>
  <c r="AM7" i="7"/>
  <c r="H7" i="7"/>
  <c r="L7" i="7"/>
  <c r="P7" i="7"/>
  <c r="T7" i="7"/>
  <c r="X7" i="7"/>
  <c r="AB7" i="7"/>
  <c r="AF7" i="7"/>
  <c r="AJ7" i="7"/>
  <c r="AN7" i="7"/>
  <c r="I7" i="7"/>
  <c r="M7" i="7"/>
  <c r="Q7" i="7"/>
  <c r="U7" i="7"/>
  <c r="Y7" i="7"/>
  <c r="AC7" i="7"/>
  <c r="AG7" i="7"/>
  <c r="AK7" i="7"/>
  <c r="AO7" i="7"/>
  <c r="J7" i="7"/>
  <c r="N7" i="7"/>
  <c r="R7" i="7"/>
  <c r="V7" i="7"/>
  <c r="Z7" i="7"/>
  <c r="AD7" i="7"/>
  <c r="AH7" i="7"/>
  <c r="AL7" i="7"/>
  <c r="K11" i="7"/>
  <c r="O11" i="7"/>
  <c r="S11" i="7"/>
  <c r="W11" i="7"/>
  <c r="AA11" i="7"/>
  <c r="AE11" i="7"/>
  <c r="AI11" i="7"/>
  <c r="AM11" i="7"/>
  <c r="H11" i="7"/>
  <c r="L11" i="7"/>
  <c r="P11" i="7"/>
  <c r="T11" i="7"/>
  <c r="X11" i="7"/>
  <c r="AB11" i="7"/>
  <c r="AF11" i="7"/>
  <c r="AJ11" i="7"/>
  <c r="AN11" i="7"/>
  <c r="I11" i="7"/>
  <c r="M11" i="7"/>
  <c r="Q11" i="7"/>
  <c r="U11" i="7"/>
  <c r="Y11" i="7"/>
  <c r="AC11" i="7"/>
  <c r="AG11" i="7"/>
  <c r="AK11" i="7"/>
  <c r="AO11" i="7"/>
  <c r="J11" i="7"/>
  <c r="N11" i="7"/>
  <c r="R11" i="7"/>
  <c r="V11" i="7"/>
  <c r="Z11" i="7"/>
  <c r="AD11" i="7"/>
  <c r="AH11" i="7"/>
  <c r="AL11" i="7"/>
  <c r="H15" i="7"/>
  <c r="L15" i="7"/>
  <c r="P15" i="7"/>
  <c r="T15" i="7"/>
  <c r="X15" i="7"/>
  <c r="AB15" i="7"/>
  <c r="AF15" i="7"/>
  <c r="AJ15" i="7"/>
  <c r="AN15" i="7"/>
  <c r="I15" i="7"/>
  <c r="M15" i="7"/>
  <c r="Q15" i="7"/>
  <c r="U15" i="7"/>
  <c r="Y15" i="7"/>
  <c r="AC15" i="7"/>
  <c r="AG15" i="7"/>
  <c r="AK15" i="7"/>
  <c r="AO15" i="7"/>
  <c r="J15" i="7"/>
  <c r="N15" i="7"/>
  <c r="R15" i="7"/>
  <c r="V15" i="7"/>
  <c r="Z15" i="7"/>
  <c r="AD15" i="7"/>
  <c r="AH15" i="7"/>
  <c r="AL15" i="7"/>
  <c r="K15" i="7"/>
  <c r="O15" i="7"/>
  <c r="S15" i="7"/>
  <c r="W15" i="7"/>
  <c r="AA15" i="7"/>
  <c r="AE15" i="7"/>
  <c r="AI15" i="7"/>
  <c r="AM15" i="7"/>
  <c r="G13" i="2"/>
  <c r="L13" i="2"/>
  <c r="P13" i="2"/>
  <c r="T13" i="2"/>
  <c r="E13" i="2"/>
  <c r="H13" i="2"/>
  <c r="M13" i="2"/>
  <c r="Q13" i="2"/>
  <c r="U13" i="2"/>
  <c r="C13" i="2"/>
  <c r="I13" i="2"/>
  <c r="R13" i="2"/>
  <c r="D13" i="2"/>
  <c r="V13" i="2"/>
  <c r="F13" i="2"/>
  <c r="K13" i="2"/>
  <c r="J13" i="2"/>
  <c r="S13" i="2"/>
  <c r="N13" i="2"/>
  <c r="O13" i="2"/>
  <c r="E15" i="10"/>
  <c r="I15" i="10"/>
  <c r="M15" i="10"/>
  <c r="Q15" i="10"/>
  <c r="U15" i="10"/>
  <c r="Y15" i="10"/>
  <c r="AC15" i="10"/>
  <c r="AG15" i="10"/>
  <c r="AK15" i="10"/>
  <c r="H15" i="10"/>
  <c r="N15" i="10"/>
  <c r="S15" i="10"/>
  <c r="X15" i="10"/>
  <c r="AD15" i="10"/>
  <c r="AI15" i="10"/>
  <c r="K15" i="10"/>
  <c r="V15" i="10"/>
  <c r="AF15" i="10"/>
  <c r="G15" i="10"/>
  <c r="R15" i="10"/>
  <c r="AB15" i="10"/>
  <c r="D15" i="10"/>
  <c r="J15" i="10"/>
  <c r="O15" i="10"/>
  <c r="T15" i="10"/>
  <c r="Z15" i="10"/>
  <c r="AE15" i="10"/>
  <c r="AJ15" i="10"/>
  <c r="F15" i="10"/>
  <c r="P15" i="10"/>
  <c r="AA15" i="10"/>
  <c r="L15" i="10"/>
  <c r="W15" i="10"/>
  <c r="AH15" i="10"/>
  <c r="G2" i="2"/>
  <c r="K2" i="2"/>
  <c r="O2" i="2"/>
  <c r="S2" i="2"/>
  <c r="E2" i="2"/>
  <c r="H2" i="2"/>
  <c r="L2" i="2"/>
  <c r="P2" i="2"/>
  <c r="T2" i="2"/>
  <c r="I2" i="2"/>
  <c r="Q2" i="2"/>
  <c r="C2" i="2"/>
  <c r="M2" i="2"/>
  <c r="F2" i="2"/>
  <c r="V2" i="2"/>
  <c r="J2" i="2"/>
  <c r="R2" i="2"/>
  <c r="D2" i="2"/>
  <c r="U2" i="2"/>
  <c r="N2" i="2"/>
  <c r="E10" i="2"/>
  <c r="H10" i="2"/>
  <c r="L10" i="2"/>
  <c r="P10" i="2"/>
  <c r="T10" i="2"/>
  <c r="D10" i="2"/>
  <c r="I10" i="2"/>
  <c r="M10" i="2"/>
  <c r="Q10" i="2"/>
  <c r="U10" i="2"/>
  <c r="J10" i="2"/>
  <c r="R10" i="2"/>
  <c r="C10" i="2"/>
  <c r="N10" i="2"/>
  <c r="O10" i="2"/>
  <c r="K10" i="2"/>
  <c r="S10" i="2"/>
  <c r="F10" i="2"/>
  <c r="V10" i="2"/>
  <c r="G10" i="2"/>
  <c r="F6" i="10"/>
  <c r="J6" i="10"/>
  <c r="N6" i="10"/>
  <c r="R6" i="10"/>
  <c r="V6" i="10"/>
  <c r="Z6" i="10"/>
  <c r="AD6" i="10"/>
  <c r="AH6" i="10"/>
  <c r="G6" i="10"/>
  <c r="K6" i="10"/>
  <c r="O6" i="10"/>
  <c r="S6" i="10"/>
  <c r="W6" i="10"/>
  <c r="AA6" i="10"/>
  <c r="AE6" i="10"/>
  <c r="AI6" i="10"/>
  <c r="D6" i="10"/>
  <c r="H6" i="10"/>
  <c r="L6" i="10"/>
  <c r="P6" i="10"/>
  <c r="T6" i="10"/>
  <c r="X6" i="10"/>
  <c r="AB6" i="10"/>
  <c r="AF6" i="10"/>
  <c r="AJ6" i="10"/>
  <c r="Q6" i="10"/>
  <c r="AG6" i="10"/>
  <c r="AC6" i="10"/>
  <c r="E6" i="10"/>
  <c r="U6" i="10"/>
  <c r="AK6" i="10"/>
  <c r="I6" i="10"/>
  <c r="Y6" i="10"/>
  <c r="M6" i="10"/>
  <c r="G14" i="10"/>
  <c r="K14" i="10"/>
  <c r="O14" i="10"/>
  <c r="S14" i="10"/>
  <c r="W14" i="10"/>
  <c r="AA14" i="10"/>
  <c r="AE14" i="10"/>
  <c r="AI14" i="10"/>
  <c r="E14" i="10"/>
  <c r="J14" i="10"/>
  <c r="P14" i="10"/>
  <c r="U14" i="10"/>
  <c r="Z14" i="10"/>
  <c r="AF14" i="10"/>
  <c r="AK14" i="10"/>
  <c r="H14" i="10"/>
  <c r="R14" i="10"/>
  <c r="AC14" i="10"/>
  <c r="I14" i="10"/>
  <c r="T14" i="10"/>
  <c r="AD14" i="10"/>
  <c r="F14" i="10"/>
  <c r="L14" i="10"/>
  <c r="Q14" i="10"/>
  <c r="V14" i="10"/>
  <c r="AB14" i="10"/>
  <c r="AG14" i="10"/>
  <c r="M14" i="10"/>
  <c r="X14" i="10"/>
  <c r="AH14" i="10"/>
  <c r="D14" i="10"/>
  <c r="N14" i="10"/>
  <c r="Y14" i="10"/>
  <c r="AJ14" i="10"/>
  <c r="E17" i="2"/>
  <c r="H17" i="2"/>
  <c r="L17" i="2"/>
  <c r="P17" i="2"/>
  <c r="T17" i="2"/>
  <c r="D17" i="2"/>
  <c r="I17" i="2"/>
  <c r="M17" i="2"/>
  <c r="Q17" i="2"/>
  <c r="U17" i="2"/>
  <c r="C17" i="2"/>
  <c r="F17" i="2"/>
  <c r="N17" i="2"/>
  <c r="V17" i="2"/>
  <c r="J17" i="2"/>
  <c r="K17" i="2"/>
  <c r="S17" i="2"/>
  <c r="G17" i="2"/>
  <c r="O17" i="2"/>
  <c r="R17" i="2"/>
  <c r="F5" i="2"/>
  <c r="J5" i="2"/>
  <c r="N5" i="2"/>
  <c r="R5" i="2"/>
  <c r="V5" i="2"/>
  <c r="G5" i="2"/>
  <c r="K5" i="2"/>
  <c r="O5" i="2"/>
  <c r="S5" i="2"/>
  <c r="C5" i="2"/>
  <c r="H5" i="2"/>
  <c r="P5" i="2"/>
  <c r="L5" i="2"/>
  <c r="M5" i="2"/>
  <c r="I5" i="2"/>
  <c r="Q5" i="2"/>
  <c r="E5" i="2"/>
  <c r="T5" i="2"/>
  <c r="D5" i="2"/>
  <c r="U5" i="2"/>
  <c r="D3" i="10"/>
  <c r="H3" i="10"/>
  <c r="L3" i="10"/>
  <c r="P3" i="10"/>
  <c r="T3" i="10"/>
  <c r="X3" i="10"/>
  <c r="AB3" i="10"/>
  <c r="AF3" i="10"/>
  <c r="AJ3" i="10"/>
  <c r="E3" i="10"/>
  <c r="I3" i="10"/>
  <c r="M3" i="10"/>
  <c r="Q3" i="10"/>
  <c r="U3" i="10"/>
  <c r="Y3" i="10"/>
  <c r="AC3" i="10"/>
  <c r="AG3" i="10"/>
  <c r="AK3" i="10"/>
  <c r="F3" i="10"/>
  <c r="J3" i="10"/>
  <c r="N3" i="10"/>
  <c r="R3" i="10"/>
  <c r="V3" i="10"/>
  <c r="Z3" i="10"/>
  <c r="AD3" i="10"/>
  <c r="AH3" i="10"/>
  <c r="G3" i="10"/>
  <c r="W3" i="10"/>
  <c r="AE3" i="10"/>
  <c r="AI3" i="10"/>
  <c r="K3" i="10"/>
  <c r="AA3" i="10"/>
  <c r="O3" i="10"/>
  <c r="S3" i="10"/>
  <c r="E11" i="10"/>
  <c r="I11" i="10"/>
  <c r="M11" i="10"/>
  <c r="Q11" i="10"/>
  <c r="U11" i="10"/>
  <c r="Y11" i="10"/>
  <c r="AC11" i="10"/>
  <c r="AG11" i="10"/>
  <c r="AK11" i="10"/>
  <c r="F11" i="10"/>
  <c r="K11" i="10"/>
  <c r="P11" i="10"/>
  <c r="V11" i="10"/>
  <c r="AA11" i="10"/>
  <c r="AF11" i="10"/>
  <c r="H11" i="10"/>
  <c r="S11" i="10"/>
  <c r="AD11" i="10"/>
  <c r="D11" i="10"/>
  <c r="O11" i="10"/>
  <c r="Z11" i="10"/>
  <c r="AJ11" i="10"/>
  <c r="G11" i="10"/>
  <c r="L11" i="10"/>
  <c r="R11" i="10"/>
  <c r="W11" i="10"/>
  <c r="AB11" i="10"/>
  <c r="AH11" i="10"/>
  <c r="N11" i="10"/>
  <c r="X11" i="10"/>
  <c r="AI11" i="10"/>
  <c r="J11" i="10"/>
  <c r="T11" i="10"/>
  <c r="AE11" i="10"/>
  <c r="F12" i="2"/>
  <c r="J12" i="2"/>
  <c r="N12" i="2"/>
  <c r="R12" i="2"/>
  <c r="V12" i="2"/>
  <c r="C12" i="2"/>
  <c r="G12" i="2"/>
  <c r="K12" i="2"/>
  <c r="O12" i="2"/>
  <c r="S12" i="2"/>
  <c r="E12" i="2"/>
  <c r="L12" i="2"/>
  <c r="T12" i="2"/>
  <c r="H12" i="2"/>
  <c r="I12" i="2"/>
  <c r="D12" i="2"/>
  <c r="M12" i="2"/>
  <c r="U12" i="2"/>
  <c r="P12" i="2"/>
  <c r="Q12" i="2"/>
  <c r="D4" i="2"/>
  <c r="I4" i="2"/>
  <c r="M4" i="2"/>
  <c r="Q4" i="2"/>
  <c r="U4" i="2"/>
  <c r="C4" i="2"/>
  <c r="F4" i="2"/>
  <c r="J4" i="2"/>
  <c r="N4" i="2"/>
  <c r="R4" i="2"/>
  <c r="V4" i="2"/>
  <c r="K4" i="2"/>
  <c r="S4" i="2"/>
  <c r="O4" i="2"/>
  <c r="P4" i="2"/>
  <c r="E4" i="2"/>
  <c r="L4" i="2"/>
  <c r="T4" i="2"/>
  <c r="G4" i="2"/>
  <c r="H4" i="2"/>
  <c r="F4" i="10"/>
  <c r="J4" i="10"/>
  <c r="N4" i="10"/>
  <c r="R4" i="10"/>
  <c r="V4" i="10"/>
  <c r="Z4" i="10"/>
  <c r="AD4" i="10"/>
  <c r="AH4" i="10"/>
  <c r="G4" i="10"/>
  <c r="K4" i="10"/>
  <c r="O4" i="10"/>
  <c r="S4" i="10"/>
  <c r="W4" i="10"/>
  <c r="AA4" i="10"/>
  <c r="AE4" i="10"/>
  <c r="AI4" i="10"/>
  <c r="D4" i="10"/>
  <c r="H4" i="10"/>
  <c r="L4" i="10"/>
  <c r="P4" i="10"/>
  <c r="T4" i="10"/>
  <c r="X4" i="10"/>
  <c r="AB4" i="10"/>
  <c r="AF4" i="10"/>
  <c r="AJ4" i="10"/>
  <c r="E4" i="10"/>
  <c r="U4" i="10"/>
  <c r="AK4" i="10"/>
  <c r="AC4" i="10"/>
  <c r="Q4" i="10"/>
  <c r="I4" i="10"/>
  <c r="Y4" i="10"/>
  <c r="M4" i="10"/>
  <c r="AG4" i="10"/>
  <c r="F8" i="10"/>
  <c r="J8" i="10"/>
  <c r="N8" i="10"/>
  <c r="R8" i="10"/>
  <c r="V8" i="10"/>
  <c r="Z8" i="10"/>
  <c r="AD8" i="10"/>
  <c r="AH8" i="10"/>
  <c r="G8" i="10"/>
  <c r="K8" i="10"/>
  <c r="O8" i="10"/>
  <c r="S8" i="10"/>
  <c r="W8" i="10"/>
  <c r="AA8" i="10"/>
  <c r="AE8" i="10"/>
  <c r="AI8" i="10"/>
  <c r="H8" i="10"/>
  <c r="P8" i="10"/>
  <c r="X8" i="10"/>
  <c r="AF8" i="10"/>
  <c r="D8" i="10"/>
  <c r="L8" i="10"/>
  <c r="AJ8" i="10"/>
  <c r="M8" i="10"/>
  <c r="AC8" i="10"/>
  <c r="I8" i="10"/>
  <c r="Q8" i="10"/>
  <c r="Y8" i="10"/>
  <c r="AG8" i="10"/>
  <c r="T8" i="10"/>
  <c r="AB8" i="10"/>
  <c r="E8" i="10"/>
  <c r="U8" i="10"/>
  <c r="AK8" i="10"/>
  <c r="G12" i="10"/>
  <c r="K12" i="10"/>
  <c r="O12" i="10"/>
  <c r="S12" i="10"/>
  <c r="W12" i="10"/>
  <c r="AA12" i="10"/>
  <c r="AE12" i="10"/>
  <c r="AI12" i="10"/>
  <c r="D12" i="10"/>
  <c r="I12" i="10"/>
  <c r="N12" i="10"/>
  <c r="T12" i="10"/>
  <c r="Y12" i="10"/>
  <c r="AD12" i="10"/>
  <c r="AJ12" i="10"/>
  <c r="F12" i="10"/>
  <c r="Q12" i="10"/>
  <c r="AB12" i="10"/>
  <c r="AG12" i="10"/>
  <c r="M12" i="10"/>
  <c r="X12" i="10"/>
  <c r="AH12" i="10"/>
  <c r="E12" i="10"/>
  <c r="J12" i="10"/>
  <c r="P12" i="10"/>
  <c r="U12" i="10"/>
  <c r="Z12" i="10"/>
  <c r="AF12" i="10"/>
  <c r="AK12" i="10"/>
  <c r="L12" i="10"/>
  <c r="V12" i="10"/>
  <c r="H12" i="10"/>
  <c r="R12" i="10"/>
  <c r="AC12" i="10"/>
  <c r="G16" i="10"/>
  <c r="K16" i="10"/>
  <c r="O16" i="10"/>
  <c r="S16" i="10"/>
  <c r="W16" i="10"/>
  <c r="AA16" i="10"/>
  <c r="AE16" i="10"/>
  <c r="AI16" i="10"/>
  <c r="F16" i="10"/>
  <c r="L16" i="10"/>
  <c r="Q16" i="10"/>
  <c r="V16" i="10"/>
  <c r="AB16" i="10"/>
  <c r="AG16" i="10"/>
  <c r="I16" i="10"/>
  <c r="T16" i="10"/>
  <c r="AD16" i="10"/>
  <c r="E16" i="10"/>
  <c r="P16" i="10"/>
  <c r="Z16" i="10"/>
  <c r="AK16" i="10"/>
  <c r="H16" i="10"/>
  <c r="M16" i="10"/>
  <c r="R16" i="10"/>
  <c r="X16" i="10"/>
  <c r="AC16" i="10"/>
  <c r="AH16" i="10"/>
  <c r="D16" i="10"/>
  <c r="N16" i="10"/>
  <c r="Y16" i="10"/>
  <c r="AJ16" i="10"/>
  <c r="J16" i="10"/>
  <c r="U16" i="10"/>
  <c r="AF16" i="10"/>
  <c r="D14" i="2"/>
  <c r="I14" i="2"/>
  <c r="M14" i="2"/>
  <c r="Q14" i="2"/>
  <c r="U14" i="2"/>
  <c r="F14" i="2"/>
  <c r="J14" i="2"/>
  <c r="N14" i="2"/>
  <c r="R14" i="2"/>
  <c r="V14" i="2"/>
  <c r="G14" i="2"/>
  <c r="O14" i="2"/>
  <c r="S14" i="2"/>
  <c r="E14" i="2"/>
  <c r="T14" i="2"/>
  <c r="H14" i="2"/>
  <c r="P14" i="2"/>
  <c r="K14" i="2"/>
  <c r="C14" i="2"/>
  <c r="L14" i="2"/>
  <c r="I6" i="2"/>
  <c r="G6" i="2"/>
  <c r="L6" i="2"/>
  <c r="P6" i="2"/>
  <c r="T6" i="2"/>
  <c r="E6" i="2"/>
  <c r="H6" i="2"/>
  <c r="M6" i="2"/>
  <c r="Q6" i="2"/>
  <c r="U6" i="2"/>
  <c r="D6" i="2"/>
  <c r="N6" i="2"/>
  <c r="V6" i="2"/>
  <c r="J6" i="2"/>
  <c r="C6" i="2"/>
  <c r="K6" i="2"/>
  <c r="F6" i="2"/>
  <c r="O6" i="2"/>
  <c r="R6" i="2"/>
  <c r="S6" i="2"/>
  <c r="H2" i="10"/>
  <c r="L2" i="10"/>
  <c r="P2" i="10"/>
  <c r="T2" i="10"/>
  <c r="X2" i="10"/>
  <c r="AB2" i="10"/>
  <c r="AF2" i="10"/>
  <c r="AJ2" i="10"/>
  <c r="I2" i="10"/>
  <c r="N2" i="10"/>
  <c r="S2" i="10"/>
  <c r="Y2" i="10"/>
  <c r="AD2" i="10"/>
  <c r="AI2" i="10"/>
  <c r="E2" i="10"/>
  <c r="O2" i="10"/>
  <c r="Z2" i="10"/>
  <c r="AK2" i="10"/>
  <c r="F2" i="10"/>
  <c r="Q2" i="10"/>
  <c r="AA2" i="10"/>
  <c r="M2" i="10"/>
  <c r="W2" i="10"/>
  <c r="AH2" i="10"/>
  <c r="J2" i="10"/>
  <c r="U2" i="10"/>
  <c r="AE2" i="10"/>
  <c r="K2" i="10"/>
  <c r="V2" i="10"/>
  <c r="AG2" i="10"/>
  <c r="G2" i="10"/>
  <c r="R2" i="10"/>
  <c r="AC2" i="10"/>
  <c r="F10" i="10"/>
  <c r="J10" i="10"/>
  <c r="N10" i="10"/>
  <c r="R10" i="10"/>
  <c r="V10" i="10"/>
  <c r="Z10" i="10"/>
  <c r="AD10" i="10"/>
  <c r="G10" i="10"/>
  <c r="K10" i="10"/>
  <c r="O10" i="10"/>
  <c r="S10" i="10"/>
  <c r="W10" i="10"/>
  <c r="AA10" i="10"/>
  <c r="AE10" i="10"/>
  <c r="AI10" i="10"/>
  <c r="D10" i="10"/>
  <c r="L10" i="10"/>
  <c r="T10" i="10"/>
  <c r="AB10" i="10"/>
  <c r="AH10" i="10"/>
  <c r="H10" i="10"/>
  <c r="AF10" i="10"/>
  <c r="I10" i="10"/>
  <c r="Y10" i="10"/>
  <c r="E10" i="10"/>
  <c r="M10" i="10"/>
  <c r="U10" i="10"/>
  <c r="AC10" i="10"/>
  <c r="AJ10" i="10"/>
  <c r="P10" i="10"/>
  <c r="X10" i="10"/>
  <c r="AK10" i="10"/>
  <c r="Q10" i="10"/>
  <c r="AG10" i="10"/>
  <c r="G9" i="2"/>
  <c r="K9" i="2"/>
  <c r="O9" i="2"/>
  <c r="S9" i="2"/>
  <c r="E9" i="2"/>
  <c r="H9" i="2"/>
  <c r="L9" i="2"/>
  <c r="P9" i="2"/>
  <c r="T9" i="2"/>
  <c r="C9" i="2"/>
  <c r="D9" i="2"/>
  <c r="M9" i="2"/>
  <c r="U9" i="2"/>
  <c r="Q9" i="2"/>
  <c r="R9" i="2"/>
  <c r="F9" i="2"/>
  <c r="N9" i="2"/>
  <c r="V9" i="2"/>
  <c r="I9" i="2"/>
  <c r="J9" i="2"/>
  <c r="D7" i="10"/>
  <c r="H7" i="10"/>
  <c r="L7" i="10"/>
  <c r="P7" i="10"/>
  <c r="T7" i="10"/>
  <c r="X7" i="10"/>
  <c r="AB7" i="10"/>
  <c r="AF7" i="10"/>
  <c r="AJ7" i="10"/>
  <c r="E7" i="10"/>
  <c r="I7" i="10"/>
  <c r="M7" i="10"/>
  <c r="Q7" i="10"/>
  <c r="U7" i="10"/>
  <c r="Y7" i="10"/>
  <c r="AC7" i="10"/>
  <c r="AG7" i="10"/>
  <c r="AK7" i="10"/>
  <c r="J7" i="10"/>
  <c r="R7" i="10"/>
  <c r="Z7" i="10"/>
  <c r="AH7" i="10"/>
  <c r="F7" i="10"/>
  <c r="V7" i="10"/>
  <c r="O7" i="10"/>
  <c r="AE7" i="10"/>
  <c r="K7" i="10"/>
  <c r="S7" i="10"/>
  <c r="AA7" i="10"/>
  <c r="AI7" i="10"/>
  <c r="N7" i="10"/>
  <c r="AD7" i="10"/>
  <c r="G7" i="10"/>
  <c r="W7" i="10"/>
  <c r="G16" i="2"/>
  <c r="K16" i="2"/>
  <c r="O16" i="2"/>
  <c r="S16" i="2"/>
  <c r="C16" i="2"/>
  <c r="E16" i="2"/>
  <c r="H16" i="2"/>
  <c r="L16" i="2"/>
  <c r="P16" i="2"/>
  <c r="T16" i="2"/>
  <c r="I16" i="2"/>
  <c r="Q16" i="2"/>
  <c r="M16" i="2"/>
  <c r="N16" i="2"/>
  <c r="J16" i="2"/>
  <c r="R16" i="2"/>
  <c r="D16" i="2"/>
  <c r="U16" i="2"/>
  <c r="F16" i="2"/>
  <c r="V16" i="2"/>
  <c r="F8" i="2"/>
  <c r="J8" i="2"/>
  <c r="N8" i="2"/>
  <c r="R8" i="2"/>
  <c r="V8" i="2"/>
  <c r="C8" i="2"/>
  <c r="G8" i="2"/>
  <c r="K8" i="2"/>
  <c r="O8" i="2"/>
  <c r="S8" i="2"/>
  <c r="H8" i="2"/>
  <c r="P8" i="2"/>
  <c r="E8" i="2"/>
  <c r="T8" i="2"/>
  <c r="D8" i="2"/>
  <c r="U8" i="2"/>
  <c r="I8" i="2"/>
  <c r="Q8" i="2"/>
  <c r="L8" i="2"/>
  <c r="M8" i="2"/>
  <c r="F15" i="2"/>
  <c r="J15" i="2"/>
  <c r="N15" i="2"/>
  <c r="R15" i="2"/>
  <c r="V15" i="2"/>
  <c r="G15" i="2"/>
  <c r="K15" i="2"/>
  <c r="O15" i="2"/>
  <c r="S15" i="2"/>
  <c r="E15" i="2"/>
  <c r="L15" i="2"/>
  <c r="T15" i="2"/>
  <c r="P15" i="2"/>
  <c r="Q15" i="2"/>
  <c r="C15" i="2"/>
  <c r="D15" i="2"/>
  <c r="M15" i="2"/>
  <c r="U15" i="2"/>
  <c r="H15" i="2"/>
  <c r="I15" i="2"/>
  <c r="D11" i="2"/>
  <c r="I11" i="2"/>
  <c r="M11" i="2"/>
  <c r="Q11" i="2"/>
  <c r="U11" i="2"/>
  <c r="F11" i="2"/>
  <c r="J11" i="2"/>
  <c r="N11" i="2"/>
  <c r="R11" i="2"/>
  <c r="V11" i="2"/>
  <c r="G11" i="2"/>
  <c r="O11" i="2"/>
  <c r="K11" i="2"/>
  <c r="L11" i="2"/>
  <c r="H11" i="2"/>
  <c r="P11" i="2"/>
  <c r="C11" i="2"/>
  <c r="S11" i="2"/>
  <c r="E11" i="2"/>
  <c r="T11" i="2"/>
  <c r="D7" i="2"/>
  <c r="I7" i="2"/>
  <c r="M7" i="2"/>
  <c r="Q7" i="2"/>
  <c r="U7" i="2"/>
  <c r="F7" i="2"/>
  <c r="J7" i="2"/>
  <c r="N7" i="2"/>
  <c r="R7" i="2"/>
  <c r="V7" i="2"/>
  <c r="K7" i="2"/>
  <c r="S7" i="2"/>
  <c r="G7" i="2"/>
  <c r="H7" i="2"/>
  <c r="E7" i="2"/>
  <c r="L7" i="2"/>
  <c r="T7" i="2"/>
  <c r="O7" i="2"/>
  <c r="P7" i="2"/>
  <c r="C7" i="2"/>
  <c r="E3" i="2"/>
  <c r="H3" i="2"/>
  <c r="L3" i="2"/>
  <c r="P3" i="2"/>
  <c r="T3" i="2"/>
  <c r="D3" i="2"/>
  <c r="I3" i="2"/>
  <c r="M3" i="2"/>
  <c r="Q3" i="2"/>
  <c r="U3" i="2"/>
  <c r="F3" i="2"/>
  <c r="N3" i="2"/>
  <c r="V3" i="2"/>
  <c r="J3" i="2"/>
  <c r="R3" i="2"/>
  <c r="S3" i="2"/>
  <c r="G3" i="2"/>
  <c r="O3" i="2"/>
  <c r="C3" i="2"/>
  <c r="K3" i="2"/>
  <c r="D5" i="10"/>
  <c r="H5" i="10"/>
  <c r="L5" i="10"/>
  <c r="P5" i="10"/>
  <c r="T5" i="10"/>
  <c r="X5" i="10"/>
  <c r="AB5" i="10"/>
  <c r="AF5" i="10"/>
  <c r="AJ5" i="10"/>
  <c r="E5" i="10"/>
  <c r="I5" i="10"/>
  <c r="M5" i="10"/>
  <c r="Q5" i="10"/>
  <c r="U5" i="10"/>
  <c r="Y5" i="10"/>
  <c r="AC5" i="10"/>
  <c r="AG5" i="10"/>
  <c r="AK5" i="10"/>
  <c r="F5" i="10"/>
  <c r="J5" i="10"/>
  <c r="N5" i="10"/>
  <c r="R5" i="10"/>
  <c r="V5" i="10"/>
  <c r="Z5" i="10"/>
  <c r="AD5" i="10"/>
  <c r="AH5" i="10"/>
  <c r="S5" i="10"/>
  <c r="AI5" i="10"/>
  <c r="AA5" i="10"/>
  <c r="O5" i="10"/>
  <c r="G5" i="10"/>
  <c r="W5" i="10"/>
  <c r="K5" i="10"/>
  <c r="AE5" i="10"/>
  <c r="D9" i="10"/>
  <c r="H9" i="10"/>
  <c r="L9" i="10"/>
  <c r="P9" i="10"/>
  <c r="T9" i="10"/>
  <c r="X9" i="10"/>
  <c r="AB9" i="10"/>
  <c r="AF9" i="10"/>
  <c r="AJ9" i="10"/>
  <c r="E9" i="10"/>
  <c r="I9" i="10"/>
  <c r="M9" i="10"/>
  <c r="Q9" i="10"/>
  <c r="U9" i="10"/>
  <c r="Y9" i="10"/>
  <c r="AC9" i="10"/>
  <c r="AG9" i="10"/>
  <c r="AK9" i="10"/>
  <c r="F9" i="10"/>
  <c r="N9" i="10"/>
  <c r="V9" i="10"/>
  <c r="AD9" i="10"/>
  <c r="J9" i="10"/>
  <c r="Z9" i="10"/>
  <c r="K9" i="10"/>
  <c r="AA9" i="10"/>
  <c r="G9" i="10"/>
  <c r="O9" i="10"/>
  <c r="W9" i="10"/>
  <c r="AE9" i="10"/>
  <c r="R9" i="10"/>
  <c r="AH9" i="10"/>
  <c r="S9" i="10"/>
  <c r="AI9" i="10"/>
  <c r="E13" i="10"/>
  <c r="I13" i="10"/>
  <c r="M13" i="10"/>
  <c r="Q13" i="10"/>
  <c r="U13" i="10"/>
  <c r="Y13" i="10"/>
  <c r="AC13" i="10"/>
  <c r="AG13" i="10"/>
  <c r="AK13" i="10"/>
  <c r="G13" i="10"/>
  <c r="L13" i="10"/>
  <c r="R13" i="10"/>
  <c r="W13" i="10"/>
  <c r="AB13" i="10"/>
  <c r="AH13" i="10"/>
  <c r="J13" i="10"/>
  <c r="T13" i="10"/>
  <c r="AE13" i="10"/>
  <c r="K13" i="10"/>
  <c r="V13" i="10"/>
  <c r="AF13" i="10"/>
  <c r="H13" i="10"/>
  <c r="N13" i="10"/>
  <c r="S13" i="10"/>
  <c r="X13" i="10"/>
  <c r="AD13" i="10"/>
  <c r="AI13" i="10"/>
  <c r="D13" i="10"/>
  <c r="O13" i="10"/>
  <c r="Z13" i="10"/>
  <c r="AJ13" i="10"/>
  <c r="F13" i="10"/>
  <c r="P13" i="10"/>
  <c r="AA13" i="10"/>
  <c r="E17" i="10"/>
  <c r="I17" i="10"/>
  <c r="M17" i="10"/>
  <c r="Q17" i="10"/>
  <c r="U17" i="10"/>
  <c r="Y17" i="10"/>
  <c r="AC17" i="10"/>
  <c r="AG17" i="10"/>
  <c r="AK17" i="10"/>
  <c r="D17" i="10"/>
  <c r="J17" i="10"/>
  <c r="O17" i="10"/>
  <c r="T17" i="10"/>
  <c r="Z17" i="10"/>
  <c r="AE17" i="10"/>
  <c r="AJ17" i="10"/>
  <c r="AA17" i="10"/>
  <c r="G17" i="10"/>
  <c r="R17" i="10"/>
  <c r="AB17" i="10"/>
  <c r="N17" i="10"/>
  <c r="X17" i="10"/>
  <c r="AI17" i="10"/>
  <c r="F17" i="10"/>
  <c r="K17" i="10"/>
  <c r="P17" i="10"/>
  <c r="V17" i="10"/>
  <c r="AF17" i="10"/>
  <c r="L17" i="10"/>
  <c r="W17" i="10"/>
  <c r="AH17" i="10"/>
  <c r="H17" i="10"/>
  <c r="S17" i="10"/>
  <c r="AD17" i="10"/>
  <c r="A73" i="6"/>
  <c r="A69" i="6"/>
  <c r="A72" i="6" s="1"/>
  <c r="C17" i="3"/>
  <c r="C72" i="3"/>
  <c r="C32" i="3"/>
  <c r="C68" i="4"/>
  <c r="C8" i="4"/>
  <c r="C42" i="3"/>
  <c r="C3" i="4"/>
  <c r="C28" i="4"/>
  <c r="C78" i="3"/>
  <c r="C57" i="3"/>
  <c r="C58" i="4"/>
  <c r="C38" i="4"/>
  <c r="C18" i="3"/>
  <c r="C73" i="3"/>
  <c r="C33" i="4"/>
  <c r="C13" i="4"/>
  <c r="C48" i="3"/>
  <c r="C8" i="3"/>
  <c r="C23" i="4"/>
  <c r="C23" i="3"/>
  <c r="C78" i="4"/>
  <c r="C38" i="3"/>
  <c r="C73" i="4"/>
  <c r="C52" i="3"/>
  <c r="C53" i="4"/>
  <c r="C33" i="3"/>
  <c r="C12" i="3"/>
  <c r="C62" i="3"/>
  <c r="C63" i="4"/>
  <c r="C63" i="3"/>
  <c r="C43" i="4"/>
  <c r="C43" i="3"/>
  <c r="C3" i="3"/>
  <c r="C28" i="3"/>
  <c r="C77" i="3"/>
  <c r="C58" i="3"/>
  <c r="C37" i="3"/>
  <c r="C18" i="4"/>
  <c r="C53" i="3"/>
  <c r="C13" i="3"/>
  <c r="C48" i="4"/>
  <c r="C68" i="3"/>
  <c r="C22" i="3"/>
  <c r="J22" i="7"/>
  <c r="R6" i="1" s="1"/>
  <c r="E16" i="7"/>
  <c r="A79" i="6" l="1"/>
  <c r="A75" i="6"/>
  <c r="A78" i="6" s="1"/>
  <c r="A85" i="6" l="1"/>
  <c r="A81" i="6"/>
  <c r="A84" i="6" s="1"/>
  <c r="C16" i="7"/>
  <c r="A91" i="6" l="1"/>
  <c r="A87" i="6"/>
  <c r="A90" i="6" s="1"/>
  <c r="K2" i="13"/>
  <c r="A97" i="6" l="1"/>
  <c r="A93" i="6"/>
  <c r="A96" i="6" s="1"/>
  <c r="C9" i="5"/>
  <c r="C12" i="5"/>
  <c r="C15" i="5"/>
  <c r="C18" i="5"/>
  <c r="C21" i="5"/>
  <c r="C24" i="5"/>
  <c r="C27" i="5"/>
  <c r="C30" i="5"/>
  <c r="C33" i="5"/>
  <c r="C36" i="5"/>
  <c r="C39" i="5"/>
  <c r="C42" i="5"/>
  <c r="C45" i="5"/>
  <c r="C48" i="5"/>
  <c r="C51" i="5"/>
  <c r="C54" i="5"/>
  <c r="C57" i="5"/>
  <c r="C60" i="5"/>
  <c r="C63" i="5"/>
  <c r="C66" i="5"/>
  <c r="C69" i="5"/>
  <c r="C72" i="5"/>
  <c r="C75" i="5"/>
  <c r="C78" i="5"/>
  <c r="C81" i="5"/>
  <c r="C84" i="5"/>
  <c r="C87" i="5"/>
  <c r="C90" i="5"/>
  <c r="C93" i="5"/>
  <c r="C96" i="5"/>
  <c r="X3" i="1" l="1"/>
  <c r="X36" i="1"/>
  <c r="X35" i="1"/>
  <c r="X24" i="1"/>
  <c r="X7" i="1"/>
  <c r="X32" i="1"/>
  <c r="X42" i="1"/>
  <c r="X9" i="1"/>
  <c r="X44" i="1"/>
  <c r="X33" i="1"/>
  <c r="X12" i="1"/>
  <c r="X4" i="1"/>
  <c r="X40" i="1"/>
  <c r="X25" i="1"/>
  <c r="X34" i="1"/>
  <c r="X37" i="1"/>
  <c r="X16" i="1"/>
  <c r="X17" i="1"/>
  <c r="X5" i="1"/>
  <c r="X15" i="1"/>
  <c r="X20" i="1"/>
  <c r="X21" i="1"/>
  <c r="X29" i="1"/>
  <c r="X8" i="1"/>
  <c r="X13" i="1"/>
  <c r="X43" i="1"/>
  <c r="X23" i="1"/>
  <c r="X39" i="1"/>
  <c r="X38" i="1"/>
  <c r="X27" i="1"/>
  <c r="X26" i="1"/>
  <c r="X45" i="1"/>
  <c r="X2" i="1"/>
  <c r="Q2" i="1" l="1"/>
  <c r="I2" i="1"/>
  <c r="P2" i="1"/>
  <c r="P3" i="1"/>
  <c r="I3" i="1"/>
  <c r="Q3" i="1"/>
  <c r="I45" i="1"/>
  <c r="Q45" i="1"/>
  <c r="P45" i="1"/>
  <c r="I39" i="1"/>
  <c r="I8" i="1"/>
  <c r="Q8" i="1"/>
  <c r="P8" i="1"/>
  <c r="I15" i="1"/>
  <c r="I37" i="1"/>
  <c r="I4" i="1"/>
  <c r="Q4" i="1"/>
  <c r="Q9" i="1"/>
  <c r="I9" i="1"/>
  <c r="P9" i="1"/>
  <c r="I24" i="1"/>
  <c r="Q24" i="1"/>
  <c r="I23" i="1"/>
  <c r="Q23" i="1"/>
  <c r="I29" i="1"/>
  <c r="Q29" i="1"/>
  <c r="I5" i="1"/>
  <c r="Q5" i="1"/>
  <c r="I34" i="1"/>
  <c r="Q34" i="1"/>
  <c r="I12" i="1"/>
  <c r="Q12" i="1"/>
  <c r="P12" i="1"/>
  <c r="Q42" i="1"/>
  <c r="P42" i="1"/>
  <c r="I42" i="1"/>
  <c r="I35" i="1"/>
  <c r="I27" i="1"/>
  <c r="Q27" i="1"/>
  <c r="I21" i="1"/>
  <c r="Q21" i="1"/>
  <c r="I17" i="1"/>
  <c r="I25" i="1"/>
  <c r="Q25" i="1"/>
  <c r="I33" i="1"/>
  <c r="Q33" i="1"/>
  <c r="I32" i="1"/>
  <c r="Q32" i="1"/>
  <c r="I36" i="1"/>
  <c r="Q26" i="1"/>
  <c r="I26" i="1"/>
  <c r="P43" i="1"/>
  <c r="I43" i="1"/>
  <c r="Q43" i="1"/>
  <c r="P38" i="1"/>
  <c r="I38" i="1"/>
  <c r="Q38" i="1"/>
  <c r="I13" i="1"/>
  <c r="I20" i="1"/>
  <c r="Q20" i="1"/>
  <c r="Q16" i="1"/>
  <c r="I16" i="1"/>
  <c r="I40" i="1"/>
  <c r="Q40" i="1"/>
  <c r="P40" i="1"/>
  <c r="I44" i="1"/>
  <c r="Q44" i="1"/>
  <c r="P44" i="1"/>
  <c r="I7" i="1"/>
  <c r="Q7" i="1"/>
  <c r="AQ1" i="11"/>
  <c r="AQ180" i="11" s="1"/>
  <c r="AO1" i="11"/>
  <c r="AO179" i="11" s="1"/>
  <c r="AP1" i="11"/>
  <c r="AP2" i="11" s="1"/>
  <c r="AM1" i="11"/>
  <c r="AM2" i="11" s="1"/>
  <c r="AL1" i="11"/>
  <c r="AL2" i="11" s="1"/>
  <c r="BC82" i="3"/>
  <c r="BC51" i="3" s="1"/>
  <c r="AN1" i="11"/>
  <c r="AN2" i="11" s="1"/>
  <c r="M3" i="1"/>
  <c r="AJ1" i="11"/>
  <c r="AJ2" i="11" s="1"/>
  <c r="AK1" i="11"/>
  <c r="AK2" i="11" s="1"/>
  <c r="H83" i="4"/>
  <c r="H82" i="4"/>
  <c r="M2" i="1"/>
  <c r="N2" i="1"/>
  <c r="G82" i="4"/>
  <c r="J82" i="4"/>
  <c r="N82" i="4"/>
  <c r="R82" i="4"/>
  <c r="V82" i="4"/>
  <c r="Z82" i="4"/>
  <c r="AD82" i="4"/>
  <c r="AG82" i="4"/>
  <c r="AK82" i="4"/>
  <c r="AO82" i="4"/>
  <c r="AS82" i="4"/>
  <c r="AW82" i="4"/>
  <c r="BA82" i="4"/>
  <c r="G83" i="4"/>
  <c r="J83" i="4"/>
  <c r="N83" i="4"/>
  <c r="R83" i="4"/>
  <c r="V83" i="4"/>
  <c r="Z83" i="4"/>
  <c r="AD83" i="4"/>
  <c r="AG83" i="4"/>
  <c r="AK83" i="4"/>
  <c r="AO83" i="4"/>
  <c r="AS83" i="4"/>
  <c r="AW83" i="4"/>
  <c r="BA83" i="4"/>
  <c r="E83" i="4"/>
  <c r="W82" i="3"/>
  <c r="H82" i="3"/>
  <c r="P82" i="3"/>
  <c r="X82" i="3"/>
  <c r="Z82" i="3"/>
  <c r="AA82" i="3"/>
  <c r="AE82" i="3"/>
  <c r="AI82" i="3"/>
  <c r="AM82" i="3"/>
  <c r="AQ82" i="3"/>
  <c r="AU82" i="3"/>
  <c r="AY82" i="3"/>
  <c r="BD82" i="4"/>
  <c r="Q83" i="4"/>
  <c r="AC83" i="4"/>
  <c r="AN83" i="4"/>
  <c r="BD83" i="4"/>
  <c r="N82" i="3"/>
  <c r="AD82" i="3"/>
  <c r="AP82" i="3"/>
  <c r="BB82" i="3"/>
  <c r="D82" i="4"/>
  <c r="K82" i="4"/>
  <c r="O82" i="4"/>
  <c r="S82" i="4"/>
  <c r="W82" i="4"/>
  <c r="AA82" i="4"/>
  <c r="AE82" i="4"/>
  <c r="AH82" i="4"/>
  <c r="AL82" i="4"/>
  <c r="AP82" i="4"/>
  <c r="AT82" i="4"/>
  <c r="AX82" i="4"/>
  <c r="BB82" i="4"/>
  <c r="D83" i="4"/>
  <c r="K83" i="4"/>
  <c r="O83" i="4"/>
  <c r="S83" i="4"/>
  <c r="W83" i="4"/>
  <c r="AA83" i="4"/>
  <c r="AE83" i="4"/>
  <c r="AH83" i="4"/>
  <c r="AL83" i="4"/>
  <c r="AP83" i="4"/>
  <c r="AT83" i="4"/>
  <c r="AX83" i="4"/>
  <c r="BB83" i="4"/>
  <c r="E82" i="4"/>
  <c r="G82" i="3"/>
  <c r="I82" i="3"/>
  <c r="S82" i="3"/>
  <c r="F82" i="3"/>
  <c r="V82" i="3"/>
  <c r="AB82" i="3"/>
  <c r="AF82" i="3"/>
  <c r="AJ82" i="3"/>
  <c r="AN82" i="3"/>
  <c r="AR82" i="3"/>
  <c r="AV82" i="3"/>
  <c r="AZ82" i="3"/>
  <c r="BD82" i="3"/>
  <c r="AZ82" i="4"/>
  <c r="U83" i="4"/>
  <c r="AF83" i="4"/>
  <c r="AR83" i="4"/>
  <c r="L82" i="3"/>
  <c r="K82" i="3"/>
  <c r="T82" i="3"/>
  <c r="AT82" i="3"/>
  <c r="F82" i="4"/>
  <c r="L82" i="4"/>
  <c r="P82" i="4"/>
  <c r="T82" i="4"/>
  <c r="X82" i="4"/>
  <c r="AB82" i="4"/>
  <c r="AI82" i="4"/>
  <c r="AM82" i="4"/>
  <c r="AQ82" i="4"/>
  <c r="AU82" i="4"/>
  <c r="AY82" i="4"/>
  <c r="BC82" i="4"/>
  <c r="F83" i="4"/>
  <c r="L83" i="4"/>
  <c r="P83" i="4"/>
  <c r="T83" i="4"/>
  <c r="X83" i="4"/>
  <c r="AB83" i="4"/>
  <c r="AI83" i="4"/>
  <c r="AM83" i="4"/>
  <c r="AQ83" i="4"/>
  <c r="AU83" i="4"/>
  <c r="AY83" i="4"/>
  <c r="BC83" i="4"/>
  <c r="D82" i="3"/>
  <c r="O82" i="3"/>
  <c r="M82" i="3"/>
  <c r="Y82" i="3"/>
  <c r="J82" i="3"/>
  <c r="R82" i="3"/>
  <c r="AC82" i="3"/>
  <c r="AG82" i="3"/>
  <c r="AK82" i="3"/>
  <c r="AO82" i="3"/>
  <c r="AS82" i="3"/>
  <c r="AW82" i="3"/>
  <c r="BA82" i="3"/>
  <c r="Q82" i="3"/>
  <c r="I82" i="4"/>
  <c r="M82" i="4"/>
  <c r="Q82" i="4"/>
  <c r="U82" i="4"/>
  <c r="Y82" i="4"/>
  <c r="AC82" i="4"/>
  <c r="AF82" i="4"/>
  <c r="AJ82" i="4"/>
  <c r="AN82" i="4"/>
  <c r="AR82" i="4"/>
  <c r="AV82" i="4"/>
  <c r="I83" i="4"/>
  <c r="M83" i="4"/>
  <c r="Y83" i="4"/>
  <c r="AJ83" i="4"/>
  <c r="AV83" i="4"/>
  <c r="AZ83" i="4"/>
  <c r="E82" i="3"/>
  <c r="U82" i="3"/>
  <c r="AH82" i="3"/>
  <c r="AL82" i="3"/>
  <c r="AX82" i="3"/>
  <c r="S2" i="1"/>
  <c r="S3" i="1"/>
  <c r="M26" i="1"/>
  <c r="S26" i="1"/>
  <c r="M40" i="1"/>
  <c r="S40" i="1"/>
  <c r="M44" i="1"/>
  <c r="S44" i="1"/>
  <c r="S27" i="1"/>
  <c r="M27" i="1"/>
  <c r="S15" i="1"/>
  <c r="M15" i="1"/>
  <c r="S34" i="1"/>
  <c r="M34" i="1"/>
  <c r="M43" i="1"/>
  <c r="S43" i="1"/>
  <c r="S36" i="1"/>
  <c r="M36" i="1"/>
  <c r="S38" i="1"/>
  <c r="M38" i="1"/>
  <c r="S16" i="1"/>
  <c r="M16" i="1"/>
  <c r="M33" i="1"/>
  <c r="S33" i="1"/>
  <c r="M9" i="1"/>
  <c r="S9" i="1"/>
  <c r="M22" i="1"/>
  <c r="S22" i="1"/>
  <c r="M13" i="1"/>
  <c r="S13" i="1"/>
  <c r="S45" i="1"/>
  <c r="M45" i="1"/>
  <c r="S8" i="1"/>
  <c r="M8" i="1"/>
  <c r="S37" i="1"/>
  <c r="M37" i="1"/>
  <c r="M35" i="1"/>
  <c r="S35" i="1"/>
  <c r="S42" i="1"/>
  <c r="M42" i="1"/>
  <c r="S23" i="1"/>
  <c r="M23" i="1"/>
  <c r="M32" i="1"/>
  <c r="S32" i="1"/>
  <c r="S7" i="1"/>
  <c r="M7" i="1"/>
  <c r="S24" i="1"/>
  <c r="M24" i="1"/>
  <c r="AP179" i="11" l="1"/>
  <c r="AO2" i="11"/>
  <c r="AO180" i="11"/>
  <c r="AQ179" i="11"/>
  <c r="AP180" i="11"/>
  <c r="AQ2" i="11"/>
  <c r="BC6" i="3"/>
  <c r="BC21" i="3"/>
  <c r="BC41" i="3"/>
  <c r="BC61" i="3"/>
  <c r="BC76" i="3"/>
  <c r="BC36" i="3"/>
  <c r="BC11" i="3"/>
  <c r="AL179" i="11"/>
  <c r="AL180" i="11"/>
  <c r="AN180" i="11"/>
  <c r="AN179" i="11"/>
  <c r="AM180" i="11"/>
  <c r="AM179" i="11"/>
  <c r="BC56" i="3"/>
  <c r="BC81" i="3"/>
  <c r="BC46" i="3"/>
  <c r="BC66" i="3"/>
  <c r="BC71" i="3"/>
  <c r="BC31" i="3"/>
  <c r="BC16" i="3"/>
  <c r="BC26" i="3"/>
  <c r="AJ180" i="11"/>
  <c r="AJ179" i="11"/>
  <c r="AK179" i="11"/>
  <c r="AK180" i="11"/>
  <c r="BA11" i="3"/>
  <c r="BA16" i="3"/>
  <c r="BA36" i="3"/>
  <c r="BA41" i="3"/>
  <c r="BA71" i="3"/>
  <c r="BA56" i="3"/>
  <c r="BA6" i="3"/>
  <c r="BA31" i="3"/>
  <c r="BA51" i="3"/>
  <c r="BA61" i="3"/>
  <c r="BA21" i="3"/>
  <c r="BA26" i="3"/>
  <c r="BA76" i="3"/>
  <c r="BA46" i="3"/>
  <c r="BA81" i="3"/>
  <c r="BA66" i="3"/>
  <c r="AQ21" i="4"/>
  <c r="AQ26" i="4"/>
  <c r="AQ6" i="4"/>
  <c r="AQ56" i="4"/>
  <c r="AQ81" i="4"/>
  <c r="AQ51" i="4"/>
  <c r="AQ76" i="4"/>
  <c r="AQ71" i="4"/>
  <c r="AQ61" i="4"/>
  <c r="AQ31" i="4"/>
  <c r="AQ36" i="4"/>
  <c r="AQ46" i="4"/>
  <c r="AQ11" i="4"/>
  <c r="AQ41" i="4"/>
  <c r="AQ16" i="4"/>
  <c r="AQ66" i="4"/>
  <c r="L11" i="3"/>
  <c r="L16" i="3"/>
  <c r="L36" i="3"/>
  <c r="L56" i="3"/>
  <c r="L71" i="3"/>
  <c r="L76" i="3"/>
  <c r="L6" i="3"/>
  <c r="L81" i="3"/>
  <c r="L61" i="3"/>
  <c r="L21" i="3"/>
  <c r="L26" i="3"/>
  <c r="L31" i="3"/>
  <c r="L51" i="3"/>
  <c r="L41" i="3"/>
  <c r="L46" i="3"/>
  <c r="L66" i="3"/>
  <c r="I16" i="3"/>
  <c r="I56" i="3"/>
  <c r="I36" i="3"/>
  <c r="I76" i="3"/>
  <c r="I21" i="3"/>
  <c r="I41" i="3"/>
  <c r="I6" i="3"/>
  <c r="I26" i="3"/>
  <c r="I11" i="3"/>
  <c r="I66" i="3"/>
  <c r="I61" i="3"/>
  <c r="I46" i="3"/>
  <c r="I31" i="3"/>
  <c r="I81" i="3"/>
  <c r="I51" i="3"/>
  <c r="I71" i="3"/>
  <c r="BB21" i="4"/>
  <c r="BB16" i="4"/>
  <c r="BB51" i="4"/>
  <c r="BB76" i="4"/>
  <c r="BB6" i="4"/>
  <c r="BB71" i="4"/>
  <c r="BB81" i="4"/>
  <c r="BB56" i="4"/>
  <c r="BB46" i="4"/>
  <c r="BB31" i="4"/>
  <c r="BB11" i="4"/>
  <c r="BB66" i="4"/>
  <c r="BB61" i="4"/>
  <c r="BB41" i="4"/>
  <c r="BB26" i="4"/>
  <c r="BB36" i="4"/>
  <c r="AL21" i="4"/>
  <c r="AL16" i="4"/>
  <c r="AL51" i="4"/>
  <c r="AL76" i="4"/>
  <c r="AL66" i="4"/>
  <c r="AL6" i="4"/>
  <c r="AL71" i="4"/>
  <c r="AL81" i="4"/>
  <c r="AL56" i="4"/>
  <c r="AL46" i="4"/>
  <c r="AL31" i="4"/>
  <c r="AL11" i="4"/>
  <c r="AL36" i="4"/>
  <c r="AL61" i="4"/>
  <c r="AL41" i="4"/>
  <c r="AL26" i="4"/>
  <c r="W21" i="4"/>
  <c r="W26" i="4"/>
  <c r="W41" i="4"/>
  <c r="W56" i="4"/>
  <c r="W81" i="4"/>
  <c r="W6" i="4"/>
  <c r="W76" i="4"/>
  <c r="W71" i="4"/>
  <c r="W31" i="4"/>
  <c r="W36" i="4"/>
  <c r="W61" i="4"/>
  <c r="W51" i="4"/>
  <c r="W46" i="4"/>
  <c r="W11" i="4"/>
  <c r="W16" i="4"/>
  <c r="W66" i="4"/>
  <c r="D21" i="4"/>
  <c r="D26" i="4"/>
  <c r="D41" i="4"/>
  <c r="D56" i="4"/>
  <c r="D81" i="4"/>
  <c r="D6" i="4"/>
  <c r="D61" i="4"/>
  <c r="D76" i="4"/>
  <c r="D71" i="4"/>
  <c r="D36" i="4"/>
  <c r="D31" i="4"/>
  <c r="D51" i="4"/>
  <c r="D46" i="4"/>
  <c r="D11" i="4"/>
  <c r="D16" i="4"/>
  <c r="D66" i="4"/>
  <c r="N11" i="3"/>
  <c r="N16" i="3"/>
  <c r="N51" i="3"/>
  <c r="N56" i="3"/>
  <c r="N31" i="3"/>
  <c r="N36" i="3"/>
  <c r="N6" i="3"/>
  <c r="N41" i="3"/>
  <c r="N46" i="3"/>
  <c r="N76" i="3"/>
  <c r="N66" i="3"/>
  <c r="N81" i="3"/>
  <c r="N71" i="3"/>
  <c r="N61" i="3"/>
  <c r="N21" i="3"/>
  <c r="N26" i="3"/>
  <c r="AU21" i="3"/>
  <c r="AU26" i="3"/>
  <c r="AU41" i="3"/>
  <c r="AU6" i="3"/>
  <c r="AU81" i="3"/>
  <c r="AU76" i="3"/>
  <c r="AU51" i="3"/>
  <c r="AU46" i="3"/>
  <c r="AU11" i="3"/>
  <c r="AU61" i="3"/>
  <c r="AU66" i="3"/>
  <c r="AU71" i="3"/>
  <c r="AU36" i="3"/>
  <c r="AU31" i="3"/>
  <c r="AU16" i="3"/>
  <c r="AU56" i="3"/>
  <c r="AE21" i="3"/>
  <c r="AE41" i="3"/>
  <c r="AE6" i="3"/>
  <c r="AE51" i="3"/>
  <c r="AE66" i="3"/>
  <c r="AE46" i="3"/>
  <c r="AE11" i="3"/>
  <c r="AE76" i="3"/>
  <c r="AE26" i="3"/>
  <c r="AE61" i="3"/>
  <c r="AE31" i="3"/>
  <c r="AE81" i="3"/>
  <c r="AE71" i="3"/>
  <c r="AE36" i="3"/>
  <c r="AE16" i="3"/>
  <c r="AE56" i="3"/>
  <c r="P61" i="3"/>
  <c r="P41" i="3"/>
  <c r="P36" i="3"/>
  <c r="P6" i="3"/>
  <c r="P16" i="3"/>
  <c r="P66" i="3"/>
  <c r="P46" i="3"/>
  <c r="P76" i="3"/>
  <c r="P56" i="3"/>
  <c r="P31" i="3"/>
  <c r="P81" i="3"/>
  <c r="P51" i="3"/>
  <c r="P26" i="3"/>
  <c r="P21" i="3"/>
  <c r="P11" i="3"/>
  <c r="P71" i="3"/>
  <c r="AO16" i="4"/>
  <c r="AO11" i="4"/>
  <c r="AO31" i="4"/>
  <c r="AO46" i="4"/>
  <c r="AO66" i="4"/>
  <c r="AO41" i="4"/>
  <c r="AO61" i="4"/>
  <c r="AO71" i="4"/>
  <c r="AO6" i="4"/>
  <c r="AO81" i="4"/>
  <c r="AO76" i="4"/>
  <c r="AO26" i="4"/>
  <c r="AO21" i="4"/>
  <c r="AO51" i="4"/>
  <c r="AO56" i="4"/>
  <c r="AO36" i="4"/>
  <c r="Z16" i="4"/>
  <c r="Z21" i="4"/>
  <c r="Z51" i="4"/>
  <c r="Z36" i="4"/>
  <c r="Z76" i="4"/>
  <c r="Z66" i="4"/>
  <c r="Z6" i="4"/>
  <c r="Z71" i="4"/>
  <c r="Z81" i="4"/>
  <c r="Z56" i="4"/>
  <c r="Z46" i="4"/>
  <c r="Z31" i="4"/>
  <c r="Z11" i="4"/>
  <c r="Z61" i="4"/>
  <c r="Z41" i="4"/>
  <c r="Z26" i="4"/>
  <c r="J16" i="4"/>
  <c r="J21" i="4"/>
  <c r="J51" i="4"/>
  <c r="J36" i="4"/>
  <c r="J76" i="4"/>
  <c r="J66" i="4"/>
  <c r="J6" i="4"/>
  <c r="J56" i="4"/>
  <c r="J71" i="4"/>
  <c r="J81" i="4"/>
  <c r="J46" i="4"/>
  <c r="J31" i="4"/>
  <c r="J11" i="4"/>
  <c r="J61" i="4"/>
  <c r="J26" i="4"/>
  <c r="J41" i="4"/>
  <c r="U46" i="3"/>
  <c r="U51" i="3"/>
  <c r="U26" i="3"/>
  <c r="U71" i="3"/>
  <c r="U6" i="3"/>
  <c r="U81" i="3"/>
  <c r="U76" i="3"/>
  <c r="U31" i="3"/>
  <c r="U11" i="3"/>
  <c r="U61" i="3"/>
  <c r="U41" i="3"/>
  <c r="U56" i="3"/>
  <c r="U36" i="3"/>
  <c r="U66" i="3"/>
  <c r="U21" i="3"/>
  <c r="U16" i="3"/>
  <c r="Q16" i="4"/>
  <c r="Q11" i="4"/>
  <c r="Q31" i="4"/>
  <c r="Q46" i="4"/>
  <c r="Q71" i="4"/>
  <c r="Q66" i="4"/>
  <c r="Q76" i="4"/>
  <c r="Q6" i="4"/>
  <c r="Q81" i="4"/>
  <c r="Q41" i="4"/>
  <c r="Q51" i="4"/>
  <c r="Q56" i="4"/>
  <c r="Q36" i="4"/>
  <c r="Q26" i="4"/>
  <c r="Q61" i="4"/>
  <c r="Q21" i="4"/>
  <c r="F11" i="4"/>
  <c r="F31" i="4"/>
  <c r="F26" i="4"/>
  <c r="F36" i="4"/>
  <c r="F46" i="4"/>
  <c r="F61" i="4"/>
  <c r="F81" i="4"/>
  <c r="F71" i="4"/>
  <c r="F6" i="4"/>
  <c r="F76" i="4"/>
  <c r="F41" i="4"/>
  <c r="F66" i="4"/>
  <c r="F21" i="4"/>
  <c r="F16" i="4"/>
  <c r="F56" i="4"/>
  <c r="F51" i="4"/>
  <c r="AB46" i="3"/>
  <c r="AB26" i="3"/>
  <c r="AB51" i="3"/>
  <c r="AB71" i="3"/>
  <c r="AB81" i="3"/>
  <c r="AB6" i="3"/>
  <c r="AB76" i="3"/>
  <c r="AB61" i="3"/>
  <c r="AB41" i="3"/>
  <c r="AB31" i="3"/>
  <c r="AB11" i="3"/>
  <c r="AB56" i="3"/>
  <c r="AB36" i="3"/>
  <c r="AB66" i="3"/>
  <c r="AB21" i="3"/>
  <c r="AB16" i="3"/>
  <c r="AX41" i="3"/>
  <c r="AX61" i="3"/>
  <c r="AX36" i="3"/>
  <c r="AX6" i="3"/>
  <c r="AX76" i="3"/>
  <c r="AX16" i="3"/>
  <c r="AX66" i="3"/>
  <c r="AX46" i="3"/>
  <c r="AX56" i="3"/>
  <c r="AX31" i="3"/>
  <c r="AX81" i="3"/>
  <c r="AX51" i="3"/>
  <c r="AX26" i="3"/>
  <c r="AX21" i="3"/>
  <c r="AX11" i="3"/>
  <c r="AX71" i="3"/>
  <c r="E26" i="3"/>
  <c r="E46" i="3"/>
  <c r="E71" i="3"/>
  <c r="E41" i="3"/>
  <c r="E51" i="3"/>
  <c r="E76" i="3"/>
  <c r="E81" i="3"/>
  <c r="E6" i="3"/>
  <c r="E61" i="3"/>
  <c r="E56" i="3"/>
  <c r="E36" i="3"/>
  <c r="E66" i="3"/>
  <c r="E21" i="3"/>
  <c r="E16" i="3"/>
  <c r="E31" i="3"/>
  <c r="E11" i="3"/>
  <c r="AR26" i="4"/>
  <c r="AR11" i="4"/>
  <c r="AR36" i="4"/>
  <c r="AR41" i="4"/>
  <c r="AR81" i="4"/>
  <c r="AR71" i="4"/>
  <c r="AR6" i="4"/>
  <c r="AR76" i="4"/>
  <c r="AR61" i="4"/>
  <c r="AR66" i="4"/>
  <c r="AR31" i="4"/>
  <c r="AR46" i="4"/>
  <c r="AR56" i="4"/>
  <c r="AR51" i="4"/>
  <c r="AR21" i="4"/>
  <c r="AR16" i="4"/>
  <c r="AC31" i="4"/>
  <c r="AC16" i="4"/>
  <c r="AC11" i="4"/>
  <c r="AC46" i="4"/>
  <c r="AC71" i="4"/>
  <c r="AC41" i="4"/>
  <c r="AC6" i="4"/>
  <c r="AC76" i="4"/>
  <c r="AC66" i="4"/>
  <c r="AC81" i="4"/>
  <c r="AC21" i="4"/>
  <c r="AC51" i="4"/>
  <c r="AC61" i="4"/>
  <c r="AC56" i="4"/>
  <c r="AC36" i="4"/>
  <c r="AC26" i="4"/>
  <c r="M16" i="4"/>
  <c r="M11" i="4"/>
  <c r="M31" i="4"/>
  <c r="M46" i="4"/>
  <c r="M71" i="4"/>
  <c r="M41" i="4"/>
  <c r="M66" i="4"/>
  <c r="M76" i="4"/>
  <c r="M6" i="4"/>
  <c r="M81" i="4"/>
  <c r="M61" i="4"/>
  <c r="M36" i="4"/>
  <c r="M21" i="4"/>
  <c r="M51" i="4"/>
  <c r="M56" i="4"/>
  <c r="M26" i="4"/>
  <c r="AW11" i="3"/>
  <c r="AW16" i="3"/>
  <c r="AW41" i="3"/>
  <c r="AW56" i="3"/>
  <c r="AW31" i="3"/>
  <c r="AW36" i="3"/>
  <c r="AW6" i="3"/>
  <c r="AW46" i="3"/>
  <c r="AW81" i="3"/>
  <c r="AW66" i="3"/>
  <c r="AW51" i="3"/>
  <c r="AW71" i="3"/>
  <c r="AW61" i="3"/>
  <c r="AW21" i="3"/>
  <c r="AW26" i="3"/>
  <c r="AW76" i="3"/>
  <c r="AG11" i="3"/>
  <c r="AG16" i="3"/>
  <c r="AG41" i="3"/>
  <c r="AG31" i="3"/>
  <c r="AG36" i="3"/>
  <c r="AG56" i="3"/>
  <c r="AG6" i="3"/>
  <c r="AG46" i="3"/>
  <c r="AG81" i="3"/>
  <c r="AG66" i="3"/>
  <c r="AG51" i="3"/>
  <c r="AG61" i="3"/>
  <c r="AG21" i="3"/>
  <c r="AG26" i="3"/>
  <c r="AG76" i="3"/>
  <c r="AG71" i="3"/>
  <c r="Y11" i="3"/>
  <c r="Y16" i="3"/>
  <c r="Y36" i="3"/>
  <c r="Y71" i="3"/>
  <c r="Y56" i="3"/>
  <c r="Y76" i="3"/>
  <c r="Y6" i="3"/>
  <c r="Y81" i="3"/>
  <c r="Y31" i="3"/>
  <c r="Y61" i="3"/>
  <c r="Y21" i="3"/>
  <c r="Y51" i="3"/>
  <c r="Y26" i="3"/>
  <c r="Y41" i="3"/>
  <c r="Y46" i="3"/>
  <c r="Y66" i="3"/>
  <c r="BC21" i="4"/>
  <c r="BC26" i="4"/>
  <c r="BC56" i="4"/>
  <c r="BC81" i="4"/>
  <c r="BC6" i="4"/>
  <c r="BC66" i="4"/>
  <c r="BC76" i="4"/>
  <c r="BC71" i="4"/>
  <c r="BC61" i="4"/>
  <c r="BC36" i="4"/>
  <c r="BC51" i="4"/>
  <c r="BC46" i="4"/>
  <c r="BC31" i="4"/>
  <c r="BC11" i="4"/>
  <c r="BC41" i="4"/>
  <c r="BC16" i="4"/>
  <c r="AM21" i="4"/>
  <c r="AM26" i="4"/>
  <c r="AM56" i="4"/>
  <c r="AM81" i="4"/>
  <c r="AM6" i="4"/>
  <c r="AM76" i="4"/>
  <c r="AM71" i="4"/>
  <c r="AM31" i="4"/>
  <c r="AM61" i="4"/>
  <c r="AM36" i="4"/>
  <c r="AM46" i="4"/>
  <c r="AM11" i="4"/>
  <c r="AM51" i="4"/>
  <c r="AM41" i="4"/>
  <c r="AM16" i="4"/>
  <c r="AM66" i="4"/>
  <c r="T26" i="4"/>
  <c r="T11" i="4"/>
  <c r="T31" i="4"/>
  <c r="T36" i="4"/>
  <c r="T61" i="4"/>
  <c r="T81" i="4"/>
  <c r="T6" i="4"/>
  <c r="T76" i="4"/>
  <c r="T41" i="4"/>
  <c r="T71" i="4"/>
  <c r="T66" i="4"/>
  <c r="T51" i="4"/>
  <c r="T46" i="4"/>
  <c r="T21" i="4"/>
  <c r="T16" i="4"/>
  <c r="T56" i="4"/>
  <c r="AT16" i="3"/>
  <c r="AT56" i="3"/>
  <c r="AT36" i="3"/>
  <c r="AT41" i="3"/>
  <c r="AT76" i="3"/>
  <c r="AT21" i="3"/>
  <c r="AT6" i="3"/>
  <c r="AT26" i="3"/>
  <c r="AT11" i="3"/>
  <c r="AT66" i="3"/>
  <c r="AT61" i="3"/>
  <c r="AT46" i="3"/>
  <c r="AT31" i="3"/>
  <c r="AT81" i="3"/>
  <c r="AT51" i="3"/>
  <c r="AT71" i="3"/>
  <c r="BD26" i="3"/>
  <c r="BD11" i="3"/>
  <c r="BD31" i="3"/>
  <c r="BD51" i="3"/>
  <c r="BD71" i="3"/>
  <c r="BD76" i="3"/>
  <c r="BD46" i="3"/>
  <c r="BD81" i="3"/>
  <c r="BD6" i="3"/>
  <c r="BD61" i="3"/>
  <c r="BD41" i="3"/>
  <c r="BD56" i="3"/>
  <c r="BD36" i="3"/>
  <c r="BD66" i="3"/>
  <c r="BD21" i="3"/>
  <c r="BD16" i="3"/>
  <c r="AN26" i="3"/>
  <c r="AN11" i="3"/>
  <c r="AN31" i="3"/>
  <c r="AN51" i="3"/>
  <c r="AN76" i="3"/>
  <c r="AN46" i="3"/>
  <c r="AN71" i="3"/>
  <c r="AN81" i="3"/>
  <c r="AN6" i="3"/>
  <c r="AN61" i="3"/>
  <c r="AN41" i="3"/>
  <c r="AN56" i="3"/>
  <c r="AN36" i="3"/>
  <c r="AN66" i="3"/>
  <c r="AN21" i="3"/>
  <c r="AN16" i="3"/>
  <c r="V21" i="3"/>
  <c r="V41" i="3"/>
  <c r="V66" i="3"/>
  <c r="V6" i="3"/>
  <c r="V81" i="3"/>
  <c r="V76" i="3"/>
  <c r="V56" i="3"/>
  <c r="V61" i="3"/>
  <c r="V31" i="3"/>
  <c r="V71" i="3"/>
  <c r="V36" i="3"/>
  <c r="V16" i="3"/>
  <c r="V51" i="3"/>
  <c r="V26" i="3"/>
  <c r="V46" i="3"/>
  <c r="V11" i="3"/>
  <c r="G41" i="3"/>
  <c r="G76" i="3"/>
  <c r="G36" i="3"/>
  <c r="G6" i="3"/>
  <c r="G81" i="3"/>
  <c r="G51" i="3"/>
  <c r="G21" i="3"/>
  <c r="G16" i="3"/>
  <c r="G26" i="3"/>
  <c r="G11" i="3"/>
  <c r="G66" i="3"/>
  <c r="G56" i="3"/>
  <c r="G61" i="3"/>
  <c r="G46" i="3"/>
  <c r="G31" i="3"/>
  <c r="G71" i="3"/>
  <c r="AX16" i="4"/>
  <c r="AX21" i="4"/>
  <c r="AX36" i="4"/>
  <c r="AX51" i="4"/>
  <c r="AX76" i="4"/>
  <c r="AX6" i="4"/>
  <c r="AX81" i="4"/>
  <c r="AX56" i="4"/>
  <c r="AX71" i="4"/>
  <c r="AX46" i="4"/>
  <c r="AX31" i="4"/>
  <c r="AX11" i="4"/>
  <c r="AX66" i="4"/>
  <c r="AX61" i="4"/>
  <c r="AX41" i="4"/>
  <c r="AX26" i="4"/>
  <c r="AH16" i="4"/>
  <c r="AH21" i="4"/>
  <c r="AH36" i="4"/>
  <c r="AH51" i="4"/>
  <c r="AH66" i="4"/>
  <c r="AH6" i="4"/>
  <c r="AH76" i="4"/>
  <c r="AH81" i="4"/>
  <c r="AH56" i="4"/>
  <c r="AH71" i="4"/>
  <c r="AH46" i="4"/>
  <c r="AH31" i="4"/>
  <c r="AH11" i="4"/>
  <c r="AH61" i="4"/>
  <c r="AH41" i="4"/>
  <c r="AH26" i="4"/>
  <c r="S21" i="4"/>
  <c r="S26" i="4"/>
  <c r="S56" i="4"/>
  <c r="S41" i="4"/>
  <c r="S6" i="4"/>
  <c r="S61" i="4"/>
  <c r="S81" i="4"/>
  <c r="S71" i="4"/>
  <c r="S36" i="4"/>
  <c r="S76" i="4"/>
  <c r="S16" i="4"/>
  <c r="S66" i="4"/>
  <c r="S31" i="4"/>
  <c r="S51" i="4"/>
  <c r="S46" i="4"/>
  <c r="S11" i="4"/>
  <c r="BB16" i="3"/>
  <c r="BB76" i="3"/>
  <c r="BB21" i="3"/>
  <c r="BB36" i="3"/>
  <c r="BB41" i="3"/>
  <c r="BB61" i="3"/>
  <c r="BB56" i="3"/>
  <c r="BB6" i="3"/>
  <c r="BB46" i="3"/>
  <c r="BB31" i="3"/>
  <c r="BB81" i="3"/>
  <c r="BB51" i="3"/>
  <c r="BB26" i="3"/>
  <c r="BB11" i="3"/>
  <c r="BB66" i="3"/>
  <c r="BB71" i="3"/>
  <c r="BD26" i="4"/>
  <c r="BD36" i="4"/>
  <c r="BD41" i="4"/>
  <c r="BD66" i="4"/>
  <c r="BD81" i="4"/>
  <c r="BD6" i="4"/>
  <c r="BD61" i="4"/>
  <c r="BD46" i="4"/>
  <c r="BD71" i="4"/>
  <c r="BD76" i="4"/>
  <c r="BD21" i="4"/>
  <c r="BD16" i="4"/>
  <c r="BD31" i="4"/>
  <c r="BD56" i="4"/>
  <c r="BD51" i="4"/>
  <c r="BD11" i="4"/>
  <c r="AQ41" i="3"/>
  <c r="AQ6" i="3"/>
  <c r="AQ66" i="3"/>
  <c r="AQ26" i="3"/>
  <c r="AQ71" i="3"/>
  <c r="AQ36" i="3"/>
  <c r="AQ31" i="3"/>
  <c r="AQ16" i="3"/>
  <c r="AQ81" i="3"/>
  <c r="AQ76" i="3"/>
  <c r="AQ51" i="3"/>
  <c r="AQ21" i="3"/>
  <c r="AQ46" i="3"/>
  <c r="AQ11" i="3"/>
  <c r="AQ61" i="3"/>
  <c r="AQ56" i="3"/>
  <c r="AA26" i="3"/>
  <c r="AA41" i="3"/>
  <c r="AA6" i="3"/>
  <c r="AA81" i="3"/>
  <c r="AA71" i="3"/>
  <c r="AA36" i="3"/>
  <c r="AA16" i="3"/>
  <c r="AA51" i="3"/>
  <c r="AA66" i="3"/>
  <c r="AA46" i="3"/>
  <c r="AA11" i="3"/>
  <c r="AA21" i="3"/>
  <c r="AA76" i="3"/>
  <c r="AA56" i="3"/>
  <c r="AA61" i="3"/>
  <c r="AA31" i="3"/>
  <c r="H11" i="3"/>
  <c r="H16" i="3"/>
  <c r="H36" i="3"/>
  <c r="H71" i="3"/>
  <c r="H56" i="3"/>
  <c r="H6" i="3"/>
  <c r="H31" i="3"/>
  <c r="H41" i="3"/>
  <c r="H46" i="3"/>
  <c r="H76" i="3"/>
  <c r="H66" i="3"/>
  <c r="H81" i="3"/>
  <c r="H51" i="3"/>
  <c r="H61" i="3"/>
  <c r="H21" i="3"/>
  <c r="H26" i="3"/>
  <c r="BA31" i="4"/>
  <c r="BA11" i="4"/>
  <c r="BA71" i="4"/>
  <c r="BA46" i="4"/>
  <c r="BA6" i="4"/>
  <c r="BA66" i="4"/>
  <c r="BA76" i="4"/>
  <c r="BA81" i="4"/>
  <c r="BA56" i="4"/>
  <c r="BA36" i="4"/>
  <c r="BA26" i="4"/>
  <c r="BA41" i="4"/>
  <c r="BA61" i="4"/>
  <c r="BA21" i="4"/>
  <c r="BA51" i="4"/>
  <c r="BA16" i="4"/>
  <c r="AK31" i="4"/>
  <c r="AK16" i="4"/>
  <c r="AK11" i="4"/>
  <c r="AK46" i="4"/>
  <c r="AK71" i="4"/>
  <c r="AK6" i="4"/>
  <c r="AK76" i="4"/>
  <c r="AK81" i="4"/>
  <c r="AK66" i="4"/>
  <c r="AK41" i="4"/>
  <c r="AK61" i="4"/>
  <c r="AK56" i="4"/>
  <c r="AK36" i="4"/>
  <c r="AK26" i="4"/>
  <c r="AK21" i="4"/>
  <c r="AK51" i="4"/>
  <c r="V21" i="4"/>
  <c r="V16" i="4"/>
  <c r="V41" i="4"/>
  <c r="V51" i="4"/>
  <c r="V76" i="4"/>
  <c r="V66" i="4"/>
  <c r="V6" i="4"/>
  <c r="V71" i="4"/>
  <c r="V81" i="4"/>
  <c r="V56" i="4"/>
  <c r="V46" i="4"/>
  <c r="V31" i="4"/>
  <c r="V11" i="4"/>
  <c r="V61" i="4"/>
  <c r="V26" i="4"/>
  <c r="V36" i="4"/>
  <c r="G21" i="4"/>
  <c r="G16" i="4"/>
  <c r="G36" i="4"/>
  <c r="G41" i="4"/>
  <c r="G76" i="4"/>
  <c r="G51" i="4"/>
  <c r="G66" i="4"/>
  <c r="G56" i="4"/>
  <c r="G6" i="4"/>
  <c r="G71" i="4"/>
  <c r="G81" i="4"/>
  <c r="G46" i="4"/>
  <c r="G31" i="4"/>
  <c r="G11" i="4"/>
  <c r="G61" i="4"/>
  <c r="G26" i="4"/>
  <c r="AF11" i="4"/>
  <c r="AF31" i="4"/>
  <c r="AF26" i="4"/>
  <c r="AF41" i="4"/>
  <c r="AF36" i="4"/>
  <c r="AF81" i="4"/>
  <c r="AF6" i="4"/>
  <c r="AF61" i="4"/>
  <c r="AF76" i="4"/>
  <c r="AF71" i="4"/>
  <c r="AF56" i="4"/>
  <c r="AF51" i="4"/>
  <c r="AF66" i="4"/>
  <c r="AF21" i="4"/>
  <c r="AF16" i="4"/>
  <c r="AF46" i="4"/>
  <c r="J21" i="3"/>
  <c r="J26" i="3"/>
  <c r="J81" i="3"/>
  <c r="J6" i="3"/>
  <c r="J51" i="3"/>
  <c r="J46" i="3"/>
  <c r="J11" i="3"/>
  <c r="J76" i="3"/>
  <c r="J56" i="3"/>
  <c r="J61" i="3"/>
  <c r="J31" i="3"/>
  <c r="J41" i="3"/>
  <c r="J66" i="3"/>
  <c r="J71" i="3"/>
  <c r="J36" i="3"/>
  <c r="J16" i="3"/>
  <c r="X11" i="4"/>
  <c r="X31" i="4"/>
  <c r="X26" i="4"/>
  <c r="X36" i="4"/>
  <c r="X61" i="4"/>
  <c r="X81" i="4"/>
  <c r="X6" i="4"/>
  <c r="X46" i="4"/>
  <c r="X71" i="4"/>
  <c r="X76" i="4"/>
  <c r="X41" i="4"/>
  <c r="X21" i="4"/>
  <c r="X16" i="4"/>
  <c r="X56" i="4"/>
  <c r="X66" i="4"/>
  <c r="X51" i="4"/>
  <c r="AR26" i="3"/>
  <c r="AR46" i="3"/>
  <c r="AR71" i="3"/>
  <c r="AR51" i="3"/>
  <c r="AR76" i="3"/>
  <c r="AR6" i="3"/>
  <c r="AR81" i="3"/>
  <c r="AR61" i="3"/>
  <c r="AR41" i="3"/>
  <c r="AR56" i="3"/>
  <c r="AR36" i="3"/>
  <c r="AR66" i="3"/>
  <c r="AR21" i="3"/>
  <c r="AR16" i="3"/>
  <c r="AR31" i="3"/>
  <c r="AR11" i="3"/>
  <c r="AL16" i="3"/>
  <c r="AL76" i="3"/>
  <c r="AL21" i="3"/>
  <c r="AL36" i="3"/>
  <c r="AL41" i="3"/>
  <c r="AL56" i="3"/>
  <c r="AL61" i="3"/>
  <c r="AL6" i="3"/>
  <c r="AL46" i="3"/>
  <c r="AL31" i="3"/>
  <c r="AL81" i="3"/>
  <c r="AL51" i="3"/>
  <c r="AL26" i="3"/>
  <c r="AL11" i="3"/>
  <c r="AL66" i="3"/>
  <c r="AL71" i="3"/>
  <c r="AN11" i="4"/>
  <c r="AN31" i="4"/>
  <c r="AN26" i="4"/>
  <c r="AN41" i="4"/>
  <c r="AN61" i="4"/>
  <c r="AN36" i="4"/>
  <c r="AN81" i="4"/>
  <c r="AN46" i="4"/>
  <c r="AN71" i="4"/>
  <c r="AN6" i="4"/>
  <c r="AN76" i="4"/>
  <c r="AN66" i="4"/>
  <c r="AN21" i="4"/>
  <c r="AN16" i="4"/>
  <c r="AN56" i="4"/>
  <c r="AN51" i="4"/>
  <c r="Y16" i="4"/>
  <c r="Y11" i="4"/>
  <c r="Y31" i="4"/>
  <c r="Y46" i="4"/>
  <c r="Y61" i="4"/>
  <c r="Y66" i="4"/>
  <c r="Y6" i="4"/>
  <c r="Y71" i="4"/>
  <c r="Y81" i="4"/>
  <c r="Y76" i="4"/>
  <c r="Y41" i="4"/>
  <c r="Y26" i="4"/>
  <c r="Y21" i="4"/>
  <c r="Y51" i="4"/>
  <c r="Y56" i="4"/>
  <c r="Y36" i="4"/>
  <c r="I16" i="4"/>
  <c r="I11" i="4"/>
  <c r="I31" i="4"/>
  <c r="I46" i="4"/>
  <c r="I51" i="4"/>
  <c r="I61" i="4"/>
  <c r="I66" i="4"/>
  <c r="I71" i="4"/>
  <c r="I6" i="4"/>
  <c r="I81" i="4"/>
  <c r="I76" i="4"/>
  <c r="I26" i="4"/>
  <c r="I36" i="4"/>
  <c r="I21" i="4"/>
  <c r="I41" i="4"/>
  <c r="I56" i="4"/>
  <c r="AS11" i="3"/>
  <c r="AS16" i="3"/>
  <c r="AS36" i="3"/>
  <c r="AS41" i="3"/>
  <c r="AS71" i="3"/>
  <c r="AS56" i="3"/>
  <c r="AS6" i="3"/>
  <c r="AS31" i="3"/>
  <c r="AS46" i="3"/>
  <c r="AS81" i="3"/>
  <c r="AS66" i="3"/>
  <c r="AS51" i="3"/>
  <c r="AS61" i="3"/>
  <c r="AS21" i="3"/>
  <c r="AS26" i="3"/>
  <c r="AS76" i="3"/>
  <c r="AC11" i="3"/>
  <c r="AC16" i="3"/>
  <c r="AC36" i="3"/>
  <c r="AC41" i="3"/>
  <c r="AC56" i="3"/>
  <c r="AC71" i="3"/>
  <c r="AC6" i="3"/>
  <c r="AC46" i="3"/>
  <c r="AC66" i="3"/>
  <c r="AC81" i="3"/>
  <c r="AC51" i="3"/>
  <c r="AC61" i="3"/>
  <c r="AC21" i="3"/>
  <c r="AC31" i="3"/>
  <c r="AC26" i="3"/>
  <c r="AC76" i="3"/>
  <c r="M26" i="3"/>
  <c r="M11" i="3"/>
  <c r="M51" i="3"/>
  <c r="M31" i="3"/>
  <c r="M41" i="3"/>
  <c r="M46" i="3"/>
  <c r="M71" i="3"/>
  <c r="M81" i="3"/>
  <c r="M6" i="3"/>
  <c r="M56" i="3"/>
  <c r="M36" i="3"/>
  <c r="M66" i="3"/>
  <c r="M21" i="3"/>
  <c r="M16" i="3"/>
  <c r="M76" i="3"/>
  <c r="M61" i="3"/>
  <c r="AY21" i="4"/>
  <c r="AY26" i="4"/>
  <c r="AY31" i="4"/>
  <c r="AY56" i="4"/>
  <c r="AY6" i="4"/>
  <c r="AY81" i="4"/>
  <c r="AY71" i="4"/>
  <c r="AY61" i="4"/>
  <c r="AY36" i="4"/>
  <c r="AY76" i="4"/>
  <c r="AY66" i="4"/>
  <c r="AY41" i="4"/>
  <c r="AY16" i="4"/>
  <c r="AY51" i="4"/>
  <c r="AY46" i="4"/>
  <c r="AY11" i="4"/>
  <c r="AI21" i="4"/>
  <c r="AI26" i="4"/>
  <c r="AI56" i="4"/>
  <c r="AI6" i="4"/>
  <c r="AI81" i="4"/>
  <c r="AI71" i="4"/>
  <c r="AI36" i="4"/>
  <c r="AI76" i="4"/>
  <c r="AI51" i="4"/>
  <c r="AI41" i="4"/>
  <c r="AI16" i="4"/>
  <c r="AI66" i="4"/>
  <c r="AI31" i="4"/>
  <c r="AI61" i="4"/>
  <c r="AI46" i="4"/>
  <c r="AI11" i="4"/>
  <c r="P11" i="4"/>
  <c r="P31" i="4"/>
  <c r="P26" i="4"/>
  <c r="P36" i="4"/>
  <c r="P81" i="4"/>
  <c r="P6" i="4"/>
  <c r="P66" i="4"/>
  <c r="P76" i="4"/>
  <c r="P61" i="4"/>
  <c r="P71" i="4"/>
  <c r="P41" i="4"/>
  <c r="P56" i="4"/>
  <c r="P51" i="4"/>
  <c r="P46" i="4"/>
  <c r="P21" i="4"/>
  <c r="P16" i="4"/>
  <c r="T76" i="3"/>
  <c r="T41" i="3"/>
  <c r="T36" i="3"/>
  <c r="T6" i="3"/>
  <c r="T81" i="3"/>
  <c r="T51" i="3"/>
  <c r="T56" i="3"/>
  <c r="T61" i="3"/>
  <c r="T26" i="3"/>
  <c r="T11" i="3"/>
  <c r="T66" i="3"/>
  <c r="T21" i="3"/>
  <c r="T16" i="3"/>
  <c r="T46" i="3"/>
  <c r="T31" i="3"/>
  <c r="T71" i="3"/>
  <c r="AZ51" i="3"/>
  <c r="AZ46" i="3"/>
  <c r="AZ26" i="3"/>
  <c r="AZ71" i="3"/>
  <c r="AZ81" i="3"/>
  <c r="AZ6" i="3"/>
  <c r="AZ76" i="3"/>
  <c r="AZ31" i="3"/>
  <c r="AZ11" i="3"/>
  <c r="AZ61" i="3"/>
  <c r="AZ41" i="3"/>
  <c r="AZ56" i="3"/>
  <c r="AZ36" i="3"/>
  <c r="AZ66" i="3"/>
  <c r="AZ21" i="3"/>
  <c r="AZ16" i="3"/>
  <c r="AJ51" i="3"/>
  <c r="AJ26" i="3"/>
  <c r="AJ71" i="3"/>
  <c r="AJ46" i="3"/>
  <c r="AJ6" i="3"/>
  <c r="AJ81" i="3"/>
  <c r="AJ31" i="3"/>
  <c r="AJ11" i="3"/>
  <c r="AJ76" i="3"/>
  <c r="AJ61" i="3"/>
  <c r="AJ41" i="3"/>
  <c r="AJ56" i="3"/>
  <c r="AJ36" i="3"/>
  <c r="AJ66" i="3"/>
  <c r="AJ21" i="3"/>
  <c r="AJ16" i="3"/>
  <c r="F11" i="3"/>
  <c r="F16" i="3"/>
  <c r="F51" i="3"/>
  <c r="F31" i="3"/>
  <c r="F36" i="3"/>
  <c r="F56" i="3"/>
  <c r="F76" i="3"/>
  <c r="F6" i="3"/>
  <c r="F26" i="3"/>
  <c r="F41" i="3"/>
  <c r="F46" i="3"/>
  <c r="F71" i="3"/>
  <c r="F66" i="3"/>
  <c r="F81" i="3"/>
  <c r="F61" i="3"/>
  <c r="F21" i="3"/>
  <c r="E16" i="4"/>
  <c r="E11" i="4"/>
  <c r="E31" i="4"/>
  <c r="E46" i="4"/>
  <c r="E51" i="4"/>
  <c r="E71" i="4"/>
  <c r="E6" i="4"/>
  <c r="E76" i="4"/>
  <c r="E81" i="4"/>
  <c r="E66" i="4"/>
  <c r="E56" i="4"/>
  <c r="E61" i="4"/>
  <c r="E26" i="4"/>
  <c r="E36" i="4"/>
  <c r="E21" i="4"/>
  <c r="E41" i="4"/>
  <c r="AT21" i="4"/>
  <c r="AT16" i="4"/>
  <c r="AT51" i="4"/>
  <c r="AT6" i="4"/>
  <c r="AT76" i="4"/>
  <c r="AT71" i="4"/>
  <c r="AT81" i="4"/>
  <c r="AT56" i="4"/>
  <c r="AT66" i="4"/>
  <c r="AT61" i="4"/>
  <c r="AT41" i="4"/>
  <c r="AT36" i="4"/>
  <c r="AT26" i="4"/>
  <c r="AT46" i="4"/>
  <c r="AT31" i="4"/>
  <c r="AT11" i="4"/>
  <c r="AE21" i="4"/>
  <c r="AE26" i="4"/>
  <c r="AE56" i="4"/>
  <c r="AE81" i="4"/>
  <c r="AE6" i="4"/>
  <c r="AE61" i="4"/>
  <c r="AE76" i="4"/>
  <c r="AE71" i="4"/>
  <c r="AE46" i="4"/>
  <c r="AE11" i="4"/>
  <c r="AE51" i="4"/>
  <c r="AE41" i="4"/>
  <c r="AE16" i="4"/>
  <c r="AE66" i="4"/>
  <c r="AE36" i="4"/>
  <c r="AE31" i="4"/>
  <c r="O21" i="4"/>
  <c r="O26" i="4"/>
  <c r="O56" i="4"/>
  <c r="O81" i="4"/>
  <c r="O6" i="4"/>
  <c r="O61" i="4"/>
  <c r="O76" i="4"/>
  <c r="O51" i="4"/>
  <c r="O46" i="4"/>
  <c r="O11" i="4"/>
  <c r="O16" i="4"/>
  <c r="O66" i="4"/>
  <c r="O71" i="4"/>
  <c r="O36" i="4"/>
  <c r="O31" i="4"/>
  <c r="O41" i="4"/>
  <c r="AP41" i="3"/>
  <c r="AP36" i="3"/>
  <c r="AP76" i="3"/>
  <c r="AP6" i="3"/>
  <c r="AP81" i="3"/>
  <c r="AP51" i="3"/>
  <c r="AP21" i="3"/>
  <c r="AP16" i="3"/>
  <c r="AP26" i="3"/>
  <c r="AP11" i="3"/>
  <c r="AP66" i="3"/>
  <c r="AP56" i="3"/>
  <c r="AP61" i="3"/>
  <c r="AP46" i="3"/>
  <c r="AP31" i="3"/>
  <c r="AP71" i="3"/>
  <c r="AM21" i="3"/>
  <c r="AM26" i="3"/>
  <c r="AM41" i="3"/>
  <c r="AM66" i="3"/>
  <c r="AM76" i="3"/>
  <c r="AM6" i="3"/>
  <c r="AM61" i="3"/>
  <c r="AM71" i="3"/>
  <c r="AM36" i="3"/>
  <c r="AM31" i="3"/>
  <c r="AM16" i="3"/>
  <c r="AM81" i="3"/>
  <c r="AM51" i="3"/>
  <c r="AM46" i="3"/>
  <c r="AM11" i="3"/>
  <c r="AM56" i="3"/>
  <c r="Z16" i="3"/>
  <c r="Z21" i="3"/>
  <c r="Z36" i="3"/>
  <c r="Z41" i="3"/>
  <c r="Z61" i="3"/>
  <c r="Z56" i="3"/>
  <c r="Z6" i="3"/>
  <c r="Z46" i="3"/>
  <c r="Z76" i="3"/>
  <c r="Z31" i="3"/>
  <c r="Z81" i="3"/>
  <c r="Z51" i="3"/>
  <c r="Z26" i="3"/>
  <c r="Z11" i="3"/>
  <c r="Z66" i="3"/>
  <c r="Z71" i="3"/>
  <c r="W16" i="3"/>
  <c r="W21" i="3"/>
  <c r="W36" i="3"/>
  <c r="W41" i="3"/>
  <c r="W56" i="3"/>
  <c r="W61" i="3"/>
  <c r="W6" i="3"/>
  <c r="W46" i="3"/>
  <c r="W31" i="3"/>
  <c r="W81" i="3"/>
  <c r="W51" i="3"/>
  <c r="W76" i="3"/>
  <c r="W26" i="3"/>
  <c r="W11" i="3"/>
  <c r="W66" i="3"/>
  <c r="W71" i="3"/>
  <c r="AW16" i="4"/>
  <c r="AW31" i="4"/>
  <c r="AW11" i="4"/>
  <c r="AW46" i="4"/>
  <c r="AW71" i="4"/>
  <c r="AW66" i="4"/>
  <c r="AW41" i="4"/>
  <c r="AW76" i="4"/>
  <c r="AW6" i="4"/>
  <c r="AW81" i="4"/>
  <c r="AW51" i="4"/>
  <c r="AW56" i="4"/>
  <c r="AW36" i="4"/>
  <c r="AW26" i="4"/>
  <c r="AW61" i="4"/>
  <c r="AW21" i="4"/>
  <c r="AG16" i="4"/>
  <c r="AG11" i="4"/>
  <c r="AG31" i="4"/>
  <c r="AG46" i="4"/>
  <c r="AG71" i="4"/>
  <c r="AG41" i="4"/>
  <c r="AG66" i="4"/>
  <c r="AG6" i="4"/>
  <c r="AG76" i="4"/>
  <c r="AG81" i="4"/>
  <c r="AG51" i="4"/>
  <c r="AG61" i="4"/>
  <c r="AG56" i="4"/>
  <c r="AG36" i="4"/>
  <c r="AG26" i="4"/>
  <c r="AG21" i="4"/>
  <c r="R16" i="4"/>
  <c r="R21" i="4"/>
  <c r="R41" i="4"/>
  <c r="R36" i="4"/>
  <c r="R51" i="4"/>
  <c r="R66" i="4"/>
  <c r="R76" i="4"/>
  <c r="R6" i="4"/>
  <c r="R81" i="4"/>
  <c r="R56" i="4"/>
  <c r="R71" i="4"/>
  <c r="R46" i="4"/>
  <c r="R31" i="4"/>
  <c r="R11" i="4"/>
  <c r="R61" i="4"/>
  <c r="R26" i="4"/>
  <c r="H26" i="4"/>
  <c r="H11" i="4"/>
  <c r="H31" i="4"/>
  <c r="H36" i="4"/>
  <c r="H81" i="4"/>
  <c r="H76" i="4"/>
  <c r="H41" i="4"/>
  <c r="H46" i="4"/>
  <c r="H6" i="4"/>
  <c r="H61" i="4"/>
  <c r="H71" i="4"/>
  <c r="H51" i="4"/>
  <c r="H66" i="4"/>
  <c r="H21" i="4"/>
  <c r="H16" i="4"/>
  <c r="H56" i="4"/>
  <c r="AV11" i="4"/>
  <c r="AV26" i="4"/>
  <c r="AV36" i="4"/>
  <c r="AV41" i="4"/>
  <c r="AV66" i="4"/>
  <c r="AV61" i="4"/>
  <c r="AV81" i="4"/>
  <c r="AV6" i="4"/>
  <c r="AV76" i="4"/>
  <c r="AV71" i="4"/>
  <c r="AV46" i="4"/>
  <c r="AV56" i="4"/>
  <c r="AV51" i="4"/>
  <c r="AV21" i="4"/>
  <c r="AV16" i="4"/>
  <c r="AV31" i="4"/>
  <c r="AK11" i="3"/>
  <c r="AK16" i="3"/>
  <c r="AK36" i="3"/>
  <c r="AK41" i="3"/>
  <c r="AK56" i="3"/>
  <c r="AK71" i="3"/>
  <c r="AK6" i="3"/>
  <c r="AK51" i="3"/>
  <c r="AK61" i="3"/>
  <c r="AK21" i="3"/>
  <c r="AK26" i="3"/>
  <c r="AK76" i="3"/>
  <c r="AK31" i="3"/>
  <c r="AK46" i="3"/>
  <c r="AK81" i="3"/>
  <c r="AK66" i="3"/>
  <c r="D66" i="3"/>
  <c r="D21" i="3"/>
  <c r="D26" i="3"/>
  <c r="D41" i="3"/>
  <c r="D6" i="3"/>
  <c r="D81" i="3"/>
  <c r="D76" i="3"/>
  <c r="D56" i="3"/>
  <c r="D61" i="3"/>
  <c r="D31" i="3"/>
  <c r="D71" i="3"/>
  <c r="D36" i="3"/>
  <c r="D16" i="3"/>
  <c r="D51" i="3"/>
  <c r="D46" i="3"/>
  <c r="D11" i="3"/>
  <c r="AZ26" i="4"/>
  <c r="AZ11" i="4"/>
  <c r="AZ36" i="4"/>
  <c r="AZ41" i="4"/>
  <c r="AZ81" i="4"/>
  <c r="AZ6" i="4"/>
  <c r="AZ76" i="4"/>
  <c r="AZ61" i="4"/>
  <c r="AZ66" i="4"/>
  <c r="AZ71" i="4"/>
  <c r="AZ51" i="4"/>
  <c r="AZ21" i="4"/>
  <c r="AZ16" i="4"/>
  <c r="AZ31" i="4"/>
  <c r="AZ46" i="4"/>
  <c r="AZ56" i="4"/>
  <c r="AH41" i="3"/>
  <c r="AH61" i="3"/>
  <c r="AH36" i="3"/>
  <c r="AH6" i="3"/>
  <c r="AH76" i="3"/>
  <c r="AH66" i="3"/>
  <c r="AH46" i="3"/>
  <c r="AH21" i="3"/>
  <c r="AH31" i="3"/>
  <c r="AH81" i="3"/>
  <c r="AH51" i="3"/>
  <c r="AH16" i="3"/>
  <c r="AH56" i="3"/>
  <c r="AH26" i="3"/>
  <c r="AH11" i="3"/>
  <c r="AH71" i="3"/>
  <c r="AJ26" i="4"/>
  <c r="AJ11" i="4"/>
  <c r="AJ31" i="4"/>
  <c r="AJ36" i="4"/>
  <c r="AJ41" i="4"/>
  <c r="AJ6" i="4"/>
  <c r="AJ81" i="4"/>
  <c r="AJ76" i="4"/>
  <c r="AJ66" i="4"/>
  <c r="AJ71" i="4"/>
  <c r="AJ61" i="4"/>
  <c r="AJ51" i="4"/>
  <c r="AJ21" i="4"/>
  <c r="AJ16" i="4"/>
  <c r="AJ46" i="4"/>
  <c r="AJ56" i="4"/>
  <c r="U16" i="4"/>
  <c r="U11" i="4"/>
  <c r="U31" i="4"/>
  <c r="U46" i="4"/>
  <c r="U71" i="4"/>
  <c r="U6" i="4"/>
  <c r="U66" i="4"/>
  <c r="U76" i="4"/>
  <c r="U81" i="4"/>
  <c r="U56" i="4"/>
  <c r="U36" i="4"/>
  <c r="U41" i="4"/>
  <c r="U26" i="4"/>
  <c r="U61" i="4"/>
  <c r="U21" i="4"/>
  <c r="U51" i="4"/>
  <c r="Q26" i="3"/>
  <c r="Q11" i="3"/>
  <c r="Q51" i="3"/>
  <c r="Q31" i="3"/>
  <c r="Q66" i="3"/>
  <c r="Q76" i="3"/>
  <c r="Q46" i="3"/>
  <c r="Q71" i="3"/>
  <c r="Q81" i="3"/>
  <c r="Q6" i="3"/>
  <c r="Q41" i="3"/>
  <c r="Q61" i="3"/>
  <c r="Q56" i="3"/>
  <c r="Q36" i="3"/>
  <c r="Q21" i="3"/>
  <c r="Q16" i="3"/>
  <c r="AO11" i="3"/>
  <c r="AO16" i="3"/>
  <c r="AO41" i="3"/>
  <c r="AO31" i="3"/>
  <c r="AO36" i="3"/>
  <c r="AO56" i="3"/>
  <c r="AO6" i="3"/>
  <c r="AO26" i="3"/>
  <c r="AO76" i="3"/>
  <c r="AO46" i="3"/>
  <c r="AO71" i="3"/>
  <c r="AO81" i="3"/>
  <c r="AO66" i="3"/>
  <c r="AO51" i="3"/>
  <c r="AO61" i="3"/>
  <c r="AO21" i="3"/>
  <c r="R11" i="3"/>
  <c r="R16" i="3"/>
  <c r="R41" i="3"/>
  <c r="R56" i="3"/>
  <c r="R51" i="3"/>
  <c r="R31" i="3"/>
  <c r="R36" i="3"/>
  <c r="R76" i="3"/>
  <c r="R6" i="3"/>
  <c r="R71" i="3"/>
  <c r="R26" i="3"/>
  <c r="R46" i="3"/>
  <c r="R66" i="3"/>
  <c r="R81" i="3"/>
  <c r="R61" i="3"/>
  <c r="R21" i="3"/>
  <c r="O81" i="3"/>
  <c r="O41" i="3"/>
  <c r="O6" i="3"/>
  <c r="O66" i="3"/>
  <c r="O26" i="3"/>
  <c r="O71" i="3"/>
  <c r="O36" i="3"/>
  <c r="O16" i="3"/>
  <c r="O51" i="3"/>
  <c r="O21" i="3"/>
  <c r="O46" i="3"/>
  <c r="O11" i="3"/>
  <c r="O76" i="3"/>
  <c r="O56" i="3"/>
  <c r="O61" i="3"/>
  <c r="O31" i="3"/>
  <c r="AU21" i="4"/>
  <c r="AU26" i="4"/>
  <c r="AU56" i="4"/>
  <c r="AU81" i="4"/>
  <c r="AU6" i="4"/>
  <c r="AU61" i="4"/>
  <c r="AU76" i="4"/>
  <c r="AU71" i="4"/>
  <c r="AU36" i="4"/>
  <c r="AU46" i="4"/>
  <c r="AU11" i="4"/>
  <c r="AU66" i="4"/>
  <c r="AU41" i="4"/>
  <c r="AU16" i="4"/>
  <c r="AU51" i="4"/>
  <c r="AU31" i="4"/>
  <c r="AB26" i="4"/>
  <c r="AB11" i="4"/>
  <c r="AB31" i="4"/>
  <c r="AB41" i="4"/>
  <c r="AB36" i="4"/>
  <c r="AB61" i="4"/>
  <c r="AB81" i="4"/>
  <c r="AB66" i="4"/>
  <c r="AB71" i="4"/>
  <c r="AB76" i="4"/>
  <c r="AB6" i="4"/>
  <c r="AB46" i="4"/>
  <c r="AB56" i="4"/>
  <c r="AB51" i="4"/>
  <c r="AB21" i="4"/>
  <c r="AB16" i="4"/>
  <c r="L26" i="4"/>
  <c r="L11" i="4"/>
  <c r="L31" i="4"/>
  <c r="L36" i="4"/>
  <c r="L61" i="4"/>
  <c r="L81" i="4"/>
  <c r="L71" i="4"/>
  <c r="L6" i="4"/>
  <c r="L66" i="4"/>
  <c r="L76" i="4"/>
  <c r="L41" i="4"/>
  <c r="L56" i="4"/>
  <c r="L51" i="4"/>
  <c r="L46" i="4"/>
  <c r="L21" i="4"/>
  <c r="L16" i="4"/>
  <c r="K26" i="3"/>
  <c r="K11" i="3"/>
  <c r="K51" i="3"/>
  <c r="K31" i="3"/>
  <c r="K71" i="3"/>
  <c r="K76" i="3"/>
  <c r="K46" i="3"/>
  <c r="K81" i="3"/>
  <c r="K6" i="3"/>
  <c r="K61" i="3"/>
  <c r="K41" i="3"/>
  <c r="K56" i="3"/>
  <c r="K36" i="3"/>
  <c r="K66" i="3"/>
  <c r="K21" i="3"/>
  <c r="K16" i="3"/>
  <c r="AV26" i="3"/>
  <c r="AV11" i="3"/>
  <c r="AV31" i="3"/>
  <c r="AV46" i="3"/>
  <c r="AV71" i="3"/>
  <c r="AV51" i="3"/>
  <c r="AV81" i="3"/>
  <c r="AV6" i="3"/>
  <c r="AV41" i="3"/>
  <c r="AV56" i="3"/>
  <c r="AV36" i="3"/>
  <c r="AV66" i="3"/>
  <c r="AV21" i="3"/>
  <c r="AV16" i="3"/>
  <c r="AV76" i="3"/>
  <c r="AV61" i="3"/>
  <c r="AF26" i="3"/>
  <c r="AF11" i="3"/>
  <c r="AF71" i="3"/>
  <c r="AF31" i="3"/>
  <c r="AF46" i="3"/>
  <c r="AF51" i="3"/>
  <c r="AF81" i="3"/>
  <c r="AF6" i="3"/>
  <c r="AF41" i="3"/>
  <c r="AF56" i="3"/>
  <c r="AF36" i="3"/>
  <c r="AF66" i="3"/>
  <c r="AF21" i="3"/>
  <c r="AF16" i="3"/>
  <c r="AF76" i="3"/>
  <c r="AF61" i="3"/>
  <c r="S66" i="3"/>
  <c r="S26" i="3"/>
  <c r="S6" i="3"/>
  <c r="S21" i="3"/>
  <c r="S46" i="3"/>
  <c r="S11" i="3"/>
  <c r="S81" i="3"/>
  <c r="S76" i="3"/>
  <c r="S56" i="3"/>
  <c r="S61" i="3"/>
  <c r="S31" i="3"/>
  <c r="S41" i="3"/>
  <c r="S71" i="3"/>
  <c r="S36" i="3"/>
  <c r="S16" i="3"/>
  <c r="S51" i="3"/>
  <c r="AP16" i="4"/>
  <c r="AP21" i="4"/>
  <c r="AP51" i="4"/>
  <c r="AP36" i="4"/>
  <c r="AP76" i="4"/>
  <c r="AP66" i="4"/>
  <c r="AP6" i="4"/>
  <c r="AP71" i="4"/>
  <c r="AP81" i="4"/>
  <c r="AP56" i="4"/>
  <c r="AP46" i="4"/>
  <c r="AP31" i="4"/>
  <c r="AP11" i="4"/>
  <c r="AP61" i="4"/>
  <c r="AP41" i="4"/>
  <c r="AP26" i="4"/>
  <c r="AA21" i="4"/>
  <c r="AA26" i="4"/>
  <c r="AA31" i="4"/>
  <c r="AA6" i="4"/>
  <c r="AA41" i="4"/>
  <c r="AA56" i="4"/>
  <c r="AA81" i="4"/>
  <c r="AA51" i="4"/>
  <c r="AA61" i="4"/>
  <c r="AA76" i="4"/>
  <c r="AA36" i="4"/>
  <c r="AA71" i="4"/>
  <c r="AA46" i="4"/>
  <c r="AA11" i="4"/>
  <c r="AA16" i="4"/>
  <c r="AA66" i="4"/>
  <c r="K21" i="4"/>
  <c r="K26" i="4"/>
  <c r="K56" i="4"/>
  <c r="K6" i="4"/>
  <c r="K61" i="4"/>
  <c r="K41" i="4"/>
  <c r="K81" i="4"/>
  <c r="K76" i="4"/>
  <c r="K51" i="4"/>
  <c r="K46" i="4"/>
  <c r="K11" i="4"/>
  <c r="K16" i="4"/>
  <c r="K66" i="4"/>
  <c r="K71" i="4"/>
  <c r="K36" i="4"/>
  <c r="K31" i="4"/>
  <c r="AD16" i="3"/>
  <c r="AD36" i="3"/>
  <c r="AD41" i="3"/>
  <c r="AD56" i="3"/>
  <c r="AD76" i="3"/>
  <c r="AD21" i="3"/>
  <c r="AD6" i="3"/>
  <c r="AD61" i="3"/>
  <c r="AD26" i="3"/>
  <c r="AD11" i="3"/>
  <c r="AD66" i="3"/>
  <c r="AD46" i="3"/>
  <c r="AD31" i="3"/>
  <c r="AD81" i="3"/>
  <c r="AD51" i="3"/>
  <c r="AD71" i="3"/>
  <c r="AY66" i="3"/>
  <c r="AY26" i="3"/>
  <c r="AY41" i="3"/>
  <c r="AY76" i="3"/>
  <c r="AY6" i="3"/>
  <c r="AY81" i="3"/>
  <c r="AY21" i="3"/>
  <c r="AY46" i="3"/>
  <c r="AY11" i="3"/>
  <c r="AY61" i="3"/>
  <c r="AY71" i="3"/>
  <c r="AY36" i="3"/>
  <c r="AY31" i="3"/>
  <c r="AY16" i="3"/>
  <c r="AY51" i="3"/>
  <c r="AY56" i="3"/>
  <c r="AI66" i="3"/>
  <c r="AI41" i="3"/>
  <c r="AI76" i="3"/>
  <c r="AI6" i="3"/>
  <c r="AI81" i="3"/>
  <c r="AI46" i="3"/>
  <c r="AI11" i="3"/>
  <c r="AI26" i="3"/>
  <c r="AI61" i="3"/>
  <c r="AI71" i="3"/>
  <c r="AI36" i="3"/>
  <c r="AI21" i="3"/>
  <c r="AI31" i="3"/>
  <c r="AI16" i="3"/>
  <c r="AI51" i="3"/>
  <c r="AI56" i="3"/>
  <c r="X76" i="3"/>
  <c r="X26" i="3"/>
  <c r="X71" i="3"/>
  <c r="X46" i="3"/>
  <c r="X51" i="3"/>
  <c r="X6" i="3"/>
  <c r="X81" i="3"/>
  <c r="X31" i="3"/>
  <c r="X11" i="3"/>
  <c r="X41" i="3"/>
  <c r="X66" i="3"/>
  <c r="X61" i="3"/>
  <c r="X56" i="3"/>
  <c r="X36" i="3"/>
  <c r="X21" i="3"/>
  <c r="X16" i="3"/>
  <c r="AS16" i="4"/>
  <c r="AS11" i="4"/>
  <c r="AS31" i="4"/>
  <c r="AS46" i="4"/>
  <c r="AS71" i="4"/>
  <c r="AS61" i="4"/>
  <c r="AS66" i="4"/>
  <c r="AS76" i="4"/>
  <c r="AS6" i="4"/>
  <c r="AS81" i="4"/>
  <c r="AS21" i="4"/>
  <c r="AS51" i="4"/>
  <c r="AS56" i="4"/>
  <c r="AS36" i="4"/>
  <c r="AS41" i="4"/>
  <c r="AS26" i="4"/>
  <c r="AD21" i="4"/>
  <c r="AD16" i="4"/>
  <c r="AD51" i="4"/>
  <c r="AD76" i="4"/>
  <c r="AD6" i="4"/>
  <c r="AD71" i="4"/>
  <c r="AD66" i="4"/>
  <c r="AD81" i="4"/>
  <c r="AD56" i="4"/>
  <c r="AD61" i="4"/>
  <c r="AD41" i="4"/>
  <c r="AD26" i="4"/>
  <c r="AD36" i="4"/>
  <c r="AD46" i="4"/>
  <c r="AD31" i="4"/>
  <c r="AD11" i="4"/>
  <c r="N21" i="4"/>
  <c r="N16" i="4"/>
  <c r="N41" i="4"/>
  <c r="N51" i="4"/>
  <c r="N6" i="4"/>
  <c r="N76" i="4"/>
  <c r="N71" i="4"/>
  <c r="N81" i="4"/>
  <c r="N56" i="4"/>
  <c r="N61" i="4"/>
  <c r="N36" i="4"/>
  <c r="N26" i="4"/>
  <c r="N66" i="4"/>
  <c r="N46" i="4"/>
  <c r="N31" i="4"/>
  <c r="N11" i="4"/>
  <c r="B23" i="8"/>
  <c r="C23" i="8" s="1"/>
  <c r="D23" i="8" s="1"/>
  <c r="B22" i="8"/>
  <c r="C22" i="8" s="1"/>
  <c r="D22" i="8" s="1"/>
  <c r="B24" i="8"/>
  <c r="C24" i="8" s="1"/>
  <c r="D24" i="8" s="1"/>
  <c r="B21" i="8"/>
  <c r="C21" i="8" s="1"/>
  <c r="D21" i="8" s="1"/>
  <c r="BC85" i="3" l="1"/>
  <c r="AY86" i="4"/>
  <c r="AM86" i="4"/>
  <c r="M86" i="4"/>
  <c r="AC86" i="4"/>
  <c r="BB86" i="4"/>
  <c r="O86" i="4"/>
  <c r="AE86" i="4"/>
  <c r="P86" i="4"/>
  <c r="G86" i="4"/>
  <c r="BA86" i="4"/>
  <c r="BD86" i="4"/>
  <c r="S86" i="4"/>
  <c r="AH86" i="4"/>
  <c r="BC86" i="4"/>
  <c r="AR86" i="4"/>
  <c r="Z86" i="4"/>
  <c r="N86" i="4"/>
  <c r="C81" i="4"/>
  <c r="A81" i="4" s="1"/>
  <c r="C51" i="4"/>
  <c r="A51" i="4" s="1"/>
  <c r="AD86" i="4"/>
  <c r="AS86" i="4"/>
  <c r="C31" i="4"/>
  <c r="A31" i="4" s="1"/>
  <c r="AB86" i="4"/>
  <c r="AU86" i="4"/>
  <c r="AW86" i="4"/>
  <c r="H86" i="4"/>
  <c r="Q18" i="1" s="1"/>
  <c r="R86" i="4"/>
  <c r="AX86" i="4"/>
  <c r="AO86" i="4"/>
  <c r="D86" i="4"/>
  <c r="W86" i="4"/>
  <c r="C61" i="4"/>
  <c r="A61" i="4" s="1"/>
  <c r="AP86" i="4"/>
  <c r="C16" i="4"/>
  <c r="A16" i="4" s="1"/>
  <c r="C6" i="4"/>
  <c r="A6" i="4" s="1"/>
  <c r="AJ86" i="4"/>
  <c r="X86" i="4"/>
  <c r="AF86" i="4"/>
  <c r="V86" i="4"/>
  <c r="AK86" i="4"/>
  <c r="T86" i="4"/>
  <c r="F86" i="4"/>
  <c r="Q86" i="4"/>
  <c r="J86" i="4"/>
  <c r="C66" i="4"/>
  <c r="A66" i="4" s="1"/>
  <c r="AL86" i="4"/>
  <c r="AQ86" i="4"/>
  <c r="C71" i="4"/>
  <c r="A71" i="4" s="1"/>
  <c r="AA86" i="4"/>
  <c r="L86" i="4"/>
  <c r="U86" i="4"/>
  <c r="AZ86" i="4"/>
  <c r="AV86" i="4"/>
  <c r="C56" i="4"/>
  <c r="A56" i="4" s="1"/>
  <c r="C46" i="4"/>
  <c r="A46" i="4" s="1"/>
  <c r="C36" i="4"/>
  <c r="A36" i="4" s="1"/>
  <c r="C21" i="4"/>
  <c r="A21" i="4" s="1"/>
  <c r="AG86" i="4"/>
  <c r="AT86" i="4"/>
  <c r="C41" i="4"/>
  <c r="A41" i="4" s="1"/>
  <c r="C76" i="4"/>
  <c r="A76" i="4" s="1"/>
  <c r="AI86" i="4"/>
  <c r="I86" i="4"/>
  <c r="Q15" i="1" s="1"/>
  <c r="Y86" i="4"/>
  <c r="AN86" i="4"/>
  <c r="K86" i="4"/>
  <c r="Q35" i="1" s="1"/>
  <c r="C11" i="4"/>
  <c r="A11" i="4" s="1"/>
  <c r="C26" i="4"/>
  <c r="A26" i="4" s="1"/>
  <c r="E86" i="4"/>
  <c r="Q13" i="1" s="1"/>
  <c r="G17" i="8"/>
  <c r="N17" i="8"/>
  <c r="R17" i="8"/>
  <c r="V17" i="8"/>
  <c r="Z17" i="8"/>
  <c r="I17" i="8"/>
  <c r="O17" i="8"/>
  <c r="W17" i="8"/>
  <c r="K17" i="8"/>
  <c r="J17" i="8"/>
  <c r="P17" i="8"/>
  <c r="T17" i="8"/>
  <c r="X17" i="8"/>
  <c r="F17" i="8"/>
  <c r="H17" i="8"/>
  <c r="S17" i="8"/>
  <c r="L17" i="8"/>
  <c r="M17" i="8"/>
  <c r="Q17" i="8"/>
  <c r="U17" i="8"/>
  <c r="Y17" i="8"/>
  <c r="Q6" i="1" l="1"/>
  <c r="Q36" i="1"/>
  <c r="Q17" i="1"/>
  <c r="Q37" i="1"/>
  <c r="Q39" i="1"/>
  <c r="Q31" i="1"/>
  <c r="C88" i="4"/>
  <c r="A88" i="4" s="1"/>
  <c r="C86" i="4"/>
  <c r="Q48" i="1" s="1"/>
  <c r="C5" i="3"/>
  <c r="T2" i="13" l="1"/>
  <c r="N1" i="11" l="1"/>
  <c r="N2" i="11" s="1"/>
  <c r="R1" i="11"/>
  <c r="R2" i="11" s="1"/>
  <c r="W1" i="11"/>
  <c r="W2" i="11" s="1"/>
  <c r="K22" i="7"/>
  <c r="N22" i="7"/>
  <c r="O22" i="7"/>
  <c r="R31" i="1" s="1"/>
  <c r="P22" i="7"/>
  <c r="Q22" i="7"/>
  <c r="T22" i="7"/>
  <c r="U22" i="7"/>
  <c r="V22" i="7"/>
  <c r="W22" i="7"/>
  <c r="X22" i="7"/>
  <c r="Y22" i="7"/>
  <c r="Z22" i="7"/>
  <c r="AA22" i="7"/>
  <c r="AB22" i="7"/>
  <c r="I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H1" i="11"/>
  <c r="AH2" i="11" s="1"/>
  <c r="AG1" i="11"/>
  <c r="AG2" i="11" s="1"/>
  <c r="AD1" i="11"/>
  <c r="AD2" i="11" s="1"/>
  <c r="AC1" i="11"/>
  <c r="AC2" i="11" s="1"/>
  <c r="Z1" i="11"/>
  <c r="Z2" i="11" s="1"/>
  <c r="Y1" i="11"/>
  <c r="Y2" i="11" s="1"/>
  <c r="V1" i="11"/>
  <c r="V2" i="11" s="1"/>
  <c r="U1" i="11"/>
  <c r="U2" i="11" s="1"/>
  <c r="Q1" i="11"/>
  <c r="Q2" i="11" s="1"/>
  <c r="M1" i="11"/>
  <c r="M2" i="11" s="1"/>
  <c r="J1" i="11"/>
  <c r="J2" i="11" s="1"/>
  <c r="I1" i="11"/>
  <c r="I2" i="11" s="1"/>
  <c r="F1" i="11"/>
  <c r="F2" i="11" s="1"/>
  <c r="E1" i="11"/>
  <c r="E2" i="11" s="1"/>
  <c r="L2" i="1" l="1"/>
  <c r="O2" i="1"/>
  <c r="F2" i="1"/>
  <c r="R2" i="1"/>
  <c r="H2" i="1"/>
  <c r="G2" i="1"/>
  <c r="O3" i="1"/>
  <c r="L3" i="1"/>
  <c r="G3" i="1"/>
  <c r="N3" i="1"/>
  <c r="R3" i="1"/>
  <c r="L19" i="1"/>
  <c r="G19" i="1"/>
  <c r="N19" i="1"/>
  <c r="O19" i="1"/>
  <c r="R19" i="1"/>
  <c r="N27" i="1"/>
  <c r="R27" i="1"/>
  <c r="O27" i="1"/>
  <c r="O23" i="1"/>
  <c r="G23" i="1"/>
  <c r="AF1" i="11"/>
  <c r="N39" i="1"/>
  <c r="R39" i="1"/>
  <c r="O39" i="1"/>
  <c r="L39" i="1"/>
  <c r="G39" i="1"/>
  <c r="X1" i="11"/>
  <c r="N17" i="1"/>
  <c r="O17" i="1"/>
  <c r="G17" i="1"/>
  <c r="L1" i="11"/>
  <c r="N32" i="1"/>
  <c r="O32" i="1"/>
  <c r="G32" i="1"/>
  <c r="N35" i="1"/>
  <c r="O35" i="1"/>
  <c r="G35" i="1"/>
  <c r="L28" i="1"/>
  <c r="R28" i="1"/>
  <c r="O28" i="1"/>
  <c r="G28" i="1"/>
  <c r="N13" i="1"/>
  <c r="R13" i="1"/>
  <c r="O13" i="1"/>
  <c r="L13" i="1"/>
  <c r="AA1" i="11"/>
  <c r="N5" i="1"/>
  <c r="R5" i="1"/>
  <c r="O5" i="1"/>
  <c r="G5" i="1"/>
  <c r="S1" i="11"/>
  <c r="N40" i="1"/>
  <c r="R40" i="1"/>
  <c r="O40" i="1"/>
  <c r="L40" i="1"/>
  <c r="G40" i="1"/>
  <c r="N12" i="1"/>
  <c r="R12" i="1"/>
  <c r="O12" i="1"/>
  <c r="L12" i="1"/>
  <c r="G12" i="1"/>
  <c r="L44" i="1"/>
  <c r="N44" i="1"/>
  <c r="O44" i="1"/>
  <c r="R44" i="1"/>
  <c r="L42" i="1"/>
  <c r="R42" i="1"/>
  <c r="O42" i="1"/>
  <c r="G42" i="1"/>
  <c r="L22" i="1"/>
  <c r="N22" i="1"/>
  <c r="O22" i="1"/>
  <c r="R22" i="1"/>
  <c r="L26" i="1"/>
  <c r="N26" i="1"/>
  <c r="G26" i="1"/>
  <c r="R26" i="1"/>
  <c r="O26" i="1"/>
  <c r="N38" i="1"/>
  <c r="R38" i="1"/>
  <c r="O38" i="1"/>
  <c r="L38" i="1"/>
  <c r="G38" i="1"/>
  <c r="N8" i="1"/>
  <c r="O8" i="1"/>
  <c r="G8" i="1"/>
  <c r="N20" i="1"/>
  <c r="R20" i="1"/>
  <c r="O20" i="1"/>
  <c r="L20" i="1"/>
  <c r="G20" i="1"/>
  <c r="N34" i="1"/>
  <c r="R34" i="1"/>
  <c r="O34" i="1"/>
  <c r="L34" i="1"/>
  <c r="G34" i="1"/>
  <c r="N24" i="1"/>
  <c r="R24" i="1"/>
  <c r="O24" i="1"/>
  <c r="L24" i="1"/>
  <c r="G24" i="1"/>
  <c r="AR1" i="11"/>
  <c r="AB1" i="11"/>
  <c r="N15" i="1"/>
  <c r="R15" i="1"/>
  <c r="O15" i="1"/>
  <c r="L15" i="1"/>
  <c r="G15" i="1"/>
  <c r="T1" i="11"/>
  <c r="P1" i="11"/>
  <c r="N7" i="1"/>
  <c r="O7" i="1"/>
  <c r="G7" i="1"/>
  <c r="H1" i="11"/>
  <c r="N4" i="1"/>
  <c r="O4" i="1"/>
  <c r="G4" i="1"/>
  <c r="L43" i="1"/>
  <c r="R43" i="1"/>
  <c r="G43" i="1"/>
  <c r="O43" i="1"/>
  <c r="L9" i="1"/>
  <c r="N9" i="1"/>
  <c r="G9" i="1"/>
  <c r="O9" i="1"/>
  <c r="R9" i="1"/>
  <c r="AI1" i="11"/>
  <c r="AE1" i="11"/>
  <c r="N21" i="1"/>
  <c r="O21" i="1"/>
  <c r="G21" i="1"/>
  <c r="N37" i="1"/>
  <c r="R37" i="1"/>
  <c r="O37" i="1"/>
  <c r="G37" i="1"/>
  <c r="O1" i="11"/>
  <c r="G1" i="11"/>
  <c r="G2" i="11" s="1"/>
  <c r="K1" i="11"/>
  <c r="L33" i="1"/>
  <c r="N33" i="1"/>
  <c r="O33" i="1"/>
  <c r="R33" i="1"/>
  <c r="G33" i="1"/>
  <c r="G36" i="1"/>
  <c r="O36" i="1"/>
  <c r="R36" i="1"/>
  <c r="L45" i="1"/>
  <c r="G45" i="1"/>
  <c r="N45" i="1"/>
  <c r="R45" i="1"/>
  <c r="O45" i="1"/>
  <c r="N25" i="1"/>
  <c r="R25" i="1"/>
  <c r="R29" i="1"/>
  <c r="O29" i="1"/>
  <c r="L29" i="1"/>
  <c r="N16" i="1"/>
  <c r="R16" i="1"/>
  <c r="O16" i="1"/>
  <c r="L16" i="1"/>
  <c r="G16" i="1"/>
  <c r="V180" i="11"/>
  <c r="F180" i="11"/>
  <c r="AE19" i="10"/>
  <c r="AL19" i="7"/>
  <c r="M37" i="8"/>
  <c r="W19" i="10"/>
  <c r="R180" i="11"/>
  <c r="AD19" i="7"/>
  <c r="O19" i="10"/>
  <c r="C1" i="11"/>
  <c r="X19" i="7"/>
  <c r="G19" i="10"/>
  <c r="W180" i="11"/>
  <c r="N180" i="11"/>
  <c r="J180" i="11"/>
  <c r="Z180" i="11"/>
  <c r="P19" i="7"/>
  <c r="U37" i="8"/>
  <c r="AI19" i="7"/>
  <c r="U19" i="7"/>
  <c r="J37" i="8"/>
  <c r="AD19" i="10"/>
  <c r="N19" i="10"/>
  <c r="AH179" i="11"/>
  <c r="Z179" i="11"/>
  <c r="R179" i="11"/>
  <c r="J179" i="11"/>
  <c r="H19" i="10"/>
  <c r="L19" i="10"/>
  <c r="P19" i="10"/>
  <c r="T19" i="10"/>
  <c r="X19" i="10"/>
  <c r="AB19" i="10"/>
  <c r="AF19" i="10"/>
  <c r="AJ19" i="10"/>
  <c r="G37" i="8"/>
  <c r="N37" i="8"/>
  <c r="R37" i="8"/>
  <c r="V37" i="8"/>
  <c r="Z37" i="8"/>
  <c r="N19" i="7"/>
  <c r="R19" i="7"/>
  <c r="V19" i="7"/>
  <c r="Z19" i="7"/>
  <c r="I19" i="7"/>
  <c r="AF19" i="7"/>
  <c r="AJ19" i="7"/>
  <c r="AN19" i="7"/>
  <c r="E19" i="10"/>
  <c r="I19" i="10"/>
  <c r="M19" i="10"/>
  <c r="Q19" i="10"/>
  <c r="U19" i="10"/>
  <c r="Y19" i="10"/>
  <c r="AC19" i="10"/>
  <c r="AG19" i="10"/>
  <c r="AK19" i="10"/>
  <c r="I37" i="8"/>
  <c r="I18" i="8" s="1"/>
  <c r="H37" i="8"/>
  <c r="O37" i="8"/>
  <c r="S37" i="8"/>
  <c r="W37" i="8"/>
  <c r="F37" i="8"/>
  <c r="F18" i="8" s="1"/>
  <c r="J19" i="7"/>
  <c r="O19" i="7"/>
  <c r="S19" i="7"/>
  <c r="W19" i="7"/>
  <c r="AA19" i="7"/>
  <c r="AC19" i="7"/>
  <c r="AG19" i="7"/>
  <c r="AK19" i="7"/>
  <c r="AO19" i="7"/>
  <c r="D1" i="11"/>
  <c r="D2" i="11" s="1"/>
  <c r="AC180" i="11"/>
  <c r="AC179" i="11"/>
  <c r="AH180" i="11"/>
  <c r="L19" i="7"/>
  <c r="AH19" i="7"/>
  <c r="AB19" i="7"/>
  <c r="T19" i="7"/>
  <c r="M19" i="7"/>
  <c r="Y37" i="8"/>
  <c r="Q37" i="8"/>
  <c r="L37" i="8"/>
  <c r="AI19" i="10"/>
  <c r="AA19" i="10"/>
  <c r="S19" i="10"/>
  <c r="K19" i="10"/>
  <c r="W179" i="11"/>
  <c r="AG180" i="11"/>
  <c r="AG179" i="11"/>
  <c r="H19" i="7"/>
  <c r="K19" i="7"/>
  <c r="T37" i="8"/>
  <c r="D19" i="10"/>
  <c r="V19" i="10"/>
  <c r="F19" i="10"/>
  <c r="E180" i="11"/>
  <c r="E179" i="11"/>
  <c r="I180" i="11"/>
  <c r="I179" i="11"/>
  <c r="M180" i="11"/>
  <c r="M179" i="11"/>
  <c r="Q180" i="11"/>
  <c r="Q179" i="11"/>
  <c r="U180" i="11"/>
  <c r="U179" i="11"/>
  <c r="Y180" i="11"/>
  <c r="Y179" i="11"/>
  <c r="AD180" i="11"/>
  <c r="AM19" i="7"/>
  <c r="AE19" i="7"/>
  <c r="Y19" i="7"/>
  <c r="Q19" i="7"/>
  <c r="X37" i="8"/>
  <c r="P37" i="8"/>
  <c r="K37" i="8"/>
  <c r="AH19" i="10"/>
  <c r="Z19" i="10"/>
  <c r="R19" i="10"/>
  <c r="J19" i="10"/>
  <c r="AD179" i="11"/>
  <c r="V179" i="11"/>
  <c r="N179" i="11"/>
  <c r="F179" i="11"/>
  <c r="R10" i="1" l="1"/>
  <c r="R11" i="1"/>
  <c r="C2" i="11"/>
  <c r="P179" i="11"/>
  <c r="P2" i="11"/>
  <c r="AR179" i="11"/>
  <c r="AR2" i="11"/>
  <c r="S179" i="11"/>
  <c r="S2" i="11"/>
  <c r="AA179" i="11"/>
  <c r="AA2" i="11"/>
  <c r="X180" i="11"/>
  <c r="X2" i="11"/>
  <c r="K180" i="11"/>
  <c r="K2" i="11"/>
  <c r="T180" i="11"/>
  <c r="T2" i="11"/>
  <c r="AE180" i="11"/>
  <c r="AE2" i="11"/>
  <c r="H179" i="11"/>
  <c r="H2" i="11"/>
  <c r="AF179" i="11"/>
  <c r="AF2" i="11"/>
  <c r="O180" i="11"/>
  <c r="O2" i="11"/>
  <c r="AI179" i="11"/>
  <c r="AI2" i="11"/>
  <c r="AB179" i="11"/>
  <c r="AB2" i="11"/>
  <c r="L180" i="11"/>
  <c r="L2" i="11"/>
  <c r="G180" i="11"/>
  <c r="D16" i="7"/>
  <c r="F16" i="7" s="1"/>
  <c r="X179" i="11"/>
  <c r="G179" i="11"/>
  <c r="H180" i="11"/>
  <c r="AF180" i="11"/>
  <c r="O179" i="11"/>
  <c r="T179" i="11"/>
  <c r="S180" i="11"/>
  <c r="L179" i="11"/>
  <c r="AR180" i="11"/>
  <c r="P180" i="11"/>
  <c r="AA180" i="11"/>
  <c r="AE179" i="11"/>
  <c r="AI180" i="11"/>
  <c r="AB180" i="11"/>
  <c r="K179" i="11"/>
  <c r="C179" i="11"/>
  <c r="T3" i="1"/>
  <c r="T2" i="1"/>
  <c r="E2" i="1" s="1"/>
  <c r="C180" i="11"/>
  <c r="D179" i="11"/>
  <c r="D180" i="11"/>
  <c r="C11" i="3" l="1"/>
  <c r="C51" i="3"/>
  <c r="C81" i="3"/>
  <c r="C21" i="3"/>
  <c r="C36" i="3"/>
  <c r="C71" i="3"/>
  <c r="C41" i="3"/>
  <c r="C76" i="3"/>
  <c r="C56" i="3"/>
  <c r="C16" i="3"/>
  <c r="C61" i="3"/>
  <c r="C31" i="3"/>
  <c r="K29" i="1"/>
  <c r="J27" i="1"/>
  <c r="K27" i="1"/>
  <c r="K44" i="1"/>
  <c r="K2" i="1"/>
  <c r="G43" i="6"/>
  <c r="I16" i="6"/>
  <c r="E10" i="6"/>
  <c r="AA7" i="6"/>
  <c r="W91" i="5"/>
  <c r="G64" i="6"/>
  <c r="AB55" i="6"/>
  <c r="M40" i="6"/>
  <c r="M52" i="5"/>
  <c r="X16" i="5"/>
  <c r="T85" i="5"/>
  <c r="S55" i="5"/>
  <c r="S91" i="5"/>
  <c r="H58" i="5"/>
  <c r="K79" i="5"/>
  <c r="P28" i="5"/>
  <c r="U79" i="5"/>
  <c r="S4" i="6"/>
  <c r="N22" i="5"/>
  <c r="Q97" i="6"/>
  <c r="H10" i="6"/>
  <c r="E82" i="6"/>
  <c r="Q31" i="5"/>
  <c r="F88" i="5"/>
  <c r="M67" i="6"/>
  <c r="V10" i="5"/>
  <c r="M34" i="6"/>
  <c r="E10" i="5"/>
  <c r="M73" i="6"/>
  <c r="O10" i="6"/>
  <c r="O73" i="5"/>
  <c r="M37" i="6"/>
  <c r="U61" i="5"/>
  <c r="T7" i="6"/>
  <c r="E43" i="6"/>
  <c r="F52" i="6"/>
  <c r="X13" i="5"/>
  <c r="G31" i="5"/>
  <c r="J19" i="6"/>
  <c r="U88" i="6"/>
  <c r="M85" i="5"/>
  <c r="P25" i="5"/>
  <c r="V79" i="5"/>
  <c r="J16" i="6"/>
  <c r="W10" i="6"/>
  <c r="Y85" i="5"/>
  <c r="F97" i="5"/>
  <c r="K19" i="5"/>
  <c r="O28" i="5"/>
  <c r="G94" i="5"/>
  <c r="Q97" i="5"/>
  <c r="E76" i="6"/>
  <c r="K97" i="5"/>
  <c r="AB58" i="6"/>
  <c r="P61" i="5"/>
  <c r="O25" i="5"/>
  <c r="Y82" i="6"/>
  <c r="E94" i="6"/>
  <c r="P91" i="5"/>
  <c r="N79" i="6"/>
  <c r="H22" i="5"/>
  <c r="N34" i="5"/>
  <c r="F85" i="6"/>
  <c r="X37" i="5"/>
  <c r="G10" i="5"/>
  <c r="H22" i="6"/>
  <c r="L40" i="5"/>
  <c r="X70" i="5"/>
  <c r="K10" i="5"/>
  <c r="AB16" i="6"/>
  <c r="M64" i="6"/>
  <c r="X91" i="5"/>
  <c r="F82" i="6"/>
  <c r="H61" i="6"/>
  <c r="L64" i="6"/>
  <c r="V40" i="5"/>
  <c r="Y64" i="5"/>
  <c r="I58" i="6"/>
  <c r="O85" i="5"/>
  <c r="I88" i="5"/>
  <c r="S85" i="6"/>
  <c r="K37" i="5"/>
  <c r="AY73" i="5"/>
  <c r="F64" i="5"/>
  <c r="G52" i="6"/>
  <c r="F70" i="6"/>
  <c r="F52" i="5"/>
  <c r="V97" i="5"/>
  <c r="I13" i="5"/>
  <c r="AB28" i="6"/>
  <c r="Q70" i="6"/>
  <c r="O7" i="6"/>
  <c r="N88" i="6"/>
  <c r="J34" i="6"/>
  <c r="J94" i="6"/>
  <c r="Y97" i="6"/>
  <c r="I31" i="6"/>
  <c r="G73" i="6"/>
  <c r="AA34" i="6"/>
  <c r="F13" i="6"/>
  <c r="N55" i="6"/>
  <c r="H25" i="6"/>
  <c r="K64" i="5"/>
  <c r="H91" i="5"/>
  <c r="L28" i="6"/>
  <c r="E49" i="6"/>
  <c r="O4" i="5"/>
  <c r="AB79" i="6"/>
  <c r="F34" i="6"/>
  <c r="R64" i="5"/>
  <c r="L79" i="6"/>
  <c r="J97" i="6"/>
  <c r="Y40" i="6"/>
  <c r="H94" i="5"/>
  <c r="E61" i="6"/>
  <c r="U34" i="6"/>
  <c r="E16" i="6"/>
  <c r="S16" i="5"/>
  <c r="O55" i="5"/>
  <c r="S79" i="5"/>
  <c r="E61" i="5"/>
  <c r="F34" i="5"/>
  <c r="I16" i="5"/>
  <c r="N13" i="5"/>
  <c r="O58" i="6"/>
  <c r="U34" i="5"/>
  <c r="I52" i="6"/>
  <c r="J85" i="6"/>
  <c r="R49" i="5"/>
  <c r="H4" i="5"/>
  <c r="E37" i="6"/>
  <c r="AB25" i="6"/>
  <c r="K58" i="5"/>
  <c r="Q76" i="6"/>
  <c r="I43" i="6"/>
  <c r="G58" i="5"/>
  <c r="F85" i="5"/>
  <c r="O37" i="5"/>
  <c r="W76" i="6"/>
  <c r="Y43" i="5"/>
  <c r="H76" i="6"/>
  <c r="S79" i="6"/>
  <c r="V31" i="5"/>
  <c r="I37" i="5"/>
  <c r="E97" i="6"/>
  <c r="T10" i="6"/>
  <c r="V46" i="5"/>
  <c r="T70" i="6"/>
  <c r="F61" i="6"/>
  <c r="J88" i="6"/>
  <c r="T52" i="6"/>
  <c r="R10" i="5"/>
  <c r="I43" i="5"/>
  <c r="I55" i="6"/>
  <c r="I73" i="6"/>
  <c r="L97" i="6"/>
  <c r="S88" i="6"/>
  <c r="W79" i="5"/>
  <c r="O16" i="5"/>
  <c r="J46" i="5"/>
  <c r="S22" i="6"/>
  <c r="U25" i="6"/>
  <c r="E49" i="5"/>
  <c r="M13" i="5"/>
  <c r="G82" i="5"/>
  <c r="H13" i="5"/>
  <c r="O67" i="6"/>
  <c r="Y28" i="5"/>
  <c r="M10" i="6"/>
  <c r="T37" i="6"/>
  <c r="U31" i="5"/>
  <c r="E70" i="6"/>
  <c r="R82" i="5"/>
  <c r="Y91" i="5"/>
  <c r="Q85" i="5"/>
  <c r="O97" i="5"/>
  <c r="R85" i="5"/>
  <c r="U91" i="5"/>
  <c r="O37" i="6"/>
  <c r="AY37" i="5"/>
  <c r="T91" i="5"/>
  <c r="N61" i="5"/>
  <c r="G49" i="5"/>
  <c r="E4" i="5"/>
  <c r="R97" i="5"/>
  <c r="AA4" i="6"/>
  <c r="Y49" i="5"/>
  <c r="F4" i="6"/>
  <c r="Y25" i="5"/>
  <c r="E85" i="5"/>
  <c r="W16" i="5"/>
  <c r="M88" i="5"/>
  <c r="Y13" i="6"/>
  <c r="W55" i="5"/>
  <c r="AA43" i="6"/>
  <c r="P7" i="6"/>
  <c r="N70" i="5"/>
  <c r="G73" i="5"/>
  <c r="AY76" i="5"/>
  <c r="W25" i="6"/>
  <c r="M4" i="5"/>
  <c r="J34" i="5"/>
  <c r="W82" i="5"/>
  <c r="Q70" i="5"/>
  <c r="U76" i="6"/>
  <c r="I94" i="6"/>
  <c r="Q40" i="5"/>
  <c r="W43" i="5"/>
  <c r="H91" i="6"/>
  <c r="G43" i="5"/>
  <c r="T40" i="5"/>
  <c r="S64" i="5"/>
  <c r="R67" i="5"/>
  <c r="F73" i="5"/>
  <c r="M55" i="5"/>
  <c r="H85" i="6"/>
  <c r="O82" i="6"/>
  <c r="P4" i="5"/>
  <c r="V73" i="5"/>
  <c r="E37" i="5"/>
  <c r="J7" i="6"/>
  <c r="AA58" i="6"/>
  <c r="Q46" i="5"/>
  <c r="L16" i="5"/>
  <c r="AY7" i="5"/>
  <c r="W43" i="6"/>
  <c r="H49" i="5"/>
  <c r="G19" i="5"/>
  <c r="G76" i="6"/>
  <c r="E79" i="6"/>
  <c r="I22" i="6"/>
  <c r="U94" i="5"/>
  <c r="AB46" i="6"/>
  <c r="S82" i="6"/>
  <c r="F7" i="6"/>
  <c r="H40" i="6"/>
  <c r="H70" i="6"/>
  <c r="O55" i="6"/>
  <c r="G40" i="6"/>
  <c r="Q58" i="6"/>
  <c r="I91" i="6"/>
  <c r="N49" i="5"/>
  <c r="G49" i="6"/>
  <c r="Q16" i="6"/>
  <c r="L43" i="6"/>
  <c r="J49" i="5"/>
  <c r="O58" i="5"/>
  <c r="K31" i="5"/>
  <c r="T85" i="6"/>
  <c r="N28" i="5"/>
  <c r="H37" i="5"/>
  <c r="V28" i="5"/>
  <c r="S82" i="5"/>
  <c r="S70" i="6"/>
  <c r="W76" i="5"/>
  <c r="U52" i="6"/>
  <c r="H10" i="5"/>
  <c r="M19" i="5"/>
  <c r="Q4" i="5"/>
  <c r="O22" i="5"/>
  <c r="G67" i="6"/>
  <c r="E64" i="5"/>
  <c r="P37" i="5"/>
  <c r="W82" i="6"/>
  <c r="Q79" i="5"/>
  <c r="O64" i="6"/>
  <c r="O43" i="6"/>
  <c r="W58" i="6"/>
  <c r="K55" i="5"/>
  <c r="Y34" i="5"/>
  <c r="Q7" i="6"/>
  <c r="P34" i="6"/>
  <c r="P70" i="6"/>
  <c r="I76" i="6"/>
  <c r="E13" i="5"/>
  <c r="F58" i="6"/>
  <c r="J43" i="5"/>
  <c r="G76" i="5"/>
  <c r="G13" i="5"/>
  <c r="W31" i="6"/>
  <c r="P94" i="6"/>
  <c r="Y79" i="6"/>
  <c r="U28" i="5"/>
  <c r="X34" i="5"/>
  <c r="Q64" i="5"/>
  <c r="I73" i="5"/>
  <c r="X73" i="5"/>
  <c r="T88" i="5"/>
  <c r="Q61" i="6"/>
  <c r="E46" i="5"/>
  <c r="N19" i="5"/>
  <c r="Q67" i="6"/>
  <c r="S67" i="5"/>
  <c r="S19" i="6"/>
  <c r="I19" i="6"/>
  <c r="U28" i="6"/>
  <c r="N82" i="6"/>
  <c r="S88" i="5"/>
  <c r="J88" i="5"/>
  <c r="S7" i="5"/>
  <c r="I52" i="5"/>
  <c r="W88" i="6"/>
  <c r="P7" i="5"/>
  <c r="W40" i="6"/>
  <c r="U13" i="6"/>
  <c r="AY4" i="5"/>
  <c r="J13" i="5"/>
  <c r="Q73" i="5"/>
  <c r="N10" i="5"/>
  <c r="P91" i="6"/>
  <c r="M49" i="5"/>
  <c r="S46" i="6"/>
  <c r="H49" i="6"/>
  <c r="Y22" i="5"/>
  <c r="Q43" i="6"/>
  <c r="Y85" i="6"/>
  <c r="P46" i="6"/>
  <c r="M22" i="6"/>
  <c r="M79" i="5"/>
  <c r="Q94" i="6"/>
  <c r="L22" i="5"/>
  <c r="R61" i="5"/>
  <c r="M55" i="6"/>
  <c r="X67" i="5"/>
  <c r="F91" i="6"/>
  <c r="G31" i="6"/>
  <c r="S73" i="5"/>
  <c r="W49" i="6"/>
  <c r="AY19" i="5"/>
  <c r="G91" i="5"/>
  <c r="S70" i="5"/>
  <c r="N28" i="6"/>
  <c r="N16" i="5"/>
  <c r="R76" i="5"/>
  <c r="S52" i="5"/>
  <c r="AY64" i="5"/>
  <c r="F28" i="5"/>
  <c r="L37" i="5"/>
  <c r="R55" i="5"/>
  <c r="S61" i="5"/>
  <c r="J79" i="5"/>
  <c r="H82" i="6"/>
  <c r="F31" i="6"/>
  <c r="S34" i="5"/>
  <c r="U67" i="6"/>
  <c r="L76" i="6"/>
  <c r="O10" i="5"/>
  <c r="Q13" i="6"/>
  <c r="J91" i="6"/>
  <c r="O97" i="6"/>
  <c r="Q28" i="6"/>
  <c r="T79" i="6"/>
  <c r="M49" i="6"/>
  <c r="O73" i="6"/>
  <c r="Y58" i="5"/>
  <c r="I46" i="6"/>
  <c r="L28" i="5"/>
  <c r="O52" i="5"/>
  <c r="G22" i="5"/>
  <c r="N64" i="5"/>
  <c r="J40" i="6"/>
  <c r="J52" i="5"/>
  <c r="J37" i="6"/>
  <c r="J31" i="5"/>
  <c r="AA16" i="6"/>
  <c r="V58" i="5"/>
  <c r="U49" i="6"/>
  <c r="Y55" i="6"/>
  <c r="T76" i="5"/>
  <c r="Y40" i="5"/>
  <c r="V67" i="5"/>
  <c r="J97" i="5"/>
  <c r="G64" i="5"/>
  <c r="W22" i="5"/>
  <c r="I64" i="6"/>
  <c r="S97" i="6"/>
  <c r="Y13" i="5"/>
  <c r="AY85" i="5"/>
  <c r="I4" i="6"/>
  <c r="N58" i="6"/>
  <c r="G58" i="6"/>
  <c r="F91" i="5"/>
  <c r="G37" i="6"/>
  <c r="G16" i="5"/>
  <c r="G46" i="6"/>
  <c r="I70" i="5"/>
  <c r="T91" i="6"/>
  <c r="J64" i="6"/>
  <c r="AA76" i="6"/>
  <c r="O76" i="5"/>
  <c r="M52" i="6"/>
  <c r="V43" i="5"/>
  <c r="O34" i="6"/>
  <c r="G34" i="5"/>
  <c r="Y19" i="6"/>
  <c r="I40" i="6"/>
  <c r="I10" i="5"/>
  <c r="K40" i="5"/>
  <c r="H73" i="6"/>
  <c r="N31" i="5"/>
  <c r="Q61" i="5"/>
  <c r="X94" i="5"/>
  <c r="M67" i="5"/>
  <c r="I19" i="5"/>
  <c r="T52" i="5"/>
  <c r="S94" i="6"/>
  <c r="Y7" i="6"/>
  <c r="X19" i="5"/>
  <c r="K13" i="5"/>
  <c r="P37" i="6"/>
  <c r="AB34" i="6"/>
  <c r="E67" i="5"/>
  <c r="G70" i="5"/>
  <c r="N16" i="6"/>
  <c r="F31" i="5"/>
  <c r="J52" i="6"/>
  <c r="F16" i="5"/>
  <c r="P82" i="6"/>
  <c r="AY79" i="5"/>
  <c r="S25" i="6"/>
  <c r="U64" i="6"/>
  <c r="M61" i="5"/>
  <c r="N19" i="6"/>
  <c r="L73" i="6"/>
  <c r="M64" i="5"/>
  <c r="R52" i="5"/>
  <c r="Q22" i="6"/>
  <c r="K61" i="5"/>
  <c r="M94" i="6"/>
  <c r="P19" i="5"/>
  <c r="P13" i="5"/>
  <c r="M7" i="6"/>
  <c r="N85" i="6"/>
  <c r="M31" i="5"/>
  <c r="S40" i="5"/>
  <c r="F76" i="6"/>
  <c r="W19" i="5"/>
  <c r="Q88" i="6"/>
  <c r="U61" i="6"/>
  <c r="I13" i="6"/>
  <c r="N52" i="6"/>
  <c r="U58" i="6"/>
  <c r="Q31" i="6"/>
  <c r="V25" i="5"/>
  <c r="W52" i="6"/>
  <c r="G85" i="6"/>
  <c r="Q76" i="5"/>
  <c r="AY70" i="5"/>
  <c r="E34" i="5"/>
  <c r="E67" i="6"/>
  <c r="P13" i="6"/>
  <c r="H31" i="6"/>
  <c r="J58" i="6"/>
  <c r="X52" i="5"/>
  <c r="AY97" i="5"/>
  <c r="AY46" i="5"/>
  <c r="T19" i="5"/>
  <c r="L85" i="6"/>
  <c r="U19" i="5"/>
  <c r="J70" i="5"/>
  <c r="O31" i="6"/>
  <c r="G34" i="6"/>
  <c r="G25" i="5"/>
  <c r="J10" i="5"/>
  <c r="M19" i="6"/>
  <c r="L13" i="5"/>
  <c r="I82" i="5"/>
  <c r="AY61" i="5"/>
  <c r="J55" i="5"/>
  <c r="N76" i="5"/>
  <c r="W94" i="6"/>
  <c r="AA82" i="6"/>
  <c r="J28" i="5"/>
  <c r="X31" i="5"/>
  <c r="M13" i="6"/>
  <c r="AB94" i="6"/>
  <c r="Y76" i="6"/>
  <c r="G82" i="6"/>
  <c r="N22" i="6"/>
  <c r="J61" i="5"/>
  <c r="T64" i="6"/>
  <c r="I7" i="5"/>
  <c r="O67" i="5"/>
  <c r="G52" i="5"/>
  <c r="M43" i="5"/>
  <c r="F64" i="6"/>
  <c r="AB49" i="6"/>
  <c r="M79" i="6"/>
  <c r="E88" i="5"/>
  <c r="M97" i="6"/>
  <c r="E58" i="6"/>
  <c r="U67" i="5"/>
  <c r="L94" i="5"/>
  <c r="P85" i="5"/>
  <c r="G88" i="6"/>
  <c r="S19" i="5"/>
  <c r="X40" i="5"/>
  <c r="M46" i="6"/>
  <c r="L55" i="5"/>
  <c r="G91" i="6"/>
  <c r="M91" i="5"/>
  <c r="W67" i="5"/>
  <c r="O91" i="6"/>
  <c r="N46" i="5"/>
  <c r="I22" i="5"/>
  <c r="O34" i="5"/>
  <c r="I58" i="5"/>
  <c r="F94" i="6"/>
  <c r="Y37" i="6"/>
  <c r="W67" i="6"/>
  <c r="N4" i="5"/>
  <c r="Y82" i="5"/>
  <c r="U43" i="6"/>
  <c r="X85" i="5"/>
  <c r="U97" i="5"/>
  <c r="J82" i="6"/>
  <c r="K46" i="5"/>
  <c r="V94" i="5"/>
  <c r="P94" i="5"/>
  <c r="X82" i="5"/>
  <c r="T88" i="6"/>
  <c r="O46" i="5"/>
  <c r="AY58" i="5"/>
  <c r="H55" i="5"/>
  <c r="U13" i="5"/>
  <c r="E22" i="5"/>
  <c r="H97" i="5"/>
  <c r="H43" i="5"/>
  <c r="AA37" i="6"/>
  <c r="V49" i="5"/>
  <c r="E85" i="6"/>
  <c r="F7" i="5"/>
  <c r="AA13" i="6"/>
  <c r="R4" i="5"/>
  <c r="Q52" i="6"/>
  <c r="S52" i="6"/>
  <c r="K49" i="5"/>
  <c r="N73" i="5"/>
  <c r="J67" i="5"/>
  <c r="Q16" i="5"/>
  <c r="T43" i="6"/>
  <c r="F22" i="5"/>
  <c r="G19" i="6"/>
  <c r="R94" i="5"/>
  <c r="O40" i="5"/>
  <c r="H46" i="6"/>
  <c r="AY16" i="5"/>
  <c r="Y61" i="6"/>
  <c r="V37" i="5"/>
  <c r="Y46" i="6"/>
  <c r="U88" i="5"/>
  <c r="G7" i="5"/>
  <c r="M34" i="5"/>
  <c r="Y70" i="5"/>
  <c r="W16" i="6"/>
  <c r="P79" i="5"/>
  <c r="Q7" i="5"/>
  <c r="I34" i="6"/>
  <c r="P76" i="5"/>
  <c r="T4" i="6"/>
  <c r="H73" i="5"/>
  <c r="V88" i="5"/>
  <c r="Q91" i="6"/>
  <c r="I34" i="5"/>
  <c r="E13" i="6"/>
  <c r="H88" i="5"/>
  <c r="O16" i="6"/>
  <c r="E55" i="5"/>
  <c r="V70" i="5"/>
  <c r="S37" i="6"/>
  <c r="O49" i="6"/>
  <c r="AA22" i="6"/>
  <c r="AY40" i="5"/>
  <c r="H79" i="5"/>
  <c r="T97" i="5"/>
  <c r="H34" i="5"/>
  <c r="O19" i="5"/>
  <c r="AA91" i="6"/>
  <c r="W88" i="5"/>
  <c r="S13" i="5"/>
  <c r="J25" i="6"/>
  <c r="P43" i="5"/>
  <c r="J79" i="6"/>
  <c r="X76" i="5"/>
  <c r="G79" i="5"/>
  <c r="H28" i="6"/>
  <c r="AY22" i="5"/>
  <c r="S37" i="5"/>
  <c r="G40" i="5"/>
  <c r="E82" i="5"/>
  <c r="W19" i="6"/>
  <c r="Y16" i="6"/>
  <c r="S13" i="6"/>
  <c r="I94" i="5"/>
  <c r="Q37" i="6"/>
  <c r="AA10" i="6"/>
  <c r="F49" i="5"/>
  <c r="E55" i="6"/>
  <c r="S58" i="5"/>
  <c r="T55" i="6"/>
  <c r="S34" i="6"/>
  <c r="F88" i="6"/>
  <c r="X64" i="5"/>
  <c r="W70" i="6"/>
  <c r="Y73" i="6"/>
  <c r="W37" i="5"/>
  <c r="M85" i="6"/>
  <c r="J76" i="5"/>
  <c r="Y76" i="5"/>
  <c r="P10" i="6"/>
  <c r="H46" i="5"/>
  <c r="AB22" i="6"/>
  <c r="L88" i="5"/>
  <c r="T67" i="6"/>
  <c r="Y49" i="6"/>
  <c r="O85" i="6"/>
  <c r="K76" i="5"/>
  <c r="L37" i="6"/>
  <c r="N55" i="5"/>
  <c r="H28" i="5"/>
  <c r="AB13" i="6"/>
  <c r="F58" i="5"/>
  <c r="J4" i="6"/>
  <c r="G61" i="5"/>
  <c r="H13" i="6"/>
  <c r="G97" i="5"/>
  <c r="T31" i="6"/>
  <c r="H94" i="6"/>
  <c r="W31" i="5"/>
  <c r="AA25" i="6"/>
  <c r="Y22" i="6"/>
  <c r="L61" i="6"/>
  <c r="Y10" i="5"/>
  <c r="V91" i="5"/>
  <c r="L58" i="5"/>
  <c r="P10" i="5"/>
  <c r="L4" i="5"/>
  <c r="Q49" i="6"/>
  <c r="E28" i="5"/>
  <c r="N91" i="5"/>
  <c r="Q64" i="6"/>
  <c r="K88" i="5"/>
  <c r="J64" i="5"/>
  <c r="F22" i="6"/>
  <c r="R19" i="5"/>
  <c r="H70" i="5"/>
  <c r="O88" i="5"/>
  <c r="N7" i="6"/>
  <c r="AB61" i="6"/>
  <c r="S76" i="5"/>
  <c r="I91" i="5"/>
  <c r="P64" i="6"/>
  <c r="W55" i="6"/>
  <c r="U70" i="5"/>
  <c r="P31" i="6"/>
  <c r="G10" i="6"/>
  <c r="U40" i="6"/>
  <c r="V22" i="5"/>
  <c r="F37" i="6"/>
  <c r="Q22" i="5"/>
  <c r="H82" i="5"/>
  <c r="P49" i="5"/>
  <c r="L4" i="6"/>
  <c r="P64" i="5"/>
  <c r="I28" i="6"/>
  <c r="N91" i="6"/>
  <c r="L85" i="5"/>
  <c r="K22" i="5"/>
  <c r="Y88" i="6"/>
  <c r="W10" i="5"/>
  <c r="J22" i="5"/>
  <c r="R22" i="5"/>
  <c r="U37" i="5"/>
  <c r="G55" i="6"/>
  <c r="Q25" i="5"/>
  <c r="O19" i="6"/>
  <c r="O13" i="5"/>
  <c r="S49" i="5"/>
  <c r="J70" i="6"/>
  <c r="AY31" i="5"/>
  <c r="E19" i="6"/>
  <c r="L61" i="5"/>
  <c r="U58" i="5"/>
  <c r="O52" i="6"/>
  <c r="N97" i="6"/>
  <c r="N76" i="6"/>
  <c r="Q55" i="5"/>
  <c r="AB19" i="6"/>
  <c r="I4" i="5"/>
  <c r="L16" i="6"/>
  <c r="W13" i="5"/>
  <c r="AA28" i="6"/>
  <c r="X28" i="5"/>
  <c r="I97" i="6"/>
  <c r="F79" i="5"/>
  <c r="K43" i="5"/>
  <c r="W46" i="6"/>
  <c r="W28" i="5"/>
  <c r="R58" i="5"/>
  <c r="U22" i="5"/>
  <c r="E46" i="6"/>
  <c r="W64" i="6"/>
  <c r="G28" i="6"/>
  <c r="W28" i="6"/>
  <c r="AB37" i="6"/>
  <c r="U7" i="5"/>
  <c r="K16" i="5"/>
  <c r="O61" i="5"/>
  <c r="F55" i="5"/>
  <c r="O76" i="6"/>
  <c r="F10" i="5"/>
  <c r="G67" i="5"/>
  <c r="Y97" i="5"/>
  <c r="S46" i="5"/>
  <c r="Q13" i="5"/>
  <c r="G16" i="6"/>
  <c r="J31" i="6"/>
  <c r="AA67" i="6"/>
  <c r="K67" i="5"/>
  <c r="N88" i="5"/>
  <c r="AY10" i="5"/>
  <c r="I28" i="5"/>
  <c r="S4" i="5"/>
  <c r="I79" i="5"/>
  <c r="N94" i="5"/>
  <c r="Q58" i="5"/>
  <c r="K91" i="5"/>
  <c r="E40" i="6"/>
  <c r="M40" i="5"/>
  <c r="T61" i="6"/>
  <c r="N49" i="6"/>
  <c r="P52" i="6"/>
  <c r="O64" i="5"/>
  <c r="AB52" i="6"/>
  <c r="AY52" i="5"/>
  <c r="I97" i="5"/>
  <c r="Y58" i="6"/>
  <c r="G46" i="5"/>
  <c r="W4" i="6"/>
  <c r="N52" i="5"/>
  <c r="S55" i="6"/>
  <c r="R88" i="5"/>
  <c r="S7" i="6"/>
  <c r="X4" i="5"/>
  <c r="S67" i="6"/>
  <c r="V16" i="5"/>
  <c r="R31" i="5"/>
  <c r="G25" i="6"/>
  <c r="T10" i="5"/>
  <c r="AA73" i="6"/>
  <c r="O40" i="6"/>
  <c r="Y79" i="5"/>
  <c r="E73" i="6"/>
  <c r="H25" i="5"/>
  <c r="P4" i="6"/>
  <c r="AB76" i="6"/>
  <c r="G61" i="6"/>
  <c r="F37" i="5"/>
  <c r="U46" i="5"/>
  <c r="N79" i="5"/>
  <c r="M16" i="6"/>
  <c r="L40" i="6"/>
  <c r="Y43" i="6"/>
  <c r="AB7" i="6"/>
  <c r="F67" i="6"/>
  <c r="U31" i="6"/>
  <c r="N13" i="6"/>
  <c r="N85" i="5"/>
  <c r="J16" i="5"/>
  <c r="Q73" i="6"/>
  <c r="J13" i="6"/>
  <c r="V61" i="5"/>
  <c r="Q43" i="5"/>
  <c r="H76" i="5"/>
  <c r="AB97" i="6"/>
  <c r="E52" i="5"/>
  <c r="V52" i="5"/>
  <c r="Q25" i="6"/>
  <c r="P22" i="5"/>
  <c r="G70" i="6"/>
  <c r="W25" i="5"/>
  <c r="E31" i="6"/>
  <c r="M37" i="5"/>
  <c r="O22" i="6"/>
  <c r="J73" i="6"/>
  <c r="U97" i="6"/>
  <c r="I37" i="6"/>
  <c r="AA79" i="6"/>
  <c r="R16" i="5"/>
  <c r="AB31" i="6"/>
  <c r="L10" i="5"/>
  <c r="Y28" i="6"/>
  <c r="J7" i="5"/>
  <c r="F82" i="5"/>
  <c r="F19" i="5"/>
  <c r="S31" i="6"/>
  <c r="T22" i="5"/>
  <c r="N40" i="6"/>
  <c r="H55" i="6"/>
  <c r="AA70" i="6"/>
  <c r="V82" i="5"/>
  <c r="M76" i="6"/>
  <c r="L67" i="5"/>
  <c r="O4" i="6"/>
  <c r="E91" i="5"/>
  <c r="K34" i="5"/>
  <c r="T25" i="5"/>
  <c r="N61" i="6"/>
  <c r="E94" i="5"/>
  <c r="S10" i="6"/>
  <c r="O91" i="5"/>
  <c r="J43" i="6"/>
  <c r="I85" i="5"/>
  <c r="K94" i="5"/>
  <c r="W46" i="5"/>
  <c r="N37" i="5"/>
  <c r="P67" i="5"/>
  <c r="E70" i="5"/>
  <c r="I67" i="5"/>
  <c r="M31" i="6"/>
  <c r="AA85" i="6"/>
  <c r="W7" i="6"/>
  <c r="Y37" i="5"/>
  <c r="N58" i="5"/>
  <c r="L19" i="5"/>
  <c r="Y91" i="6"/>
  <c r="N46" i="6"/>
  <c r="H16" i="6"/>
  <c r="G22" i="6"/>
  <c r="F16" i="6"/>
  <c r="L67" i="6"/>
  <c r="J19" i="5"/>
  <c r="J85" i="5"/>
  <c r="N25" i="5"/>
  <c r="L94" i="6"/>
  <c r="H58" i="6"/>
  <c r="M4" i="6"/>
  <c r="G13" i="6"/>
  <c r="N73" i="6"/>
  <c r="J10" i="6"/>
  <c r="P31" i="5"/>
  <c r="M46" i="5"/>
  <c r="H79" i="6"/>
  <c r="AA31" i="6"/>
  <c r="N64" i="6"/>
  <c r="AY94" i="5"/>
  <c r="T46" i="6"/>
  <c r="R40" i="5"/>
  <c r="L70" i="6"/>
  <c r="E73" i="5"/>
  <c r="AA64" i="6"/>
  <c r="F40" i="6"/>
  <c r="N43" i="6"/>
  <c r="O79" i="5"/>
  <c r="T7" i="5"/>
  <c r="Y61" i="5"/>
  <c r="S85" i="5"/>
  <c r="AY25" i="5"/>
  <c r="H52" i="5"/>
  <c r="R25" i="5"/>
  <c r="O43" i="5"/>
  <c r="X97" i="5"/>
  <c r="K73" i="5"/>
  <c r="X61" i="5"/>
  <c r="T73" i="5"/>
  <c r="V85" i="5"/>
  <c r="Y52" i="6"/>
  <c r="Q10" i="5"/>
  <c r="P73" i="6"/>
  <c r="E16" i="5"/>
  <c r="J73" i="5"/>
  <c r="L25" i="5"/>
  <c r="N34" i="6"/>
  <c r="AB10" i="6"/>
  <c r="K7" i="5"/>
  <c r="L52" i="5"/>
  <c r="M58" i="6"/>
  <c r="W85" i="6"/>
  <c r="AB67" i="6"/>
  <c r="U10" i="6"/>
  <c r="L97" i="5"/>
  <c r="V55" i="5"/>
  <c r="E91" i="6"/>
  <c r="P49" i="6"/>
  <c r="H19" i="5"/>
  <c r="Y46" i="5"/>
  <c r="N67" i="6"/>
  <c r="I7" i="6"/>
  <c r="E7" i="6"/>
  <c r="G85" i="5"/>
  <c r="O31" i="5"/>
  <c r="P55" i="5"/>
  <c r="Q94" i="5"/>
  <c r="X58" i="5"/>
  <c r="F43" i="6"/>
  <c r="W79" i="6"/>
  <c r="V13" i="5"/>
  <c r="W7" i="5"/>
  <c r="F67" i="5"/>
  <c r="V64" i="5"/>
  <c r="G4" i="6"/>
  <c r="H64" i="6"/>
  <c r="R70" i="5"/>
  <c r="J94" i="5"/>
  <c r="L19" i="6"/>
  <c r="E4" i="6"/>
  <c r="T13" i="5"/>
  <c r="AY34" i="5"/>
  <c r="E22" i="6"/>
  <c r="M28" i="6"/>
  <c r="T22" i="6"/>
  <c r="I25" i="6"/>
  <c r="AB43" i="6"/>
  <c r="AB73" i="6"/>
  <c r="T31" i="5"/>
  <c r="AB88" i="6"/>
  <c r="AA19" i="6"/>
  <c r="AB40" i="6"/>
  <c r="T55" i="5"/>
  <c r="AB91" i="6"/>
  <c r="M16" i="5"/>
  <c r="K4" i="5"/>
  <c r="T28" i="5"/>
  <c r="Y55" i="5"/>
  <c r="H37" i="6"/>
  <c r="F10" i="6"/>
  <c r="Y88" i="5"/>
  <c r="O88" i="6"/>
  <c r="AY49" i="5"/>
  <c r="P61" i="6"/>
  <c r="Q34" i="6"/>
  <c r="W49" i="5"/>
  <c r="L22" i="6"/>
  <c r="W58" i="5"/>
  <c r="G79" i="6"/>
  <c r="Y31" i="6"/>
  <c r="AY91" i="5"/>
  <c r="M94" i="5"/>
  <c r="T70" i="5"/>
  <c r="Y25" i="6"/>
  <c r="J58" i="5"/>
  <c r="V4" i="5"/>
  <c r="Q88" i="5"/>
  <c r="M10" i="5"/>
  <c r="F13" i="5"/>
  <c r="Y52" i="5"/>
  <c r="P58" i="5"/>
  <c r="U19" i="6"/>
  <c r="T25" i="6"/>
  <c r="Q37" i="5"/>
  <c r="L55" i="6"/>
  <c r="N67" i="5"/>
  <c r="L91" i="6"/>
  <c r="AY67" i="5"/>
  <c r="F73" i="6"/>
  <c r="G37" i="5"/>
  <c r="F25" i="6"/>
  <c r="E31" i="5"/>
  <c r="R73" i="5"/>
  <c r="O94" i="6"/>
  <c r="Y67" i="5"/>
  <c r="O46" i="6"/>
  <c r="P88" i="6"/>
  <c r="E7" i="5"/>
  <c r="E64" i="6"/>
  <c r="O94" i="5"/>
  <c r="N40" i="5"/>
  <c r="L91" i="5"/>
  <c r="U7" i="6"/>
  <c r="Y73" i="5"/>
  <c r="L46" i="6"/>
  <c r="T82" i="6"/>
  <c r="L49" i="6"/>
  <c r="Y94" i="6"/>
  <c r="U82" i="5"/>
  <c r="V19" i="5"/>
  <c r="I67" i="6"/>
  <c r="E34" i="6"/>
  <c r="P46" i="5"/>
  <c r="P28" i="6"/>
  <c r="T94" i="6"/>
  <c r="W70" i="5"/>
  <c r="E43" i="5"/>
  <c r="W85" i="5"/>
  <c r="S22" i="5"/>
  <c r="N70" i="6"/>
  <c r="T94" i="5"/>
  <c r="S61" i="6"/>
  <c r="E40" i="5"/>
  <c r="M61" i="6"/>
  <c r="X22" i="5"/>
  <c r="F43" i="5"/>
  <c r="F40" i="5"/>
  <c r="O13" i="6"/>
  <c r="Q4" i="6"/>
  <c r="P79" i="6"/>
  <c r="L82" i="5"/>
  <c r="W37" i="6"/>
  <c r="T28" i="6"/>
  <c r="R46" i="5"/>
  <c r="M22" i="5"/>
  <c r="L10" i="6"/>
  <c r="U91" i="6"/>
  <c r="K52" i="5"/>
  <c r="R79" i="5"/>
  <c r="Y16" i="5"/>
  <c r="U22" i="6"/>
  <c r="I64" i="5"/>
  <c r="M82" i="6"/>
  <c r="W52" i="5"/>
  <c r="AA61" i="6"/>
  <c r="P16" i="6"/>
  <c r="N10" i="6"/>
  <c r="P52" i="5"/>
  <c r="U40" i="5"/>
  <c r="X7" i="5"/>
  <c r="Q40" i="6"/>
  <c r="P76" i="6"/>
  <c r="W34" i="6"/>
  <c r="Q34" i="5"/>
  <c r="U25" i="5"/>
  <c r="AA88" i="6"/>
  <c r="F70" i="5"/>
  <c r="H31" i="5"/>
  <c r="P88" i="5"/>
  <c r="W40" i="5"/>
  <c r="N43" i="5"/>
  <c r="H7" i="6"/>
  <c r="O49" i="5"/>
  <c r="X88" i="5"/>
  <c r="S49" i="6"/>
  <c r="M91" i="6"/>
  <c r="Y70" i="6"/>
  <c r="G88" i="5"/>
  <c r="W94" i="5"/>
  <c r="P43" i="6"/>
  <c r="H40" i="5"/>
  <c r="S43" i="5"/>
  <c r="J46" i="6"/>
  <c r="H52" i="6"/>
  <c r="E52" i="6"/>
  <c r="P16" i="5"/>
  <c r="O70" i="5"/>
  <c r="AA55" i="6"/>
  <c r="W73" i="5"/>
  <c r="T4" i="5"/>
  <c r="T58" i="6"/>
  <c r="J22" i="6"/>
  <c r="U70" i="6"/>
  <c r="P40" i="5"/>
  <c r="U85" i="6"/>
  <c r="AB64" i="6"/>
  <c r="I46" i="5"/>
  <c r="O82" i="5"/>
  <c r="AY55" i="5"/>
  <c r="T13" i="6"/>
  <c r="X25" i="5"/>
  <c r="T61" i="5"/>
  <c r="T16" i="6"/>
  <c r="L70" i="5"/>
  <c r="I76" i="5"/>
  <c r="W64" i="5"/>
  <c r="H85" i="5"/>
  <c r="T97" i="6"/>
  <c r="F46" i="6"/>
  <c r="M76" i="5"/>
  <c r="F79" i="6"/>
  <c r="T46" i="5"/>
  <c r="W22" i="6"/>
  <c r="S28" i="6"/>
  <c r="U16" i="5"/>
  <c r="AB82" i="6"/>
  <c r="U46" i="6"/>
  <c r="S73" i="6"/>
  <c r="T34" i="5"/>
  <c r="K28" i="5"/>
  <c r="Q85" i="6"/>
  <c r="AA94" i="6"/>
  <c r="M82" i="5"/>
  <c r="U79" i="6"/>
  <c r="U76" i="5"/>
  <c r="S76" i="6"/>
  <c r="S10" i="5"/>
  <c r="J76" i="6"/>
  <c r="F61" i="5"/>
  <c r="Q49" i="5"/>
  <c r="AY82" i="5"/>
  <c r="L34" i="6"/>
  <c r="Y34" i="6"/>
  <c r="O7" i="5"/>
  <c r="U64" i="5"/>
  <c r="Q10" i="6"/>
  <c r="S94" i="5"/>
  <c r="M7" i="5"/>
  <c r="N94" i="6"/>
  <c r="S16" i="6"/>
  <c r="R37" i="5"/>
  <c r="N37" i="6"/>
  <c r="L64" i="5"/>
  <c r="I10" i="6"/>
  <c r="L43" i="5"/>
  <c r="I49" i="6"/>
  <c r="I85" i="6"/>
  <c r="O61" i="6"/>
  <c r="N7" i="5"/>
  <c r="I40" i="5"/>
  <c r="AY13" i="5"/>
  <c r="P85" i="6"/>
  <c r="W4" i="5"/>
  <c r="I61" i="5"/>
  <c r="M73" i="5"/>
  <c r="N25" i="6"/>
  <c r="H64" i="5"/>
  <c r="L76" i="5"/>
  <c r="W91" i="6"/>
  <c r="P34" i="5"/>
  <c r="F94" i="5"/>
  <c r="AB4" i="6"/>
  <c r="M43" i="6"/>
  <c r="L49" i="5"/>
  <c r="U4" i="5"/>
  <c r="AA40" i="6"/>
  <c r="M70" i="5"/>
  <c r="L7" i="5"/>
  <c r="U10" i="5"/>
  <c r="J49" i="6"/>
  <c r="H88" i="6"/>
  <c r="F28" i="6"/>
  <c r="O28" i="6"/>
  <c r="T40" i="6"/>
  <c r="T73" i="6"/>
  <c r="I55" i="5"/>
  <c r="L88" i="6"/>
  <c r="T67" i="5"/>
  <c r="O70" i="6"/>
  <c r="M28" i="5"/>
  <c r="O25" i="6"/>
  <c r="E25" i="5"/>
  <c r="T58" i="5"/>
  <c r="L58" i="6"/>
  <c r="T82" i="5"/>
  <c r="Y19" i="5"/>
  <c r="H67" i="5"/>
  <c r="AA52" i="6"/>
  <c r="U73" i="6"/>
  <c r="G7" i="6"/>
  <c r="L52" i="6"/>
  <c r="J28" i="6"/>
  <c r="F46" i="5"/>
  <c r="G55" i="5"/>
  <c r="F76" i="5"/>
  <c r="P73" i="5"/>
  <c r="M25" i="5"/>
  <c r="J37" i="5"/>
  <c r="U52" i="5"/>
  <c r="X10" i="5"/>
  <c r="F25" i="5"/>
  <c r="P40" i="6"/>
  <c r="S40" i="6"/>
  <c r="Y4" i="5"/>
  <c r="M70" i="6"/>
  <c r="H4" i="6"/>
  <c r="V34" i="5"/>
  <c r="Y64" i="6"/>
  <c r="I82" i="6"/>
  <c r="X55" i="5"/>
  <c r="S31" i="5"/>
  <c r="S28" i="5"/>
  <c r="R13" i="5"/>
  <c r="Y31" i="5"/>
  <c r="L34" i="5"/>
  <c r="H43" i="6"/>
  <c r="Q55" i="6"/>
  <c r="P19" i="6"/>
  <c r="J25" i="5"/>
  <c r="R43" i="5"/>
  <c r="U16" i="6"/>
  <c r="E25" i="6"/>
  <c r="R91" i="5"/>
  <c r="H7" i="5"/>
  <c r="U55" i="6"/>
  <c r="T34" i="6"/>
  <c r="L31" i="5"/>
  <c r="AB70" i="6"/>
  <c r="U37" i="6"/>
  <c r="Q28" i="5"/>
  <c r="H19" i="6"/>
  <c r="T37" i="5"/>
  <c r="P70" i="5"/>
  <c r="K85" i="5"/>
  <c r="N4" i="6"/>
  <c r="R7" i="5"/>
  <c r="F4" i="5"/>
  <c r="X43" i="5"/>
  <c r="I79" i="6"/>
  <c r="L73" i="5"/>
  <c r="M25" i="6"/>
  <c r="F49" i="6"/>
  <c r="P67" i="6"/>
  <c r="N31" i="6"/>
  <c r="E88" i="6"/>
  <c r="H61" i="5"/>
  <c r="S58" i="6"/>
  <c r="S43" i="6"/>
  <c r="S25" i="5"/>
  <c r="U85" i="5"/>
  <c r="R34" i="5"/>
  <c r="X46" i="5"/>
  <c r="L7" i="6"/>
  <c r="F55" i="6"/>
  <c r="G4" i="5"/>
  <c r="L31" i="6"/>
  <c r="Q19" i="6"/>
  <c r="Q79" i="6"/>
  <c r="J55" i="6"/>
  <c r="K70" i="5"/>
  <c r="E76" i="5"/>
  <c r="W34" i="5"/>
  <c r="Y10" i="6"/>
  <c r="F97" i="6"/>
  <c r="Y4" i="6"/>
  <c r="K82" i="5"/>
  <c r="V7" i="5"/>
  <c r="Q91" i="5"/>
  <c r="T49" i="5"/>
  <c r="Y94" i="5"/>
  <c r="I70" i="6"/>
  <c r="N82" i="5"/>
  <c r="T64" i="5"/>
  <c r="I61" i="6"/>
  <c r="F19" i="6"/>
  <c r="P25" i="6"/>
  <c r="M58" i="5"/>
  <c r="W13" i="6"/>
  <c r="L13" i="6"/>
  <c r="AY43" i="5"/>
  <c r="AB85" i="6"/>
  <c r="L46" i="5"/>
  <c r="I88" i="6"/>
  <c r="U43" i="5"/>
  <c r="O79" i="6"/>
  <c r="Y67" i="6"/>
  <c r="Q19" i="5"/>
  <c r="H67" i="6"/>
  <c r="L79" i="5"/>
  <c r="P55" i="6"/>
  <c r="L25" i="6"/>
  <c r="E58" i="5"/>
  <c r="T76" i="6"/>
  <c r="I25" i="5"/>
  <c r="T19" i="6"/>
  <c r="W61" i="6"/>
  <c r="V76" i="5"/>
  <c r="E79" i="5"/>
  <c r="H16" i="5"/>
  <c r="AA46" i="6"/>
  <c r="AY88" i="5"/>
  <c r="E19" i="5"/>
  <c r="E28" i="6"/>
  <c r="Q82" i="6"/>
  <c r="T79" i="5"/>
  <c r="U73" i="5"/>
  <c r="Q46" i="6"/>
  <c r="R28" i="5"/>
  <c r="L82" i="6"/>
  <c r="J40" i="5"/>
  <c r="U55" i="5"/>
  <c r="H34" i="6"/>
  <c r="J67" i="6"/>
  <c r="X49" i="5"/>
  <c r="I49" i="5"/>
  <c r="T16" i="5"/>
  <c r="G94" i="6"/>
  <c r="J82" i="5"/>
  <c r="T43" i="5"/>
  <c r="W61" i="5"/>
  <c r="T49" i="6"/>
  <c r="G28" i="5"/>
  <c r="J61" i="6"/>
  <c r="U4" i="6"/>
  <c r="Q67" i="5"/>
  <c r="X79" i="5"/>
  <c r="S91" i="6"/>
  <c r="Q52" i="5"/>
  <c r="S64" i="6"/>
  <c r="AY28" i="5"/>
  <c r="K25" i="5"/>
  <c r="U49" i="5"/>
  <c r="I31" i="5"/>
  <c r="P22" i="6"/>
  <c r="J4" i="5"/>
  <c r="J91" i="5"/>
  <c r="U94" i="6"/>
  <c r="P82" i="5"/>
  <c r="AA49" i="6"/>
  <c r="P58" i="6"/>
  <c r="W73" i="6"/>
  <c r="Y7" i="5"/>
  <c r="M88" i="6"/>
  <c r="Q82" i="5"/>
  <c r="U82" i="6"/>
  <c r="AY99" i="5" l="1"/>
  <c r="C6" i="5"/>
  <c r="C3" i="5"/>
  <c r="O25" i="1" l="1"/>
  <c r="B10" i="5" l="1"/>
  <c r="B16" i="5"/>
  <c r="B22" i="5"/>
  <c r="B28" i="5"/>
  <c r="B34" i="5"/>
  <c r="B40" i="5"/>
  <c r="B46" i="5"/>
  <c r="B52" i="5"/>
  <c r="B58" i="5"/>
  <c r="B64" i="5"/>
  <c r="B70" i="5"/>
  <c r="B76" i="5"/>
  <c r="B94" i="5" l="1"/>
  <c r="B88" i="5"/>
  <c r="B82" i="5"/>
  <c r="J86" i="3" l="1"/>
  <c r="V86" i="3" l="1"/>
  <c r="H86" i="3" l="1"/>
  <c r="O86" i="3"/>
  <c r="R86" i="3"/>
  <c r="U86" i="3"/>
  <c r="S86" i="3"/>
  <c r="Z86" i="3"/>
  <c r="AL86" i="3"/>
  <c r="G86" i="3"/>
  <c r="AA86" i="3"/>
  <c r="K86" i="3"/>
  <c r="N86" i="3"/>
  <c r="P86" i="3"/>
  <c r="AB86" i="3"/>
  <c r="X86" i="3"/>
  <c r="T86" i="3"/>
  <c r="AM86" i="3"/>
  <c r="AD86" i="3"/>
  <c r="D86" i="3"/>
  <c r="AC86" i="3"/>
  <c r="Y86" i="3"/>
  <c r="E86" i="3"/>
  <c r="M86" i="3"/>
  <c r="L86" i="3"/>
  <c r="Q86" i="3"/>
  <c r="AF86" i="3"/>
  <c r="AK86" i="3"/>
  <c r="AI86" i="3"/>
  <c r="W86" i="3"/>
  <c r="F86" i="3"/>
  <c r="AG86" i="3"/>
  <c r="AE86" i="3"/>
  <c r="I86" i="3"/>
  <c r="AH86" i="3"/>
  <c r="AJ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D86" i="3"/>
  <c r="F3" i="1" l="1"/>
  <c r="F27" i="1"/>
  <c r="F6" i="1"/>
  <c r="F18" i="1"/>
  <c r="F11" i="1"/>
  <c r="F14" i="1"/>
  <c r="F4" i="1"/>
  <c r="F10" i="1"/>
  <c r="F16" i="1"/>
  <c r="F31" i="1"/>
  <c r="F30" i="1"/>
  <c r="F43" i="1"/>
  <c r="F34" i="1"/>
  <c r="F44" i="1"/>
  <c r="F9" i="1"/>
  <c r="F29" i="1"/>
  <c r="F13" i="1"/>
  <c r="F39" i="1"/>
  <c r="F33" i="1"/>
  <c r="C2" i="3"/>
  <c r="F22" i="1"/>
  <c r="F15" i="1"/>
  <c r="F26" i="1"/>
  <c r="F20" i="1"/>
  <c r="F40" i="1"/>
  <c r="F45" i="1"/>
  <c r="F35" i="1"/>
  <c r="F28" i="1"/>
  <c r="F37" i="1"/>
  <c r="F23" i="1"/>
  <c r="F7" i="1"/>
  <c r="F8" i="1"/>
  <c r="F36" i="1"/>
  <c r="F32" i="1"/>
  <c r="F5" i="1"/>
  <c r="F21" i="1"/>
  <c r="F42" i="1"/>
  <c r="F17" i="1"/>
  <c r="F38" i="1"/>
  <c r="F12" i="1"/>
  <c r="F25" i="1"/>
  <c r="F24" i="1"/>
  <c r="F19" i="1"/>
  <c r="C86" i="3"/>
  <c r="F48" i="1" s="1"/>
  <c r="B25" i="11"/>
  <c r="B26" i="11"/>
  <c r="B27" i="11"/>
  <c r="B28" i="11"/>
  <c r="B32" i="11"/>
  <c r="B36" i="11"/>
  <c r="B37" i="11"/>
  <c r="B38" i="11"/>
  <c r="B39" i="11"/>
  <c r="B43" i="11"/>
  <c r="B47" i="11"/>
  <c r="B48" i="11"/>
  <c r="B49" i="11"/>
  <c r="B50" i="11"/>
  <c r="B54" i="11"/>
  <c r="B58" i="11"/>
  <c r="B59" i="11"/>
  <c r="B60" i="11"/>
  <c r="B61" i="11"/>
  <c r="B65" i="11"/>
  <c r="B69" i="11"/>
  <c r="B70" i="11"/>
  <c r="B71" i="11"/>
  <c r="B72" i="11"/>
  <c r="B76" i="11"/>
  <c r="B80" i="11"/>
  <c r="B81" i="11"/>
  <c r="B82" i="11"/>
  <c r="B83" i="11"/>
  <c r="B87" i="11"/>
  <c r="B91" i="11"/>
  <c r="B92" i="11"/>
  <c r="B93" i="11"/>
  <c r="B94" i="11"/>
  <c r="B98" i="11"/>
  <c r="B102" i="11"/>
  <c r="B103" i="11"/>
  <c r="B104" i="11"/>
  <c r="B105" i="11"/>
  <c r="B109" i="11"/>
  <c r="B113" i="11"/>
  <c r="B114" i="11"/>
  <c r="B115" i="11"/>
  <c r="B116" i="11"/>
  <c r="B120" i="11"/>
  <c r="B124" i="11"/>
  <c r="B125" i="11"/>
  <c r="B126" i="11"/>
  <c r="B127" i="11"/>
  <c r="B131" i="11"/>
  <c r="B135" i="11"/>
  <c r="B136" i="11"/>
  <c r="B137" i="11"/>
  <c r="B138" i="11"/>
  <c r="B142" i="11"/>
  <c r="B146" i="11"/>
  <c r="B147" i="11"/>
  <c r="B148" i="11"/>
  <c r="B149" i="11"/>
  <c r="B153" i="11"/>
  <c r="B157" i="11"/>
  <c r="B158" i="11"/>
  <c r="B159" i="11"/>
  <c r="B160" i="11"/>
  <c r="B164" i="11"/>
  <c r="B168" i="11"/>
  <c r="B169" i="11"/>
  <c r="B170" i="11"/>
  <c r="B171" i="11"/>
  <c r="B175" i="11"/>
  <c r="B14" i="11"/>
  <c r="B15" i="11"/>
  <c r="B16" i="11"/>
  <c r="B17" i="11"/>
  <c r="B21" i="11"/>
  <c r="H44" i="1" l="1"/>
  <c r="A3" i="5" l="1"/>
  <c r="A6" i="5" s="1"/>
  <c r="C17" i="10" l="1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E18" i="10" l="1"/>
  <c r="I18" i="10"/>
  <c r="M18" i="10"/>
  <c r="Q18" i="10"/>
  <c r="U18" i="10"/>
  <c r="Y18" i="10"/>
  <c r="AC18" i="10"/>
  <c r="AG18" i="10"/>
  <c r="AK18" i="10"/>
  <c r="F18" i="10"/>
  <c r="N14" i="1" s="1"/>
  <c r="J18" i="10"/>
  <c r="N18" i="10"/>
  <c r="R18" i="10"/>
  <c r="V18" i="10"/>
  <c r="Z18" i="10"/>
  <c r="AD18" i="10"/>
  <c r="AH18" i="10"/>
  <c r="G18" i="10"/>
  <c r="K18" i="10"/>
  <c r="O18" i="10"/>
  <c r="S18" i="10"/>
  <c r="W18" i="10"/>
  <c r="AA18" i="10"/>
  <c r="AE18" i="10"/>
  <c r="AI18" i="10"/>
  <c r="H18" i="10"/>
  <c r="L18" i="10"/>
  <c r="P18" i="10"/>
  <c r="T18" i="10"/>
  <c r="X18" i="10"/>
  <c r="AB18" i="10"/>
  <c r="AF18" i="10"/>
  <c r="AJ18" i="10"/>
  <c r="N36" i="1" l="1"/>
  <c r="N23" i="1"/>
  <c r="C2" i="10"/>
  <c r="C18" i="10" s="1"/>
  <c r="N48" i="1" s="1"/>
  <c r="D18" i="10"/>
  <c r="N18" i="1" s="1"/>
  <c r="N41" i="1" l="1"/>
  <c r="N31" i="1"/>
  <c r="N42" i="1"/>
  <c r="N29" i="1"/>
  <c r="N28" i="1"/>
  <c r="N43" i="1"/>
  <c r="C18" i="2"/>
  <c r="G6" i="1" s="1"/>
  <c r="A13" i="11"/>
  <c r="AQ13" i="11" l="1"/>
  <c r="AP13" i="11"/>
  <c r="AO13" i="11"/>
  <c r="F13" i="11"/>
  <c r="J13" i="11"/>
  <c r="N13" i="11"/>
  <c r="R13" i="11"/>
  <c r="V13" i="11"/>
  <c r="Z13" i="11"/>
  <c r="AD13" i="11"/>
  <c r="AH13" i="11"/>
  <c r="AL13" i="11"/>
  <c r="C13" i="11"/>
  <c r="G13" i="11"/>
  <c r="K13" i="11"/>
  <c r="O13" i="11"/>
  <c r="S13" i="11"/>
  <c r="W13" i="11"/>
  <c r="AA13" i="11"/>
  <c r="AE13" i="11"/>
  <c r="AI13" i="11"/>
  <c r="AM13" i="11"/>
  <c r="D13" i="11"/>
  <c r="H13" i="11"/>
  <c r="L13" i="11"/>
  <c r="P13" i="11"/>
  <c r="T13" i="11"/>
  <c r="X13" i="11"/>
  <c r="AB13" i="11"/>
  <c r="AF13" i="11"/>
  <c r="AJ13" i="11"/>
  <c r="AN13" i="11"/>
  <c r="E13" i="11"/>
  <c r="U13" i="11"/>
  <c r="AK13" i="11"/>
  <c r="I13" i="11"/>
  <c r="Y13" i="11"/>
  <c r="AR13" i="11"/>
  <c r="M13" i="11"/>
  <c r="AC13" i="11"/>
  <c r="Q13" i="11"/>
  <c r="AG13" i="11"/>
  <c r="A24" i="11"/>
  <c r="A14" i="11"/>
  <c r="A3" i="11"/>
  <c r="AP24" i="11" l="1"/>
  <c r="AQ24" i="11"/>
  <c r="AO24" i="11"/>
  <c r="D24" i="11"/>
  <c r="H24" i="11"/>
  <c r="L24" i="11"/>
  <c r="P24" i="11"/>
  <c r="T24" i="11"/>
  <c r="X24" i="11"/>
  <c r="AB24" i="11"/>
  <c r="AF24" i="11"/>
  <c r="AJ24" i="11"/>
  <c r="AN24" i="11"/>
  <c r="E24" i="11"/>
  <c r="I24" i="11"/>
  <c r="M24" i="11"/>
  <c r="Q24" i="11"/>
  <c r="U24" i="11"/>
  <c r="Y24" i="11"/>
  <c r="AC24" i="11"/>
  <c r="AG24" i="11"/>
  <c r="AK24" i="11"/>
  <c r="AR24" i="11"/>
  <c r="F24" i="11"/>
  <c r="J24" i="11"/>
  <c r="N24" i="11"/>
  <c r="R24" i="11"/>
  <c r="V24" i="11"/>
  <c r="Z24" i="11"/>
  <c r="AD24" i="11"/>
  <c r="AH24" i="11"/>
  <c r="AL24" i="11"/>
  <c r="K24" i="11"/>
  <c r="AA24" i="11"/>
  <c r="O24" i="11"/>
  <c r="AE24" i="11"/>
  <c r="C24" i="11"/>
  <c r="S24" i="11"/>
  <c r="AI24" i="11"/>
  <c r="AM24" i="11"/>
  <c r="G24" i="11"/>
  <c r="W24" i="11"/>
  <c r="A15" i="11"/>
  <c r="A35" i="11"/>
  <c r="A25" i="11"/>
  <c r="A4" i="11"/>
  <c r="J20" i="10"/>
  <c r="R20" i="10"/>
  <c r="S20" i="10"/>
  <c r="K20" i="10"/>
  <c r="X20" i="10"/>
  <c r="AB20" i="10"/>
  <c r="AF20" i="10"/>
  <c r="AJ20" i="10"/>
  <c r="W20" i="10"/>
  <c r="AI20" i="10"/>
  <c r="E20" i="10"/>
  <c r="O20" i="10"/>
  <c r="T20" i="10"/>
  <c r="F20" i="10"/>
  <c r="U20" i="10"/>
  <c r="Y20" i="10"/>
  <c r="AC20" i="10"/>
  <c r="AG20" i="10"/>
  <c r="AK20" i="10"/>
  <c r="Q20" i="10"/>
  <c r="N20" i="10"/>
  <c r="AE20" i="10"/>
  <c r="G20" i="10"/>
  <c r="P20" i="10"/>
  <c r="H20" i="10"/>
  <c r="V20" i="10"/>
  <c r="Z20" i="10"/>
  <c r="AD20" i="10"/>
  <c r="AH20" i="10"/>
  <c r="I20" i="10"/>
  <c r="D20" i="10"/>
  <c r="M20" i="10"/>
  <c r="AA20" i="10"/>
  <c r="AP35" i="11" l="1"/>
  <c r="AQ35" i="11"/>
  <c r="AO35" i="11"/>
  <c r="D35" i="11"/>
  <c r="H35" i="11"/>
  <c r="L35" i="11"/>
  <c r="P35" i="11"/>
  <c r="T35" i="11"/>
  <c r="X35" i="11"/>
  <c r="AB35" i="11"/>
  <c r="AF35" i="11"/>
  <c r="AJ35" i="11"/>
  <c r="AN35" i="11"/>
  <c r="F35" i="11"/>
  <c r="J35" i="11"/>
  <c r="N35" i="11"/>
  <c r="R35" i="11"/>
  <c r="V35" i="11"/>
  <c r="Z35" i="11"/>
  <c r="AD35" i="11"/>
  <c r="AH35" i="11"/>
  <c r="AL35" i="11"/>
  <c r="E35" i="11"/>
  <c r="M35" i="11"/>
  <c r="U35" i="11"/>
  <c r="AC35" i="11"/>
  <c r="AK35" i="11"/>
  <c r="G35" i="11"/>
  <c r="O35" i="11"/>
  <c r="W35" i="11"/>
  <c r="AE35" i="11"/>
  <c r="AM35" i="11"/>
  <c r="I35" i="11"/>
  <c r="Y35" i="11"/>
  <c r="AR35" i="11"/>
  <c r="K35" i="11"/>
  <c r="AA35" i="11"/>
  <c r="AG35" i="11"/>
  <c r="C35" i="11"/>
  <c r="AI35" i="11"/>
  <c r="Q35" i="11"/>
  <c r="S35" i="11"/>
  <c r="A26" i="11"/>
  <c r="A36" i="11"/>
  <c r="A46" i="11"/>
  <c r="A16" i="11"/>
  <c r="A5" i="11"/>
  <c r="B14" i="10"/>
  <c r="B13" i="10"/>
  <c r="B12" i="10"/>
  <c r="B15" i="10"/>
  <c r="B16" i="10"/>
  <c r="B10" i="10"/>
  <c r="B9" i="10"/>
  <c r="B8" i="10"/>
  <c r="B11" i="10"/>
  <c r="B2" i="10"/>
  <c r="B6" i="10"/>
  <c r="B5" i="10"/>
  <c r="B4" i="10"/>
  <c r="B7" i="10"/>
  <c r="B17" i="10"/>
  <c r="B3" i="10"/>
  <c r="L20" i="10"/>
  <c r="D2" i="7"/>
  <c r="N46" i="1"/>
  <c r="S3" i="13" s="1"/>
  <c r="S4" i="13" s="1"/>
  <c r="AQ46" i="11" l="1"/>
  <c r="AP46" i="11"/>
  <c r="AO46" i="11"/>
  <c r="E46" i="11"/>
  <c r="I46" i="11"/>
  <c r="M46" i="11"/>
  <c r="Q46" i="11"/>
  <c r="U46" i="11"/>
  <c r="Y46" i="11"/>
  <c r="AC46" i="11"/>
  <c r="AG46" i="11"/>
  <c r="AK46" i="11"/>
  <c r="AR46" i="11"/>
  <c r="F46" i="11"/>
  <c r="J46" i="11"/>
  <c r="N46" i="11"/>
  <c r="R46" i="11"/>
  <c r="V46" i="11"/>
  <c r="Z46" i="11"/>
  <c r="AD46" i="11"/>
  <c r="AH46" i="11"/>
  <c r="AL46" i="11"/>
  <c r="C46" i="11"/>
  <c r="K46" i="11"/>
  <c r="S46" i="11"/>
  <c r="AA46" i="11"/>
  <c r="AI46" i="11"/>
  <c r="D46" i="11"/>
  <c r="L46" i="11"/>
  <c r="T46" i="11"/>
  <c r="AB46" i="11"/>
  <c r="AJ46" i="11"/>
  <c r="O46" i="11"/>
  <c r="AE46" i="11"/>
  <c r="P46" i="11"/>
  <c r="AF46" i="11"/>
  <c r="W46" i="11"/>
  <c r="X46" i="11"/>
  <c r="G46" i="11"/>
  <c r="AM46" i="11"/>
  <c r="H46" i="11"/>
  <c r="AN46" i="11"/>
  <c r="A17" i="11"/>
  <c r="N49" i="1"/>
  <c r="A47" i="11"/>
  <c r="A57" i="11"/>
  <c r="A37" i="11"/>
  <c r="A27" i="11"/>
  <c r="A6" i="11"/>
  <c r="B18" i="10"/>
  <c r="B21" i="10" s="1"/>
  <c r="B22" i="10" s="1"/>
  <c r="B3" i="11"/>
  <c r="B4" i="11"/>
  <c r="B5" i="11"/>
  <c r="B6" i="11"/>
  <c r="B10" i="11"/>
  <c r="AQ57" i="11" l="1"/>
  <c r="AP57" i="11"/>
  <c r="AO57" i="11"/>
  <c r="AQ6" i="11"/>
  <c r="AO6" i="11"/>
  <c r="AP6" i="11"/>
  <c r="AQ17" i="11"/>
  <c r="AP17" i="11"/>
  <c r="AO17" i="11"/>
  <c r="F6" i="11"/>
  <c r="J6" i="11"/>
  <c r="N6" i="11"/>
  <c r="R6" i="11"/>
  <c r="V6" i="11"/>
  <c r="Z6" i="11"/>
  <c r="AD6" i="11"/>
  <c r="AH6" i="11"/>
  <c r="AL6" i="11"/>
  <c r="C6" i="11"/>
  <c r="G6" i="11"/>
  <c r="K6" i="11"/>
  <c r="O6" i="11"/>
  <c r="S6" i="11"/>
  <c r="W6" i="11"/>
  <c r="AA6" i="11"/>
  <c r="AE6" i="11"/>
  <c r="AI6" i="11"/>
  <c r="AM6" i="11"/>
  <c r="D6" i="11"/>
  <c r="H6" i="11"/>
  <c r="L6" i="11"/>
  <c r="P6" i="11"/>
  <c r="T6" i="11"/>
  <c r="X6" i="11"/>
  <c r="AB6" i="11"/>
  <c r="AF6" i="11"/>
  <c r="AJ6" i="11"/>
  <c r="AN6" i="11"/>
  <c r="E6" i="11"/>
  <c r="I6" i="11"/>
  <c r="M6" i="11"/>
  <c r="Q6" i="11"/>
  <c r="U6" i="11"/>
  <c r="Y6" i="11"/>
  <c r="AC6" i="11"/>
  <c r="AG6" i="11"/>
  <c r="AK6" i="11"/>
  <c r="AR6" i="11"/>
  <c r="D17" i="11"/>
  <c r="H17" i="11"/>
  <c r="L17" i="11"/>
  <c r="P17" i="11"/>
  <c r="T17" i="11"/>
  <c r="X17" i="11"/>
  <c r="AB17" i="11"/>
  <c r="AF17" i="11"/>
  <c r="AJ17" i="11"/>
  <c r="AN17" i="11"/>
  <c r="E17" i="11"/>
  <c r="I17" i="11"/>
  <c r="M17" i="11"/>
  <c r="Q17" i="11"/>
  <c r="U17" i="11"/>
  <c r="Y17" i="11"/>
  <c r="AC17" i="11"/>
  <c r="AG17" i="11"/>
  <c r="AK17" i="11"/>
  <c r="AR17" i="11"/>
  <c r="F17" i="11"/>
  <c r="J17" i="11"/>
  <c r="N17" i="11"/>
  <c r="R17" i="11"/>
  <c r="V17" i="11"/>
  <c r="Z17" i="11"/>
  <c r="AD17" i="11"/>
  <c r="AH17" i="11"/>
  <c r="AL17" i="11"/>
  <c r="G17" i="11"/>
  <c r="W17" i="11"/>
  <c r="AM17" i="11"/>
  <c r="K17" i="11"/>
  <c r="AA17" i="11"/>
  <c r="O17" i="11"/>
  <c r="AE17" i="11"/>
  <c r="C17" i="11"/>
  <c r="S17" i="11"/>
  <c r="AI17" i="11"/>
  <c r="C57" i="11"/>
  <c r="G57" i="11"/>
  <c r="K57" i="11"/>
  <c r="O57" i="11"/>
  <c r="S57" i="11"/>
  <c r="W57" i="11"/>
  <c r="AA57" i="11"/>
  <c r="AE57" i="11"/>
  <c r="AI57" i="11"/>
  <c r="AM57" i="11"/>
  <c r="D57" i="11"/>
  <c r="H57" i="11"/>
  <c r="L57" i="11"/>
  <c r="P57" i="11"/>
  <c r="T57" i="11"/>
  <c r="X57" i="11"/>
  <c r="AB57" i="11"/>
  <c r="AF57" i="11"/>
  <c r="AJ57" i="11"/>
  <c r="AN57" i="11"/>
  <c r="E57" i="11"/>
  <c r="M57" i="11"/>
  <c r="U57" i="11"/>
  <c r="AC57" i="11"/>
  <c r="AK57" i="11"/>
  <c r="F57" i="11"/>
  <c r="N57" i="11"/>
  <c r="V57" i="11"/>
  <c r="AD57" i="11"/>
  <c r="AL57" i="11"/>
  <c r="I57" i="11"/>
  <c r="Y57" i="11"/>
  <c r="AR57" i="11"/>
  <c r="J57" i="11"/>
  <c r="Z57" i="11"/>
  <c r="Q57" i="11"/>
  <c r="AG57" i="11"/>
  <c r="R57" i="11"/>
  <c r="AH57" i="11"/>
  <c r="A18" i="11"/>
  <c r="A28" i="11"/>
  <c r="K8" i="13"/>
  <c r="A58" i="11"/>
  <c r="A68" i="11"/>
  <c r="A38" i="11"/>
  <c r="A48" i="11"/>
  <c r="A7" i="11"/>
  <c r="AP7" i="11" l="1"/>
  <c r="AQ7" i="11"/>
  <c r="AO7" i="11"/>
  <c r="AP28" i="11"/>
  <c r="AQ28" i="11"/>
  <c r="AO28" i="11"/>
  <c r="AQ18" i="11"/>
  <c r="AP18" i="11"/>
  <c r="AO18" i="11"/>
  <c r="AP68" i="11"/>
  <c r="AQ68" i="11"/>
  <c r="AO68" i="11"/>
  <c r="E68" i="11"/>
  <c r="I68" i="11"/>
  <c r="M68" i="11"/>
  <c r="Q68" i="11"/>
  <c r="U68" i="11"/>
  <c r="Y68" i="11"/>
  <c r="AC68" i="11"/>
  <c r="AG68" i="11"/>
  <c r="AK68" i="11"/>
  <c r="AR68" i="11"/>
  <c r="F68" i="11"/>
  <c r="J68" i="11"/>
  <c r="N68" i="11"/>
  <c r="R68" i="11"/>
  <c r="V68" i="11"/>
  <c r="Z68" i="11"/>
  <c r="AD68" i="11"/>
  <c r="AH68" i="11"/>
  <c r="AL68" i="11"/>
  <c r="C68" i="11"/>
  <c r="K68" i="11"/>
  <c r="S68" i="11"/>
  <c r="AA68" i="11"/>
  <c r="AI68" i="11"/>
  <c r="D68" i="11"/>
  <c r="L68" i="11"/>
  <c r="T68" i="11"/>
  <c r="AB68" i="11"/>
  <c r="AJ68" i="11"/>
  <c r="O68" i="11"/>
  <c r="AE68" i="11"/>
  <c r="P68" i="11"/>
  <c r="AF68" i="11"/>
  <c r="G68" i="11"/>
  <c r="W68" i="11"/>
  <c r="AM68" i="11"/>
  <c r="H68" i="11"/>
  <c r="X68" i="11"/>
  <c r="AN68" i="11"/>
  <c r="D7" i="11"/>
  <c r="H7" i="11"/>
  <c r="L7" i="11"/>
  <c r="P7" i="11"/>
  <c r="T7" i="11"/>
  <c r="X7" i="11"/>
  <c r="AB7" i="11"/>
  <c r="AF7" i="11"/>
  <c r="AJ7" i="11"/>
  <c r="AN7" i="11"/>
  <c r="E7" i="11"/>
  <c r="I7" i="11"/>
  <c r="M7" i="11"/>
  <c r="Q7" i="11"/>
  <c r="U7" i="11"/>
  <c r="Y7" i="11"/>
  <c r="AC7" i="11"/>
  <c r="AG7" i="11"/>
  <c r="AK7" i="11"/>
  <c r="AR7" i="11"/>
  <c r="F7" i="11"/>
  <c r="J7" i="11"/>
  <c r="N7" i="11"/>
  <c r="R7" i="11"/>
  <c r="V7" i="11"/>
  <c r="Z7" i="11"/>
  <c r="AD7" i="11"/>
  <c r="AH7" i="11"/>
  <c r="AL7" i="11"/>
  <c r="C7" i="11"/>
  <c r="G7" i="11"/>
  <c r="K7" i="11"/>
  <c r="O7" i="11"/>
  <c r="S7" i="11"/>
  <c r="W7" i="11"/>
  <c r="AA7" i="11"/>
  <c r="AE7" i="11"/>
  <c r="AI7" i="11"/>
  <c r="AM7" i="11"/>
  <c r="F28" i="11"/>
  <c r="J28" i="11"/>
  <c r="N28" i="11"/>
  <c r="R28" i="11"/>
  <c r="V28" i="11"/>
  <c r="Z28" i="11"/>
  <c r="D28" i="11"/>
  <c r="H28" i="11"/>
  <c r="L28" i="11"/>
  <c r="P28" i="11"/>
  <c r="T28" i="11"/>
  <c r="X28" i="11"/>
  <c r="E28" i="11"/>
  <c r="M28" i="11"/>
  <c r="U28" i="11"/>
  <c r="AB28" i="11"/>
  <c r="AF28" i="11"/>
  <c r="AJ28" i="11"/>
  <c r="AN28" i="11"/>
  <c r="G28" i="11"/>
  <c r="O28" i="11"/>
  <c r="W28" i="11"/>
  <c r="AC28" i="11"/>
  <c r="I28" i="11"/>
  <c r="Q28" i="11"/>
  <c r="Y28" i="11"/>
  <c r="AD28" i="11"/>
  <c r="AH28" i="11"/>
  <c r="AL28" i="11"/>
  <c r="K28" i="11"/>
  <c r="AG28" i="11"/>
  <c r="AR28" i="11"/>
  <c r="S28" i="11"/>
  <c r="AI28" i="11"/>
  <c r="AK28" i="11"/>
  <c r="C28" i="11"/>
  <c r="AM28" i="11"/>
  <c r="AA28" i="11"/>
  <c r="AE28" i="11"/>
  <c r="E18" i="11"/>
  <c r="I18" i="11"/>
  <c r="M18" i="11"/>
  <c r="Q18" i="11"/>
  <c r="U18" i="11"/>
  <c r="Y18" i="11"/>
  <c r="AC18" i="11"/>
  <c r="AG18" i="11"/>
  <c r="AK18" i="11"/>
  <c r="AR18" i="11"/>
  <c r="F18" i="11"/>
  <c r="J18" i="11"/>
  <c r="N18" i="11"/>
  <c r="R18" i="11"/>
  <c r="V18" i="11"/>
  <c r="Z18" i="11"/>
  <c r="AD18" i="11"/>
  <c r="AH18" i="11"/>
  <c r="AL18" i="11"/>
  <c r="C18" i="11"/>
  <c r="G18" i="11"/>
  <c r="K18" i="11"/>
  <c r="O18" i="11"/>
  <c r="S18" i="11"/>
  <c r="W18" i="11"/>
  <c r="AA18" i="11"/>
  <c r="AE18" i="11"/>
  <c r="AI18" i="11"/>
  <c r="AM18" i="11"/>
  <c r="P18" i="11"/>
  <c r="AF18" i="11"/>
  <c r="D18" i="11"/>
  <c r="T18" i="11"/>
  <c r="AJ18" i="11"/>
  <c r="H18" i="11"/>
  <c r="X18" i="11"/>
  <c r="AN18" i="11"/>
  <c r="AB18" i="11"/>
  <c r="L18" i="11"/>
  <c r="A29" i="11"/>
  <c r="A19" i="11"/>
  <c r="A39" i="11"/>
  <c r="A49" i="11"/>
  <c r="A69" i="11"/>
  <c r="A79" i="11"/>
  <c r="A59" i="11"/>
  <c r="A8" i="11"/>
  <c r="AQ29" i="11" l="1"/>
  <c r="AP29" i="11"/>
  <c r="AO29" i="11"/>
  <c r="AP8" i="11"/>
  <c r="AQ8" i="11"/>
  <c r="AO8" i="11"/>
  <c r="AP39" i="11"/>
  <c r="AQ39" i="11"/>
  <c r="AO39" i="11"/>
  <c r="AP79" i="11"/>
  <c r="AQ79" i="11"/>
  <c r="AO79" i="11"/>
  <c r="AP19" i="11"/>
  <c r="AQ19" i="11"/>
  <c r="AO19" i="11"/>
  <c r="E29" i="11"/>
  <c r="I29" i="11"/>
  <c r="M29" i="11"/>
  <c r="Q29" i="11"/>
  <c r="U29" i="11"/>
  <c r="Y29" i="11"/>
  <c r="AC29" i="11"/>
  <c r="AG29" i="11"/>
  <c r="AK29" i="11"/>
  <c r="AR29" i="11"/>
  <c r="C29" i="11"/>
  <c r="G29" i="11"/>
  <c r="K29" i="11"/>
  <c r="O29" i="11"/>
  <c r="S29" i="11"/>
  <c r="W29" i="11"/>
  <c r="AA29" i="11"/>
  <c r="AE29" i="11"/>
  <c r="AI29" i="11"/>
  <c r="AM29" i="11"/>
  <c r="J29" i="11"/>
  <c r="R29" i="11"/>
  <c r="Z29" i="11"/>
  <c r="AH29" i="11"/>
  <c r="D29" i="11"/>
  <c r="L29" i="11"/>
  <c r="T29" i="11"/>
  <c r="AB29" i="11"/>
  <c r="AJ29" i="11"/>
  <c r="N29" i="11"/>
  <c r="AD29" i="11"/>
  <c r="P29" i="11"/>
  <c r="AF29" i="11"/>
  <c r="V29" i="11"/>
  <c r="X29" i="11"/>
  <c r="AL29" i="11"/>
  <c r="AN29" i="11"/>
  <c r="F29" i="11"/>
  <c r="H29" i="11"/>
  <c r="G8" i="11"/>
  <c r="K8" i="11"/>
  <c r="O8" i="11"/>
  <c r="S8" i="11"/>
  <c r="W8" i="11"/>
  <c r="AA8" i="11"/>
  <c r="AE8" i="11"/>
  <c r="AI8" i="11"/>
  <c r="AM8" i="11"/>
  <c r="D8" i="11"/>
  <c r="H8" i="11"/>
  <c r="L8" i="11"/>
  <c r="P8" i="11"/>
  <c r="T8" i="11"/>
  <c r="X8" i="11"/>
  <c r="AB8" i="11"/>
  <c r="AF8" i="11"/>
  <c r="AJ8" i="11"/>
  <c r="AN8" i="11"/>
  <c r="E8" i="11"/>
  <c r="I8" i="11"/>
  <c r="M8" i="11"/>
  <c r="Q8" i="11"/>
  <c r="U8" i="11"/>
  <c r="Y8" i="11"/>
  <c r="AC8" i="11"/>
  <c r="AG8" i="11"/>
  <c r="AK8" i="11"/>
  <c r="AR8" i="11"/>
  <c r="F8" i="11"/>
  <c r="J8" i="11"/>
  <c r="N8" i="11"/>
  <c r="R8" i="11"/>
  <c r="V8" i="11"/>
  <c r="Z8" i="11"/>
  <c r="AD8" i="11"/>
  <c r="AH8" i="11"/>
  <c r="AL8" i="11"/>
  <c r="C8" i="11"/>
  <c r="F39" i="11"/>
  <c r="J39" i="11"/>
  <c r="N39" i="11"/>
  <c r="R39" i="11"/>
  <c r="V39" i="11"/>
  <c r="Z39" i="11"/>
  <c r="AD39" i="11"/>
  <c r="AH39" i="11"/>
  <c r="AL39" i="11"/>
  <c r="D39" i="11"/>
  <c r="H39" i="11"/>
  <c r="L39" i="11"/>
  <c r="P39" i="11"/>
  <c r="T39" i="11"/>
  <c r="X39" i="11"/>
  <c r="AB39" i="11"/>
  <c r="AF39" i="11"/>
  <c r="AJ39" i="11"/>
  <c r="AN39" i="11"/>
  <c r="G39" i="11"/>
  <c r="O39" i="11"/>
  <c r="W39" i="11"/>
  <c r="AE39" i="11"/>
  <c r="AM39" i="11"/>
  <c r="I39" i="11"/>
  <c r="Q39" i="11"/>
  <c r="Y39" i="11"/>
  <c r="AG39" i="11"/>
  <c r="AR39" i="11"/>
  <c r="K39" i="11"/>
  <c r="AA39" i="11"/>
  <c r="M39" i="11"/>
  <c r="AC39" i="11"/>
  <c r="S39" i="11"/>
  <c r="U39" i="11"/>
  <c r="AI39" i="11"/>
  <c r="AK39" i="11"/>
  <c r="C39" i="11"/>
  <c r="E39" i="11"/>
  <c r="D79" i="11"/>
  <c r="H79" i="11"/>
  <c r="L79" i="11"/>
  <c r="P79" i="11"/>
  <c r="T79" i="11"/>
  <c r="X79" i="11"/>
  <c r="AB79" i="11"/>
  <c r="AF79" i="11"/>
  <c r="AJ79" i="11"/>
  <c r="AN79" i="11"/>
  <c r="F79" i="11"/>
  <c r="K79" i="11"/>
  <c r="Q79" i="11"/>
  <c r="V79" i="11"/>
  <c r="AA79" i="11"/>
  <c r="AG79" i="11"/>
  <c r="AL79" i="11"/>
  <c r="G79" i="11"/>
  <c r="M79" i="11"/>
  <c r="R79" i="11"/>
  <c r="W79" i="11"/>
  <c r="AC79" i="11"/>
  <c r="AH79" i="11"/>
  <c r="AM79" i="11"/>
  <c r="C79" i="11"/>
  <c r="I79" i="11"/>
  <c r="N79" i="11"/>
  <c r="S79" i="11"/>
  <c r="Y79" i="11"/>
  <c r="AD79" i="11"/>
  <c r="AI79" i="11"/>
  <c r="AR79" i="11"/>
  <c r="E79" i="11"/>
  <c r="J79" i="11"/>
  <c r="O79" i="11"/>
  <c r="U79" i="11"/>
  <c r="Z79" i="11"/>
  <c r="AE79" i="11"/>
  <c r="AK79" i="11"/>
  <c r="F19" i="11"/>
  <c r="J19" i="11"/>
  <c r="N19" i="11"/>
  <c r="R19" i="11"/>
  <c r="V19" i="11"/>
  <c r="Z19" i="11"/>
  <c r="AD19" i="11"/>
  <c r="AH19" i="11"/>
  <c r="AL19" i="11"/>
  <c r="C19" i="11"/>
  <c r="G19" i="11"/>
  <c r="K19" i="11"/>
  <c r="O19" i="11"/>
  <c r="S19" i="11"/>
  <c r="W19" i="11"/>
  <c r="AA19" i="11"/>
  <c r="AE19" i="11"/>
  <c r="AI19" i="11"/>
  <c r="AM19" i="11"/>
  <c r="D19" i="11"/>
  <c r="H19" i="11"/>
  <c r="L19" i="11"/>
  <c r="P19" i="11"/>
  <c r="T19" i="11"/>
  <c r="X19" i="11"/>
  <c r="AB19" i="11"/>
  <c r="AF19" i="11"/>
  <c r="AJ19" i="11"/>
  <c r="AN19" i="11"/>
  <c r="I19" i="11"/>
  <c r="Y19" i="11"/>
  <c r="AR19" i="11"/>
  <c r="M19" i="11"/>
  <c r="AC19" i="11"/>
  <c r="Q19" i="11"/>
  <c r="AG19" i="11"/>
  <c r="E19" i="11"/>
  <c r="U19" i="11"/>
  <c r="AK19" i="11"/>
  <c r="A30" i="11"/>
  <c r="A40" i="11"/>
  <c r="A20" i="11"/>
  <c r="A50" i="11"/>
  <c r="A80" i="11"/>
  <c r="A90" i="11"/>
  <c r="A60" i="11"/>
  <c r="A70" i="11"/>
  <c r="A9" i="11"/>
  <c r="Q18" i="7"/>
  <c r="P18" i="7"/>
  <c r="AP20" i="11" l="1"/>
  <c r="AQ20" i="11"/>
  <c r="AO20" i="11"/>
  <c r="AQ90" i="11"/>
  <c r="AP90" i="11"/>
  <c r="AO90" i="11"/>
  <c r="A41" i="11"/>
  <c r="AP40" i="11"/>
  <c r="AQ40" i="11"/>
  <c r="AO40" i="11"/>
  <c r="AQ9" i="11"/>
  <c r="AP9" i="11"/>
  <c r="AO9" i="11"/>
  <c r="AQ30" i="11"/>
  <c r="AP30" i="11"/>
  <c r="AO30" i="11"/>
  <c r="AQ50" i="11"/>
  <c r="AP50" i="11"/>
  <c r="AO50" i="11"/>
  <c r="F9" i="11"/>
  <c r="J9" i="11"/>
  <c r="N9" i="11"/>
  <c r="R9" i="11"/>
  <c r="V9" i="11"/>
  <c r="Z9" i="11"/>
  <c r="AD9" i="11"/>
  <c r="AH9" i="11"/>
  <c r="AL9" i="11"/>
  <c r="C9" i="11"/>
  <c r="G9" i="11"/>
  <c r="K9" i="11"/>
  <c r="O9" i="11"/>
  <c r="S9" i="11"/>
  <c r="W9" i="11"/>
  <c r="AA9" i="11"/>
  <c r="AE9" i="11"/>
  <c r="AI9" i="11"/>
  <c r="AM9" i="11"/>
  <c r="D9" i="11"/>
  <c r="H9" i="11"/>
  <c r="L9" i="11"/>
  <c r="P9" i="11"/>
  <c r="T9" i="11"/>
  <c r="X9" i="11"/>
  <c r="AB9" i="11"/>
  <c r="AF9" i="11"/>
  <c r="AJ9" i="11"/>
  <c r="AN9" i="11"/>
  <c r="E9" i="11"/>
  <c r="I9" i="11"/>
  <c r="M9" i="11"/>
  <c r="Q9" i="11"/>
  <c r="U9" i="11"/>
  <c r="Y9" i="11"/>
  <c r="AC9" i="11"/>
  <c r="AG9" i="11"/>
  <c r="AK9" i="11"/>
  <c r="AR9" i="11"/>
  <c r="C40" i="11"/>
  <c r="G40" i="11"/>
  <c r="K40" i="11"/>
  <c r="O40" i="11"/>
  <c r="S40" i="11"/>
  <c r="W40" i="11"/>
  <c r="AA40" i="11"/>
  <c r="AE40" i="11"/>
  <c r="AI40" i="11"/>
  <c r="AM40" i="11"/>
  <c r="F40" i="11"/>
  <c r="L40" i="11"/>
  <c r="Q40" i="11"/>
  <c r="V40" i="11"/>
  <c r="AB40" i="11"/>
  <c r="AG40" i="11"/>
  <c r="AL40" i="11"/>
  <c r="H40" i="11"/>
  <c r="M40" i="11"/>
  <c r="R40" i="11"/>
  <c r="X40" i="11"/>
  <c r="AC40" i="11"/>
  <c r="AH40" i="11"/>
  <c r="AN40" i="11"/>
  <c r="D40" i="11"/>
  <c r="N40" i="11"/>
  <c r="Y40" i="11"/>
  <c r="AJ40" i="11"/>
  <c r="E40" i="11"/>
  <c r="P40" i="11"/>
  <c r="Z40" i="11"/>
  <c r="AK40" i="11"/>
  <c r="I40" i="11"/>
  <c r="AD40" i="11"/>
  <c r="J40" i="11"/>
  <c r="AF40" i="11"/>
  <c r="AR40" i="11"/>
  <c r="T40" i="11"/>
  <c r="U40" i="11"/>
  <c r="D41" i="11"/>
  <c r="H41" i="11"/>
  <c r="L41" i="11"/>
  <c r="E41" i="11"/>
  <c r="J41" i="11"/>
  <c r="O41" i="11"/>
  <c r="S41" i="11"/>
  <c r="W41" i="11"/>
  <c r="AA41" i="11"/>
  <c r="AE41" i="11"/>
  <c r="AI41" i="11"/>
  <c r="AM41" i="11"/>
  <c r="F41" i="11"/>
  <c r="K41" i="11"/>
  <c r="P41" i="11"/>
  <c r="T41" i="11"/>
  <c r="X41" i="11"/>
  <c r="AB41" i="11"/>
  <c r="AF41" i="11"/>
  <c r="AJ41" i="11"/>
  <c r="AN41" i="11"/>
  <c r="G41" i="11"/>
  <c r="Q41" i="11"/>
  <c r="Y41" i="11"/>
  <c r="AG41" i="11"/>
  <c r="AR41" i="11"/>
  <c r="I41" i="11"/>
  <c r="R41" i="11"/>
  <c r="Z41" i="11"/>
  <c r="AH41" i="11"/>
  <c r="M41" i="11"/>
  <c r="AC41" i="11"/>
  <c r="N41" i="11"/>
  <c r="AD41" i="11"/>
  <c r="AK41" i="11"/>
  <c r="C41" i="11"/>
  <c r="AL41" i="11"/>
  <c r="U41" i="11"/>
  <c r="V41" i="11"/>
  <c r="F30" i="11"/>
  <c r="J30" i="11"/>
  <c r="N30" i="11"/>
  <c r="R30" i="11"/>
  <c r="V30" i="11"/>
  <c r="Z30" i="11"/>
  <c r="AD30" i="11"/>
  <c r="AH30" i="11"/>
  <c r="AL30" i="11"/>
  <c r="D30" i="11"/>
  <c r="H30" i="11"/>
  <c r="L30" i="11"/>
  <c r="P30" i="11"/>
  <c r="T30" i="11"/>
  <c r="X30" i="11"/>
  <c r="AB30" i="11"/>
  <c r="AF30" i="11"/>
  <c r="AJ30" i="11"/>
  <c r="AN30" i="11"/>
  <c r="C30" i="11"/>
  <c r="K30" i="11"/>
  <c r="S30" i="11"/>
  <c r="AA30" i="11"/>
  <c r="AI30" i="11"/>
  <c r="E30" i="11"/>
  <c r="M30" i="11"/>
  <c r="U30" i="11"/>
  <c r="AC30" i="11"/>
  <c r="AK30" i="11"/>
  <c r="G30" i="11"/>
  <c r="W30" i="11"/>
  <c r="AM30" i="11"/>
  <c r="I30" i="11"/>
  <c r="Y30" i="11"/>
  <c r="AR30" i="11"/>
  <c r="O30" i="11"/>
  <c r="Q30" i="11"/>
  <c r="AE30" i="11"/>
  <c r="AG30" i="11"/>
  <c r="C50" i="11"/>
  <c r="G50" i="11"/>
  <c r="K50" i="11"/>
  <c r="O50" i="11"/>
  <c r="S50" i="11"/>
  <c r="W50" i="11"/>
  <c r="AA50" i="11"/>
  <c r="AE50" i="11"/>
  <c r="AI50" i="11"/>
  <c r="AM50" i="11"/>
  <c r="D50" i="11"/>
  <c r="H50" i="11"/>
  <c r="L50" i="11"/>
  <c r="E50" i="11"/>
  <c r="M50" i="11"/>
  <c r="R50" i="11"/>
  <c r="X50" i="11"/>
  <c r="AC50" i="11"/>
  <c r="AH50" i="11"/>
  <c r="AN50" i="11"/>
  <c r="F50" i="11"/>
  <c r="N50" i="11"/>
  <c r="T50" i="11"/>
  <c r="Y50" i="11"/>
  <c r="AD50" i="11"/>
  <c r="AJ50" i="11"/>
  <c r="AR50" i="11"/>
  <c r="P50" i="11"/>
  <c r="Z50" i="11"/>
  <c r="AK50" i="11"/>
  <c r="Q50" i="11"/>
  <c r="AB50" i="11"/>
  <c r="AL50" i="11"/>
  <c r="I50" i="11"/>
  <c r="AF50" i="11"/>
  <c r="J50" i="11"/>
  <c r="AG50" i="11"/>
  <c r="U50" i="11"/>
  <c r="V50" i="11"/>
  <c r="C90" i="11"/>
  <c r="G90" i="11"/>
  <c r="K90" i="11"/>
  <c r="O90" i="11"/>
  <c r="H90" i="11"/>
  <c r="M90" i="11"/>
  <c r="R90" i="11"/>
  <c r="V90" i="11"/>
  <c r="Z90" i="11"/>
  <c r="AD90" i="11"/>
  <c r="AH90" i="11"/>
  <c r="AL90" i="11"/>
  <c r="D90" i="11"/>
  <c r="I90" i="11"/>
  <c r="N90" i="11"/>
  <c r="S90" i="11"/>
  <c r="W90" i="11"/>
  <c r="AA90" i="11"/>
  <c r="AE90" i="11"/>
  <c r="AI90" i="11"/>
  <c r="AM90" i="11"/>
  <c r="E90" i="11"/>
  <c r="J90" i="11"/>
  <c r="P90" i="11"/>
  <c r="T90" i="11"/>
  <c r="X90" i="11"/>
  <c r="AB90" i="11"/>
  <c r="AF90" i="11"/>
  <c r="AJ90" i="11"/>
  <c r="AN90" i="11"/>
  <c r="F90" i="11"/>
  <c r="Y90" i="11"/>
  <c r="AR90" i="11"/>
  <c r="L90" i="11"/>
  <c r="AC90" i="11"/>
  <c r="Q90" i="11"/>
  <c r="AG90" i="11"/>
  <c r="U90" i="11"/>
  <c r="AK90" i="11"/>
  <c r="C20" i="11"/>
  <c r="G20" i="11"/>
  <c r="K20" i="11"/>
  <c r="O20" i="11"/>
  <c r="S20" i="11"/>
  <c r="W20" i="11"/>
  <c r="AA20" i="11"/>
  <c r="AE20" i="11"/>
  <c r="AI20" i="11"/>
  <c r="AM20" i="11"/>
  <c r="D20" i="11"/>
  <c r="H20" i="11"/>
  <c r="L20" i="11"/>
  <c r="P20" i="11"/>
  <c r="T20" i="11"/>
  <c r="X20" i="11"/>
  <c r="AB20" i="11"/>
  <c r="AF20" i="11"/>
  <c r="AJ20" i="11"/>
  <c r="AN20" i="11"/>
  <c r="E20" i="11"/>
  <c r="I20" i="11"/>
  <c r="M20" i="11"/>
  <c r="Q20" i="11"/>
  <c r="U20" i="11"/>
  <c r="Y20" i="11"/>
  <c r="AC20" i="11"/>
  <c r="AG20" i="11"/>
  <c r="AK20" i="11"/>
  <c r="AR20" i="11"/>
  <c r="R20" i="11"/>
  <c r="AH20" i="11"/>
  <c r="F20" i="11"/>
  <c r="V20" i="11"/>
  <c r="AL20" i="11"/>
  <c r="J20" i="11"/>
  <c r="Z20" i="11"/>
  <c r="N20" i="11"/>
  <c r="AD20" i="11"/>
  <c r="A21" i="11"/>
  <c r="A31" i="11"/>
  <c r="A51" i="11"/>
  <c r="A61" i="11"/>
  <c r="A42" i="11"/>
  <c r="A71" i="11"/>
  <c r="A101" i="11"/>
  <c r="A91" i="11"/>
  <c r="A81" i="11"/>
  <c r="A10" i="11"/>
  <c r="AQ101" i="11" l="1"/>
  <c r="AP101" i="11"/>
  <c r="AO101" i="11"/>
  <c r="A52" i="11"/>
  <c r="E52" i="11" s="1"/>
  <c r="AP51" i="11"/>
  <c r="AQ51" i="11"/>
  <c r="AO51" i="11"/>
  <c r="AQ41" i="11"/>
  <c r="AP41" i="11"/>
  <c r="AO41" i="11"/>
  <c r="AQ61" i="11"/>
  <c r="AP61" i="11"/>
  <c r="AO61" i="11"/>
  <c r="AP31" i="11"/>
  <c r="AQ31" i="11"/>
  <c r="AO31" i="11"/>
  <c r="AQ42" i="11"/>
  <c r="AP42" i="11"/>
  <c r="AO42" i="11"/>
  <c r="A22" i="11"/>
  <c r="A23" i="11" s="1"/>
  <c r="Z52" i="11"/>
  <c r="AM52" i="11"/>
  <c r="C31" i="11"/>
  <c r="G31" i="11"/>
  <c r="K31" i="11"/>
  <c r="O31" i="11"/>
  <c r="S31" i="11"/>
  <c r="W31" i="11"/>
  <c r="AA31" i="11"/>
  <c r="AE31" i="11"/>
  <c r="AI31" i="11"/>
  <c r="AM31" i="11"/>
  <c r="E31" i="11"/>
  <c r="I31" i="11"/>
  <c r="M31" i="11"/>
  <c r="Q31" i="11"/>
  <c r="U31" i="11"/>
  <c r="Y31" i="11"/>
  <c r="AC31" i="11"/>
  <c r="AG31" i="11"/>
  <c r="AK31" i="11"/>
  <c r="AR31" i="11"/>
  <c r="D31" i="11"/>
  <c r="L31" i="11"/>
  <c r="T31" i="11"/>
  <c r="AB31" i="11"/>
  <c r="AJ31" i="11"/>
  <c r="F31" i="11"/>
  <c r="N31" i="11"/>
  <c r="V31" i="11"/>
  <c r="AD31" i="11"/>
  <c r="AL31" i="11"/>
  <c r="P31" i="11"/>
  <c r="AF31" i="11"/>
  <c r="R31" i="11"/>
  <c r="AH31" i="11"/>
  <c r="H31" i="11"/>
  <c r="AN31" i="11"/>
  <c r="J31" i="11"/>
  <c r="X31" i="11"/>
  <c r="Z31" i="11"/>
  <c r="D101" i="11"/>
  <c r="H101" i="11"/>
  <c r="L101" i="11"/>
  <c r="P101" i="11"/>
  <c r="T101" i="11"/>
  <c r="X101" i="11"/>
  <c r="AB101" i="11"/>
  <c r="AF101" i="11"/>
  <c r="AJ101" i="11"/>
  <c r="AN101" i="11"/>
  <c r="E101" i="11"/>
  <c r="I101" i="11"/>
  <c r="M101" i="11"/>
  <c r="Q101" i="11"/>
  <c r="U101" i="11"/>
  <c r="Y101" i="11"/>
  <c r="AC101" i="11"/>
  <c r="AG101" i="11"/>
  <c r="AK101" i="11"/>
  <c r="AR101" i="11"/>
  <c r="G101" i="11"/>
  <c r="O101" i="11"/>
  <c r="W101" i="11"/>
  <c r="AE101" i="11"/>
  <c r="AM101" i="11"/>
  <c r="J101" i="11"/>
  <c r="R101" i="11"/>
  <c r="Z101" i="11"/>
  <c r="AH101" i="11"/>
  <c r="C101" i="11"/>
  <c r="K101" i="11"/>
  <c r="S101" i="11"/>
  <c r="AA101" i="11"/>
  <c r="AI101" i="11"/>
  <c r="F101" i="11"/>
  <c r="N101" i="11"/>
  <c r="V101" i="11"/>
  <c r="AD101" i="11"/>
  <c r="AL101" i="11"/>
  <c r="E61" i="11"/>
  <c r="I61" i="11"/>
  <c r="M61" i="11"/>
  <c r="Q61" i="11"/>
  <c r="U61" i="11"/>
  <c r="Y61" i="11"/>
  <c r="AC61" i="11"/>
  <c r="AG61" i="11"/>
  <c r="AK61" i="11"/>
  <c r="AR61" i="11"/>
  <c r="F61" i="11"/>
  <c r="J61" i="11"/>
  <c r="N61" i="11"/>
  <c r="R61" i="11"/>
  <c r="V61" i="11"/>
  <c r="Z61" i="11"/>
  <c r="AD61" i="11"/>
  <c r="AH61" i="11"/>
  <c r="AL61" i="11"/>
  <c r="G61" i="11"/>
  <c r="O61" i="11"/>
  <c r="W61" i="11"/>
  <c r="AE61" i="11"/>
  <c r="AM61" i="11"/>
  <c r="H61" i="11"/>
  <c r="P61" i="11"/>
  <c r="X61" i="11"/>
  <c r="AF61" i="11"/>
  <c r="AN61" i="11"/>
  <c r="K61" i="11"/>
  <c r="AA61" i="11"/>
  <c r="L61" i="11"/>
  <c r="AB61" i="11"/>
  <c r="C61" i="11"/>
  <c r="S61" i="11"/>
  <c r="AI61" i="11"/>
  <c r="D61" i="11"/>
  <c r="T61" i="11"/>
  <c r="AJ61" i="11"/>
  <c r="D51" i="11"/>
  <c r="H51" i="11"/>
  <c r="L51" i="11"/>
  <c r="F51" i="11"/>
  <c r="K51" i="11"/>
  <c r="P51" i="11"/>
  <c r="T51" i="11"/>
  <c r="X51" i="11"/>
  <c r="AB51" i="11"/>
  <c r="AF51" i="11"/>
  <c r="AJ51" i="11"/>
  <c r="AN51" i="11"/>
  <c r="G51" i="11"/>
  <c r="M51" i="11"/>
  <c r="Q51" i="11"/>
  <c r="U51" i="11"/>
  <c r="Y51" i="11"/>
  <c r="AC51" i="11"/>
  <c r="AG51" i="11"/>
  <c r="AK51" i="11"/>
  <c r="AR51" i="11"/>
  <c r="I51" i="11"/>
  <c r="R51" i="11"/>
  <c r="Z51" i="11"/>
  <c r="AH51" i="11"/>
  <c r="J51" i="11"/>
  <c r="S51" i="11"/>
  <c r="AA51" i="11"/>
  <c r="AI51" i="11"/>
  <c r="N51" i="11"/>
  <c r="AD51" i="11"/>
  <c r="O51" i="11"/>
  <c r="AE51" i="11"/>
  <c r="C51" i="11"/>
  <c r="V51" i="11"/>
  <c r="AL51" i="11"/>
  <c r="E51" i="11"/>
  <c r="W51" i="11"/>
  <c r="AM51" i="11"/>
  <c r="D42" i="11"/>
  <c r="H42" i="11"/>
  <c r="L42" i="11"/>
  <c r="P42" i="11"/>
  <c r="T42" i="11"/>
  <c r="X42" i="11"/>
  <c r="AB42" i="11"/>
  <c r="AF42" i="11"/>
  <c r="AJ42" i="11"/>
  <c r="AN42" i="11"/>
  <c r="E42" i="11"/>
  <c r="I42" i="11"/>
  <c r="M42" i="11"/>
  <c r="Q42" i="11"/>
  <c r="U42" i="11"/>
  <c r="Y42" i="11"/>
  <c r="AC42" i="11"/>
  <c r="AG42" i="11"/>
  <c r="AK42" i="11"/>
  <c r="AR42" i="11"/>
  <c r="J42" i="11"/>
  <c r="R42" i="11"/>
  <c r="Z42" i="11"/>
  <c r="AH42" i="11"/>
  <c r="C42" i="11"/>
  <c r="K42" i="11"/>
  <c r="S42" i="11"/>
  <c r="AA42" i="11"/>
  <c r="AI42" i="11"/>
  <c r="F42" i="11"/>
  <c r="V42" i="11"/>
  <c r="AL42" i="11"/>
  <c r="G42" i="11"/>
  <c r="W42" i="11"/>
  <c r="AM42" i="11"/>
  <c r="AD42" i="11"/>
  <c r="AE42" i="11"/>
  <c r="N42" i="11"/>
  <c r="O42" i="11"/>
  <c r="A32" i="11"/>
  <c r="A62" i="11"/>
  <c r="A72" i="11"/>
  <c r="A53" i="11"/>
  <c r="A43" i="11"/>
  <c r="A92" i="11"/>
  <c r="A82" i="11"/>
  <c r="A102" i="11"/>
  <c r="A112" i="11"/>
  <c r="A11" i="11"/>
  <c r="AB52" i="11" l="1"/>
  <c r="J52" i="11"/>
  <c r="AI52" i="11"/>
  <c r="AG52" i="11"/>
  <c r="O52" i="11"/>
  <c r="C52" i="11"/>
  <c r="Q52" i="11"/>
  <c r="AF52" i="11"/>
  <c r="AN52" i="11"/>
  <c r="W52" i="11"/>
  <c r="T52" i="11"/>
  <c r="AA52" i="11"/>
  <c r="AL52" i="11"/>
  <c r="V52" i="11"/>
  <c r="F52" i="11"/>
  <c r="AC52" i="11"/>
  <c r="M52" i="11"/>
  <c r="P52" i="11"/>
  <c r="X52" i="11"/>
  <c r="G52" i="11"/>
  <c r="L52" i="11"/>
  <c r="S52" i="11"/>
  <c r="AH52" i="11"/>
  <c r="R52" i="11"/>
  <c r="AR52" i="11"/>
  <c r="Y52" i="11"/>
  <c r="I52" i="11"/>
  <c r="AE52" i="11"/>
  <c r="H52" i="11"/>
  <c r="AJ52" i="11"/>
  <c r="D52" i="11"/>
  <c r="K52" i="11"/>
  <c r="AD52" i="11"/>
  <c r="N52" i="11"/>
  <c r="AK52" i="11"/>
  <c r="U52" i="11"/>
  <c r="AQ53" i="11"/>
  <c r="AP53" i="11"/>
  <c r="AO53" i="11"/>
  <c r="AP72" i="11"/>
  <c r="AQ72" i="11"/>
  <c r="AO72" i="11"/>
  <c r="AQ62" i="11"/>
  <c r="AP62" i="11"/>
  <c r="AO62" i="11"/>
  <c r="AQ112" i="11"/>
  <c r="AO112" i="11"/>
  <c r="AP112" i="11"/>
  <c r="A33" i="11"/>
  <c r="A34" i="11" s="1"/>
  <c r="AP52" i="11"/>
  <c r="AQ52" i="11"/>
  <c r="AO52" i="11"/>
  <c r="F53" i="11"/>
  <c r="J53" i="11"/>
  <c r="N53" i="11"/>
  <c r="R53" i="11"/>
  <c r="V53" i="11"/>
  <c r="Z53" i="11"/>
  <c r="AD53" i="11"/>
  <c r="AH53" i="11"/>
  <c r="AL53" i="11"/>
  <c r="C53" i="11"/>
  <c r="G53" i="11"/>
  <c r="K53" i="11"/>
  <c r="O53" i="11"/>
  <c r="S53" i="11"/>
  <c r="W53" i="11"/>
  <c r="AA53" i="11"/>
  <c r="AE53" i="11"/>
  <c r="AI53" i="11"/>
  <c r="AM53" i="11"/>
  <c r="D53" i="11"/>
  <c r="L53" i="11"/>
  <c r="T53" i="11"/>
  <c r="AB53" i="11"/>
  <c r="AJ53" i="11"/>
  <c r="E53" i="11"/>
  <c r="M53" i="11"/>
  <c r="U53" i="11"/>
  <c r="AC53" i="11"/>
  <c r="AK53" i="11"/>
  <c r="P53" i="11"/>
  <c r="AF53" i="11"/>
  <c r="Q53" i="11"/>
  <c r="AG53" i="11"/>
  <c r="H53" i="11"/>
  <c r="X53" i="11"/>
  <c r="AN53" i="11"/>
  <c r="I53" i="11"/>
  <c r="Y53" i="11"/>
  <c r="AR53" i="11"/>
  <c r="C72" i="11"/>
  <c r="G72" i="11"/>
  <c r="K72" i="11"/>
  <c r="O72" i="11"/>
  <c r="S72" i="11"/>
  <c r="W72" i="11"/>
  <c r="AA72" i="11"/>
  <c r="AE72" i="11"/>
  <c r="AI72" i="11"/>
  <c r="AM72" i="11"/>
  <c r="D72" i="11"/>
  <c r="H72" i="11"/>
  <c r="L72" i="11"/>
  <c r="P72" i="11"/>
  <c r="T72" i="11"/>
  <c r="X72" i="11"/>
  <c r="AB72" i="11"/>
  <c r="AF72" i="11"/>
  <c r="AJ72" i="11"/>
  <c r="AN72" i="11"/>
  <c r="E72" i="11"/>
  <c r="M72" i="11"/>
  <c r="U72" i="11"/>
  <c r="AC72" i="11"/>
  <c r="AK72" i="11"/>
  <c r="F72" i="11"/>
  <c r="N72" i="11"/>
  <c r="V72" i="11"/>
  <c r="AD72" i="11"/>
  <c r="AL72" i="11"/>
  <c r="Q72" i="11"/>
  <c r="AG72" i="11"/>
  <c r="R72" i="11"/>
  <c r="AH72" i="11"/>
  <c r="I72" i="11"/>
  <c r="Y72" i="11"/>
  <c r="AR72" i="11"/>
  <c r="J72" i="11"/>
  <c r="Z72" i="11"/>
  <c r="F62" i="11"/>
  <c r="J62" i="11"/>
  <c r="N62" i="11"/>
  <c r="R62" i="11"/>
  <c r="V62" i="11"/>
  <c r="Z62" i="11"/>
  <c r="AD62" i="11"/>
  <c r="AH62" i="11"/>
  <c r="AL62" i="11"/>
  <c r="C62" i="11"/>
  <c r="G62" i="11"/>
  <c r="K62" i="11"/>
  <c r="O62" i="11"/>
  <c r="S62" i="11"/>
  <c r="W62" i="11"/>
  <c r="AA62" i="11"/>
  <c r="AE62" i="11"/>
  <c r="AI62" i="11"/>
  <c r="AM62" i="11"/>
  <c r="H62" i="11"/>
  <c r="P62" i="11"/>
  <c r="X62" i="11"/>
  <c r="AF62" i="11"/>
  <c r="AN62" i="11"/>
  <c r="I62" i="11"/>
  <c r="Q62" i="11"/>
  <c r="Y62" i="11"/>
  <c r="AG62" i="11"/>
  <c r="AR62" i="11"/>
  <c r="D62" i="11"/>
  <c r="T62" i="11"/>
  <c r="AJ62" i="11"/>
  <c r="E62" i="11"/>
  <c r="U62" i="11"/>
  <c r="AK62" i="11"/>
  <c r="L62" i="11"/>
  <c r="AB62" i="11"/>
  <c r="M62" i="11"/>
  <c r="AC62" i="11"/>
  <c r="F112" i="11"/>
  <c r="J112" i="11"/>
  <c r="N112" i="11"/>
  <c r="R112" i="11"/>
  <c r="V112" i="11"/>
  <c r="Z112" i="11"/>
  <c r="AD112" i="11"/>
  <c r="AH112" i="11"/>
  <c r="AL112" i="11"/>
  <c r="C112" i="11"/>
  <c r="G112" i="11"/>
  <c r="K112" i="11"/>
  <c r="O112" i="11"/>
  <c r="S112" i="11"/>
  <c r="W112" i="11"/>
  <c r="AA112" i="11"/>
  <c r="AE112" i="11"/>
  <c r="AI112" i="11"/>
  <c r="AM112" i="11"/>
  <c r="E112" i="11"/>
  <c r="M112" i="11"/>
  <c r="U112" i="11"/>
  <c r="AC112" i="11"/>
  <c r="AK112" i="11"/>
  <c r="H112" i="11"/>
  <c r="P112" i="11"/>
  <c r="X112" i="11"/>
  <c r="AF112" i="11"/>
  <c r="AN112" i="11"/>
  <c r="I112" i="11"/>
  <c r="Q112" i="11"/>
  <c r="Y112" i="11"/>
  <c r="AG112" i="11"/>
  <c r="AR112" i="11"/>
  <c r="D112" i="11"/>
  <c r="L112" i="11"/>
  <c r="T112" i="11"/>
  <c r="AB112" i="11"/>
  <c r="AJ112" i="11"/>
  <c r="A73" i="11"/>
  <c r="A44" i="11"/>
  <c r="A45" i="11" s="1"/>
  <c r="A63" i="11"/>
  <c r="A83" i="11"/>
  <c r="A54" i="11"/>
  <c r="A113" i="11"/>
  <c r="A123" i="11"/>
  <c r="A103" i="11"/>
  <c r="A93" i="11"/>
  <c r="A12" i="11"/>
  <c r="AP123" i="11" l="1"/>
  <c r="AQ123" i="11"/>
  <c r="AO123" i="11"/>
  <c r="AP63" i="11"/>
  <c r="AQ63" i="11"/>
  <c r="AO63" i="11"/>
  <c r="A74" i="11"/>
  <c r="AQ73" i="11"/>
  <c r="AP73" i="11"/>
  <c r="AO73" i="11"/>
  <c r="AP83" i="11"/>
  <c r="AQ83" i="11"/>
  <c r="AO83" i="11"/>
  <c r="A84" i="11"/>
  <c r="F123" i="11"/>
  <c r="J123" i="11"/>
  <c r="N123" i="11"/>
  <c r="R123" i="11"/>
  <c r="V123" i="11"/>
  <c r="Z123" i="11"/>
  <c r="AD123" i="11"/>
  <c r="AH123" i="11"/>
  <c r="AL123" i="11"/>
  <c r="C123" i="11"/>
  <c r="G123" i="11"/>
  <c r="K123" i="11"/>
  <c r="O123" i="11"/>
  <c r="S123" i="11"/>
  <c r="W123" i="11"/>
  <c r="AA123" i="11"/>
  <c r="AE123" i="11"/>
  <c r="AI123" i="11"/>
  <c r="AM123" i="11"/>
  <c r="D123" i="11"/>
  <c r="H123" i="11"/>
  <c r="L123" i="11"/>
  <c r="P123" i="11"/>
  <c r="T123" i="11"/>
  <c r="X123" i="11"/>
  <c r="AB123" i="11"/>
  <c r="AF123" i="11"/>
  <c r="AJ123" i="11"/>
  <c r="AN123" i="11"/>
  <c r="E123" i="11"/>
  <c r="I123" i="11"/>
  <c r="M123" i="11"/>
  <c r="Q123" i="11"/>
  <c r="U123" i="11"/>
  <c r="Y123" i="11"/>
  <c r="AC123" i="11"/>
  <c r="AG123" i="11"/>
  <c r="AK123" i="11"/>
  <c r="AR123" i="11"/>
  <c r="D73" i="11"/>
  <c r="H73" i="11"/>
  <c r="L73" i="11"/>
  <c r="P73" i="11"/>
  <c r="T73" i="11"/>
  <c r="X73" i="11"/>
  <c r="E73" i="11"/>
  <c r="I73" i="11"/>
  <c r="M73" i="11"/>
  <c r="Q73" i="11"/>
  <c r="U73" i="11"/>
  <c r="Y73" i="11"/>
  <c r="F73" i="11"/>
  <c r="N73" i="11"/>
  <c r="V73" i="11"/>
  <c r="AB73" i="11"/>
  <c r="AF73" i="11"/>
  <c r="AJ73" i="11"/>
  <c r="AN73" i="11"/>
  <c r="G73" i="11"/>
  <c r="O73" i="11"/>
  <c r="W73" i="11"/>
  <c r="AC73" i="11"/>
  <c r="AG73" i="11"/>
  <c r="AK73" i="11"/>
  <c r="AR73" i="11"/>
  <c r="J73" i="11"/>
  <c r="Z73" i="11"/>
  <c r="AH73" i="11"/>
  <c r="K73" i="11"/>
  <c r="AA73" i="11"/>
  <c r="AI73" i="11"/>
  <c r="R73" i="11"/>
  <c r="AD73" i="11"/>
  <c r="AL73" i="11"/>
  <c r="C73" i="11"/>
  <c r="S73" i="11"/>
  <c r="AE73" i="11"/>
  <c r="AM73" i="11"/>
  <c r="F83" i="11"/>
  <c r="J83" i="11"/>
  <c r="N83" i="11"/>
  <c r="R83" i="11"/>
  <c r="V83" i="11"/>
  <c r="Z83" i="11"/>
  <c r="AD83" i="11"/>
  <c r="AH83" i="11"/>
  <c r="AL83" i="11"/>
  <c r="C83" i="11"/>
  <c r="H83" i="11"/>
  <c r="M83" i="11"/>
  <c r="S83" i="11"/>
  <c r="X83" i="11"/>
  <c r="AC83" i="11"/>
  <c r="AI83" i="11"/>
  <c r="AN83" i="11"/>
  <c r="D83" i="11"/>
  <c r="I83" i="11"/>
  <c r="O83" i="11"/>
  <c r="T83" i="11"/>
  <c r="Y83" i="11"/>
  <c r="AE83" i="11"/>
  <c r="AJ83" i="11"/>
  <c r="AR83" i="11"/>
  <c r="E83" i="11"/>
  <c r="K83" i="11"/>
  <c r="P83" i="11"/>
  <c r="U83" i="11"/>
  <c r="AA83" i="11"/>
  <c r="AF83" i="11"/>
  <c r="AK83" i="11"/>
  <c r="G83" i="11"/>
  <c r="L83" i="11"/>
  <c r="Q83" i="11"/>
  <c r="W83" i="11"/>
  <c r="AB83" i="11"/>
  <c r="AG83" i="11"/>
  <c r="AM83" i="11"/>
  <c r="E74" i="11"/>
  <c r="I74" i="11"/>
  <c r="M74" i="11"/>
  <c r="Q74" i="11"/>
  <c r="U74" i="11"/>
  <c r="F74" i="11"/>
  <c r="J74" i="11"/>
  <c r="N74" i="11"/>
  <c r="R74" i="11"/>
  <c r="V74" i="11"/>
  <c r="Z74" i="11"/>
  <c r="AD74" i="11"/>
  <c r="AH74" i="11"/>
  <c r="AL74" i="11"/>
  <c r="C74" i="11"/>
  <c r="K74" i="11"/>
  <c r="S74" i="11"/>
  <c r="Y74" i="11"/>
  <c r="AE74" i="11"/>
  <c r="AJ74" i="11"/>
  <c r="AR74" i="11"/>
  <c r="D74" i="11"/>
  <c r="L74" i="11"/>
  <c r="T74" i="11"/>
  <c r="AA74" i="11"/>
  <c r="AF74" i="11"/>
  <c r="AK74" i="11"/>
  <c r="G74" i="11"/>
  <c r="O74" i="11"/>
  <c r="W74" i="11"/>
  <c r="AB74" i="11"/>
  <c r="AG74" i="11"/>
  <c r="AM74" i="11"/>
  <c r="H74" i="11"/>
  <c r="P74" i="11"/>
  <c r="X74" i="11"/>
  <c r="AC74" i="11"/>
  <c r="AI74" i="11"/>
  <c r="AN74" i="11"/>
  <c r="C63" i="11"/>
  <c r="G63" i="11"/>
  <c r="K63" i="11"/>
  <c r="O63" i="11"/>
  <c r="S63" i="11"/>
  <c r="W63" i="11"/>
  <c r="AA63" i="11"/>
  <c r="AE63" i="11"/>
  <c r="AI63" i="11"/>
  <c r="AM63" i="11"/>
  <c r="D63" i="11"/>
  <c r="H63" i="11"/>
  <c r="L63" i="11"/>
  <c r="P63" i="11"/>
  <c r="T63" i="11"/>
  <c r="X63" i="11"/>
  <c r="AB63" i="11"/>
  <c r="AF63" i="11"/>
  <c r="AJ63" i="11"/>
  <c r="AN63" i="11"/>
  <c r="I63" i="11"/>
  <c r="Q63" i="11"/>
  <c r="Y63" i="11"/>
  <c r="AG63" i="11"/>
  <c r="AR63" i="11"/>
  <c r="J63" i="11"/>
  <c r="R63" i="11"/>
  <c r="Z63" i="11"/>
  <c r="AH63" i="11"/>
  <c r="M63" i="11"/>
  <c r="AC63" i="11"/>
  <c r="N63" i="11"/>
  <c r="AD63" i="11"/>
  <c r="E63" i="11"/>
  <c r="U63" i="11"/>
  <c r="AK63" i="11"/>
  <c r="F63" i="11"/>
  <c r="V63" i="11"/>
  <c r="AL63" i="11"/>
  <c r="C84" i="11"/>
  <c r="G84" i="11"/>
  <c r="K84" i="11"/>
  <c r="O84" i="11"/>
  <c r="S84" i="11"/>
  <c r="W84" i="11"/>
  <c r="AA84" i="11"/>
  <c r="AE84" i="11"/>
  <c r="AI84" i="11"/>
  <c r="AM84" i="11"/>
  <c r="F84" i="11"/>
  <c r="L84" i="11"/>
  <c r="Q84" i="11"/>
  <c r="V84" i="11"/>
  <c r="AB84" i="11"/>
  <c r="AG84" i="11"/>
  <c r="AL84" i="11"/>
  <c r="H84" i="11"/>
  <c r="M84" i="11"/>
  <c r="R84" i="11"/>
  <c r="X84" i="11"/>
  <c r="AC84" i="11"/>
  <c r="AH84" i="11"/>
  <c r="AN84" i="11"/>
  <c r="D84" i="11"/>
  <c r="I84" i="11"/>
  <c r="N84" i="11"/>
  <c r="T84" i="11"/>
  <c r="Y84" i="11"/>
  <c r="AD84" i="11"/>
  <c r="AJ84" i="11"/>
  <c r="AR84" i="11"/>
  <c r="E84" i="11"/>
  <c r="J84" i="11"/>
  <c r="P84" i="11"/>
  <c r="U84" i="11"/>
  <c r="Z84" i="11"/>
  <c r="AF84" i="11"/>
  <c r="AK84" i="11"/>
  <c r="A64" i="11"/>
  <c r="A55" i="11"/>
  <c r="A56" i="11" s="1"/>
  <c r="A94" i="11"/>
  <c r="A85" i="11"/>
  <c r="A75" i="11"/>
  <c r="A124" i="11"/>
  <c r="A134" i="11"/>
  <c r="A104" i="11"/>
  <c r="A114" i="11"/>
  <c r="E35" i="8"/>
  <c r="C41" i="8" s="1"/>
  <c r="D41" i="8" s="1"/>
  <c r="E17" i="8"/>
  <c r="C40" i="8" s="1"/>
  <c r="D40" i="8" s="1"/>
  <c r="AQ85" i="11" l="1"/>
  <c r="AP85" i="11"/>
  <c r="AO85" i="11"/>
  <c r="AQ134" i="11"/>
  <c r="AO134" i="11"/>
  <c r="AP134" i="11"/>
  <c r="AQ94" i="11"/>
  <c r="AP94" i="11"/>
  <c r="AO94" i="11"/>
  <c r="AP75" i="11"/>
  <c r="AQ75" i="11"/>
  <c r="AO75" i="11"/>
  <c r="AP64" i="11"/>
  <c r="AO64" i="11"/>
  <c r="AQ64" i="11"/>
  <c r="AQ74" i="11"/>
  <c r="AP74" i="11"/>
  <c r="AO74" i="11"/>
  <c r="AP84" i="11"/>
  <c r="AQ84" i="11"/>
  <c r="AO84" i="11"/>
  <c r="C75" i="11"/>
  <c r="G75" i="11"/>
  <c r="K75" i="11"/>
  <c r="O75" i="11"/>
  <c r="S75" i="11"/>
  <c r="W75" i="11"/>
  <c r="AA75" i="11"/>
  <c r="AE75" i="11"/>
  <c r="AI75" i="11"/>
  <c r="AM75" i="11"/>
  <c r="H75" i="11"/>
  <c r="M75" i="11"/>
  <c r="R75" i="11"/>
  <c r="X75" i="11"/>
  <c r="AC75" i="11"/>
  <c r="AH75" i="11"/>
  <c r="AN75" i="11"/>
  <c r="D75" i="11"/>
  <c r="I75" i="11"/>
  <c r="N75" i="11"/>
  <c r="T75" i="11"/>
  <c r="Y75" i="11"/>
  <c r="AD75" i="11"/>
  <c r="AJ75" i="11"/>
  <c r="AR75" i="11"/>
  <c r="E75" i="11"/>
  <c r="J75" i="11"/>
  <c r="P75" i="11"/>
  <c r="U75" i="11"/>
  <c r="Z75" i="11"/>
  <c r="AF75" i="11"/>
  <c r="AK75" i="11"/>
  <c r="F75" i="11"/>
  <c r="L75" i="11"/>
  <c r="Q75" i="11"/>
  <c r="V75" i="11"/>
  <c r="AB75" i="11"/>
  <c r="AG75" i="11"/>
  <c r="AL75" i="11"/>
  <c r="D64" i="11"/>
  <c r="H64" i="11"/>
  <c r="L64" i="11"/>
  <c r="P64" i="11"/>
  <c r="T64" i="11"/>
  <c r="X64" i="11"/>
  <c r="AB64" i="11"/>
  <c r="AF64" i="11"/>
  <c r="AJ64" i="11"/>
  <c r="AN64" i="11"/>
  <c r="E64" i="11"/>
  <c r="I64" i="11"/>
  <c r="M64" i="11"/>
  <c r="Q64" i="11"/>
  <c r="U64" i="11"/>
  <c r="Y64" i="11"/>
  <c r="AC64" i="11"/>
  <c r="AG64" i="11"/>
  <c r="AK64" i="11"/>
  <c r="AR64" i="11"/>
  <c r="J64" i="11"/>
  <c r="R64" i="11"/>
  <c r="Z64" i="11"/>
  <c r="AH64" i="11"/>
  <c r="C64" i="11"/>
  <c r="K64" i="11"/>
  <c r="S64" i="11"/>
  <c r="AA64" i="11"/>
  <c r="AI64" i="11"/>
  <c r="F64" i="11"/>
  <c r="V64" i="11"/>
  <c r="AL64" i="11"/>
  <c r="G64" i="11"/>
  <c r="W64" i="11"/>
  <c r="AM64" i="11"/>
  <c r="N64" i="11"/>
  <c r="AD64" i="11"/>
  <c r="O64" i="11"/>
  <c r="AE64" i="11"/>
  <c r="D134" i="11"/>
  <c r="H134" i="11"/>
  <c r="L134" i="11"/>
  <c r="P134" i="11"/>
  <c r="T134" i="11"/>
  <c r="X134" i="11"/>
  <c r="AB134" i="11"/>
  <c r="AF134" i="11"/>
  <c r="AJ134" i="11"/>
  <c r="AN134" i="11"/>
  <c r="E134" i="11"/>
  <c r="I134" i="11"/>
  <c r="M134" i="11"/>
  <c r="Q134" i="11"/>
  <c r="U134" i="11"/>
  <c r="Y134" i="11"/>
  <c r="AC134" i="11"/>
  <c r="AG134" i="11"/>
  <c r="AK134" i="11"/>
  <c r="AR134" i="11"/>
  <c r="F134" i="11"/>
  <c r="J134" i="11"/>
  <c r="N134" i="11"/>
  <c r="R134" i="11"/>
  <c r="V134" i="11"/>
  <c r="Z134" i="11"/>
  <c r="AD134" i="11"/>
  <c r="AH134" i="11"/>
  <c r="AL134" i="11"/>
  <c r="C134" i="11"/>
  <c r="G134" i="11"/>
  <c r="K134" i="11"/>
  <c r="O134" i="11"/>
  <c r="S134" i="11"/>
  <c r="W134" i="11"/>
  <c r="AA134" i="11"/>
  <c r="AE134" i="11"/>
  <c r="AI134" i="11"/>
  <c r="AM134" i="11"/>
  <c r="D94" i="11"/>
  <c r="H94" i="11"/>
  <c r="L94" i="11"/>
  <c r="P94" i="11"/>
  <c r="T94" i="11"/>
  <c r="X94" i="11"/>
  <c r="AB94" i="11"/>
  <c r="AF94" i="11"/>
  <c r="AJ94" i="11"/>
  <c r="AN94" i="11"/>
  <c r="E94" i="11"/>
  <c r="I94" i="11"/>
  <c r="M94" i="11"/>
  <c r="Q94" i="11"/>
  <c r="U94" i="11"/>
  <c r="Y94" i="11"/>
  <c r="AC94" i="11"/>
  <c r="AG94" i="11"/>
  <c r="AK94" i="11"/>
  <c r="AR94" i="11"/>
  <c r="F94" i="11"/>
  <c r="J94" i="11"/>
  <c r="N94" i="11"/>
  <c r="R94" i="11"/>
  <c r="V94" i="11"/>
  <c r="Z94" i="11"/>
  <c r="AD94" i="11"/>
  <c r="AH94" i="11"/>
  <c r="AL94" i="11"/>
  <c r="K94" i="11"/>
  <c r="AA94" i="11"/>
  <c r="O94" i="11"/>
  <c r="AE94" i="11"/>
  <c r="C94" i="11"/>
  <c r="S94" i="11"/>
  <c r="AI94" i="11"/>
  <c r="G94" i="11"/>
  <c r="W94" i="11"/>
  <c r="AM94" i="11"/>
  <c r="D85" i="11"/>
  <c r="H85" i="11"/>
  <c r="L85" i="11"/>
  <c r="P85" i="11"/>
  <c r="T85" i="11"/>
  <c r="X85" i="11"/>
  <c r="AB85" i="11"/>
  <c r="AF85" i="11"/>
  <c r="AJ85" i="11"/>
  <c r="AN85" i="11"/>
  <c r="E85" i="11"/>
  <c r="J85" i="11"/>
  <c r="O85" i="11"/>
  <c r="U85" i="11"/>
  <c r="Z85" i="11"/>
  <c r="AE85" i="11"/>
  <c r="AK85" i="11"/>
  <c r="F85" i="11"/>
  <c r="K85" i="11"/>
  <c r="Q85" i="11"/>
  <c r="V85" i="11"/>
  <c r="AA85" i="11"/>
  <c r="AG85" i="11"/>
  <c r="AL85" i="11"/>
  <c r="G85" i="11"/>
  <c r="M85" i="11"/>
  <c r="R85" i="11"/>
  <c r="W85" i="11"/>
  <c r="AC85" i="11"/>
  <c r="AH85" i="11"/>
  <c r="AM85" i="11"/>
  <c r="S85" i="11"/>
  <c r="AR85" i="11"/>
  <c r="C85" i="11"/>
  <c r="Y85" i="11"/>
  <c r="I85" i="11"/>
  <c r="AD85" i="11"/>
  <c r="N85" i="11"/>
  <c r="AI85" i="11"/>
  <c r="A65" i="11"/>
  <c r="A95" i="11"/>
  <c r="A105" i="11"/>
  <c r="A76" i="11"/>
  <c r="A86" i="11"/>
  <c r="A115" i="11"/>
  <c r="A145" i="11"/>
  <c r="A135" i="11"/>
  <c r="A125" i="11"/>
  <c r="C42" i="8"/>
  <c r="D42" i="8" s="1"/>
  <c r="AQ145" i="11" l="1"/>
  <c r="AO145" i="11"/>
  <c r="AP145" i="11"/>
  <c r="AQ105" i="11"/>
  <c r="AP105" i="11"/>
  <c r="AO105" i="11"/>
  <c r="A96" i="11"/>
  <c r="AP95" i="11"/>
  <c r="AQ95" i="11"/>
  <c r="AO95" i="11"/>
  <c r="AQ86" i="11"/>
  <c r="AP86" i="11"/>
  <c r="AO86" i="11"/>
  <c r="A66" i="11"/>
  <c r="A67" i="11" s="1"/>
  <c r="F96" i="11"/>
  <c r="J96" i="11"/>
  <c r="N96" i="11"/>
  <c r="R96" i="11"/>
  <c r="V96" i="11"/>
  <c r="Z96" i="11"/>
  <c r="AD96" i="11"/>
  <c r="AH96" i="11"/>
  <c r="AL96" i="11"/>
  <c r="C96" i="11"/>
  <c r="G96" i="11"/>
  <c r="K96" i="11"/>
  <c r="O96" i="11"/>
  <c r="S96" i="11"/>
  <c r="W96" i="11"/>
  <c r="AA96" i="11"/>
  <c r="AE96" i="11"/>
  <c r="AI96" i="11"/>
  <c r="AM96" i="11"/>
  <c r="D96" i="11"/>
  <c r="H96" i="11"/>
  <c r="L96" i="11"/>
  <c r="P96" i="11"/>
  <c r="T96" i="11"/>
  <c r="X96" i="11"/>
  <c r="AB96" i="11"/>
  <c r="AF96" i="11"/>
  <c r="AJ96" i="11"/>
  <c r="AN96" i="11"/>
  <c r="M96" i="11"/>
  <c r="AC96" i="11"/>
  <c r="Q96" i="11"/>
  <c r="AG96" i="11"/>
  <c r="E96" i="11"/>
  <c r="U96" i="11"/>
  <c r="AK96" i="11"/>
  <c r="I96" i="11"/>
  <c r="Y96" i="11"/>
  <c r="AR96" i="11"/>
  <c r="C86" i="11"/>
  <c r="F86" i="11"/>
  <c r="J86" i="11"/>
  <c r="N86" i="11"/>
  <c r="R86" i="11"/>
  <c r="V86" i="11"/>
  <c r="Z86" i="11"/>
  <c r="AD86" i="11"/>
  <c r="AH86" i="11"/>
  <c r="AL86" i="11"/>
  <c r="D86" i="11"/>
  <c r="I86" i="11"/>
  <c r="O86" i="11"/>
  <c r="T86" i="11"/>
  <c r="Y86" i="11"/>
  <c r="AE86" i="11"/>
  <c r="AJ86" i="11"/>
  <c r="AR86" i="11"/>
  <c r="E86" i="11"/>
  <c r="K86" i="11"/>
  <c r="P86" i="11"/>
  <c r="U86" i="11"/>
  <c r="AA86" i="11"/>
  <c r="AF86" i="11"/>
  <c r="AK86" i="11"/>
  <c r="G86" i="11"/>
  <c r="L86" i="11"/>
  <c r="Q86" i="11"/>
  <c r="W86" i="11"/>
  <c r="AB86" i="11"/>
  <c r="AG86" i="11"/>
  <c r="AM86" i="11"/>
  <c r="X86" i="11"/>
  <c r="H86" i="11"/>
  <c r="AC86" i="11"/>
  <c r="M86" i="11"/>
  <c r="AI86" i="11"/>
  <c r="S86" i="11"/>
  <c r="AN86" i="11"/>
  <c r="E95" i="11"/>
  <c r="I95" i="11"/>
  <c r="M95" i="11"/>
  <c r="Q95" i="11"/>
  <c r="U95" i="11"/>
  <c r="Y95" i="11"/>
  <c r="AC95" i="11"/>
  <c r="AG95" i="11"/>
  <c r="AK95" i="11"/>
  <c r="AR95" i="11"/>
  <c r="F95" i="11"/>
  <c r="J95" i="11"/>
  <c r="N95" i="11"/>
  <c r="R95" i="11"/>
  <c r="V95" i="11"/>
  <c r="Z95" i="11"/>
  <c r="AD95" i="11"/>
  <c r="AH95" i="11"/>
  <c r="AL95" i="11"/>
  <c r="C95" i="11"/>
  <c r="G95" i="11"/>
  <c r="K95" i="11"/>
  <c r="O95" i="11"/>
  <c r="S95" i="11"/>
  <c r="W95" i="11"/>
  <c r="AA95" i="11"/>
  <c r="AE95" i="11"/>
  <c r="AI95" i="11"/>
  <c r="AM95" i="11"/>
  <c r="D95" i="11"/>
  <c r="T95" i="11"/>
  <c r="AJ95" i="11"/>
  <c r="H95" i="11"/>
  <c r="X95" i="11"/>
  <c r="AN95" i="11"/>
  <c r="L95" i="11"/>
  <c r="AB95" i="11"/>
  <c r="P95" i="11"/>
  <c r="AF95" i="11"/>
  <c r="E145" i="11"/>
  <c r="I145" i="11"/>
  <c r="M145" i="11"/>
  <c r="Q145" i="11"/>
  <c r="U145" i="11"/>
  <c r="Y145" i="11"/>
  <c r="AC145" i="11"/>
  <c r="AG145" i="11"/>
  <c r="AK145" i="11"/>
  <c r="AR145" i="11"/>
  <c r="F145" i="11"/>
  <c r="J145" i="11"/>
  <c r="N145" i="11"/>
  <c r="R145" i="11"/>
  <c r="V145" i="11"/>
  <c r="Z145" i="11"/>
  <c r="AD145" i="11"/>
  <c r="AH145" i="11"/>
  <c r="AL145" i="11"/>
  <c r="C145" i="11"/>
  <c r="G145" i="11"/>
  <c r="K145" i="11"/>
  <c r="O145" i="11"/>
  <c r="S145" i="11"/>
  <c r="W145" i="11"/>
  <c r="AA145" i="11"/>
  <c r="AE145" i="11"/>
  <c r="AI145" i="11"/>
  <c r="AM145" i="11"/>
  <c r="D145" i="11"/>
  <c r="H145" i="11"/>
  <c r="L145" i="11"/>
  <c r="P145" i="11"/>
  <c r="T145" i="11"/>
  <c r="X145" i="11"/>
  <c r="AB145" i="11"/>
  <c r="AF145" i="11"/>
  <c r="AJ145" i="11"/>
  <c r="AN145" i="11"/>
  <c r="F105" i="11"/>
  <c r="J105" i="11"/>
  <c r="N105" i="11"/>
  <c r="R105" i="11"/>
  <c r="V105" i="11"/>
  <c r="Z105" i="11"/>
  <c r="AD105" i="11"/>
  <c r="AH105" i="11"/>
  <c r="AL105" i="11"/>
  <c r="C105" i="11"/>
  <c r="G105" i="11"/>
  <c r="K105" i="11"/>
  <c r="O105" i="11"/>
  <c r="S105" i="11"/>
  <c r="W105" i="11"/>
  <c r="AA105" i="11"/>
  <c r="AE105" i="11"/>
  <c r="AI105" i="11"/>
  <c r="AM105" i="11"/>
  <c r="I105" i="11"/>
  <c r="Q105" i="11"/>
  <c r="Y105" i="11"/>
  <c r="AG105" i="11"/>
  <c r="AR105" i="11"/>
  <c r="D105" i="11"/>
  <c r="L105" i="11"/>
  <c r="T105" i="11"/>
  <c r="AB105" i="11"/>
  <c r="AJ105" i="11"/>
  <c r="E105" i="11"/>
  <c r="M105" i="11"/>
  <c r="U105" i="11"/>
  <c r="AC105" i="11"/>
  <c r="AK105" i="11"/>
  <c r="H105" i="11"/>
  <c r="P105" i="11"/>
  <c r="X105" i="11"/>
  <c r="AF105" i="11"/>
  <c r="AN105" i="11"/>
  <c r="A77" i="11"/>
  <c r="A78" i="11" s="1"/>
  <c r="A116" i="11"/>
  <c r="A106" i="11"/>
  <c r="A97" i="11"/>
  <c r="A87" i="11"/>
  <c r="A136" i="11"/>
  <c r="A126" i="11"/>
  <c r="A156" i="11"/>
  <c r="A146" i="11"/>
  <c r="AQ116" i="11" l="1"/>
  <c r="AP116" i="11"/>
  <c r="AO116" i="11"/>
  <c r="AQ156" i="11"/>
  <c r="AP156" i="11"/>
  <c r="AO156" i="11"/>
  <c r="AQ97" i="11"/>
  <c r="AP97" i="11"/>
  <c r="AO97" i="11"/>
  <c r="AQ106" i="11"/>
  <c r="AP106" i="11"/>
  <c r="AO106" i="11"/>
  <c r="AP96" i="11"/>
  <c r="AQ96" i="11"/>
  <c r="AO96" i="11"/>
  <c r="C156" i="11"/>
  <c r="G156" i="11"/>
  <c r="K156" i="11"/>
  <c r="O156" i="11"/>
  <c r="S156" i="11"/>
  <c r="W156" i="11"/>
  <c r="AA156" i="11"/>
  <c r="AE156" i="11"/>
  <c r="AI156" i="11"/>
  <c r="AM156" i="11"/>
  <c r="D156" i="11"/>
  <c r="H156" i="11"/>
  <c r="L156" i="11"/>
  <c r="P156" i="11"/>
  <c r="T156" i="11"/>
  <c r="X156" i="11"/>
  <c r="AB156" i="11"/>
  <c r="AF156" i="11"/>
  <c r="AJ156" i="11"/>
  <c r="AN156" i="11"/>
  <c r="E156" i="11"/>
  <c r="I156" i="11"/>
  <c r="M156" i="11"/>
  <c r="Q156" i="11"/>
  <c r="U156" i="11"/>
  <c r="Y156" i="11"/>
  <c r="AC156" i="11"/>
  <c r="AG156" i="11"/>
  <c r="AK156" i="11"/>
  <c r="AR156" i="11"/>
  <c r="F156" i="11"/>
  <c r="J156" i="11"/>
  <c r="N156" i="11"/>
  <c r="R156" i="11"/>
  <c r="V156" i="11"/>
  <c r="Z156" i="11"/>
  <c r="AD156" i="11"/>
  <c r="AH156" i="11"/>
  <c r="AL156" i="11"/>
  <c r="C97" i="11"/>
  <c r="G97" i="11"/>
  <c r="K97" i="11"/>
  <c r="O97" i="11"/>
  <c r="S97" i="11"/>
  <c r="W97" i="11"/>
  <c r="AA97" i="11"/>
  <c r="AE97" i="11"/>
  <c r="AI97" i="11"/>
  <c r="AM97" i="11"/>
  <c r="D97" i="11"/>
  <c r="H97" i="11"/>
  <c r="L97" i="11"/>
  <c r="P97" i="11"/>
  <c r="T97" i="11"/>
  <c r="X97" i="11"/>
  <c r="AB97" i="11"/>
  <c r="AF97" i="11"/>
  <c r="AJ97" i="11"/>
  <c r="AN97" i="11"/>
  <c r="E97" i="11"/>
  <c r="F97" i="11"/>
  <c r="N97" i="11"/>
  <c r="V97" i="11"/>
  <c r="AD97" i="11"/>
  <c r="AL97" i="11"/>
  <c r="I97" i="11"/>
  <c r="Q97" i="11"/>
  <c r="Y97" i="11"/>
  <c r="AG97" i="11"/>
  <c r="AR97" i="11"/>
  <c r="J97" i="11"/>
  <c r="R97" i="11"/>
  <c r="Z97" i="11"/>
  <c r="AH97" i="11"/>
  <c r="M97" i="11"/>
  <c r="U97" i="11"/>
  <c r="AC97" i="11"/>
  <c r="AK97" i="11"/>
  <c r="C106" i="11"/>
  <c r="G106" i="11"/>
  <c r="K106" i="11"/>
  <c r="O106" i="11"/>
  <c r="S106" i="11"/>
  <c r="W106" i="11"/>
  <c r="AA106" i="11"/>
  <c r="AE106" i="11"/>
  <c r="AI106" i="11"/>
  <c r="AM106" i="11"/>
  <c r="D106" i="11"/>
  <c r="H106" i="11"/>
  <c r="L106" i="11"/>
  <c r="P106" i="11"/>
  <c r="T106" i="11"/>
  <c r="X106" i="11"/>
  <c r="AB106" i="11"/>
  <c r="AF106" i="11"/>
  <c r="AJ106" i="11"/>
  <c r="AN106" i="11"/>
  <c r="J106" i="11"/>
  <c r="R106" i="11"/>
  <c r="Z106" i="11"/>
  <c r="AH106" i="11"/>
  <c r="E106" i="11"/>
  <c r="M106" i="11"/>
  <c r="U106" i="11"/>
  <c r="AC106" i="11"/>
  <c r="AK106" i="11"/>
  <c r="F106" i="11"/>
  <c r="N106" i="11"/>
  <c r="V106" i="11"/>
  <c r="AD106" i="11"/>
  <c r="AL106" i="11"/>
  <c r="I106" i="11"/>
  <c r="Q106" i="11"/>
  <c r="Y106" i="11"/>
  <c r="AG106" i="11"/>
  <c r="AR106" i="11"/>
  <c r="D116" i="11"/>
  <c r="F116" i="11"/>
  <c r="J116" i="11"/>
  <c r="N116" i="11"/>
  <c r="R116" i="11"/>
  <c r="V116" i="11"/>
  <c r="Z116" i="11"/>
  <c r="AD116" i="11"/>
  <c r="AH116" i="11"/>
  <c r="AL116" i="11"/>
  <c r="G116" i="11"/>
  <c r="K116" i="11"/>
  <c r="O116" i="11"/>
  <c r="S116" i="11"/>
  <c r="W116" i="11"/>
  <c r="AA116" i="11"/>
  <c r="AE116" i="11"/>
  <c r="AI116" i="11"/>
  <c r="AM116" i="11"/>
  <c r="C116" i="11"/>
  <c r="H116" i="11"/>
  <c r="L116" i="11"/>
  <c r="P116" i="11"/>
  <c r="T116" i="11"/>
  <c r="X116" i="11"/>
  <c r="AB116" i="11"/>
  <c r="AF116" i="11"/>
  <c r="AJ116" i="11"/>
  <c r="AN116" i="11"/>
  <c r="E116" i="11"/>
  <c r="I116" i="11"/>
  <c r="M116" i="11"/>
  <c r="Q116" i="11"/>
  <c r="U116" i="11"/>
  <c r="Y116" i="11"/>
  <c r="AC116" i="11"/>
  <c r="AG116" i="11"/>
  <c r="AK116" i="11"/>
  <c r="AR116" i="11"/>
  <c r="A88" i="11"/>
  <c r="A89" i="11" s="1"/>
  <c r="A117" i="11"/>
  <c r="A107" i="11"/>
  <c r="A127" i="11"/>
  <c r="A98" i="11"/>
  <c r="A147" i="11"/>
  <c r="A167" i="11"/>
  <c r="A157" i="11"/>
  <c r="A137" i="11"/>
  <c r="A118" i="11" l="1"/>
  <c r="AQ117" i="11"/>
  <c r="AP117" i="11"/>
  <c r="AO117" i="11"/>
  <c r="AQ167" i="11"/>
  <c r="AP167" i="11"/>
  <c r="AO167" i="11"/>
  <c r="AP107" i="11"/>
  <c r="AQ107" i="11"/>
  <c r="AO107" i="11"/>
  <c r="AP127" i="11"/>
  <c r="AQ127" i="11"/>
  <c r="AO127" i="11"/>
  <c r="D118" i="11"/>
  <c r="H118" i="11"/>
  <c r="L118" i="11"/>
  <c r="P118" i="11"/>
  <c r="T118" i="11"/>
  <c r="X118" i="11"/>
  <c r="AB118" i="11"/>
  <c r="AF118" i="11"/>
  <c r="AJ118" i="11"/>
  <c r="AN118" i="11"/>
  <c r="E118" i="11"/>
  <c r="I118" i="11"/>
  <c r="M118" i="11"/>
  <c r="Q118" i="11"/>
  <c r="U118" i="11"/>
  <c r="Y118" i="11"/>
  <c r="AC118" i="11"/>
  <c r="AG118" i="11"/>
  <c r="AK118" i="11"/>
  <c r="AR118" i="11"/>
  <c r="F118" i="11"/>
  <c r="J118" i="11"/>
  <c r="N118" i="11"/>
  <c r="R118" i="11"/>
  <c r="V118" i="11"/>
  <c r="Z118" i="11"/>
  <c r="AD118" i="11"/>
  <c r="AH118" i="11"/>
  <c r="AL118" i="11"/>
  <c r="C118" i="11"/>
  <c r="G118" i="11"/>
  <c r="K118" i="11"/>
  <c r="O118" i="11"/>
  <c r="S118" i="11"/>
  <c r="W118" i="11"/>
  <c r="AA118" i="11"/>
  <c r="AE118" i="11"/>
  <c r="AI118" i="11"/>
  <c r="AM118" i="11"/>
  <c r="D107" i="11"/>
  <c r="H107" i="11"/>
  <c r="L107" i="11"/>
  <c r="P107" i="11"/>
  <c r="T107" i="11"/>
  <c r="X107" i="11"/>
  <c r="AB107" i="11"/>
  <c r="AF107" i="11"/>
  <c r="AJ107" i="11"/>
  <c r="AN107" i="11"/>
  <c r="E107" i="11"/>
  <c r="I107" i="11"/>
  <c r="M107" i="11"/>
  <c r="Q107" i="11"/>
  <c r="U107" i="11"/>
  <c r="Y107" i="11"/>
  <c r="AC107" i="11"/>
  <c r="AG107" i="11"/>
  <c r="AK107" i="11"/>
  <c r="AR107" i="11"/>
  <c r="C107" i="11"/>
  <c r="K107" i="11"/>
  <c r="S107" i="11"/>
  <c r="AA107" i="11"/>
  <c r="AI107" i="11"/>
  <c r="F107" i="11"/>
  <c r="N107" i="11"/>
  <c r="V107" i="11"/>
  <c r="AD107" i="11"/>
  <c r="AL107" i="11"/>
  <c r="G107" i="11"/>
  <c r="O107" i="11"/>
  <c r="W107" i="11"/>
  <c r="AE107" i="11"/>
  <c r="AM107" i="11"/>
  <c r="J107" i="11"/>
  <c r="R107" i="11"/>
  <c r="Z107" i="11"/>
  <c r="AH107" i="11"/>
  <c r="C117" i="11"/>
  <c r="G117" i="11"/>
  <c r="K117" i="11"/>
  <c r="O117" i="11"/>
  <c r="S117" i="11"/>
  <c r="W117" i="11"/>
  <c r="AA117" i="11"/>
  <c r="AE117" i="11"/>
  <c r="AI117" i="11"/>
  <c r="AM117" i="11"/>
  <c r="D117" i="11"/>
  <c r="H117" i="11"/>
  <c r="L117" i="11"/>
  <c r="P117" i="11"/>
  <c r="T117" i="11"/>
  <c r="X117" i="11"/>
  <c r="AB117" i="11"/>
  <c r="AF117" i="11"/>
  <c r="AJ117" i="11"/>
  <c r="AN117" i="11"/>
  <c r="E117" i="11"/>
  <c r="I117" i="11"/>
  <c r="M117" i="11"/>
  <c r="Q117" i="11"/>
  <c r="U117" i="11"/>
  <c r="Y117" i="11"/>
  <c r="AC117" i="11"/>
  <c r="AG117" i="11"/>
  <c r="AK117" i="11"/>
  <c r="AR117" i="11"/>
  <c r="F117" i="11"/>
  <c r="J117" i="11"/>
  <c r="N117" i="11"/>
  <c r="R117" i="11"/>
  <c r="V117" i="11"/>
  <c r="Z117" i="11"/>
  <c r="AD117" i="11"/>
  <c r="AH117" i="11"/>
  <c r="AL117" i="11"/>
  <c r="E167" i="11"/>
  <c r="I167" i="11"/>
  <c r="M167" i="11"/>
  <c r="Q167" i="11"/>
  <c r="U167" i="11"/>
  <c r="Y167" i="11"/>
  <c r="AC167" i="11"/>
  <c r="F167" i="11"/>
  <c r="J167" i="11"/>
  <c r="N167" i="11"/>
  <c r="R167" i="11"/>
  <c r="V167" i="11"/>
  <c r="Z167" i="11"/>
  <c r="AD167" i="11"/>
  <c r="AH167" i="11"/>
  <c r="AL167" i="11"/>
  <c r="C167" i="11"/>
  <c r="G167" i="11"/>
  <c r="K167" i="11"/>
  <c r="O167" i="11"/>
  <c r="S167" i="11"/>
  <c r="W167" i="11"/>
  <c r="AA167" i="11"/>
  <c r="D167" i="11"/>
  <c r="H167" i="11"/>
  <c r="L167" i="11"/>
  <c r="P167" i="11"/>
  <c r="T167" i="11"/>
  <c r="X167" i="11"/>
  <c r="AB167" i="11"/>
  <c r="AF167" i="11"/>
  <c r="AJ167" i="11"/>
  <c r="AE167" i="11"/>
  <c r="AM167" i="11"/>
  <c r="AG167" i="11"/>
  <c r="AN167" i="11"/>
  <c r="AI167" i="11"/>
  <c r="AR167" i="11"/>
  <c r="AK167" i="11"/>
  <c r="D127" i="11"/>
  <c r="H127" i="11"/>
  <c r="L127" i="11"/>
  <c r="P127" i="11"/>
  <c r="T127" i="11"/>
  <c r="X127" i="11"/>
  <c r="AB127" i="11"/>
  <c r="AF127" i="11"/>
  <c r="AJ127" i="11"/>
  <c r="AN127" i="11"/>
  <c r="E127" i="11"/>
  <c r="I127" i="11"/>
  <c r="M127" i="11"/>
  <c r="Q127" i="11"/>
  <c r="U127" i="11"/>
  <c r="Y127" i="11"/>
  <c r="AC127" i="11"/>
  <c r="AG127" i="11"/>
  <c r="AK127" i="11"/>
  <c r="AR127" i="11"/>
  <c r="F127" i="11"/>
  <c r="J127" i="11"/>
  <c r="N127" i="11"/>
  <c r="R127" i="11"/>
  <c r="V127" i="11"/>
  <c r="Z127" i="11"/>
  <c r="AD127" i="11"/>
  <c r="AH127" i="11"/>
  <c r="AL127" i="11"/>
  <c r="C127" i="11"/>
  <c r="G127" i="11"/>
  <c r="K127" i="11"/>
  <c r="O127" i="11"/>
  <c r="S127" i="11"/>
  <c r="W127" i="11"/>
  <c r="AA127" i="11"/>
  <c r="AE127" i="11"/>
  <c r="AI127" i="11"/>
  <c r="AM127" i="11"/>
  <c r="A128" i="11"/>
  <c r="A99" i="11"/>
  <c r="A100" i="11" s="1"/>
  <c r="A108" i="11"/>
  <c r="A138" i="11"/>
  <c r="A119" i="11"/>
  <c r="A148" i="11"/>
  <c r="A158" i="11"/>
  <c r="A168" i="11"/>
  <c r="AQ118" i="11" l="1"/>
  <c r="AP118" i="11"/>
  <c r="AO118" i="11"/>
  <c r="AQ138" i="11"/>
  <c r="AP138" i="11"/>
  <c r="AO138" i="11"/>
  <c r="AP108" i="11"/>
  <c r="AQ108" i="11"/>
  <c r="AO108" i="11"/>
  <c r="AP119" i="11"/>
  <c r="AQ119" i="11"/>
  <c r="AO119" i="11"/>
  <c r="AP128" i="11"/>
  <c r="AO128" i="11"/>
  <c r="AQ128" i="11"/>
  <c r="E119" i="11"/>
  <c r="I119" i="11"/>
  <c r="M119" i="11"/>
  <c r="Q119" i="11"/>
  <c r="U119" i="11"/>
  <c r="Y119" i="11"/>
  <c r="AC119" i="11"/>
  <c r="AG119" i="11"/>
  <c r="AK119" i="11"/>
  <c r="AR119" i="11"/>
  <c r="F119" i="11"/>
  <c r="J119" i="11"/>
  <c r="N119" i="11"/>
  <c r="R119" i="11"/>
  <c r="V119" i="11"/>
  <c r="Z119" i="11"/>
  <c r="AD119" i="11"/>
  <c r="AH119" i="11"/>
  <c r="AL119" i="11"/>
  <c r="C119" i="11"/>
  <c r="G119" i="11"/>
  <c r="K119" i="11"/>
  <c r="O119" i="11"/>
  <c r="S119" i="11"/>
  <c r="W119" i="11"/>
  <c r="AA119" i="11"/>
  <c r="AE119" i="11"/>
  <c r="AI119" i="11"/>
  <c r="AM119" i="11"/>
  <c r="D119" i="11"/>
  <c r="H119" i="11"/>
  <c r="L119" i="11"/>
  <c r="P119" i="11"/>
  <c r="T119" i="11"/>
  <c r="X119" i="11"/>
  <c r="AB119" i="11"/>
  <c r="AF119" i="11"/>
  <c r="AJ119" i="11"/>
  <c r="AN119" i="11"/>
  <c r="E128" i="11"/>
  <c r="I128" i="11"/>
  <c r="M128" i="11"/>
  <c r="Q128" i="11"/>
  <c r="U128" i="11"/>
  <c r="Y128" i="11"/>
  <c r="AC128" i="11"/>
  <c r="AG128" i="11"/>
  <c r="AK128" i="11"/>
  <c r="AR128" i="11"/>
  <c r="F128" i="11"/>
  <c r="J128" i="11"/>
  <c r="N128" i="11"/>
  <c r="R128" i="11"/>
  <c r="V128" i="11"/>
  <c r="Z128" i="11"/>
  <c r="AD128" i="11"/>
  <c r="AH128" i="11"/>
  <c r="AL128" i="11"/>
  <c r="C128" i="11"/>
  <c r="G128" i="11"/>
  <c r="K128" i="11"/>
  <c r="O128" i="11"/>
  <c r="S128" i="11"/>
  <c r="W128" i="11"/>
  <c r="AA128" i="11"/>
  <c r="AE128" i="11"/>
  <c r="AI128" i="11"/>
  <c r="AM128" i="11"/>
  <c r="D128" i="11"/>
  <c r="H128" i="11"/>
  <c r="L128" i="11"/>
  <c r="P128" i="11"/>
  <c r="T128" i="11"/>
  <c r="X128" i="11"/>
  <c r="AB128" i="11"/>
  <c r="AF128" i="11"/>
  <c r="AJ128" i="11"/>
  <c r="AN128" i="11"/>
  <c r="E138" i="11"/>
  <c r="I138" i="11"/>
  <c r="M138" i="11"/>
  <c r="Q138" i="11"/>
  <c r="U138" i="11"/>
  <c r="Y138" i="11"/>
  <c r="AC138" i="11"/>
  <c r="AG138" i="11"/>
  <c r="AK138" i="11"/>
  <c r="AR138" i="11"/>
  <c r="F138" i="11"/>
  <c r="J138" i="11"/>
  <c r="N138" i="11"/>
  <c r="R138" i="11"/>
  <c r="V138" i="11"/>
  <c r="Z138" i="11"/>
  <c r="AD138" i="11"/>
  <c r="AH138" i="11"/>
  <c r="AL138" i="11"/>
  <c r="C138" i="11"/>
  <c r="G138" i="11"/>
  <c r="K138" i="11"/>
  <c r="O138" i="11"/>
  <c r="S138" i="11"/>
  <c r="W138" i="11"/>
  <c r="AA138" i="11"/>
  <c r="AE138" i="11"/>
  <c r="AI138" i="11"/>
  <c r="AM138" i="11"/>
  <c r="D138" i="11"/>
  <c r="H138" i="11"/>
  <c r="L138" i="11"/>
  <c r="P138" i="11"/>
  <c r="T138" i="11"/>
  <c r="X138" i="11"/>
  <c r="AB138" i="11"/>
  <c r="AF138" i="11"/>
  <c r="AJ138" i="11"/>
  <c r="AN138" i="11"/>
  <c r="E108" i="11"/>
  <c r="I108" i="11"/>
  <c r="M108" i="11"/>
  <c r="Q108" i="11"/>
  <c r="U108" i="11"/>
  <c r="Y108" i="11"/>
  <c r="AC108" i="11"/>
  <c r="AG108" i="11"/>
  <c r="AK108" i="11"/>
  <c r="AR108" i="11"/>
  <c r="F108" i="11"/>
  <c r="J108" i="11"/>
  <c r="N108" i="11"/>
  <c r="R108" i="11"/>
  <c r="V108" i="11"/>
  <c r="Z108" i="11"/>
  <c r="AD108" i="11"/>
  <c r="AH108" i="11"/>
  <c r="AL108" i="11"/>
  <c r="D108" i="11"/>
  <c r="L108" i="11"/>
  <c r="T108" i="11"/>
  <c r="AB108" i="11"/>
  <c r="AJ108" i="11"/>
  <c r="G108" i="11"/>
  <c r="O108" i="11"/>
  <c r="W108" i="11"/>
  <c r="AE108" i="11"/>
  <c r="AM108" i="11"/>
  <c r="H108" i="11"/>
  <c r="P108" i="11"/>
  <c r="X108" i="11"/>
  <c r="AF108" i="11"/>
  <c r="AN108" i="11"/>
  <c r="C108" i="11"/>
  <c r="K108" i="11"/>
  <c r="S108" i="11"/>
  <c r="AA108" i="11"/>
  <c r="AI108" i="11"/>
  <c r="A129" i="11"/>
  <c r="A109" i="11"/>
  <c r="A149" i="11"/>
  <c r="A139" i="11"/>
  <c r="A120" i="11"/>
  <c r="A169" i="11"/>
  <c r="A159" i="11"/>
  <c r="A110" i="11" l="1"/>
  <c r="A111" i="11" s="1"/>
  <c r="A140" i="11"/>
  <c r="AQ139" i="11"/>
  <c r="AP139" i="11"/>
  <c r="AO139" i="11"/>
  <c r="AQ129" i="11"/>
  <c r="AP129" i="11"/>
  <c r="AO129" i="11"/>
  <c r="AQ149" i="11"/>
  <c r="AO149" i="11"/>
  <c r="AP149" i="11"/>
  <c r="C140" i="11"/>
  <c r="G140" i="11"/>
  <c r="K140" i="11"/>
  <c r="O140" i="11"/>
  <c r="S140" i="11"/>
  <c r="W140" i="11"/>
  <c r="AA140" i="11"/>
  <c r="AE140" i="11"/>
  <c r="AI140" i="11"/>
  <c r="AM140" i="11"/>
  <c r="D140" i="11"/>
  <c r="H140" i="11"/>
  <c r="L140" i="11"/>
  <c r="P140" i="11"/>
  <c r="T140" i="11"/>
  <c r="X140" i="11"/>
  <c r="AB140" i="11"/>
  <c r="AF140" i="11"/>
  <c r="AJ140" i="11"/>
  <c r="AN140" i="11"/>
  <c r="E140" i="11"/>
  <c r="I140" i="11"/>
  <c r="M140" i="11"/>
  <c r="Q140" i="11"/>
  <c r="U140" i="11"/>
  <c r="Y140" i="11"/>
  <c r="AC140" i="11"/>
  <c r="AG140" i="11"/>
  <c r="AK140" i="11"/>
  <c r="AR140" i="11"/>
  <c r="F140" i="11"/>
  <c r="J140" i="11"/>
  <c r="N140" i="11"/>
  <c r="R140" i="11"/>
  <c r="V140" i="11"/>
  <c r="Z140" i="11"/>
  <c r="AD140" i="11"/>
  <c r="AH140" i="11"/>
  <c r="AL140" i="11"/>
  <c r="F129" i="11"/>
  <c r="J129" i="11"/>
  <c r="N129" i="11"/>
  <c r="R129" i="11"/>
  <c r="V129" i="11"/>
  <c r="Z129" i="11"/>
  <c r="AD129" i="11"/>
  <c r="AH129" i="11"/>
  <c r="AL129" i="11"/>
  <c r="C129" i="11"/>
  <c r="G129" i="11"/>
  <c r="K129" i="11"/>
  <c r="O129" i="11"/>
  <c r="S129" i="11"/>
  <c r="W129" i="11"/>
  <c r="AA129" i="11"/>
  <c r="AE129" i="11"/>
  <c r="AI129" i="11"/>
  <c r="AM129" i="11"/>
  <c r="D129" i="11"/>
  <c r="H129" i="11"/>
  <c r="L129" i="11"/>
  <c r="P129" i="11"/>
  <c r="T129" i="11"/>
  <c r="X129" i="11"/>
  <c r="AB129" i="11"/>
  <c r="AF129" i="11"/>
  <c r="AJ129" i="11"/>
  <c r="AN129" i="11"/>
  <c r="E129" i="11"/>
  <c r="I129" i="11"/>
  <c r="M129" i="11"/>
  <c r="Q129" i="11"/>
  <c r="U129" i="11"/>
  <c r="Y129" i="11"/>
  <c r="AC129" i="11"/>
  <c r="AG129" i="11"/>
  <c r="AK129" i="11"/>
  <c r="AR129" i="11"/>
  <c r="C149" i="11"/>
  <c r="G149" i="11"/>
  <c r="K149" i="11"/>
  <c r="O149" i="11"/>
  <c r="S149" i="11"/>
  <c r="W149" i="11"/>
  <c r="AA149" i="11"/>
  <c r="AE149" i="11"/>
  <c r="AI149" i="11"/>
  <c r="AM149" i="11"/>
  <c r="D149" i="11"/>
  <c r="H149" i="11"/>
  <c r="L149" i="11"/>
  <c r="P149" i="11"/>
  <c r="T149" i="11"/>
  <c r="X149" i="11"/>
  <c r="AB149" i="11"/>
  <c r="AF149" i="11"/>
  <c r="AJ149" i="11"/>
  <c r="AN149" i="11"/>
  <c r="E149" i="11"/>
  <c r="I149" i="11"/>
  <c r="M149" i="11"/>
  <c r="Q149" i="11"/>
  <c r="U149" i="11"/>
  <c r="Y149" i="11"/>
  <c r="AC149" i="11"/>
  <c r="AG149" i="11"/>
  <c r="AK149" i="11"/>
  <c r="AR149" i="11"/>
  <c r="F149" i="11"/>
  <c r="J149" i="11"/>
  <c r="N149" i="11"/>
  <c r="R149" i="11"/>
  <c r="V149" i="11"/>
  <c r="Z149" i="11"/>
  <c r="AD149" i="11"/>
  <c r="AH149" i="11"/>
  <c r="AL149" i="11"/>
  <c r="F139" i="11"/>
  <c r="J139" i="11"/>
  <c r="N139" i="11"/>
  <c r="R139" i="11"/>
  <c r="V139" i="11"/>
  <c r="Z139" i="11"/>
  <c r="AD139" i="11"/>
  <c r="AH139" i="11"/>
  <c r="AL139" i="11"/>
  <c r="C139" i="11"/>
  <c r="G139" i="11"/>
  <c r="K139" i="11"/>
  <c r="O139" i="11"/>
  <c r="S139" i="11"/>
  <c r="W139" i="11"/>
  <c r="AA139" i="11"/>
  <c r="AE139" i="11"/>
  <c r="AI139" i="11"/>
  <c r="AM139" i="11"/>
  <c r="D139" i="11"/>
  <c r="H139" i="11"/>
  <c r="L139" i="11"/>
  <c r="P139" i="11"/>
  <c r="T139" i="11"/>
  <c r="X139" i="11"/>
  <c r="AB139" i="11"/>
  <c r="AF139" i="11"/>
  <c r="AJ139" i="11"/>
  <c r="AN139" i="11"/>
  <c r="E139" i="11"/>
  <c r="I139" i="11"/>
  <c r="M139" i="11"/>
  <c r="Q139" i="11"/>
  <c r="U139" i="11"/>
  <c r="Y139" i="11"/>
  <c r="AC139" i="11"/>
  <c r="AG139" i="11"/>
  <c r="AK139" i="11"/>
  <c r="AR139" i="11"/>
  <c r="A150" i="11"/>
  <c r="A130" i="11"/>
  <c r="A121" i="11"/>
  <c r="A122" i="11" s="1"/>
  <c r="A160" i="11"/>
  <c r="A141" i="11"/>
  <c r="A170" i="11"/>
  <c r="B20" i="8"/>
  <c r="C20" i="8" s="1"/>
  <c r="D20" i="8" s="1"/>
  <c r="B25" i="8"/>
  <c r="C25" i="8" s="1"/>
  <c r="D25" i="8" s="1"/>
  <c r="B26" i="8"/>
  <c r="C26" i="8" s="1"/>
  <c r="D26" i="8" s="1"/>
  <c r="B27" i="8"/>
  <c r="C27" i="8" s="1"/>
  <c r="D27" i="8" s="1"/>
  <c r="B28" i="8"/>
  <c r="C28" i="8" s="1"/>
  <c r="D28" i="8" s="1"/>
  <c r="AQ140" i="11" l="1"/>
  <c r="AP140" i="11"/>
  <c r="AO140" i="11"/>
  <c r="AP160" i="11"/>
  <c r="AQ160" i="11"/>
  <c r="AO160" i="11"/>
  <c r="AQ141" i="11"/>
  <c r="AP141" i="11"/>
  <c r="AO141" i="11"/>
  <c r="A151" i="11"/>
  <c r="Q151" i="11" s="1"/>
  <c r="AQ150" i="11"/>
  <c r="AP150" i="11"/>
  <c r="AO150" i="11"/>
  <c r="AQ130" i="11"/>
  <c r="AP130" i="11"/>
  <c r="AO130" i="11"/>
  <c r="I151" i="11"/>
  <c r="M151" i="11"/>
  <c r="AK151" i="11"/>
  <c r="AH151" i="11"/>
  <c r="K151" i="11"/>
  <c r="AM151" i="11"/>
  <c r="P151" i="11"/>
  <c r="AN151" i="11"/>
  <c r="C130" i="11"/>
  <c r="G130" i="11"/>
  <c r="K130" i="11"/>
  <c r="O130" i="11"/>
  <c r="S130" i="11"/>
  <c r="W130" i="11"/>
  <c r="AA130" i="11"/>
  <c r="AE130" i="11"/>
  <c r="AI130" i="11"/>
  <c r="AM130" i="11"/>
  <c r="D130" i="11"/>
  <c r="H130" i="11"/>
  <c r="L130" i="11"/>
  <c r="P130" i="11"/>
  <c r="T130" i="11"/>
  <c r="X130" i="11"/>
  <c r="AB130" i="11"/>
  <c r="AF130" i="11"/>
  <c r="AJ130" i="11"/>
  <c r="AN130" i="11"/>
  <c r="E130" i="11"/>
  <c r="I130" i="11"/>
  <c r="M130" i="11"/>
  <c r="Q130" i="11"/>
  <c r="U130" i="11"/>
  <c r="Y130" i="11"/>
  <c r="AC130" i="11"/>
  <c r="AG130" i="11"/>
  <c r="AK130" i="11"/>
  <c r="AR130" i="11"/>
  <c r="F130" i="11"/>
  <c r="J130" i="11"/>
  <c r="N130" i="11"/>
  <c r="R130" i="11"/>
  <c r="V130" i="11"/>
  <c r="Z130" i="11"/>
  <c r="AD130" i="11"/>
  <c r="AH130" i="11"/>
  <c r="AL130" i="11"/>
  <c r="D141" i="11"/>
  <c r="H141" i="11"/>
  <c r="L141" i="11"/>
  <c r="P141" i="11"/>
  <c r="T141" i="11"/>
  <c r="X141" i="11"/>
  <c r="AB141" i="11"/>
  <c r="AF141" i="11"/>
  <c r="AJ141" i="11"/>
  <c r="AN141" i="11"/>
  <c r="E141" i="11"/>
  <c r="I141" i="11"/>
  <c r="M141" i="11"/>
  <c r="Q141" i="11"/>
  <c r="U141" i="11"/>
  <c r="Y141" i="11"/>
  <c r="AC141" i="11"/>
  <c r="AG141" i="11"/>
  <c r="AK141" i="11"/>
  <c r="AR141" i="11"/>
  <c r="F141" i="11"/>
  <c r="J141" i="11"/>
  <c r="N141" i="11"/>
  <c r="R141" i="11"/>
  <c r="V141" i="11"/>
  <c r="Z141" i="11"/>
  <c r="AD141" i="11"/>
  <c r="AH141" i="11"/>
  <c r="AL141" i="11"/>
  <c r="C141" i="11"/>
  <c r="G141" i="11"/>
  <c r="K141" i="11"/>
  <c r="O141" i="11"/>
  <c r="S141" i="11"/>
  <c r="W141" i="11"/>
  <c r="AA141" i="11"/>
  <c r="AE141" i="11"/>
  <c r="AI141" i="11"/>
  <c r="AM141" i="11"/>
  <c r="D150" i="11"/>
  <c r="H150" i="11"/>
  <c r="L150" i="11"/>
  <c r="P150" i="11"/>
  <c r="T150" i="11"/>
  <c r="X150" i="11"/>
  <c r="AB150" i="11"/>
  <c r="AF150" i="11"/>
  <c r="AJ150" i="11"/>
  <c r="AN150" i="11"/>
  <c r="E150" i="11"/>
  <c r="I150" i="11"/>
  <c r="M150" i="11"/>
  <c r="Q150" i="11"/>
  <c r="U150" i="11"/>
  <c r="Y150" i="11"/>
  <c r="AC150" i="11"/>
  <c r="AG150" i="11"/>
  <c r="AK150" i="11"/>
  <c r="AR150" i="11"/>
  <c r="F150" i="11"/>
  <c r="J150" i="11"/>
  <c r="N150" i="11"/>
  <c r="R150" i="11"/>
  <c r="V150" i="11"/>
  <c r="Z150" i="11"/>
  <c r="AD150" i="11"/>
  <c r="AH150" i="11"/>
  <c r="AL150" i="11"/>
  <c r="C150" i="11"/>
  <c r="G150" i="11"/>
  <c r="K150" i="11"/>
  <c r="O150" i="11"/>
  <c r="S150" i="11"/>
  <c r="W150" i="11"/>
  <c r="AA150" i="11"/>
  <c r="AE150" i="11"/>
  <c r="AI150" i="11"/>
  <c r="AM150" i="11"/>
  <c r="E160" i="11"/>
  <c r="I160" i="11"/>
  <c r="M160" i="11"/>
  <c r="Q160" i="11"/>
  <c r="U160" i="11"/>
  <c r="Y160" i="11"/>
  <c r="AC160" i="11"/>
  <c r="AG160" i="11"/>
  <c r="AK160" i="11"/>
  <c r="AR160" i="11"/>
  <c r="F160" i="11"/>
  <c r="J160" i="11"/>
  <c r="N160" i="11"/>
  <c r="R160" i="11"/>
  <c r="V160" i="11"/>
  <c r="Z160" i="11"/>
  <c r="AD160" i="11"/>
  <c r="AH160" i="11"/>
  <c r="AL160" i="11"/>
  <c r="C160" i="11"/>
  <c r="G160" i="11"/>
  <c r="K160" i="11"/>
  <c r="O160" i="11"/>
  <c r="S160" i="11"/>
  <c r="W160" i="11"/>
  <c r="AA160" i="11"/>
  <c r="AE160" i="11"/>
  <c r="AI160" i="11"/>
  <c r="AM160" i="11"/>
  <c r="D160" i="11"/>
  <c r="H160" i="11"/>
  <c r="L160" i="11"/>
  <c r="P160" i="11"/>
  <c r="T160" i="11"/>
  <c r="X160" i="11"/>
  <c r="AB160" i="11"/>
  <c r="AF160" i="11"/>
  <c r="AJ160" i="11"/>
  <c r="AN160" i="11"/>
  <c r="A131" i="11"/>
  <c r="A161" i="11"/>
  <c r="A171" i="11"/>
  <c r="A152" i="11"/>
  <c r="A142" i="11"/>
  <c r="D151" i="11" l="1"/>
  <c r="R151" i="11"/>
  <c r="AJ151" i="11"/>
  <c r="O151" i="11"/>
  <c r="F151" i="11"/>
  <c r="E151" i="11"/>
  <c r="X151" i="11"/>
  <c r="W151" i="11"/>
  <c r="AD151" i="11"/>
  <c r="AC151" i="11"/>
  <c r="T151" i="11"/>
  <c r="AE151" i="11"/>
  <c r="AL151" i="11"/>
  <c r="N151" i="11"/>
  <c r="Y151" i="11"/>
  <c r="AF151" i="11"/>
  <c r="H151" i="11"/>
  <c r="AA151" i="11"/>
  <c r="G151" i="11"/>
  <c r="V151" i="11"/>
  <c r="AR151" i="11"/>
  <c r="U151" i="11"/>
  <c r="AB151" i="11"/>
  <c r="L151" i="11"/>
  <c r="AI151" i="11"/>
  <c r="S151" i="11"/>
  <c r="C151" i="11"/>
  <c r="Z151" i="11"/>
  <c r="J151" i="11"/>
  <c r="AG151" i="11"/>
  <c r="A132" i="11"/>
  <c r="A133" i="11" s="1"/>
  <c r="AP152" i="11"/>
  <c r="AO152" i="11"/>
  <c r="AQ152" i="11"/>
  <c r="AQ171" i="11"/>
  <c r="AP171" i="11"/>
  <c r="AO171" i="11"/>
  <c r="AQ161" i="11"/>
  <c r="AO161" i="11"/>
  <c r="AP161" i="11"/>
  <c r="AQ151" i="11"/>
  <c r="AP151" i="11"/>
  <c r="AO151" i="11"/>
  <c r="E171" i="11"/>
  <c r="I171" i="11"/>
  <c r="M171" i="11"/>
  <c r="Q171" i="11"/>
  <c r="U171" i="11"/>
  <c r="Y171" i="11"/>
  <c r="AC171" i="11"/>
  <c r="AG171" i="11"/>
  <c r="AK171" i="11"/>
  <c r="AR171" i="11"/>
  <c r="F171" i="11"/>
  <c r="J171" i="11"/>
  <c r="N171" i="11"/>
  <c r="R171" i="11"/>
  <c r="V171" i="11"/>
  <c r="Z171" i="11"/>
  <c r="AD171" i="11"/>
  <c r="AH171" i="11"/>
  <c r="AL171" i="11"/>
  <c r="C171" i="11"/>
  <c r="G171" i="11"/>
  <c r="K171" i="11"/>
  <c r="O171" i="11"/>
  <c r="S171" i="11"/>
  <c r="W171" i="11"/>
  <c r="AA171" i="11"/>
  <c r="AE171" i="11"/>
  <c r="AI171" i="11"/>
  <c r="AM171" i="11"/>
  <c r="D171" i="11"/>
  <c r="H171" i="11"/>
  <c r="L171" i="11"/>
  <c r="P171" i="11"/>
  <c r="T171" i="11"/>
  <c r="X171" i="11"/>
  <c r="AB171" i="11"/>
  <c r="AF171" i="11"/>
  <c r="AJ171" i="11"/>
  <c r="AN171" i="11"/>
  <c r="F152" i="11"/>
  <c r="J152" i="11"/>
  <c r="N152" i="11"/>
  <c r="R152" i="11"/>
  <c r="V152" i="11"/>
  <c r="Z152" i="11"/>
  <c r="AD152" i="11"/>
  <c r="AH152" i="11"/>
  <c r="AL152" i="11"/>
  <c r="C152" i="11"/>
  <c r="G152" i="11"/>
  <c r="K152" i="11"/>
  <c r="O152" i="11"/>
  <c r="S152" i="11"/>
  <c r="W152" i="11"/>
  <c r="AA152" i="11"/>
  <c r="AE152" i="11"/>
  <c r="AI152" i="11"/>
  <c r="AM152" i="11"/>
  <c r="D152" i="11"/>
  <c r="H152" i="11"/>
  <c r="L152" i="11"/>
  <c r="P152" i="11"/>
  <c r="T152" i="11"/>
  <c r="X152" i="11"/>
  <c r="AB152" i="11"/>
  <c r="AF152" i="11"/>
  <c r="AJ152" i="11"/>
  <c r="AN152" i="11"/>
  <c r="E152" i="11"/>
  <c r="I152" i="11"/>
  <c r="M152" i="11"/>
  <c r="Q152" i="11"/>
  <c r="U152" i="11"/>
  <c r="Y152" i="11"/>
  <c r="AC152" i="11"/>
  <c r="AG152" i="11"/>
  <c r="AK152" i="11"/>
  <c r="AR152" i="11"/>
  <c r="F161" i="11"/>
  <c r="J161" i="11"/>
  <c r="N161" i="11"/>
  <c r="R161" i="11"/>
  <c r="V161" i="11"/>
  <c r="Z161" i="11"/>
  <c r="AD161" i="11"/>
  <c r="AH161" i="11"/>
  <c r="AL161" i="11"/>
  <c r="C161" i="11"/>
  <c r="G161" i="11"/>
  <c r="K161" i="11"/>
  <c r="O161" i="11"/>
  <c r="S161" i="11"/>
  <c r="W161" i="11"/>
  <c r="AA161" i="11"/>
  <c r="AE161" i="11"/>
  <c r="AI161" i="11"/>
  <c r="AM161" i="11"/>
  <c r="D161" i="11"/>
  <c r="H161" i="11"/>
  <c r="L161" i="11"/>
  <c r="P161" i="11"/>
  <c r="T161" i="11"/>
  <c r="X161" i="11"/>
  <c r="AB161" i="11"/>
  <c r="AF161" i="11"/>
  <c r="AJ161" i="11"/>
  <c r="AN161" i="11"/>
  <c r="E161" i="11"/>
  <c r="I161" i="11"/>
  <c r="M161" i="11"/>
  <c r="Q161" i="11"/>
  <c r="U161" i="11"/>
  <c r="Y161" i="11"/>
  <c r="AC161" i="11"/>
  <c r="AG161" i="11"/>
  <c r="AK161" i="11"/>
  <c r="AR161" i="11"/>
  <c r="A162" i="11"/>
  <c r="A143" i="11"/>
  <c r="A144" i="11" s="1"/>
  <c r="A172" i="11"/>
  <c r="A153" i="11"/>
  <c r="B4" i="5"/>
  <c r="AQ162" i="11" l="1"/>
  <c r="AP162" i="11"/>
  <c r="AO162" i="11"/>
  <c r="AP172" i="11"/>
  <c r="AO172" i="11"/>
  <c r="AQ172" i="11"/>
  <c r="F172" i="11"/>
  <c r="J172" i="11"/>
  <c r="N172" i="11"/>
  <c r="R172" i="11"/>
  <c r="V172" i="11"/>
  <c r="Z172" i="11"/>
  <c r="AD172" i="11"/>
  <c r="AH172" i="11"/>
  <c r="AL172" i="11"/>
  <c r="C172" i="11"/>
  <c r="G172" i="11"/>
  <c r="K172" i="11"/>
  <c r="O172" i="11"/>
  <c r="S172" i="11"/>
  <c r="W172" i="11"/>
  <c r="AA172" i="11"/>
  <c r="AE172" i="11"/>
  <c r="AI172" i="11"/>
  <c r="AM172" i="11"/>
  <c r="D172" i="11"/>
  <c r="H172" i="11"/>
  <c r="L172" i="11"/>
  <c r="P172" i="11"/>
  <c r="T172" i="11"/>
  <c r="X172" i="11"/>
  <c r="AB172" i="11"/>
  <c r="AF172" i="11"/>
  <c r="AJ172" i="11"/>
  <c r="AN172" i="11"/>
  <c r="E172" i="11"/>
  <c r="I172" i="11"/>
  <c r="M172" i="11"/>
  <c r="Q172" i="11"/>
  <c r="U172" i="11"/>
  <c r="Y172" i="11"/>
  <c r="AC172" i="11"/>
  <c r="AG172" i="11"/>
  <c r="AK172" i="11"/>
  <c r="AR172" i="11"/>
  <c r="C162" i="11"/>
  <c r="G162" i="11"/>
  <c r="K162" i="11"/>
  <c r="O162" i="11"/>
  <c r="S162" i="11"/>
  <c r="W162" i="11"/>
  <c r="AA162" i="11"/>
  <c r="AE162" i="11"/>
  <c r="AI162" i="11"/>
  <c r="AM162" i="11"/>
  <c r="D162" i="11"/>
  <c r="H162" i="11"/>
  <c r="L162" i="11"/>
  <c r="P162" i="11"/>
  <c r="T162" i="11"/>
  <c r="X162" i="11"/>
  <c r="AB162" i="11"/>
  <c r="AF162" i="11"/>
  <c r="AJ162" i="11"/>
  <c r="AN162" i="11"/>
  <c r="E162" i="11"/>
  <c r="I162" i="11"/>
  <c r="M162" i="11"/>
  <c r="Q162" i="11"/>
  <c r="U162" i="11"/>
  <c r="Y162" i="11"/>
  <c r="AC162" i="11"/>
  <c r="AG162" i="11"/>
  <c r="AK162" i="11"/>
  <c r="AR162" i="11"/>
  <c r="F162" i="11"/>
  <c r="J162" i="11"/>
  <c r="N162" i="11"/>
  <c r="R162" i="11"/>
  <c r="V162" i="11"/>
  <c r="Z162" i="11"/>
  <c r="AD162" i="11"/>
  <c r="AH162" i="11"/>
  <c r="AL162" i="11"/>
  <c r="A163" i="11"/>
  <c r="A154" i="11"/>
  <c r="A155" i="11" s="1"/>
  <c r="A173" i="11"/>
  <c r="A7" i="5"/>
  <c r="AQ163" i="11" l="1"/>
  <c r="AP163" i="11"/>
  <c r="AO163" i="11"/>
  <c r="AQ173" i="11"/>
  <c r="AO173" i="11"/>
  <c r="AP173" i="11"/>
  <c r="C173" i="11"/>
  <c r="G173" i="11"/>
  <c r="K173" i="11"/>
  <c r="O173" i="11"/>
  <c r="S173" i="11"/>
  <c r="W173" i="11"/>
  <c r="AA173" i="11"/>
  <c r="AE173" i="11"/>
  <c r="AI173" i="11"/>
  <c r="AM173" i="11"/>
  <c r="D173" i="11"/>
  <c r="H173" i="11"/>
  <c r="L173" i="11"/>
  <c r="P173" i="11"/>
  <c r="T173" i="11"/>
  <c r="X173" i="11"/>
  <c r="AB173" i="11"/>
  <c r="AF173" i="11"/>
  <c r="AJ173" i="11"/>
  <c r="AN173" i="11"/>
  <c r="E173" i="11"/>
  <c r="I173" i="11"/>
  <c r="M173" i="11"/>
  <c r="Q173" i="11"/>
  <c r="U173" i="11"/>
  <c r="Y173" i="11"/>
  <c r="AC173" i="11"/>
  <c r="AG173" i="11"/>
  <c r="AK173" i="11"/>
  <c r="AR173" i="11"/>
  <c r="F173" i="11"/>
  <c r="J173" i="11"/>
  <c r="N173" i="11"/>
  <c r="R173" i="11"/>
  <c r="V173" i="11"/>
  <c r="Z173" i="11"/>
  <c r="AD173" i="11"/>
  <c r="AH173" i="11"/>
  <c r="AL173" i="11"/>
  <c r="D163" i="11"/>
  <c r="H163" i="11"/>
  <c r="L163" i="11"/>
  <c r="P163" i="11"/>
  <c r="T163" i="11"/>
  <c r="X163" i="11"/>
  <c r="AB163" i="11"/>
  <c r="AF163" i="11"/>
  <c r="AJ163" i="11"/>
  <c r="AN163" i="11"/>
  <c r="E163" i="11"/>
  <c r="I163" i="11"/>
  <c r="M163" i="11"/>
  <c r="Q163" i="11"/>
  <c r="U163" i="11"/>
  <c r="Y163" i="11"/>
  <c r="AC163" i="11"/>
  <c r="AG163" i="11"/>
  <c r="AK163" i="11"/>
  <c r="AR163" i="11"/>
  <c r="F163" i="11"/>
  <c r="J163" i="11"/>
  <c r="N163" i="11"/>
  <c r="R163" i="11"/>
  <c r="V163" i="11"/>
  <c r="Z163" i="11"/>
  <c r="AD163" i="11"/>
  <c r="AH163" i="11"/>
  <c r="AL163" i="11"/>
  <c r="C163" i="11"/>
  <c r="G163" i="11"/>
  <c r="K163" i="11"/>
  <c r="O163" i="11"/>
  <c r="S163" i="11"/>
  <c r="W163" i="11"/>
  <c r="AA163" i="11"/>
  <c r="AE163" i="11"/>
  <c r="AI163" i="11"/>
  <c r="AM163" i="11"/>
  <c r="A164" i="11"/>
  <c r="A174" i="11"/>
  <c r="AQ174" i="11" l="1"/>
  <c r="AO174" i="11"/>
  <c r="AP174" i="11"/>
  <c r="D174" i="11"/>
  <c r="H174" i="11"/>
  <c r="L174" i="11"/>
  <c r="P174" i="11"/>
  <c r="T174" i="11"/>
  <c r="X174" i="11"/>
  <c r="AB174" i="11"/>
  <c r="AF174" i="11"/>
  <c r="AJ174" i="11"/>
  <c r="AN174" i="11"/>
  <c r="E174" i="11"/>
  <c r="I174" i="11"/>
  <c r="M174" i="11"/>
  <c r="Q174" i="11"/>
  <c r="U174" i="11"/>
  <c r="Y174" i="11"/>
  <c r="AC174" i="11"/>
  <c r="AG174" i="11"/>
  <c r="AK174" i="11"/>
  <c r="AR174" i="11"/>
  <c r="F174" i="11"/>
  <c r="J174" i="11"/>
  <c r="N174" i="11"/>
  <c r="R174" i="11"/>
  <c r="V174" i="11"/>
  <c r="Z174" i="11"/>
  <c r="AD174" i="11"/>
  <c r="AH174" i="11"/>
  <c r="AL174" i="11"/>
  <c r="C174" i="11"/>
  <c r="G174" i="11"/>
  <c r="K174" i="11"/>
  <c r="O174" i="11"/>
  <c r="S174" i="11"/>
  <c r="W174" i="11"/>
  <c r="AA174" i="11"/>
  <c r="AE174" i="11"/>
  <c r="AI174" i="11"/>
  <c r="AM174" i="11"/>
  <c r="A165" i="11"/>
  <c r="A166" i="11" s="1"/>
  <c r="A175" i="11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G35" i="8"/>
  <c r="M19" i="1" s="1"/>
  <c r="I35" i="8"/>
  <c r="M31" i="1" s="1"/>
  <c r="F35" i="8"/>
  <c r="M4" i="1" s="1"/>
  <c r="J35" i="8"/>
  <c r="K35" i="8"/>
  <c r="H35" i="8"/>
  <c r="M29" i="1" s="1"/>
  <c r="B34" i="8"/>
  <c r="C34" i="8" s="1"/>
  <c r="B33" i="8"/>
  <c r="C33" i="8" s="1"/>
  <c r="B32" i="8"/>
  <c r="C32" i="8" s="1"/>
  <c r="B31" i="8"/>
  <c r="C31" i="8" s="1"/>
  <c r="B30" i="8"/>
  <c r="C30" i="8" s="1"/>
  <c r="B29" i="8"/>
  <c r="C29" i="8" s="1"/>
  <c r="B19" i="8"/>
  <c r="C19" i="8" s="1"/>
  <c r="M12" i="1" l="1"/>
  <c r="M5" i="1"/>
  <c r="M30" i="1"/>
  <c r="M14" i="1"/>
  <c r="A176" i="11"/>
  <c r="A177" i="11" s="1"/>
  <c r="M39" i="1"/>
  <c r="M20" i="1"/>
  <c r="M28" i="1"/>
  <c r="M17" i="1"/>
  <c r="M21" i="1"/>
  <c r="M25" i="1"/>
  <c r="B35" i="8"/>
  <c r="B17" i="8"/>
  <c r="D34" i="8"/>
  <c r="D29" i="8"/>
  <c r="D30" i="8"/>
  <c r="D31" i="8"/>
  <c r="D32" i="8"/>
  <c r="D33" i="8"/>
  <c r="M48" i="1" l="1"/>
  <c r="M46" i="1"/>
  <c r="R3" i="13" s="1"/>
  <c r="R4" i="13" s="1"/>
  <c r="D19" i="8"/>
  <c r="P20" i="7" l="1"/>
  <c r="Q20" i="7"/>
  <c r="K36" i="8"/>
  <c r="J18" i="8" l="1"/>
  <c r="J36" i="8"/>
  <c r="L18" i="8"/>
  <c r="L36" i="8"/>
  <c r="P18" i="8"/>
  <c r="P36" i="8"/>
  <c r="V18" i="8"/>
  <c r="V36" i="8"/>
  <c r="Z18" i="8"/>
  <c r="Z36" i="8"/>
  <c r="F36" i="8"/>
  <c r="S4" i="1" s="1"/>
  <c r="M18" i="8"/>
  <c r="M36" i="8"/>
  <c r="Q18" i="8"/>
  <c r="Q36" i="8"/>
  <c r="U18" i="8"/>
  <c r="U36" i="8"/>
  <c r="Y18" i="8"/>
  <c r="Y36" i="8"/>
  <c r="H18" i="8"/>
  <c r="H36" i="8"/>
  <c r="I36" i="8"/>
  <c r="N18" i="8"/>
  <c r="N36" i="8"/>
  <c r="T18" i="8"/>
  <c r="T36" i="8"/>
  <c r="X18" i="8"/>
  <c r="X36" i="8"/>
  <c r="G18" i="8"/>
  <c r="G36" i="8"/>
  <c r="O18" i="8"/>
  <c r="O36" i="8"/>
  <c r="S18" i="8"/>
  <c r="S36" i="8"/>
  <c r="W18" i="8"/>
  <c r="W36" i="8"/>
  <c r="R18" i="8"/>
  <c r="R36" i="8"/>
  <c r="K18" i="8"/>
  <c r="S31" i="1" l="1"/>
  <c r="S29" i="1"/>
  <c r="S12" i="1"/>
  <c r="S5" i="1"/>
  <c r="AO21" i="11"/>
  <c r="AQ10" i="11"/>
  <c r="AP10" i="11"/>
  <c r="AQ21" i="11"/>
  <c r="AO10" i="11"/>
  <c r="AP21" i="11"/>
  <c r="AP43" i="11"/>
  <c r="AP32" i="11"/>
  <c r="AQ43" i="11"/>
  <c r="AQ32" i="11"/>
  <c r="AO43" i="11"/>
  <c r="AO32" i="11"/>
  <c r="AP54" i="11"/>
  <c r="AQ54" i="11"/>
  <c r="AO54" i="11"/>
  <c r="AQ76" i="11"/>
  <c r="AQ65" i="11"/>
  <c r="AO76" i="11"/>
  <c r="AP65" i="11"/>
  <c r="AO65" i="11"/>
  <c r="AP76" i="11"/>
  <c r="AO87" i="11"/>
  <c r="AP87" i="11"/>
  <c r="AQ87" i="11"/>
  <c r="AP98" i="11"/>
  <c r="AQ98" i="11"/>
  <c r="AO98" i="11"/>
  <c r="AQ109" i="11"/>
  <c r="AP120" i="11"/>
  <c r="AP109" i="11"/>
  <c r="AO120" i="11"/>
  <c r="AO109" i="11"/>
  <c r="AQ120" i="11"/>
  <c r="AQ142" i="11"/>
  <c r="AP131" i="11"/>
  <c r="AP142" i="11"/>
  <c r="AQ131" i="11"/>
  <c r="AO142" i="11"/>
  <c r="AO131" i="11"/>
  <c r="AQ153" i="11"/>
  <c r="AO153" i="11"/>
  <c r="AP153" i="11"/>
  <c r="AO164" i="11"/>
  <c r="AP164" i="11"/>
  <c r="AQ164" i="11"/>
  <c r="AQ175" i="11"/>
  <c r="AP175" i="11"/>
  <c r="AO175" i="11"/>
  <c r="K21" i="11"/>
  <c r="AA21" i="11"/>
  <c r="F32" i="11"/>
  <c r="V32" i="11"/>
  <c r="AL32" i="11"/>
  <c r="Q43" i="11"/>
  <c r="AG43" i="11"/>
  <c r="H21" i="11"/>
  <c r="X21" i="11"/>
  <c r="AN21" i="11"/>
  <c r="O32" i="11"/>
  <c r="AE32" i="11"/>
  <c r="I21" i="11"/>
  <c r="Y21" i="11"/>
  <c r="AR21" i="11"/>
  <c r="P32" i="11"/>
  <c r="AF32" i="11"/>
  <c r="V21" i="11"/>
  <c r="F43" i="11"/>
  <c r="AA43" i="11"/>
  <c r="J54" i="11"/>
  <c r="Z54" i="11"/>
  <c r="J21" i="11"/>
  <c r="AK32" i="11"/>
  <c r="W43" i="11"/>
  <c r="C54" i="11"/>
  <c r="S54" i="11"/>
  <c r="AI54" i="11"/>
  <c r="I32" i="11"/>
  <c r="H43" i="11"/>
  <c r="AD43" i="11"/>
  <c r="H54" i="11"/>
  <c r="X54" i="11"/>
  <c r="AN54" i="11"/>
  <c r="O65" i="11"/>
  <c r="AE65" i="11"/>
  <c r="AH21" i="11"/>
  <c r="Z43" i="11"/>
  <c r="D65" i="11"/>
  <c r="Y65" i="11"/>
  <c r="E76" i="11"/>
  <c r="U76" i="11"/>
  <c r="AK76" i="11"/>
  <c r="L87" i="11"/>
  <c r="AB87" i="11"/>
  <c r="J43" i="11"/>
  <c r="E65" i="11"/>
  <c r="Z65" i="11"/>
  <c r="AJ43" i="11"/>
  <c r="L65" i="11"/>
  <c r="AG65" i="11"/>
  <c r="K76" i="11"/>
  <c r="AA76" i="11"/>
  <c r="F87" i="11"/>
  <c r="V87" i="11"/>
  <c r="AL87" i="11"/>
  <c r="AK54" i="11"/>
  <c r="X65" i="11"/>
  <c r="D76" i="11"/>
  <c r="T76" i="11"/>
  <c r="AJ76" i="11"/>
  <c r="E87" i="11"/>
  <c r="AK87" i="11"/>
  <c r="Q98" i="11"/>
  <c r="AG98" i="11"/>
  <c r="H109" i="11"/>
  <c r="X109" i="11"/>
  <c r="AN109" i="11"/>
  <c r="O120" i="11"/>
  <c r="AE120" i="11"/>
  <c r="AH76" i="11"/>
  <c r="AE87" i="11"/>
  <c r="N98" i="11"/>
  <c r="AL76" i="11"/>
  <c r="AG87" i="11"/>
  <c r="K98" i="11"/>
  <c r="AA98" i="11"/>
  <c r="F109" i="11"/>
  <c r="V109" i="11"/>
  <c r="AL109" i="11"/>
  <c r="Q120" i="11"/>
  <c r="AG120" i="11"/>
  <c r="Z76" i="11"/>
  <c r="AA87" i="11"/>
  <c r="L98" i="11"/>
  <c r="AB98" i="11"/>
  <c r="C109" i="11"/>
  <c r="S109" i="11"/>
  <c r="AI109" i="11"/>
  <c r="AL98" i="11"/>
  <c r="R120" i="11"/>
  <c r="H131" i="11"/>
  <c r="X131" i="11"/>
  <c r="AN131" i="11"/>
  <c r="O142" i="11"/>
  <c r="AE142" i="11"/>
  <c r="J153" i="11"/>
  <c r="Z153" i="11"/>
  <c r="E164" i="11"/>
  <c r="U164" i="11"/>
  <c r="AK164" i="11"/>
  <c r="U109" i="11"/>
  <c r="AB120" i="11"/>
  <c r="M131" i="11"/>
  <c r="AC131" i="11"/>
  <c r="D142" i="11"/>
  <c r="T142" i="11"/>
  <c r="AJ142" i="11"/>
  <c r="K153" i="11"/>
  <c r="AA153" i="11"/>
  <c r="AD98" i="11"/>
  <c r="D120" i="11"/>
  <c r="AL120" i="11"/>
  <c r="R131" i="11"/>
  <c r="AH131" i="11"/>
  <c r="M142" i="11"/>
  <c r="AC142" i="11"/>
  <c r="D153" i="11"/>
  <c r="T153" i="11"/>
  <c r="AJ153" i="11"/>
  <c r="K164" i="11"/>
  <c r="AA164" i="11"/>
  <c r="AH98" i="11"/>
  <c r="P120" i="11"/>
  <c r="C131" i="11"/>
  <c r="S131" i="11"/>
  <c r="AI131" i="11"/>
  <c r="N142" i="11"/>
  <c r="AD142" i="11"/>
  <c r="F164" i="11"/>
  <c r="AG153" i="11"/>
  <c r="AF164" i="11"/>
  <c r="K175" i="11"/>
  <c r="AA175" i="11"/>
  <c r="N164" i="11"/>
  <c r="AH175" i="11"/>
  <c r="J164" i="11"/>
  <c r="D175" i="11"/>
  <c r="T175" i="11"/>
  <c r="AJ175" i="11"/>
  <c r="Y175" i="11"/>
  <c r="AD164" i="11"/>
  <c r="Y153" i="11"/>
  <c r="T164" i="11"/>
  <c r="O21" i="11"/>
  <c r="AE21" i="11"/>
  <c r="J32" i="11"/>
  <c r="Z32" i="11"/>
  <c r="E43" i="11"/>
  <c r="U43" i="11"/>
  <c r="AK43" i="11"/>
  <c r="L21" i="11"/>
  <c r="AB21" i="11"/>
  <c r="C32" i="11"/>
  <c r="S32" i="11"/>
  <c r="AI32" i="11"/>
  <c r="M21" i="11"/>
  <c r="AC21" i="11"/>
  <c r="D32" i="11"/>
  <c r="T32" i="11"/>
  <c r="AJ32" i="11"/>
  <c r="AL21" i="11"/>
  <c r="K43" i="11"/>
  <c r="AF43" i="11"/>
  <c r="N54" i="11"/>
  <c r="AD54" i="11"/>
  <c r="Z21" i="11"/>
  <c r="G43" i="11"/>
  <c r="AB43" i="11"/>
  <c r="G54" i="11"/>
  <c r="W54" i="11"/>
  <c r="AM54" i="11"/>
  <c r="Y32" i="11"/>
  <c r="N43" i="11"/>
  <c r="AI43" i="11"/>
  <c r="L54" i="11"/>
  <c r="AB54" i="11"/>
  <c r="C65" i="11"/>
  <c r="S65" i="11"/>
  <c r="AI65" i="11"/>
  <c r="M32" i="11"/>
  <c r="I54" i="11"/>
  <c r="I65" i="11"/>
  <c r="AD65" i="11"/>
  <c r="I76" i="11"/>
  <c r="Y76" i="11"/>
  <c r="AR76" i="11"/>
  <c r="P87" i="11"/>
  <c r="AF87" i="11"/>
  <c r="AE43" i="11"/>
  <c r="J65" i="11"/>
  <c r="AF65" i="11"/>
  <c r="Q54" i="11"/>
  <c r="Q65" i="11"/>
  <c r="AL65" i="11"/>
  <c r="O76" i="11"/>
  <c r="AE76" i="11"/>
  <c r="J87" i="11"/>
  <c r="Z87" i="11"/>
  <c r="T43" i="11"/>
  <c r="H65" i="11"/>
  <c r="AC65" i="11"/>
  <c r="H76" i="11"/>
  <c r="X76" i="11"/>
  <c r="AN76" i="11"/>
  <c r="M87" i="11"/>
  <c r="E98" i="11"/>
  <c r="U98" i="11"/>
  <c r="AK98" i="11"/>
  <c r="L109" i="11"/>
  <c r="AB109" i="11"/>
  <c r="C120" i="11"/>
  <c r="S120" i="11"/>
  <c r="AI120" i="11"/>
  <c r="G87" i="11"/>
  <c r="AM87" i="11"/>
  <c r="R98" i="11"/>
  <c r="I87" i="11"/>
  <c r="AR87" i="11"/>
  <c r="O98" i="11"/>
  <c r="AE98" i="11"/>
  <c r="J109" i="11"/>
  <c r="Z109" i="11"/>
  <c r="E120" i="11"/>
  <c r="U120" i="11"/>
  <c r="AK120" i="11"/>
  <c r="C87" i="11"/>
  <c r="AI87" i="11"/>
  <c r="P98" i="11"/>
  <c r="AF98" i="11"/>
  <c r="G109" i="11"/>
  <c r="W109" i="11"/>
  <c r="AM109" i="11"/>
  <c r="Q109" i="11"/>
  <c r="Z120" i="11"/>
  <c r="L131" i="11"/>
  <c r="AB131" i="11"/>
  <c r="C142" i="11"/>
  <c r="S142" i="11"/>
  <c r="AI142" i="11"/>
  <c r="N153" i="11"/>
  <c r="AD153" i="11"/>
  <c r="I164" i="11"/>
  <c r="Y164" i="11"/>
  <c r="AR164" i="11"/>
  <c r="AK109" i="11"/>
  <c r="AJ120" i="11"/>
  <c r="Q131" i="11"/>
  <c r="AG131" i="11"/>
  <c r="H142" i="11"/>
  <c r="X142" i="11"/>
  <c r="AN142" i="11"/>
  <c r="O153" i="11"/>
  <c r="AE153" i="11"/>
  <c r="I109" i="11"/>
  <c r="N120" i="11"/>
  <c r="F131" i="11"/>
  <c r="V131" i="11"/>
  <c r="AL131" i="11"/>
  <c r="Q142" i="11"/>
  <c r="AG142" i="11"/>
  <c r="H153" i="11"/>
  <c r="X153" i="11"/>
  <c r="AN153" i="11"/>
  <c r="O164" i="11"/>
  <c r="AE164" i="11"/>
  <c r="M109" i="11"/>
  <c r="X120" i="11"/>
  <c r="G131" i="11"/>
  <c r="W131" i="11"/>
  <c r="AM131" i="11"/>
  <c r="R142" i="11"/>
  <c r="AH142" i="11"/>
  <c r="N175" i="11"/>
  <c r="H164" i="11"/>
  <c r="AN164" i="11"/>
  <c r="O175" i="11"/>
  <c r="AE175" i="11"/>
  <c r="AL164" i="11"/>
  <c r="E153" i="11"/>
  <c r="R164" i="11"/>
  <c r="H175" i="11"/>
  <c r="X175" i="11"/>
  <c r="AN175" i="11"/>
  <c r="AG175" i="11"/>
  <c r="C21" i="11"/>
  <c r="S21" i="11"/>
  <c r="AI21" i="11"/>
  <c r="N32" i="11"/>
  <c r="AD32" i="11"/>
  <c r="I43" i="11"/>
  <c r="Y43" i="11"/>
  <c r="AR43" i="11"/>
  <c r="P21" i="11"/>
  <c r="AF21" i="11"/>
  <c r="G32" i="11"/>
  <c r="W32" i="11"/>
  <c r="AM32" i="11"/>
  <c r="Q21" i="11"/>
  <c r="AG21" i="11"/>
  <c r="H32" i="11"/>
  <c r="X32" i="11"/>
  <c r="AN32" i="11"/>
  <c r="Q32" i="11"/>
  <c r="P43" i="11"/>
  <c r="AL43" i="11"/>
  <c r="R54" i="11"/>
  <c r="AH54" i="11"/>
  <c r="E32" i="11"/>
  <c r="L43" i="11"/>
  <c r="AH43" i="11"/>
  <c r="K54" i="11"/>
  <c r="AA54" i="11"/>
  <c r="N21" i="11"/>
  <c r="AR32" i="11"/>
  <c r="S43" i="11"/>
  <c r="AN43" i="11"/>
  <c r="P54" i="11"/>
  <c r="AF54" i="11"/>
  <c r="G65" i="11"/>
  <c r="W65" i="11"/>
  <c r="AM65" i="11"/>
  <c r="AC32" i="11"/>
  <c r="Y54" i="11"/>
  <c r="N65" i="11"/>
  <c r="AJ65" i="11"/>
  <c r="M76" i="11"/>
  <c r="AC76" i="11"/>
  <c r="D87" i="11"/>
  <c r="T87" i="11"/>
  <c r="AJ87" i="11"/>
  <c r="M54" i="11"/>
  <c r="P65" i="11"/>
  <c r="AK65" i="11"/>
  <c r="AG54" i="11"/>
  <c r="V65" i="11"/>
  <c r="C76" i="11"/>
  <c r="S76" i="11"/>
  <c r="AI76" i="11"/>
  <c r="N87" i="11"/>
  <c r="AD87" i="11"/>
  <c r="E54" i="11"/>
  <c r="M65" i="11"/>
  <c r="AH65" i="11"/>
  <c r="L76" i="11"/>
  <c r="AB76" i="11"/>
  <c r="N76" i="11"/>
  <c r="U87" i="11"/>
  <c r="I98" i="11"/>
  <c r="Y98" i="11"/>
  <c r="AR98" i="11"/>
  <c r="P109" i="11"/>
  <c r="AF109" i="11"/>
  <c r="G120" i="11"/>
  <c r="W120" i="11"/>
  <c r="AM120" i="11"/>
  <c r="O87" i="11"/>
  <c r="F98" i="11"/>
  <c r="F76" i="11"/>
  <c r="Q87" i="11"/>
  <c r="C98" i="11"/>
  <c r="S98" i="11"/>
  <c r="AI98" i="11"/>
  <c r="N109" i="11"/>
  <c r="AD109" i="11"/>
  <c r="I120" i="11"/>
  <c r="Y120" i="11"/>
  <c r="AR120" i="11"/>
  <c r="K87" i="11"/>
  <c r="D98" i="11"/>
  <c r="T98" i="11"/>
  <c r="AJ98" i="11"/>
  <c r="K109" i="11"/>
  <c r="AA109" i="11"/>
  <c r="F120" i="11"/>
  <c r="AG109" i="11"/>
  <c r="AH120" i="11"/>
  <c r="P131" i="11"/>
  <c r="AF131" i="11"/>
  <c r="G142" i="11"/>
  <c r="W142" i="11"/>
  <c r="AM142" i="11"/>
  <c r="R153" i="11"/>
  <c r="AH153" i="11"/>
  <c r="M164" i="11"/>
  <c r="AC164" i="11"/>
  <c r="Z98" i="11"/>
  <c r="L120" i="11"/>
  <c r="E131" i="11"/>
  <c r="U131" i="11"/>
  <c r="AK131" i="11"/>
  <c r="L142" i="11"/>
  <c r="AB142" i="11"/>
  <c r="C153" i="11"/>
  <c r="S153" i="11"/>
  <c r="AI153" i="11"/>
  <c r="Y109" i="11"/>
  <c r="V120" i="11"/>
  <c r="J131" i="11"/>
  <c r="Z131" i="11"/>
  <c r="E142" i="11"/>
  <c r="U142" i="11"/>
  <c r="AK142" i="11"/>
  <c r="L153" i="11"/>
  <c r="AB153" i="11"/>
  <c r="C164" i="11"/>
  <c r="S164" i="11"/>
  <c r="AI164" i="11"/>
  <c r="AC109" i="11"/>
  <c r="AF120" i="11"/>
  <c r="K131" i="11"/>
  <c r="AA131" i="11"/>
  <c r="F142" i="11"/>
  <c r="V142" i="11"/>
  <c r="AL142" i="11"/>
  <c r="AD175" i="11"/>
  <c r="P164" i="11"/>
  <c r="C175" i="11"/>
  <c r="S175" i="11"/>
  <c r="AI175" i="11"/>
  <c r="F175" i="11"/>
  <c r="U153" i="11"/>
  <c r="Z164" i="11"/>
  <c r="L175" i="11"/>
  <c r="AB175" i="11"/>
  <c r="I175" i="11"/>
  <c r="AR175" i="11"/>
  <c r="Z175" i="11"/>
  <c r="D164" i="11"/>
  <c r="AJ164" i="11"/>
  <c r="AC175" i="11"/>
  <c r="AL175" i="11"/>
  <c r="G21" i="11"/>
  <c r="W21" i="11"/>
  <c r="AM21" i="11"/>
  <c r="R32" i="11"/>
  <c r="AH32" i="11"/>
  <c r="M43" i="11"/>
  <c r="AC43" i="11"/>
  <c r="D21" i="11"/>
  <c r="T21" i="11"/>
  <c r="AJ21" i="11"/>
  <c r="K32" i="11"/>
  <c r="AA32" i="11"/>
  <c r="E21" i="11"/>
  <c r="U21" i="11"/>
  <c r="AK21" i="11"/>
  <c r="L32" i="11"/>
  <c r="AB32" i="11"/>
  <c r="F21" i="11"/>
  <c r="AG32" i="11"/>
  <c r="V43" i="11"/>
  <c r="F54" i="11"/>
  <c r="V54" i="11"/>
  <c r="AL54" i="11"/>
  <c r="U32" i="11"/>
  <c r="R43" i="11"/>
  <c r="AM43" i="11"/>
  <c r="O54" i="11"/>
  <c r="AE54" i="11"/>
  <c r="AD21" i="11"/>
  <c r="C43" i="11"/>
  <c r="X43" i="11"/>
  <c r="D54" i="11"/>
  <c r="T54" i="11"/>
  <c r="AJ54" i="11"/>
  <c r="K65" i="11"/>
  <c r="AA65" i="11"/>
  <c r="R21" i="11"/>
  <c r="D43" i="11"/>
  <c r="AR54" i="11"/>
  <c r="T65" i="11"/>
  <c r="AR65" i="11"/>
  <c r="Q76" i="11"/>
  <c r="AG76" i="11"/>
  <c r="H87" i="11"/>
  <c r="X87" i="11"/>
  <c r="AN87" i="11"/>
  <c r="AC54" i="11"/>
  <c r="U65" i="11"/>
  <c r="O43" i="11"/>
  <c r="F65" i="11"/>
  <c r="AB65" i="11"/>
  <c r="G76" i="11"/>
  <c r="W76" i="11"/>
  <c r="AM76" i="11"/>
  <c r="R87" i="11"/>
  <c r="AH87" i="11"/>
  <c r="U54" i="11"/>
  <c r="R65" i="11"/>
  <c r="AN65" i="11"/>
  <c r="P76" i="11"/>
  <c r="AF76" i="11"/>
  <c r="AD76" i="11"/>
  <c r="AC87" i="11"/>
  <c r="M98" i="11"/>
  <c r="AC98" i="11"/>
  <c r="D109" i="11"/>
  <c r="T109" i="11"/>
  <c r="AJ109" i="11"/>
  <c r="K120" i="11"/>
  <c r="AA120" i="11"/>
  <c r="R76" i="11"/>
  <c r="W87" i="11"/>
  <c r="J98" i="11"/>
  <c r="V76" i="11"/>
  <c r="Y87" i="11"/>
  <c r="G98" i="11"/>
  <c r="W98" i="11"/>
  <c r="AM98" i="11"/>
  <c r="R109" i="11"/>
  <c r="AH109" i="11"/>
  <c r="M120" i="11"/>
  <c r="AC120" i="11"/>
  <c r="J76" i="11"/>
  <c r="S87" i="11"/>
  <c r="H98" i="11"/>
  <c r="X98" i="11"/>
  <c r="AN98" i="11"/>
  <c r="O109" i="11"/>
  <c r="AE109" i="11"/>
  <c r="V98" i="11"/>
  <c r="J120" i="11"/>
  <c r="D131" i="11"/>
  <c r="T131" i="11"/>
  <c r="AJ131" i="11"/>
  <c r="K142" i="11"/>
  <c r="AA142" i="11"/>
  <c r="F153" i="11"/>
  <c r="V153" i="11"/>
  <c r="AL153" i="11"/>
  <c r="Q164" i="11"/>
  <c r="AG164" i="11"/>
  <c r="E109" i="11"/>
  <c r="T120" i="11"/>
  <c r="I131" i="11"/>
  <c r="Y131" i="11"/>
  <c r="AR131" i="11"/>
  <c r="P142" i="11"/>
  <c r="AF142" i="11"/>
  <c r="G153" i="11"/>
  <c r="W153" i="11"/>
  <c r="AM153" i="11"/>
  <c r="AR109" i="11"/>
  <c r="AD120" i="11"/>
  <c r="N131" i="11"/>
  <c r="AD131" i="11"/>
  <c r="I142" i="11"/>
  <c r="Y142" i="11"/>
  <c r="AR142" i="11"/>
  <c r="P153" i="11"/>
  <c r="AF153" i="11"/>
  <c r="G164" i="11"/>
  <c r="W164" i="11"/>
  <c r="AM164" i="11"/>
  <c r="H120" i="11"/>
  <c r="AN120" i="11"/>
  <c r="O131" i="11"/>
  <c r="AE131" i="11"/>
  <c r="J142" i="11"/>
  <c r="Z142" i="11"/>
  <c r="AC153" i="11"/>
  <c r="Q153" i="11"/>
  <c r="X164" i="11"/>
  <c r="G175" i="11"/>
  <c r="W175" i="11"/>
  <c r="AM175" i="11"/>
  <c r="R175" i="11"/>
  <c r="AK153" i="11"/>
  <c r="AH164" i="11"/>
  <c r="P175" i="11"/>
  <c r="AF175" i="11"/>
  <c r="Q175" i="11"/>
  <c r="M153" i="11"/>
  <c r="I153" i="11"/>
  <c r="J175" i="11"/>
  <c r="E175" i="11"/>
  <c r="V164" i="11"/>
  <c r="AR153" i="11"/>
  <c r="M175" i="11"/>
  <c r="V175" i="11"/>
  <c r="L164" i="11"/>
  <c r="U175" i="11"/>
  <c r="AB164" i="11"/>
  <c r="AK175" i="11"/>
  <c r="C10" i="11"/>
  <c r="D10" i="11"/>
  <c r="T10" i="11"/>
  <c r="AJ10" i="11"/>
  <c r="AM10" i="11"/>
  <c r="Q10" i="11"/>
  <c r="AG10" i="11"/>
  <c r="AE10" i="11"/>
  <c r="R10" i="11"/>
  <c r="AH10" i="11"/>
  <c r="W10" i="11"/>
  <c r="AF10" i="11"/>
  <c r="S10" i="11"/>
  <c r="K10" i="11"/>
  <c r="H10" i="11"/>
  <c r="X10" i="11"/>
  <c r="AN10" i="11"/>
  <c r="E10" i="11"/>
  <c r="U10" i="11"/>
  <c r="AK10" i="11"/>
  <c r="F10" i="11"/>
  <c r="V10" i="11"/>
  <c r="AL10" i="11"/>
  <c r="AI10" i="11"/>
  <c r="AA10" i="11"/>
  <c r="AC10" i="11"/>
  <c r="AD10" i="11"/>
  <c r="L10" i="11"/>
  <c r="AB10" i="11"/>
  <c r="O10" i="11"/>
  <c r="I10" i="11"/>
  <c r="Y10" i="11"/>
  <c r="AR10" i="11"/>
  <c r="J10" i="11"/>
  <c r="Z10" i="11"/>
  <c r="G10" i="11"/>
  <c r="P10" i="11"/>
  <c r="M10" i="11"/>
  <c r="N10" i="11"/>
  <c r="S19" i="1"/>
  <c r="S30" i="1"/>
  <c r="S14" i="1"/>
  <c r="S39" i="1"/>
  <c r="S20" i="1"/>
  <c r="S17" i="1"/>
  <c r="S21" i="1"/>
  <c r="S25" i="1"/>
  <c r="S28" i="1"/>
  <c r="K38" i="8"/>
  <c r="C36" i="8"/>
  <c r="C18" i="8"/>
  <c r="P38" i="8"/>
  <c r="T38" i="8"/>
  <c r="N38" i="8"/>
  <c r="Z38" i="8"/>
  <c r="J38" i="8"/>
  <c r="I38" i="8"/>
  <c r="R38" i="8"/>
  <c r="X38" i="8"/>
  <c r="H38" i="8"/>
  <c r="V38" i="8"/>
  <c r="L38" i="8"/>
  <c r="U38" i="8"/>
  <c r="W38" i="8"/>
  <c r="S38" i="8"/>
  <c r="O38" i="8"/>
  <c r="G38" i="8"/>
  <c r="Y38" i="8"/>
  <c r="Q38" i="8"/>
  <c r="M38" i="8"/>
  <c r="F38" i="8"/>
  <c r="S46" i="1" l="1"/>
  <c r="D18" i="8"/>
  <c r="D17" i="8" s="1"/>
  <c r="S48" i="1"/>
  <c r="C35" i="8"/>
  <c r="D36" i="8"/>
  <c r="D35" i="8" s="1"/>
  <c r="C17" i="8"/>
  <c r="S49" i="1" l="1"/>
  <c r="B44" i="8"/>
  <c r="B45" i="8" s="1"/>
  <c r="M49" i="1"/>
  <c r="D4" i="7" l="1"/>
  <c r="D5" i="7"/>
  <c r="D6" i="7"/>
  <c r="D7" i="7"/>
  <c r="D8" i="7"/>
  <c r="D9" i="7"/>
  <c r="D10" i="7"/>
  <c r="D11" i="7"/>
  <c r="D12" i="7"/>
  <c r="D13" i="7"/>
  <c r="D14" i="7"/>
  <c r="D15" i="7"/>
  <c r="D17" i="7"/>
  <c r="E2" i="7" l="1"/>
  <c r="E3" i="7"/>
  <c r="C4" i="7"/>
  <c r="E4" i="7"/>
  <c r="F4" i="7" s="1"/>
  <c r="C5" i="7"/>
  <c r="E5" i="7"/>
  <c r="F5" i="7" s="1"/>
  <c r="C6" i="7"/>
  <c r="E6" i="7"/>
  <c r="F6" i="7" s="1"/>
  <c r="C7" i="7"/>
  <c r="E7" i="7"/>
  <c r="F7" i="7" s="1"/>
  <c r="C8" i="7"/>
  <c r="E8" i="7"/>
  <c r="F8" i="7" s="1"/>
  <c r="C9" i="7"/>
  <c r="E9" i="7"/>
  <c r="F9" i="7" s="1"/>
  <c r="C10" i="7"/>
  <c r="E10" i="7"/>
  <c r="F10" i="7" s="1"/>
  <c r="C11" i="7"/>
  <c r="E11" i="7"/>
  <c r="F11" i="7" s="1"/>
  <c r="C12" i="7"/>
  <c r="E12" i="7"/>
  <c r="F12" i="7" s="1"/>
  <c r="C13" i="7"/>
  <c r="E13" i="7"/>
  <c r="F13" i="7" s="1"/>
  <c r="C14" i="7"/>
  <c r="E14" i="7"/>
  <c r="F14" i="7" s="1"/>
  <c r="C15" i="7"/>
  <c r="E15" i="7"/>
  <c r="F15" i="7" s="1"/>
  <c r="C17" i="7"/>
  <c r="E17" i="7"/>
  <c r="F17" i="7" s="1"/>
  <c r="G18" i="7"/>
  <c r="U46" i="1"/>
  <c r="N18" i="7"/>
  <c r="AB18" i="7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D18" i="2"/>
  <c r="F18" i="2"/>
  <c r="O18" i="7"/>
  <c r="L31" i="1" s="1"/>
  <c r="R18" i="7"/>
  <c r="W18" i="7"/>
  <c r="L18" i="7"/>
  <c r="Y18" i="7"/>
  <c r="Z18" i="7"/>
  <c r="T18" i="7"/>
  <c r="V18" i="7"/>
  <c r="C2" i="7"/>
  <c r="F2" i="7"/>
  <c r="U18" i="7"/>
  <c r="AA18" i="7"/>
  <c r="X18" i="7"/>
  <c r="L23" i="1" l="1"/>
  <c r="L7" i="1"/>
  <c r="L14" i="1"/>
  <c r="L37" i="1"/>
  <c r="L36" i="1"/>
  <c r="G25" i="1"/>
  <c r="R22" i="7"/>
  <c r="N20" i="7"/>
  <c r="L22" i="7"/>
  <c r="M18" i="7"/>
  <c r="L17" i="1" s="1"/>
  <c r="L20" i="7"/>
  <c r="E18" i="7"/>
  <c r="AB20" i="7"/>
  <c r="V20" i="7"/>
  <c r="T20" i="7"/>
  <c r="Z20" i="7"/>
  <c r="Y20" i="7"/>
  <c r="W20" i="7"/>
  <c r="O20" i="7"/>
  <c r="U20" i="7"/>
  <c r="AA20" i="7"/>
  <c r="R20" i="7"/>
  <c r="B17" i="2"/>
  <c r="B7" i="2"/>
  <c r="B9" i="2"/>
  <c r="B11" i="2"/>
  <c r="B6" i="2"/>
  <c r="B8" i="2"/>
  <c r="U48" i="1"/>
  <c r="U49" i="1" s="1"/>
  <c r="X20" i="7"/>
  <c r="B12" i="2"/>
  <c r="B10" i="2"/>
  <c r="B5" i="2"/>
  <c r="B4" i="2"/>
  <c r="B3" i="2"/>
  <c r="B16" i="2"/>
  <c r="B15" i="2"/>
  <c r="B14" i="2"/>
  <c r="B13" i="2"/>
  <c r="L18" i="1" l="1"/>
  <c r="R23" i="1"/>
  <c r="R14" i="1"/>
  <c r="R7" i="1"/>
  <c r="M20" i="7"/>
  <c r="M22" i="7"/>
  <c r="B19" i="2"/>
  <c r="O48" i="1" s="1"/>
  <c r="R17" i="1" l="1"/>
  <c r="R18" i="1"/>
  <c r="J18" i="7"/>
  <c r="O46" i="1"/>
  <c r="L25" i="1" l="1"/>
  <c r="L6" i="1"/>
  <c r="O49" i="1"/>
  <c r="J20" i="7"/>
  <c r="F46" i="1"/>
  <c r="F52" i="1" s="1"/>
  <c r="F49" i="1" l="1"/>
  <c r="E18" i="2" l="1"/>
  <c r="G22" i="1" s="1"/>
  <c r="B2" i="2"/>
  <c r="B18" i="2" s="1"/>
  <c r="G48" i="1" s="1"/>
  <c r="G27" i="1" l="1"/>
  <c r="G44" i="1"/>
  <c r="G13" i="1"/>
  <c r="G29" i="1"/>
  <c r="S18" i="7"/>
  <c r="S20" i="7" l="1"/>
  <c r="S22" i="7"/>
  <c r="G46" i="1"/>
  <c r="L3" i="13" s="1"/>
  <c r="K18" i="7"/>
  <c r="L11" i="1" s="1"/>
  <c r="AM18" i="7"/>
  <c r="AI18" i="7"/>
  <c r="AI20" i="7" s="1"/>
  <c r="AF18" i="7"/>
  <c r="AF20" i="7" s="1"/>
  <c r="AJ18" i="7"/>
  <c r="AN18" i="7"/>
  <c r="AN20" i="7" s="1"/>
  <c r="AO18" i="7"/>
  <c r="AO20" i="7" s="1"/>
  <c r="C3" i="7"/>
  <c r="C18" i="7" s="1"/>
  <c r="E19" i="7" s="1"/>
  <c r="I18" i="7"/>
  <c r="L5" i="1" s="1"/>
  <c r="AG18" i="7"/>
  <c r="AG20" i="7" s="1"/>
  <c r="AK18" i="7"/>
  <c r="AK20" i="7" s="1"/>
  <c r="AC18" i="7"/>
  <c r="AC20" i="7" s="1"/>
  <c r="AD18" i="7"/>
  <c r="AD20" i="7" s="1"/>
  <c r="AH18" i="7"/>
  <c r="AH20" i="7" s="1"/>
  <c r="AL18" i="7"/>
  <c r="AL20" i="7" s="1"/>
  <c r="AE18" i="7"/>
  <c r="AE20" i="7" s="1"/>
  <c r="H18" i="7"/>
  <c r="D3" i="7"/>
  <c r="F3" i="7" s="1"/>
  <c r="F18" i="7" s="1"/>
  <c r="L27" i="1" l="1"/>
  <c r="L10" i="1"/>
  <c r="H22" i="7"/>
  <c r="R48" i="1" s="1"/>
  <c r="L4" i="1"/>
  <c r="I20" i="7"/>
  <c r="L21" i="1"/>
  <c r="R35" i="1"/>
  <c r="R32" i="1"/>
  <c r="L8" i="1"/>
  <c r="H20" i="7"/>
  <c r="L35" i="1"/>
  <c r="F19" i="7"/>
  <c r="L4" i="13"/>
  <c r="R8" i="1"/>
  <c r="K20" i="7"/>
  <c r="L32" i="1"/>
  <c r="G49" i="1"/>
  <c r="D18" i="7"/>
  <c r="D19" i="7" s="1"/>
  <c r="AM20" i="7"/>
  <c r="L48" i="1"/>
  <c r="AJ20" i="7"/>
  <c r="R21" i="1" l="1"/>
  <c r="R4" i="1"/>
  <c r="L46" i="1"/>
  <c r="Q3" i="13" s="1"/>
  <c r="D26" i="7"/>
  <c r="C26" i="7" s="1"/>
  <c r="D25" i="7"/>
  <c r="C25" i="7" s="1"/>
  <c r="R46" i="1" l="1"/>
  <c r="R49" i="1" s="1"/>
  <c r="L49" i="1"/>
  <c r="Q4" i="13"/>
  <c r="D27" i="7"/>
  <c r="C27" i="7" s="1"/>
  <c r="E3" i="1" l="1"/>
  <c r="K67" i="6"/>
  <c r="K43" i="6"/>
  <c r="K34" i="6"/>
  <c r="K10" i="6"/>
  <c r="K4" i="6"/>
  <c r="G97" i="6"/>
  <c r="AA97" i="6"/>
  <c r="K64" i="6"/>
  <c r="K91" i="6"/>
  <c r="K88" i="6"/>
  <c r="K40" i="6"/>
  <c r="H97" i="6"/>
  <c r="K13" i="6"/>
  <c r="K82" i="6"/>
  <c r="K37" i="6"/>
  <c r="K28" i="6"/>
  <c r="W97" i="5"/>
  <c r="K16" i="6"/>
  <c r="S97" i="5"/>
  <c r="W97" i="6"/>
  <c r="K58" i="6"/>
  <c r="K73" i="6"/>
  <c r="K52" i="6"/>
  <c r="K46" i="6"/>
  <c r="K55" i="6"/>
  <c r="E97" i="5"/>
  <c r="K7" i="6"/>
  <c r="K19" i="6"/>
  <c r="K22" i="6"/>
  <c r="P97" i="6"/>
  <c r="K61" i="6"/>
  <c r="K49" i="6"/>
  <c r="K79" i="6"/>
  <c r="K70" i="6"/>
  <c r="P97" i="5"/>
  <c r="K31" i="6"/>
  <c r="K97" i="6"/>
  <c r="K94" i="6"/>
  <c r="K85" i="6"/>
  <c r="N97" i="5"/>
  <c r="K76" i="6"/>
  <c r="K25" i="6"/>
  <c r="A16" i="3" l="1"/>
  <c r="A41" i="3"/>
  <c r="A61" i="3"/>
  <c r="A21" i="3"/>
  <c r="A76" i="3"/>
  <c r="A36" i="3"/>
  <c r="A81" i="3"/>
  <c r="A56" i="3"/>
  <c r="J2" i="1" l="1"/>
  <c r="D2" i="1" s="1"/>
  <c r="V2" i="1" s="1"/>
  <c r="I46" i="1"/>
  <c r="N3" i="13" l="1"/>
  <c r="I49" i="1"/>
  <c r="Q46" i="1"/>
  <c r="Q49" i="1" s="1"/>
  <c r="N4" i="13" l="1"/>
  <c r="I99" i="6" l="1"/>
  <c r="K43" i="1" s="1"/>
  <c r="G99" i="6"/>
  <c r="F99" i="6"/>
  <c r="AA99" i="6"/>
  <c r="J99" i="6"/>
  <c r="K41" i="1" s="1"/>
  <c r="E99" i="6" l="1"/>
  <c r="K4" i="1" s="1"/>
  <c r="P99" i="6"/>
  <c r="L99" i="6"/>
  <c r="W99" i="6"/>
  <c r="U99" i="6"/>
  <c r="Q99" i="6"/>
  <c r="K13" i="1" s="1"/>
  <c r="O99" i="6"/>
  <c r="AB99" i="6"/>
  <c r="K23" i="1" s="1"/>
  <c r="Y99" i="6"/>
  <c r="K14" i="1" s="1"/>
  <c r="S99" i="6"/>
  <c r="M99" i="6"/>
  <c r="N99" i="6"/>
  <c r="K99" i="6"/>
  <c r="H99" i="6"/>
  <c r="T99" i="6"/>
  <c r="K45" i="1"/>
  <c r="K10" i="1"/>
  <c r="K9" i="1" l="1"/>
  <c r="K11" i="1"/>
  <c r="K6" i="1"/>
  <c r="K19" i="1"/>
  <c r="K26" i="1"/>
  <c r="K42" i="1"/>
  <c r="K5" i="1"/>
  <c r="K36" i="1"/>
  <c r="K31" i="1"/>
  <c r="K28" i="1"/>
  <c r="K17" i="1"/>
  <c r="K3" i="1"/>
  <c r="K35" i="1"/>
  <c r="K18" i="1"/>
  <c r="K32" i="1"/>
  <c r="K24" i="1"/>
  <c r="K16" i="1"/>
  <c r="K7" i="1"/>
  <c r="K22" i="1"/>
  <c r="K12" i="1"/>
  <c r="K40" i="1"/>
  <c r="K15" i="1"/>
  <c r="K21" i="1"/>
  <c r="K8" i="1"/>
  <c r="K39" i="1"/>
  <c r="K25" i="1"/>
  <c r="J44" i="1" l="1"/>
  <c r="D44" i="1" s="1"/>
  <c r="J33" i="1"/>
  <c r="H3" i="1" l="1"/>
  <c r="C6" i="3"/>
  <c r="A6" i="3" s="1"/>
  <c r="C7" i="3" l="1"/>
  <c r="A11" i="3" s="1"/>
  <c r="E84" i="3"/>
  <c r="E85" i="3" s="1"/>
  <c r="AN84" i="3"/>
  <c r="AN85" i="3" s="1"/>
  <c r="AE84" i="3"/>
  <c r="AE85" i="3" s="1"/>
  <c r="F84" i="3"/>
  <c r="AY84" i="3"/>
  <c r="AY85" i="3" s="1"/>
  <c r="AH84" i="3"/>
  <c r="AH85" i="3" s="1"/>
  <c r="AC84" i="3"/>
  <c r="AC85" i="3" s="1"/>
  <c r="AT84" i="3"/>
  <c r="AT85" i="3" s="1"/>
  <c r="AB84" i="3"/>
  <c r="AB85" i="3" s="1"/>
  <c r="AU84" i="3"/>
  <c r="AU85" i="3" s="1"/>
  <c r="P84" i="3"/>
  <c r="AO84" i="3"/>
  <c r="AO85" i="3" s="1"/>
  <c r="O84" i="3"/>
  <c r="H12" i="1" s="1"/>
  <c r="AA84" i="3"/>
  <c r="AA85" i="3" s="1"/>
  <c r="Y84" i="3"/>
  <c r="Y85" i="3" s="1"/>
  <c r="P34" i="1" s="1"/>
  <c r="D84" i="3"/>
  <c r="AR84" i="3"/>
  <c r="AR85" i="3" s="1"/>
  <c r="BB84" i="3"/>
  <c r="BB85" i="3" s="1"/>
  <c r="AZ84" i="3"/>
  <c r="AZ85" i="3" s="1"/>
  <c r="AL84" i="3"/>
  <c r="AL85" i="3" s="1"/>
  <c r="N84" i="3"/>
  <c r="N85" i="3" s="1"/>
  <c r="AG84" i="3"/>
  <c r="AG85" i="3" s="1"/>
  <c r="AX84" i="3"/>
  <c r="AX85" i="3" s="1"/>
  <c r="J84" i="3"/>
  <c r="R84" i="3"/>
  <c r="K84" i="3"/>
  <c r="AD84" i="3"/>
  <c r="AD85" i="3" s="1"/>
  <c r="T84" i="3"/>
  <c r="I84" i="3"/>
  <c r="I85" i="3" s="1"/>
  <c r="AS84" i="3"/>
  <c r="AS85" i="3" s="1"/>
  <c r="BA84" i="3"/>
  <c r="BA85" i="3" s="1"/>
  <c r="V84" i="3"/>
  <c r="BD84" i="3"/>
  <c r="BD85" i="3" s="1"/>
  <c r="AV84" i="3"/>
  <c r="AV85" i="3" s="1"/>
  <c r="Z84" i="3"/>
  <c r="C27" i="3"/>
  <c r="A31" i="3" s="1"/>
  <c r="X84" i="3"/>
  <c r="C46" i="3"/>
  <c r="A46" i="3" s="1"/>
  <c r="C47" i="3"/>
  <c r="A51" i="3" s="1"/>
  <c r="C67" i="3"/>
  <c r="A71" i="3" s="1"/>
  <c r="S84" i="3"/>
  <c r="AQ84" i="3"/>
  <c r="AQ85" i="3" s="1"/>
  <c r="AI84" i="3"/>
  <c r="AI85" i="3" s="1"/>
  <c r="U84" i="3"/>
  <c r="U85" i="3" s="1"/>
  <c r="L84" i="3"/>
  <c r="G84" i="3"/>
  <c r="H84" i="3"/>
  <c r="H27" i="1" s="1"/>
  <c r="D27" i="1" s="1"/>
  <c r="M84" i="3"/>
  <c r="C66" i="3"/>
  <c r="A66" i="3" s="1"/>
  <c r="Q84" i="3"/>
  <c r="AJ84" i="3"/>
  <c r="AJ85" i="3" s="1"/>
  <c r="AW84" i="3"/>
  <c r="AW85" i="3" s="1"/>
  <c r="AP84" i="3"/>
  <c r="AP85" i="3" s="1"/>
  <c r="AK84" i="3"/>
  <c r="AK85" i="3" s="1"/>
  <c r="AF84" i="3"/>
  <c r="AF85" i="3" s="1"/>
  <c r="AM84" i="3"/>
  <c r="AM85" i="3" s="1"/>
  <c r="W84" i="3"/>
  <c r="C26" i="3"/>
  <c r="C58" i="6"/>
  <c r="H14" i="1" l="1"/>
  <c r="H29" i="1"/>
  <c r="H31" i="1"/>
  <c r="H39" i="1"/>
  <c r="P23" i="1"/>
  <c r="H36" i="1"/>
  <c r="S85" i="3"/>
  <c r="H25" i="1"/>
  <c r="X85" i="3"/>
  <c r="P33" i="1" s="1"/>
  <c r="H33" i="1"/>
  <c r="H4" i="1"/>
  <c r="H6" i="1"/>
  <c r="H13" i="1"/>
  <c r="H5" i="1"/>
  <c r="H11" i="1"/>
  <c r="J85" i="3"/>
  <c r="P19" i="1" s="1"/>
  <c r="H37" i="1"/>
  <c r="H19" i="1"/>
  <c r="H8" i="1"/>
  <c r="H24" i="1"/>
  <c r="H22" i="1"/>
  <c r="K85" i="3"/>
  <c r="P17" i="1" s="1"/>
  <c r="H34" i="1"/>
  <c r="R85" i="3"/>
  <c r="H17" i="1"/>
  <c r="V85" i="3"/>
  <c r="H23" i="1"/>
  <c r="T85" i="3"/>
  <c r="P26" i="1" s="1"/>
  <c r="H45" i="1"/>
  <c r="P85" i="3"/>
  <c r="P15" i="1" s="1"/>
  <c r="H38" i="1"/>
  <c r="M85" i="3"/>
  <c r="P16" i="1" s="1"/>
  <c r="H35" i="1"/>
  <c r="H10" i="1"/>
  <c r="H42" i="1"/>
  <c r="Z85" i="3"/>
  <c r="P35" i="1" s="1"/>
  <c r="H30" i="1"/>
  <c r="H18" i="1"/>
  <c r="H32" i="1"/>
  <c r="F85" i="3"/>
  <c r="P5" i="1" s="1"/>
  <c r="H40" i="1"/>
  <c r="H85" i="3"/>
  <c r="Q85" i="3"/>
  <c r="P29" i="1" s="1"/>
  <c r="H15" i="1"/>
  <c r="G85" i="3"/>
  <c r="H43" i="1"/>
  <c r="W85" i="3"/>
  <c r="H9" i="1"/>
  <c r="O85" i="3"/>
  <c r="H26" i="1"/>
  <c r="C76" i="6"/>
  <c r="P27" i="1" l="1"/>
  <c r="P14" i="1"/>
  <c r="P30" i="1"/>
  <c r="P21" i="1"/>
  <c r="P24" i="1"/>
  <c r="P25" i="1"/>
  <c r="P7" i="1"/>
  <c r="P10" i="1"/>
  <c r="P20" i="1"/>
  <c r="P31" i="1"/>
  <c r="P13" i="1"/>
  <c r="C87" i="3"/>
  <c r="H28" i="1"/>
  <c r="H20" i="1"/>
  <c r="A26" i="3"/>
  <c r="H7" i="1"/>
  <c r="D85" i="3"/>
  <c r="P4" i="1" s="1"/>
  <c r="H21" i="1"/>
  <c r="L85" i="3"/>
  <c r="P37" i="1" s="1"/>
  <c r="H16" i="1"/>
  <c r="C84" i="3"/>
  <c r="H48" i="1" s="1"/>
  <c r="AW46" i="6"/>
  <c r="AD16" i="5"/>
  <c r="AX55" i="5"/>
  <c r="AX49" i="5"/>
  <c r="AF37" i="5"/>
  <c r="AX91" i="6"/>
  <c r="M97" i="5"/>
  <c r="AI31" i="6"/>
  <c r="AU40" i="6"/>
  <c r="AT22" i="6"/>
  <c r="AO31" i="6"/>
  <c r="AR82" i="6"/>
  <c r="AF40" i="6"/>
  <c r="AL88" i="6"/>
  <c r="X94" i="6"/>
  <c r="AG79" i="6"/>
  <c r="AJ94" i="5"/>
  <c r="AE40" i="5"/>
  <c r="AP4" i="6"/>
  <c r="AI37" i="6"/>
  <c r="AY37" i="6"/>
  <c r="AJ13" i="6"/>
  <c r="AY55" i="6"/>
  <c r="X40" i="6"/>
  <c r="P18" i="1" l="1"/>
  <c r="P6" i="1"/>
  <c r="P36" i="1"/>
  <c r="P39" i="1"/>
  <c r="P32" i="1"/>
  <c r="AQ3" i="11"/>
  <c r="AQ168" i="11"/>
  <c r="AO113" i="11"/>
  <c r="AP58" i="11"/>
  <c r="AO135" i="11"/>
  <c r="AO80" i="11"/>
  <c r="AQ25" i="11"/>
  <c r="AQ135" i="11"/>
  <c r="AP80" i="11"/>
  <c r="AP14" i="11"/>
  <c r="AP135" i="11"/>
  <c r="AO69" i="11"/>
  <c r="AP3" i="11"/>
  <c r="AO146" i="11"/>
  <c r="AO157" i="11"/>
  <c r="AQ102" i="11"/>
  <c r="AP36" i="11"/>
  <c r="AP124" i="11"/>
  <c r="AQ69" i="11"/>
  <c r="AO3" i="11"/>
  <c r="AQ124" i="11"/>
  <c r="AQ58" i="11"/>
  <c r="AO14" i="11"/>
  <c r="AQ113" i="11"/>
  <c r="AO58" i="11"/>
  <c r="AP91" i="11"/>
  <c r="AQ146" i="11"/>
  <c r="AO36" i="11"/>
  <c r="AO25" i="11"/>
  <c r="AP146" i="11"/>
  <c r="AQ80" i="11"/>
  <c r="AP25" i="11"/>
  <c r="AO168" i="11"/>
  <c r="AP113" i="11"/>
  <c r="AQ47" i="11"/>
  <c r="AP168" i="11"/>
  <c r="AO102" i="11"/>
  <c r="AP47" i="11"/>
  <c r="AP157" i="11"/>
  <c r="AP102" i="11"/>
  <c r="AO47" i="11"/>
  <c r="AQ36" i="11"/>
  <c r="AO91" i="11"/>
  <c r="AQ91" i="11"/>
  <c r="AO124" i="11"/>
  <c r="AP69" i="11"/>
  <c r="AQ14" i="11"/>
  <c r="AQ157" i="11"/>
  <c r="AC168" i="11"/>
  <c r="F168" i="11"/>
  <c r="AE168" i="11"/>
  <c r="M168" i="11"/>
  <c r="O168" i="11"/>
  <c r="AA168" i="11"/>
  <c r="AL168" i="11"/>
  <c r="G91" i="11"/>
  <c r="E168" i="11"/>
  <c r="AD157" i="11"/>
  <c r="H157" i="11"/>
  <c r="Y157" i="11"/>
  <c r="AC146" i="11"/>
  <c r="AD146" i="11"/>
  <c r="J135" i="11"/>
  <c r="AL135" i="11"/>
  <c r="D135" i="11"/>
  <c r="AR124" i="11"/>
  <c r="C124" i="11"/>
  <c r="AE113" i="11"/>
  <c r="AN113" i="11"/>
  <c r="W102" i="11"/>
  <c r="J102" i="11"/>
  <c r="K102" i="11"/>
  <c r="G3" i="11"/>
  <c r="AC14" i="11"/>
  <c r="H14" i="11"/>
  <c r="AH3" i="11"/>
  <c r="I3" i="11"/>
  <c r="AR25" i="11"/>
  <c r="AF25" i="11"/>
  <c r="K25" i="11"/>
  <c r="C36" i="11"/>
  <c r="Z36" i="11"/>
  <c r="D47" i="11"/>
  <c r="Z47" i="11"/>
  <c r="X47" i="11"/>
  <c r="AC58" i="11"/>
  <c r="L58" i="11"/>
  <c r="M69" i="11"/>
  <c r="K69" i="11"/>
  <c r="AF69" i="11"/>
  <c r="AL80" i="11"/>
  <c r="AR80" i="11"/>
  <c r="AL91" i="11"/>
  <c r="W3" i="11"/>
  <c r="N14" i="11"/>
  <c r="X14" i="11"/>
  <c r="C14" i="11"/>
  <c r="Y3" i="11"/>
  <c r="R25" i="11"/>
  <c r="Q25" i="11"/>
  <c r="AA25" i="11"/>
  <c r="S36" i="11"/>
  <c r="J36" i="11"/>
  <c r="AJ47" i="11"/>
  <c r="C47" i="11"/>
  <c r="AR47" i="11"/>
  <c r="F58" i="11"/>
  <c r="AB58" i="11"/>
  <c r="H69" i="11"/>
  <c r="AA69" i="11"/>
  <c r="M80" i="11"/>
  <c r="W80" i="11"/>
  <c r="T80" i="11"/>
  <c r="AD91" i="11"/>
  <c r="U91" i="11"/>
  <c r="AJ14" i="11"/>
  <c r="O14" i="11"/>
  <c r="AR3" i="11"/>
  <c r="AB3" i="11"/>
  <c r="I25" i="11"/>
  <c r="AJ25" i="11"/>
  <c r="N25" i="11"/>
  <c r="M36" i="11"/>
  <c r="X36" i="11"/>
  <c r="K47" i="11"/>
  <c r="Q47" i="11"/>
  <c r="AB47" i="11"/>
  <c r="AJ58" i="11"/>
  <c r="S58" i="11"/>
  <c r="AI69" i="11"/>
  <c r="R69" i="11"/>
  <c r="AK69" i="11"/>
  <c r="AE80" i="11"/>
  <c r="I80" i="11"/>
  <c r="AC91" i="11"/>
  <c r="L91" i="11"/>
  <c r="M14" i="11"/>
  <c r="AE14" i="11"/>
  <c r="J3" i="11"/>
  <c r="AR168" i="11"/>
  <c r="S168" i="11"/>
  <c r="E157" i="11"/>
  <c r="V157" i="11"/>
  <c r="AR146" i="11"/>
  <c r="D146" i="11"/>
  <c r="AB146" i="11"/>
  <c r="I135" i="11"/>
  <c r="AJ135" i="11"/>
  <c r="V124" i="11"/>
  <c r="P124" i="11"/>
  <c r="AN124" i="11"/>
  <c r="Z113" i="11"/>
  <c r="W113" i="11"/>
  <c r="P102" i="11"/>
  <c r="G102" i="11"/>
  <c r="AR102" i="11"/>
  <c r="AF3" i="11"/>
  <c r="K3" i="11"/>
  <c r="AG14" i="11"/>
  <c r="L14" i="11"/>
  <c r="G14" i="11"/>
  <c r="AE25" i="11"/>
  <c r="Z25" i="11"/>
  <c r="P25" i="11"/>
  <c r="P36" i="11"/>
  <c r="AK36" i="11"/>
  <c r="P47" i="11"/>
  <c r="T47" i="11"/>
  <c r="AF58" i="11"/>
  <c r="C58" i="11"/>
  <c r="AK58" i="11"/>
  <c r="N69" i="11"/>
  <c r="AC69" i="11"/>
  <c r="Z80" i="11"/>
  <c r="E80" i="11"/>
  <c r="L80" i="11"/>
  <c r="H91" i="11"/>
  <c r="AD3" i="11"/>
  <c r="AA3" i="11"/>
  <c r="AD14" i="11"/>
  <c r="AB14" i="11"/>
  <c r="W14" i="11"/>
  <c r="T25" i="11"/>
  <c r="G25" i="11"/>
  <c r="I36" i="11"/>
  <c r="R36" i="11"/>
  <c r="K36" i="11"/>
  <c r="F47" i="11"/>
  <c r="M47" i="11"/>
  <c r="I58" i="11"/>
  <c r="Z58" i="11"/>
  <c r="V58" i="11"/>
  <c r="AD69" i="11"/>
  <c r="AN69" i="11"/>
  <c r="K80" i="11"/>
  <c r="U80" i="11"/>
  <c r="AH80" i="11"/>
  <c r="X91" i="11"/>
  <c r="AM3" i="11"/>
  <c r="F14" i="11"/>
  <c r="AN14" i="11"/>
  <c r="S14" i="11"/>
  <c r="Z3" i="11"/>
  <c r="AH25" i="11"/>
  <c r="AG25" i="11"/>
  <c r="D25" i="11"/>
  <c r="AI36" i="11"/>
  <c r="E36" i="11"/>
  <c r="AC47" i="11"/>
  <c r="S47" i="11"/>
  <c r="AG47" i="11"/>
  <c r="AL58" i="11"/>
  <c r="E58" i="11"/>
  <c r="Y69" i="11"/>
  <c r="D69" i="11"/>
  <c r="AC80" i="11"/>
  <c r="C80" i="11"/>
  <c r="F80" i="11"/>
  <c r="O91" i="11"/>
  <c r="P3" i="11"/>
  <c r="Z14" i="11"/>
  <c r="Q14" i="11"/>
  <c r="AI14" i="11"/>
  <c r="N3" i="11"/>
  <c r="P168" i="11"/>
  <c r="AG168" i="11"/>
  <c r="S157" i="11"/>
  <c r="AJ157" i="11"/>
  <c r="X146" i="11"/>
  <c r="R146" i="11"/>
  <c r="C146" i="11"/>
  <c r="AR135" i="11"/>
  <c r="AM135" i="11"/>
  <c r="AJ124" i="11"/>
  <c r="N124" i="11"/>
  <c r="O124" i="11"/>
  <c r="T113" i="11"/>
  <c r="J113" i="11"/>
  <c r="U102" i="11"/>
  <c r="AL102" i="11"/>
  <c r="V91" i="11"/>
  <c r="C3" i="11"/>
  <c r="AJ3" i="11"/>
  <c r="AE3" i="11"/>
  <c r="AK14" i="11"/>
  <c r="AF14" i="11"/>
  <c r="AC25" i="11"/>
  <c r="H25" i="11"/>
  <c r="O36" i="11"/>
  <c r="Q36" i="11"/>
  <c r="AL36" i="11"/>
  <c r="O47" i="11"/>
  <c r="AF47" i="11"/>
  <c r="AD58" i="11"/>
  <c r="AN58" i="11"/>
  <c r="AI58" i="11"/>
  <c r="AM69" i="11"/>
  <c r="V69" i="11"/>
  <c r="AM80" i="11"/>
  <c r="AJ80" i="11"/>
  <c r="K91" i="11"/>
  <c r="AG91" i="11"/>
  <c r="R3" i="11"/>
  <c r="AL3" i="11"/>
  <c r="H3" i="11"/>
  <c r="R14" i="11"/>
  <c r="I14" i="11"/>
  <c r="F25" i="11"/>
  <c r="AB25" i="11"/>
  <c r="AE36" i="11"/>
  <c r="AG36" i="11"/>
  <c r="AF36" i="11"/>
  <c r="AE47" i="11"/>
  <c r="N47" i="11"/>
  <c r="W58" i="11"/>
  <c r="Q58" i="11"/>
  <c r="AA58" i="11"/>
  <c r="AB69" i="11"/>
  <c r="AL69" i="11"/>
  <c r="S80" i="11"/>
  <c r="V80" i="11"/>
  <c r="AA91" i="11"/>
  <c r="AH91" i="11"/>
  <c r="M3" i="11"/>
  <c r="D3" i="11"/>
  <c r="V14" i="11"/>
  <c r="E14" i="11"/>
  <c r="AM14" i="11"/>
  <c r="AL25" i="11"/>
  <c r="W25" i="11"/>
  <c r="Y36" i="11"/>
  <c r="AJ36" i="11"/>
  <c r="AA36" i="11"/>
  <c r="V47" i="11"/>
  <c r="H47" i="11"/>
  <c r="Y58" i="11"/>
  <c r="H58" i="11"/>
  <c r="O58" i="11"/>
  <c r="G69" i="11"/>
  <c r="P69" i="11"/>
  <c r="AF80" i="11"/>
  <c r="AK80" i="11"/>
  <c r="N80" i="11"/>
  <c r="AN91" i="11"/>
  <c r="AC3" i="11"/>
  <c r="T3" i="11"/>
  <c r="O3" i="11"/>
  <c r="U14" i="11"/>
  <c r="P14" i="11"/>
  <c r="AD168" i="11"/>
  <c r="H168" i="11"/>
  <c r="AG157" i="11"/>
  <c r="K157" i="11"/>
  <c r="AL146" i="11"/>
  <c r="P146" i="11"/>
  <c r="S135" i="11"/>
  <c r="L135" i="11"/>
  <c r="AG135" i="11"/>
  <c r="K124" i="11"/>
  <c r="AB124" i="11"/>
  <c r="Q113" i="11"/>
  <c r="AG113" i="11"/>
  <c r="L113" i="11"/>
  <c r="AA102" i="11"/>
  <c r="M102" i="11"/>
  <c r="AF91" i="11"/>
  <c r="D14" i="11"/>
  <c r="F3" i="11"/>
  <c r="E3" i="11"/>
  <c r="AI3" i="11"/>
  <c r="AH14" i="11"/>
  <c r="S25" i="11"/>
  <c r="U25" i="11"/>
  <c r="AN36" i="11"/>
  <c r="AM36" i="11"/>
  <c r="R47" i="11"/>
  <c r="AK47" i="11"/>
  <c r="W47" i="11"/>
  <c r="D58" i="11"/>
  <c r="G58" i="11"/>
  <c r="C69" i="11"/>
  <c r="AR69" i="11"/>
  <c r="L69" i="11"/>
  <c r="AG80" i="11"/>
  <c r="H80" i="11"/>
  <c r="AJ91" i="11"/>
  <c r="S91" i="11"/>
  <c r="T14" i="11"/>
  <c r="V3" i="11"/>
  <c r="U3" i="11"/>
  <c r="L3" i="11"/>
  <c r="J14" i="11"/>
  <c r="AI25" i="11"/>
  <c r="AK25" i="11"/>
  <c r="T36" i="11"/>
  <c r="AD36" i="11"/>
  <c r="AH47" i="11"/>
  <c r="I47" i="11"/>
  <c r="AM47" i="11"/>
  <c r="T58" i="11"/>
  <c r="AM58" i="11"/>
  <c r="S69" i="11"/>
  <c r="AG69" i="11"/>
  <c r="E69" i="11"/>
  <c r="J80" i="11"/>
  <c r="AD80" i="11"/>
  <c r="M91" i="11"/>
  <c r="AI91" i="11"/>
  <c r="K14" i="11"/>
  <c r="Q3" i="11"/>
  <c r="X3" i="11"/>
  <c r="AL14" i="11"/>
  <c r="Y14" i="11"/>
  <c r="V25" i="11"/>
  <c r="AN25" i="11"/>
  <c r="N36" i="11"/>
  <c r="G36" i="11"/>
  <c r="D36" i="11"/>
  <c r="L47" i="11"/>
  <c r="AD47" i="11"/>
  <c r="AH58" i="11"/>
  <c r="AG58" i="11"/>
  <c r="J69" i="11"/>
  <c r="U69" i="11"/>
  <c r="O69" i="11"/>
  <c r="AN80" i="11"/>
  <c r="G80" i="11"/>
  <c r="D91" i="11"/>
  <c r="J91" i="11"/>
  <c r="AA14" i="11"/>
  <c r="AG3" i="11"/>
  <c r="AN3" i="11"/>
  <c r="S3" i="11"/>
  <c r="AR14" i="11"/>
  <c r="AK3" i="11"/>
  <c r="C25" i="11"/>
  <c r="E25" i="11"/>
  <c r="H36" i="11"/>
  <c r="W36" i="11"/>
  <c r="AB36" i="11"/>
  <c r="E47" i="11"/>
  <c r="G47" i="11"/>
  <c r="J58" i="11"/>
  <c r="N58" i="11"/>
  <c r="Z69" i="11"/>
  <c r="X69" i="11"/>
  <c r="AE69" i="11"/>
  <c r="Q80" i="11"/>
  <c r="AB80" i="11"/>
  <c r="T91" i="11"/>
  <c r="C91" i="11"/>
  <c r="AJ168" i="11"/>
  <c r="N168" i="11"/>
  <c r="AM157" i="11"/>
  <c r="Q157" i="11"/>
  <c r="AH157" i="11"/>
  <c r="V146" i="11"/>
  <c r="AM146" i="11"/>
  <c r="AD135" i="11"/>
  <c r="F135" i="11"/>
  <c r="P135" i="11"/>
  <c r="J124" i="11"/>
  <c r="L124" i="11"/>
  <c r="AC113" i="11"/>
  <c r="E113" i="11"/>
  <c r="AI113" i="11"/>
  <c r="AN102" i="11"/>
  <c r="AE102" i="11"/>
  <c r="P91" i="11"/>
  <c r="I168" i="11"/>
  <c r="Z168" i="11"/>
  <c r="L157" i="11"/>
  <c r="AC157" i="11"/>
  <c r="Q146" i="11"/>
  <c r="K146" i="11"/>
  <c r="AI146" i="11"/>
  <c r="N135" i="11"/>
  <c r="H135" i="11"/>
  <c r="AC124" i="11"/>
  <c r="W124" i="11"/>
  <c r="H124" i="11"/>
  <c r="I113" i="11"/>
  <c r="AB113" i="11"/>
  <c r="N102" i="11"/>
  <c r="S102" i="11"/>
  <c r="I102" i="11"/>
  <c r="D168" i="11"/>
  <c r="U168" i="11"/>
  <c r="G157" i="11"/>
  <c r="X157" i="11"/>
  <c r="AR157" i="11"/>
  <c r="U146" i="11"/>
  <c r="G146" i="11"/>
  <c r="AC135" i="11"/>
  <c r="AA135" i="11"/>
  <c r="O135" i="11"/>
  <c r="R124" i="11"/>
  <c r="S124" i="11"/>
  <c r="H113" i="11"/>
  <c r="AD113" i="11"/>
  <c r="C113" i="11"/>
  <c r="Z102" i="11"/>
  <c r="D102" i="11"/>
  <c r="N91" i="11"/>
  <c r="Y25" i="11"/>
  <c r="L25" i="11"/>
  <c r="AD25" i="11"/>
  <c r="AC36" i="11"/>
  <c r="AH36" i="11"/>
  <c r="AA47" i="11"/>
  <c r="J47" i="11"/>
  <c r="U47" i="11"/>
  <c r="M58" i="11"/>
  <c r="K58" i="11"/>
  <c r="T69" i="11"/>
  <c r="AH69" i="11"/>
  <c r="I69" i="11"/>
  <c r="P80" i="11"/>
  <c r="Y80" i="11"/>
  <c r="R91" i="11"/>
  <c r="AB91" i="11"/>
  <c r="K168" i="11"/>
  <c r="AB168" i="11"/>
  <c r="N157" i="11"/>
  <c r="AE157" i="11"/>
  <c r="I157" i="11"/>
  <c r="M146" i="11"/>
  <c r="N146" i="11"/>
  <c r="AB135" i="11"/>
  <c r="V135" i="11"/>
  <c r="M135" i="11"/>
  <c r="Y124" i="11"/>
  <c r="AD124" i="11"/>
  <c r="O113" i="11"/>
  <c r="N113" i="11"/>
  <c r="AB102" i="11"/>
  <c r="AG102" i="11"/>
  <c r="X102" i="11"/>
  <c r="Z91" i="11"/>
  <c r="W168" i="11"/>
  <c r="AN168" i="11"/>
  <c r="Z157" i="11"/>
  <c r="D157" i="11"/>
  <c r="AE146" i="11"/>
  <c r="I146" i="11"/>
  <c r="J146" i="11"/>
  <c r="AN135" i="11"/>
  <c r="AH135" i="11"/>
  <c r="D124" i="11"/>
  <c r="U124" i="11"/>
  <c r="AF113" i="11"/>
  <c r="AA113" i="11"/>
  <c r="AH113" i="11"/>
  <c r="O102" i="11"/>
  <c r="F102" i="11"/>
  <c r="Y91" i="11"/>
  <c r="R168" i="11"/>
  <c r="AI168" i="11"/>
  <c r="U157" i="11"/>
  <c r="AL157" i="11"/>
  <c r="P157" i="11"/>
  <c r="T146" i="11"/>
  <c r="E146" i="11"/>
  <c r="C135" i="11"/>
  <c r="U135" i="11"/>
  <c r="AL124" i="11"/>
  <c r="AF124" i="11"/>
  <c r="Q124" i="11"/>
  <c r="M113" i="11"/>
  <c r="AM113" i="11"/>
  <c r="C102" i="11"/>
  <c r="AM102" i="11"/>
  <c r="R102" i="11"/>
  <c r="E91" i="11"/>
  <c r="O25" i="11"/>
  <c r="J25" i="11"/>
  <c r="X25" i="11"/>
  <c r="V36" i="11"/>
  <c r="U36" i="11"/>
  <c r="AN47" i="11"/>
  <c r="AI47" i="11"/>
  <c r="P58" i="11"/>
  <c r="AE58" i="11"/>
  <c r="U58" i="11"/>
  <c r="Q69" i="11"/>
  <c r="AJ69" i="11"/>
  <c r="D80" i="11"/>
  <c r="X80" i="11"/>
  <c r="AA80" i="11"/>
  <c r="AE91" i="11"/>
  <c r="F91" i="11"/>
  <c r="Y168" i="11"/>
  <c r="C168" i="11"/>
  <c r="AB157" i="11"/>
  <c r="F157" i="11"/>
  <c r="AG146" i="11"/>
  <c r="AA146" i="11"/>
  <c r="L146" i="11"/>
  <c r="AE135" i="11"/>
  <c r="T135" i="11"/>
  <c r="F124" i="11"/>
  <c r="AM124" i="11"/>
  <c r="X124" i="11"/>
  <c r="AJ113" i="11"/>
  <c r="G113" i="11"/>
  <c r="AD102" i="11"/>
  <c r="L102" i="11"/>
  <c r="Y102" i="11"/>
  <c r="T168" i="11"/>
  <c r="AK168" i="11"/>
  <c r="W157" i="11"/>
  <c r="AN157" i="11"/>
  <c r="R157" i="11"/>
  <c r="F146" i="11"/>
  <c r="W146" i="11"/>
  <c r="K135" i="11"/>
  <c r="E135" i="11"/>
  <c r="AF135" i="11"/>
  <c r="AH124" i="11"/>
  <c r="AI124" i="11"/>
  <c r="X113" i="11"/>
  <c r="R113" i="11"/>
  <c r="S113" i="11"/>
  <c r="H102" i="11"/>
  <c r="AJ102" i="11"/>
  <c r="AM91" i="11"/>
  <c r="AF168" i="11"/>
  <c r="J168" i="11"/>
  <c r="AI157" i="11"/>
  <c r="M157" i="11"/>
  <c r="AN146" i="11"/>
  <c r="AH146" i="11"/>
  <c r="S146" i="11"/>
  <c r="Z135" i="11"/>
  <c r="Q135" i="11"/>
  <c r="M124" i="11"/>
  <c r="G124" i="11"/>
  <c r="AE124" i="11"/>
  <c r="V113" i="11"/>
  <c r="AK113" i="11"/>
  <c r="AK102" i="11"/>
  <c r="AF102" i="11"/>
  <c r="M25" i="11"/>
  <c r="AM25" i="11"/>
  <c r="AR36" i="11"/>
  <c r="L36" i="11"/>
  <c r="F36" i="11"/>
  <c r="AL47" i="11"/>
  <c r="Y47" i="11"/>
  <c r="AR58" i="11"/>
  <c r="X58" i="11"/>
  <c r="R58" i="11"/>
  <c r="W69" i="11"/>
  <c r="F69" i="11"/>
  <c r="R80" i="11"/>
  <c r="O80" i="11"/>
  <c r="AI80" i="11"/>
  <c r="Q91" i="11"/>
  <c r="V168" i="11"/>
  <c r="AM168" i="11"/>
  <c r="Q168" i="11"/>
  <c r="C157" i="11"/>
  <c r="T157" i="11"/>
  <c r="H146" i="11"/>
  <c r="Y146" i="11"/>
  <c r="Z146" i="11"/>
  <c r="Y135" i="11"/>
  <c r="W135" i="11"/>
  <c r="T124" i="11"/>
  <c r="AK124" i="11"/>
  <c r="U113" i="11"/>
  <c r="D113" i="11"/>
  <c r="Y113" i="11"/>
  <c r="E102" i="11"/>
  <c r="V102" i="11"/>
  <c r="AR91" i="11"/>
  <c r="AH168" i="11"/>
  <c r="L168" i="11"/>
  <c r="AK157" i="11"/>
  <c r="O157" i="11"/>
  <c r="AF157" i="11"/>
  <c r="AJ146" i="11"/>
  <c r="AK146" i="11"/>
  <c r="G135" i="11"/>
  <c r="AK135" i="11"/>
  <c r="Z124" i="11"/>
  <c r="I124" i="11"/>
  <c r="AG124" i="11"/>
  <c r="AL113" i="11"/>
  <c r="P113" i="11"/>
  <c r="AI102" i="11"/>
  <c r="Q102" i="11"/>
  <c r="AH102" i="11"/>
  <c r="AK91" i="11"/>
  <c r="G168" i="11"/>
  <c r="X168" i="11"/>
  <c r="J157" i="11"/>
  <c r="AA157" i="11"/>
  <c r="O146" i="11"/>
  <c r="AF146" i="11"/>
  <c r="AI135" i="11"/>
  <c r="X135" i="11"/>
  <c r="R135" i="11"/>
  <c r="AA124" i="11"/>
  <c r="E124" i="11"/>
  <c r="AR113" i="11"/>
  <c r="K113" i="11"/>
  <c r="F113" i="11"/>
  <c r="T102" i="11"/>
  <c r="AC102" i="11"/>
  <c r="I91" i="11"/>
  <c r="W91" i="11"/>
  <c r="C85" i="3"/>
  <c r="P48" i="1" s="1"/>
  <c r="H46" i="1"/>
  <c r="A87" i="3"/>
  <c r="X49" i="6"/>
  <c r="P46" i="1" l="1"/>
  <c r="P49" i="1" s="1"/>
  <c r="M3" i="13"/>
  <c r="H49" i="1"/>
  <c r="M4" i="13" l="1"/>
  <c r="T3" i="13"/>
  <c r="T4" i="13" s="1"/>
  <c r="K6" i="13" s="1"/>
  <c r="Y99" i="5" l="1"/>
  <c r="U99" i="5"/>
  <c r="H99" i="5"/>
  <c r="Q99" i="5"/>
  <c r="O99" i="5"/>
  <c r="L99" i="5"/>
  <c r="I99" i="5"/>
  <c r="F99" i="5"/>
  <c r="G99" i="5"/>
  <c r="R99" i="5"/>
  <c r="X99" i="5"/>
  <c r="J99" i="5"/>
  <c r="V99" i="5"/>
  <c r="T99" i="5"/>
  <c r="J16" i="1" l="1"/>
  <c r="D16" i="1" s="1"/>
  <c r="J6" i="1"/>
  <c r="D6" i="1" s="1"/>
  <c r="J41" i="1"/>
  <c r="D41" i="1" s="1"/>
  <c r="J10" i="1"/>
  <c r="D10" i="1" s="1"/>
  <c r="J5" i="1"/>
  <c r="D5" i="1" s="1"/>
  <c r="J19" i="1"/>
  <c r="D19" i="1" s="1"/>
  <c r="J15" i="1"/>
  <c r="D15" i="1" s="1"/>
  <c r="J3" i="1"/>
  <c r="D3" i="1" s="1"/>
  <c r="J8" i="1"/>
  <c r="D8" i="1" s="1"/>
  <c r="J7" i="1"/>
  <c r="D7" i="1" s="1"/>
  <c r="J24" i="1"/>
  <c r="D24" i="1" s="1"/>
  <c r="J20" i="1"/>
  <c r="J36" i="1"/>
  <c r="D36" i="1" s="1"/>
  <c r="J18" i="1"/>
  <c r="D18" i="1" s="1"/>
  <c r="K99" i="5"/>
  <c r="J37" i="1" s="1"/>
  <c r="J32" i="1" l="1"/>
  <c r="D32" i="1" s="1"/>
  <c r="J11" i="1"/>
  <c r="D11" i="1" s="1"/>
  <c r="J9" i="1"/>
  <c r="D9" i="1" s="1"/>
  <c r="J45" i="1"/>
  <c r="D45" i="1" s="1"/>
  <c r="J14" i="1"/>
  <c r="D14" i="1" s="1"/>
  <c r="V3" i="1"/>
  <c r="S99" i="5" l="1"/>
  <c r="N99" i="5"/>
  <c r="J30" i="1" s="1"/>
  <c r="E99" i="5"/>
  <c r="J4" i="1" s="1"/>
  <c r="D4" i="1" s="1"/>
  <c r="W99" i="5"/>
  <c r="M99" i="5"/>
  <c r="J17" i="1" s="1"/>
  <c r="D17" i="1" s="1"/>
  <c r="P99" i="5"/>
  <c r="J34" i="1" l="1"/>
  <c r="J43" i="1"/>
  <c r="D43" i="1" s="1"/>
  <c r="J35" i="1"/>
  <c r="D35" i="1" s="1"/>
  <c r="J29" i="1"/>
  <c r="D29" i="1" s="1"/>
  <c r="J38" i="1"/>
  <c r="J26" i="1"/>
  <c r="D26" i="1" s="1"/>
  <c r="J28" i="1"/>
  <c r="D28" i="1" s="1"/>
  <c r="J12" i="1"/>
  <c r="D12" i="1" s="1"/>
  <c r="J13" i="1"/>
  <c r="D13" i="1" s="1"/>
  <c r="J21" i="1"/>
  <c r="D21" i="1" s="1"/>
  <c r="J42" i="1"/>
  <c r="D42" i="1" s="1"/>
  <c r="J31" i="1"/>
  <c r="D31" i="1" s="1"/>
  <c r="J22" i="1"/>
  <c r="D22" i="1" s="1"/>
  <c r="J23" i="1"/>
  <c r="J40" i="1"/>
  <c r="D40" i="1" s="1"/>
  <c r="J39" i="1"/>
  <c r="D39" i="1" s="1"/>
  <c r="J25" i="1"/>
  <c r="D25" i="1" s="1"/>
  <c r="J46" i="1" l="1"/>
  <c r="O3" i="13" s="1"/>
  <c r="O4" i="13" s="1"/>
  <c r="D23" i="1"/>
  <c r="K34" i="1" l="1"/>
  <c r="D34" i="1" s="1"/>
  <c r="K37" i="1"/>
  <c r="D37" i="1" s="1"/>
  <c r="AM94" i="5"/>
  <c r="AS64" i="6"/>
  <c r="AF13" i="6"/>
  <c r="AV4" i="5"/>
  <c r="AH43" i="5"/>
  <c r="AA28" i="5"/>
  <c r="AD16" i="6"/>
  <c r="AQ91" i="5"/>
  <c r="AO61" i="6"/>
  <c r="R61" i="6"/>
  <c r="AW85" i="5"/>
  <c r="AZ64" i="5"/>
  <c r="AQ16" i="6"/>
  <c r="AF43" i="5"/>
  <c r="AC85" i="6"/>
  <c r="AE37" i="6"/>
  <c r="AJ88" i="5"/>
  <c r="AC58" i="5"/>
  <c r="AF94" i="6"/>
  <c r="AW31" i="6"/>
  <c r="AV34" i="5"/>
  <c r="AP37" i="6"/>
  <c r="AZ19" i="5"/>
  <c r="AE19" i="5"/>
  <c r="AG40" i="5"/>
  <c r="AX31" i="6"/>
  <c r="C88" i="5"/>
  <c r="AD61" i="6"/>
  <c r="AU16" i="5"/>
  <c r="AT16" i="5"/>
  <c r="AP52" i="5"/>
  <c r="Z55" i="6"/>
  <c r="AZ94" i="5"/>
  <c r="AC40" i="5"/>
  <c r="AE91" i="6"/>
  <c r="AT79" i="6"/>
  <c r="AR91" i="5"/>
  <c r="AR4" i="6"/>
  <c r="AT22" i="5"/>
  <c r="AC19" i="5"/>
  <c r="AF55" i="6"/>
  <c r="AS82" i="6"/>
  <c r="R19" i="6"/>
  <c r="AI7" i="5"/>
  <c r="AF10" i="6"/>
  <c r="R73" i="6"/>
  <c r="AX97" i="5"/>
  <c r="AU70" i="6"/>
  <c r="AS34" i="5"/>
  <c r="AM97" i="6"/>
  <c r="AZ67" i="5"/>
  <c r="AP67" i="5"/>
  <c r="AU97" i="5"/>
  <c r="AG34" i="5"/>
  <c r="AW91" i="6"/>
  <c r="AR16" i="6"/>
  <c r="AB82" i="5"/>
  <c r="AK28" i="6"/>
  <c r="R49" i="6"/>
  <c r="AW37" i="5"/>
  <c r="AD40" i="6"/>
  <c r="AC31" i="5"/>
  <c r="AN25" i="6"/>
  <c r="AR67" i="6"/>
  <c r="AO16" i="6"/>
  <c r="AI16" i="5"/>
  <c r="AZ13" i="5"/>
  <c r="AV7" i="6"/>
  <c r="AJ79" i="5"/>
  <c r="AV28" i="5"/>
  <c r="AN76" i="5"/>
  <c r="C61" i="5"/>
  <c r="AQ37" i="6"/>
  <c r="AK37" i="6"/>
  <c r="AG73" i="6"/>
  <c r="AW58" i="6"/>
  <c r="AY61" i="6"/>
  <c r="AI40" i="5"/>
  <c r="AL91" i="5"/>
  <c r="AN52" i="5"/>
  <c r="AD64" i="5"/>
  <c r="AL40" i="6"/>
  <c r="AJ46" i="5"/>
  <c r="AI46" i="5"/>
  <c r="AX34" i="6"/>
  <c r="AZ46" i="5"/>
  <c r="AI67" i="5"/>
  <c r="AH37" i="5"/>
  <c r="AA7" i="5"/>
  <c r="AS19" i="6"/>
  <c r="AY4" i="6"/>
  <c r="AF85" i="6"/>
  <c r="AG67" i="6"/>
  <c r="AO52" i="6"/>
  <c r="AT4" i="5"/>
  <c r="AN61" i="6"/>
  <c r="AI58" i="6"/>
  <c r="V94" i="6"/>
  <c r="AI16" i="6"/>
  <c r="AE31" i="6"/>
  <c r="AV85" i="6"/>
  <c r="AS46" i="5"/>
  <c r="AW22" i="6"/>
  <c r="AZ82" i="5"/>
  <c r="AX91" i="5"/>
  <c r="AO91" i="5"/>
  <c r="AK91" i="5"/>
  <c r="AM64" i="5"/>
  <c r="AJ37" i="5"/>
  <c r="AD4" i="5"/>
  <c r="AX67" i="5"/>
  <c r="C85" i="5"/>
  <c r="AX64" i="5"/>
  <c r="AF19" i="5"/>
  <c r="AO43" i="5"/>
  <c r="AH16" i="5"/>
  <c r="AI91" i="6"/>
  <c r="AW22" i="5"/>
  <c r="X43" i="6"/>
  <c r="AH22" i="5"/>
  <c r="AJ61" i="5"/>
  <c r="AH31" i="6"/>
  <c r="AW43" i="5"/>
  <c r="AC13" i="5"/>
  <c r="AO88" i="6"/>
  <c r="AC58" i="6"/>
  <c r="Z37" i="5"/>
  <c r="AF25" i="6"/>
  <c r="AI94" i="5"/>
  <c r="AB7" i="5"/>
  <c r="AT13" i="5"/>
  <c r="AR52" i="6"/>
  <c r="AI76" i="5"/>
  <c r="V58" i="6"/>
  <c r="AG10" i="5"/>
  <c r="AV19" i="6"/>
  <c r="AX52" i="6"/>
  <c r="AS85" i="5"/>
  <c r="AM67" i="6"/>
  <c r="Z67" i="5"/>
  <c r="AU19" i="6"/>
  <c r="AU64" i="6"/>
  <c r="AV55" i="6"/>
  <c r="AW13" i="6"/>
  <c r="AR76" i="5"/>
  <c r="AS58" i="5"/>
  <c r="AU85" i="6"/>
  <c r="AQ40" i="5"/>
  <c r="AG70" i="6"/>
  <c r="AF7" i="5"/>
  <c r="AG28" i="5"/>
  <c r="AL4" i="5"/>
  <c r="AK79" i="5"/>
  <c r="AS4" i="5"/>
  <c r="AO25" i="5"/>
  <c r="AX28" i="5"/>
  <c r="AU58" i="5"/>
  <c r="AQ55" i="5"/>
  <c r="AO19" i="6"/>
  <c r="AX88" i="5"/>
  <c r="AJ22" i="5"/>
  <c r="AD70" i="6"/>
  <c r="C94" i="6"/>
  <c r="AQ82" i="6"/>
  <c r="Z13" i="5"/>
  <c r="AT10" i="6"/>
  <c r="AP31" i="6"/>
  <c r="AN31" i="6"/>
  <c r="AN4" i="5"/>
  <c r="AB73" i="5"/>
  <c r="AM88" i="5"/>
  <c r="AY85" i="6"/>
  <c r="AF58" i="5"/>
  <c r="Z94" i="5"/>
  <c r="AV88" i="6"/>
  <c r="AG73" i="5"/>
  <c r="AD25" i="6"/>
  <c r="AO64" i="6"/>
  <c r="AN61" i="5"/>
  <c r="AU4" i="6"/>
  <c r="AC19" i="6"/>
  <c r="AQ67" i="6"/>
  <c r="Z55" i="5"/>
  <c r="AC10" i="6"/>
  <c r="AT88" i="5"/>
  <c r="AP73" i="5"/>
  <c r="AZ82" i="6"/>
  <c r="AO28" i="6"/>
  <c r="AK76" i="5"/>
  <c r="C40" i="5"/>
  <c r="AK88" i="6"/>
  <c r="AQ22" i="6"/>
  <c r="AS25" i="6"/>
  <c r="AF13" i="5"/>
  <c r="Z10" i="6"/>
  <c r="AF37" i="6"/>
  <c r="AO34" i="5"/>
  <c r="AQ52" i="6"/>
  <c r="AE58" i="6"/>
  <c r="C70" i="5"/>
  <c r="AE79" i="6"/>
  <c r="AT88" i="6"/>
  <c r="AO22" i="5"/>
  <c r="AS97" i="6"/>
  <c r="AB91" i="5"/>
  <c r="AJ7" i="5"/>
  <c r="AK43" i="6"/>
  <c r="R94" i="6"/>
  <c r="AJ79" i="6"/>
  <c r="AS67" i="5"/>
  <c r="AT94" i="6"/>
  <c r="AS70" i="5"/>
  <c r="AC25" i="5"/>
  <c r="AV19" i="5"/>
  <c r="AL43" i="5"/>
  <c r="AX25" i="5"/>
  <c r="AA34" i="5"/>
  <c r="Z61" i="6"/>
  <c r="AT70" i="6"/>
  <c r="AR19" i="6"/>
  <c r="V76" i="6"/>
  <c r="AP82" i="5"/>
  <c r="AK73" i="5"/>
  <c r="AA76" i="5"/>
  <c r="V70" i="6"/>
  <c r="AV79" i="5"/>
  <c r="X52" i="6"/>
  <c r="AM58" i="6"/>
  <c r="AG49" i="5"/>
  <c r="V31" i="6"/>
  <c r="AM25" i="5"/>
  <c r="AE61" i="5"/>
  <c r="AD49" i="6"/>
  <c r="AA70" i="5"/>
  <c r="AL37" i="5"/>
  <c r="AP61" i="5"/>
  <c r="AK10" i="5"/>
  <c r="AP34" i="6"/>
  <c r="AJ58" i="6"/>
  <c r="AI19" i="5"/>
  <c r="AP7" i="5"/>
  <c r="AZ52" i="6"/>
  <c r="AD67" i="5"/>
  <c r="C37" i="5"/>
  <c r="X64" i="6"/>
  <c r="AF16" i="6"/>
  <c r="AC94" i="6"/>
  <c r="AJ25" i="6"/>
  <c r="AZ85" i="5"/>
  <c r="V67" i="6"/>
  <c r="AL76" i="6"/>
  <c r="R64" i="6"/>
  <c r="C10" i="5"/>
  <c r="AG82" i="5"/>
  <c r="C76" i="5"/>
  <c r="AN25" i="5"/>
  <c r="AA64" i="5"/>
  <c r="AB67" i="5"/>
  <c r="AI82" i="6"/>
  <c r="AE22" i="5"/>
  <c r="AF91" i="6"/>
  <c r="C85" i="6"/>
  <c r="AJ58" i="5"/>
  <c r="AM25" i="6"/>
  <c r="AU31" i="5"/>
  <c r="AL34" i="5"/>
  <c r="AZ73" i="6"/>
  <c r="AP55" i="5"/>
  <c r="AQ10" i="6"/>
  <c r="AV94" i="5"/>
  <c r="AQ76" i="6"/>
  <c r="AX76" i="6"/>
  <c r="AP70" i="5"/>
  <c r="AR58" i="6"/>
  <c r="AZ4" i="6"/>
  <c r="AQ85" i="6"/>
  <c r="C22" i="6"/>
  <c r="AK40" i="5"/>
  <c r="AK52" i="6"/>
  <c r="AA10" i="5"/>
  <c r="AC88" i="6"/>
  <c r="AG58" i="5"/>
  <c r="AB28" i="5"/>
  <c r="AM7" i="5"/>
  <c r="X25" i="6"/>
  <c r="AM76" i="6"/>
  <c r="AC43" i="5"/>
  <c r="AJ97" i="6"/>
  <c r="AD76" i="6"/>
  <c r="AT55" i="6"/>
  <c r="AU67" i="5"/>
  <c r="AO79" i="5"/>
  <c r="AM91" i="6"/>
  <c r="AU70" i="5"/>
  <c r="AS94" i="5"/>
  <c r="AI31" i="5"/>
  <c r="AM4" i="5"/>
  <c r="AE34" i="6"/>
  <c r="AN55" i="5"/>
  <c r="AM13" i="5"/>
  <c r="AX79" i="5"/>
  <c r="AJ67" i="5"/>
  <c r="AP58" i="6"/>
  <c r="AW88" i="6"/>
  <c r="AD40" i="5"/>
  <c r="AN34" i="6"/>
  <c r="AZ10" i="6"/>
  <c r="AD31" i="6"/>
  <c r="AK46" i="5"/>
  <c r="AG82" i="6"/>
  <c r="AH7" i="6"/>
  <c r="AI76" i="6"/>
  <c r="AB79" i="5"/>
  <c r="AW82" i="5"/>
  <c r="AJ22" i="6"/>
  <c r="R28" i="6"/>
  <c r="AI85" i="6"/>
  <c r="AE40" i="6"/>
  <c r="AZ97" i="6"/>
  <c r="AX40" i="5"/>
  <c r="AI37" i="5"/>
  <c r="AZ40" i="6"/>
  <c r="AM67" i="5"/>
  <c r="C37" i="6"/>
  <c r="AK94" i="5"/>
  <c r="C13" i="5"/>
  <c r="AN34" i="5"/>
  <c r="AF7" i="6"/>
  <c r="AP37" i="5"/>
  <c r="AU43" i="6"/>
  <c r="AG4" i="6"/>
  <c r="AF88" i="6"/>
  <c r="AD55" i="5"/>
  <c r="AZ88" i="5"/>
  <c r="AN91" i="5"/>
  <c r="R52" i="6"/>
  <c r="AO55" i="6"/>
  <c r="AH19" i="6"/>
  <c r="AU97" i="6"/>
  <c r="X76" i="6"/>
  <c r="AF73" i="5"/>
  <c r="AX97" i="6"/>
  <c r="AE4" i="6"/>
  <c r="AG37" i="6"/>
  <c r="AH70" i="6"/>
  <c r="AL94" i="5"/>
  <c r="Z52" i="5"/>
  <c r="AN88" i="5"/>
  <c r="AT91" i="5"/>
  <c r="AX19" i="6"/>
  <c r="AZ43" i="6"/>
  <c r="AG28" i="6"/>
  <c r="AR10" i="6"/>
  <c r="AX52" i="5"/>
  <c r="AT16" i="6"/>
  <c r="AH73" i="6"/>
  <c r="AW61" i="6"/>
  <c r="AR37" i="5"/>
  <c r="AX61" i="6"/>
  <c r="AT73" i="6"/>
  <c r="AR16" i="5"/>
  <c r="AM76" i="5"/>
  <c r="AE64" i="6"/>
  <c r="AP55" i="6"/>
  <c r="AW94" i="6"/>
  <c r="V49" i="6"/>
  <c r="AD7" i="5"/>
  <c r="AC37" i="5"/>
  <c r="AE94" i="6"/>
  <c r="AD61" i="5"/>
  <c r="AN76" i="6"/>
  <c r="AN79" i="6"/>
  <c r="AE88" i="6"/>
  <c r="AG58" i="6"/>
  <c r="AK97" i="5"/>
  <c r="AC61" i="5"/>
  <c r="AO25" i="6"/>
  <c r="X70" i="6"/>
  <c r="AK19" i="5"/>
  <c r="AK43" i="5"/>
  <c r="AC73" i="5"/>
  <c r="AW40" i="6"/>
  <c r="AU49" i="6"/>
  <c r="AN28" i="5"/>
  <c r="AK4" i="6"/>
  <c r="AS22" i="6"/>
  <c r="C52" i="6"/>
  <c r="AI49" i="6"/>
  <c r="AD85" i="6"/>
  <c r="Z7" i="5"/>
  <c r="AS13" i="5"/>
  <c r="AZ49" i="6"/>
  <c r="Z67" i="6"/>
  <c r="AQ31" i="5"/>
  <c r="AO37" i="5"/>
  <c r="AR40" i="5"/>
  <c r="AT31" i="6"/>
  <c r="Z22" i="6"/>
  <c r="AC31" i="6"/>
  <c r="AD85" i="5"/>
  <c r="X34" i="6"/>
  <c r="AH4" i="5"/>
  <c r="AF64" i="6"/>
  <c r="AP16" i="6"/>
  <c r="AX34" i="5"/>
  <c r="C19" i="5"/>
  <c r="AK85" i="5"/>
  <c r="AA22" i="5"/>
  <c r="X7" i="6"/>
  <c r="AZ73" i="5"/>
  <c r="AV49" i="5"/>
  <c r="AL16" i="6"/>
  <c r="AI61" i="5"/>
  <c r="AI10" i="6"/>
  <c r="AP40" i="6"/>
  <c r="AL28" i="5"/>
  <c r="AE67" i="6"/>
  <c r="V37" i="6"/>
  <c r="AV61" i="5"/>
  <c r="AX16" i="6"/>
  <c r="C43" i="5"/>
  <c r="AX85" i="6"/>
  <c r="AD34" i="5"/>
  <c r="AT67" i="6"/>
  <c r="AF79" i="6"/>
  <c r="AO49" i="6"/>
  <c r="AF40" i="5"/>
  <c r="AE19" i="6"/>
  <c r="AZ85" i="6"/>
  <c r="C67" i="5"/>
  <c r="AE88" i="5"/>
  <c r="AP13" i="5"/>
  <c r="V22" i="6"/>
  <c r="AK49" i="5"/>
  <c r="AO97" i="5"/>
  <c r="AD10" i="6"/>
  <c r="AR70" i="6"/>
  <c r="AP22" i="5"/>
  <c r="AL97" i="6"/>
  <c r="AF43" i="6"/>
  <c r="AO22" i="6"/>
  <c r="AZ43" i="5"/>
  <c r="AF46" i="5"/>
  <c r="AE55" i="5"/>
  <c r="AO76" i="5"/>
  <c r="AO88" i="5"/>
  <c r="AM34" i="5"/>
  <c r="Z49" i="5"/>
  <c r="AS37" i="6"/>
  <c r="AG10" i="6"/>
  <c r="AH46" i="6"/>
  <c r="AE67" i="5"/>
  <c r="AX94" i="5"/>
  <c r="AP28" i="5"/>
  <c r="AZ58" i="6"/>
  <c r="AD79" i="6"/>
  <c r="AS40" i="6"/>
  <c r="AL58" i="6"/>
  <c r="AW25" i="5"/>
  <c r="AB58" i="5"/>
  <c r="AG61" i="5"/>
  <c r="AH10" i="6"/>
  <c r="AZ46" i="6"/>
  <c r="AX64" i="6"/>
  <c r="AG7" i="5"/>
  <c r="AP97" i="5"/>
  <c r="AM43" i="5"/>
  <c r="AT85" i="6"/>
  <c r="AC91" i="5"/>
  <c r="AH88" i="5"/>
  <c r="AL94" i="6"/>
  <c r="Z40" i="5"/>
  <c r="AR73" i="6"/>
  <c r="AN85" i="5"/>
  <c r="C25" i="6"/>
  <c r="AQ88" i="6"/>
  <c r="AX22" i="5"/>
  <c r="AP52" i="6"/>
  <c r="AW7" i="5"/>
  <c r="AC70" i="5"/>
  <c r="AL91" i="6"/>
  <c r="AI4" i="5"/>
  <c r="AZ25" i="5"/>
  <c r="AV76" i="6"/>
  <c r="AI79" i="5"/>
  <c r="AR67" i="5"/>
  <c r="AO7" i="6"/>
  <c r="AD31" i="5"/>
  <c r="AR64" i="5"/>
  <c r="AM88" i="6"/>
  <c r="AQ46" i="5"/>
  <c r="AR22" i="5"/>
  <c r="R55" i="6"/>
  <c r="AS55" i="6"/>
  <c r="C97" i="5"/>
  <c r="AE43" i="6"/>
  <c r="AK55" i="6"/>
  <c r="AR40" i="6"/>
  <c r="AW49" i="6"/>
  <c r="AT55" i="5"/>
  <c r="AG91" i="6"/>
  <c r="AK55" i="5"/>
  <c r="AX10" i="6"/>
  <c r="AG61" i="6"/>
  <c r="AM82" i="5"/>
  <c r="AF52" i="5"/>
  <c r="AE61" i="6"/>
  <c r="AT58" i="5"/>
  <c r="AU19" i="5"/>
  <c r="AU31" i="6"/>
  <c r="AK19" i="6"/>
  <c r="AA97" i="5"/>
  <c r="AL25" i="6"/>
  <c r="AS82" i="5"/>
  <c r="AD4" i="6"/>
  <c r="AR61" i="6"/>
  <c r="AR34" i="5"/>
  <c r="AP46" i="6"/>
  <c r="AW79" i="5"/>
  <c r="AW88" i="5"/>
  <c r="AG70" i="5"/>
  <c r="AI88" i="5"/>
  <c r="R22" i="6"/>
  <c r="AV7" i="5"/>
  <c r="AE55" i="6"/>
  <c r="AH49" i="6"/>
  <c r="AV40" i="5"/>
  <c r="AL10" i="6"/>
  <c r="AD97" i="6"/>
  <c r="AV4" i="6"/>
  <c r="AN43" i="6"/>
  <c r="AT82" i="6"/>
  <c r="AT7" i="5"/>
  <c r="R76" i="6"/>
  <c r="AV22" i="6"/>
  <c r="AF4" i="5"/>
  <c r="AM64" i="6"/>
  <c r="AQ37" i="5"/>
  <c r="AM82" i="6"/>
  <c r="AO34" i="6"/>
  <c r="AJ49" i="6"/>
  <c r="AW73" i="5"/>
  <c r="AV67" i="6"/>
  <c r="AQ4" i="6"/>
  <c r="AA40" i="5"/>
  <c r="AL19" i="6"/>
  <c r="AS70" i="6"/>
  <c r="AZ67" i="6"/>
  <c r="AQ19" i="5"/>
  <c r="AQ61" i="6"/>
  <c r="AV73" i="5"/>
  <c r="R70" i="6"/>
  <c r="AD76" i="5"/>
  <c r="AX73" i="5"/>
  <c r="AP94" i="6"/>
  <c r="AA88" i="5"/>
  <c r="AD25" i="5"/>
  <c r="AN40" i="5"/>
  <c r="AV25" i="5"/>
  <c r="AB49" i="5"/>
  <c r="AM43" i="6"/>
  <c r="AY7" i="6"/>
  <c r="AG94" i="6"/>
  <c r="AQ52" i="5"/>
  <c r="AS37" i="5"/>
  <c r="AD13" i="6"/>
  <c r="AU37" i="5"/>
  <c r="AK73" i="6"/>
  <c r="AF76" i="6"/>
  <c r="AS22" i="5"/>
  <c r="R58" i="6"/>
  <c r="AF16" i="5"/>
  <c r="C88" i="6"/>
  <c r="Z70" i="5"/>
  <c r="AR46" i="6"/>
  <c r="AS88" i="5"/>
  <c r="AR22" i="6"/>
  <c r="AA31" i="5"/>
  <c r="AN22" i="5"/>
  <c r="AX13" i="6"/>
  <c r="AZ31" i="6"/>
  <c r="AU73" i="5"/>
  <c r="AP19" i="5"/>
  <c r="AO85" i="5"/>
  <c r="AX88" i="6"/>
  <c r="AL82" i="6"/>
  <c r="R46" i="6"/>
  <c r="AZ22" i="5"/>
  <c r="V73" i="6"/>
  <c r="AO10" i="5"/>
  <c r="AX46" i="5"/>
  <c r="AA13" i="5"/>
  <c r="AD28" i="6"/>
  <c r="AM52" i="6"/>
  <c r="AJ55" i="6"/>
  <c r="AG4" i="5"/>
  <c r="Z64" i="6"/>
  <c r="AN10" i="5"/>
  <c r="AF58" i="6"/>
  <c r="AW13" i="5"/>
  <c r="AU25" i="6"/>
  <c r="R34" i="6"/>
  <c r="Z49" i="6"/>
  <c r="C82" i="6"/>
  <c r="AM61" i="6"/>
  <c r="AH7" i="5"/>
  <c r="AM94" i="6"/>
  <c r="AQ7" i="5"/>
  <c r="AY22" i="6"/>
  <c r="AF97" i="6"/>
  <c r="AC64" i="6"/>
  <c r="AR73" i="5"/>
  <c r="AL49" i="6"/>
  <c r="AB43" i="5"/>
  <c r="AH85" i="6"/>
  <c r="AJ52" i="5"/>
  <c r="R82" i="6"/>
  <c r="AG13" i="6"/>
  <c r="AX10" i="5"/>
  <c r="AT37" i="6"/>
  <c r="AJ94" i="6"/>
  <c r="AL64" i="6"/>
  <c r="AV43" i="5"/>
  <c r="AN97" i="5"/>
  <c r="AE16" i="5"/>
  <c r="AA58" i="5"/>
  <c r="AL73" i="5"/>
  <c r="AR13" i="5"/>
  <c r="AQ73" i="5"/>
  <c r="AO19" i="5"/>
  <c r="AZ28" i="6"/>
  <c r="AO31" i="5"/>
  <c r="C49" i="5"/>
  <c r="AL55" i="6"/>
  <c r="AG85" i="6"/>
  <c r="AN73" i="5"/>
  <c r="AC79" i="5"/>
  <c r="AM40" i="6"/>
  <c r="AH10" i="5"/>
  <c r="AM19" i="6"/>
  <c r="X61" i="6"/>
  <c r="AO55" i="5"/>
  <c r="AD79" i="5"/>
  <c r="AZ31" i="5"/>
  <c r="AZ76" i="5"/>
  <c r="AL37" i="6"/>
  <c r="AP34" i="5"/>
  <c r="AZ25" i="6"/>
  <c r="AT64" i="5"/>
  <c r="AR97" i="5"/>
  <c r="C55" i="5"/>
  <c r="V46" i="6"/>
  <c r="Z31" i="6"/>
  <c r="AC25" i="6"/>
  <c r="AJ46" i="6"/>
  <c r="AN7" i="5"/>
  <c r="AH43" i="6"/>
  <c r="AH25" i="6"/>
  <c r="AB52" i="5"/>
  <c r="AL70" i="6"/>
  <c r="AF31" i="5"/>
  <c r="AW76" i="6"/>
  <c r="AI28" i="6"/>
  <c r="AN97" i="6"/>
  <c r="AN52" i="6"/>
  <c r="AJ16" i="5"/>
  <c r="AD73" i="6"/>
  <c r="R88" i="6"/>
  <c r="X37" i="6"/>
  <c r="AL28" i="6"/>
  <c r="AQ4" i="5"/>
  <c r="AK7" i="6"/>
  <c r="AS64" i="5"/>
  <c r="AO40" i="5"/>
  <c r="AM28" i="5"/>
  <c r="AD19" i="6"/>
  <c r="AO52" i="5"/>
  <c r="AU16" i="6"/>
  <c r="AL85" i="5"/>
  <c r="AF19" i="6"/>
  <c r="AP31" i="5"/>
  <c r="AC73" i="6"/>
  <c r="AC49" i="6"/>
  <c r="AN79" i="5"/>
  <c r="AO10" i="6"/>
  <c r="AQ22" i="5"/>
  <c r="AK67" i="5"/>
  <c r="AB4" i="5"/>
  <c r="AC34" i="6"/>
  <c r="AA19" i="5"/>
  <c r="X46" i="6"/>
  <c r="AG64" i="6"/>
  <c r="AL79" i="6"/>
  <c r="AH37" i="6"/>
  <c r="AL31" i="6"/>
  <c r="AU79" i="5"/>
  <c r="AS49" i="6"/>
  <c r="AP61" i="6"/>
  <c r="AM61" i="5"/>
  <c r="AI25" i="5"/>
  <c r="AC97" i="6"/>
  <c r="AU88" i="5"/>
  <c r="AS97" i="5"/>
  <c r="AK34" i="6"/>
  <c r="AU13" i="5"/>
  <c r="AS85" i="6"/>
  <c r="C40" i="6"/>
  <c r="AM16" i="5"/>
  <c r="AT49" i="6"/>
  <c r="AN46" i="6"/>
  <c r="AE70" i="5"/>
  <c r="AT97" i="6"/>
  <c r="AP88" i="6"/>
  <c r="AI73" i="6"/>
  <c r="AK94" i="6"/>
  <c r="AO4" i="5"/>
  <c r="AY91" i="6"/>
  <c r="AJ13" i="5"/>
  <c r="AR58" i="5"/>
  <c r="AL64" i="5"/>
  <c r="AL22" i="5"/>
  <c r="Z88" i="5"/>
  <c r="AH67" i="5"/>
  <c r="AE73" i="6"/>
  <c r="AV13" i="6"/>
  <c r="AE37" i="5"/>
  <c r="AN46" i="5"/>
  <c r="AS10" i="6"/>
  <c r="AN64" i="5"/>
  <c r="X58" i="6"/>
  <c r="AS43" i="5"/>
  <c r="AA4" i="5"/>
  <c r="AT43" i="6"/>
  <c r="AR10" i="5"/>
  <c r="AC88" i="5"/>
  <c r="AH94" i="5"/>
  <c r="AM46" i="5"/>
  <c r="AP43" i="6"/>
  <c r="AK64" i="6"/>
  <c r="AF28" i="5"/>
  <c r="AD37" i="5"/>
  <c r="X85" i="6"/>
  <c r="AV46" i="5"/>
  <c r="AT76" i="5"/>
  <c r="AB19" i="5"/>
  <c r="AT19" i="5"/>
  <c r="C91" i="6"/>
  <c r="AS28" i="6"/>
  <c r="AC13" i="6"/>
  <c r="AE64" i="5"/>
  <c r="Z10" i="5"/>
  <c r="AP13" i="6"/>
  <c r="V34" i="6"/>
  <c r="AD52" i="6"/>
  <c r="AR91" i="6"/>
  <c r="AW19" i="5"/>
  <c r="AX25" i="6"/>
  <c r="AK31" i="5"/>
  <c r="AE43" i="5"/>
  <c r="AC10" i="5"/>
  <c r="AD88" i="5"/>
  <c r="AM37" i="5"/>
  <c r="AM91" i="5"/>
  <c r="AS79" i="6"/>
  <c r="AR7" i="6"/>
  <c r="AW34" i="5"/>
  <c r="AA52" i="5"/>
  <c r="AQ88" i="5"/>
  <c r="C49" i="6"/>
  <c r="AY25" i="6"/>
  <c r="AU67" i="6"/>
  <c r="Z16" i="5"/>
  <c r="AV43" i="6"/>
  <c r="AA61" i="5"/>
  <c r="C28" i="5"/>
  <c r="AR82" i="5"/>
  <c r="X10" i="6"/>
  <c r="AY52" i="6"/>
  <c r="Z16" i="6"/>
  <c r="AN55" i="6"/>
  <c r="AM49" i="6"/>
  <c r="AC55" i="5"/>
  <c r="Z31" i="5"/>
  <c r="V79" i="6"/>
  <c r="AH55" i="6"/>
  <c r="C61" i="6"/>
  <c r="AS31" i="5"/>
  <c r="AD13" i="5"/>
  <c r="AO49" i="5"/>
  <c r="AL61" i="5"/>
  <c r="AD58" i="6"/>
  <c r="AM73" i="6"/>
  <c r="AG31" i="6"/>
  <c r="AW19" i="6"/>
  <c r="AF28" i="6"/>
  <c r="AY94" i="6"/>
  <c r="AY13" i="6"/>
  <c r="AJ28" i="5"/>
  <c r="AN13" i="5"/>
  <c r="AE22" i="6"/>
  <c r="AE85" i="5"/>
  <c r="AL10" i="5"/>
  <c r="AR34" i="6"/>
  <c r="AX22" i="6"/>
  <c r="AZ19" i="6"/>
  <c r="AO58" i="5"/>
  <c r="AN40" i="6"/>
  <c r="R79" i="6"/>
  <c r="Z19" i="5"/>
  <c r="Z28" i="6"/>
  <c r="AR61" i="5"/>
  <c r="AI22" i="5"/>
  <c r="AJ43" i="5"/>
  <c r="R43" i="6"/>
  <c r="AZ55" i="5"/>
  <c r="AL46" i="6"/>
  <c r="AI61" i="6"/>
  <c r="AI64" i="5"/>
  <c r="AN37" i="5"/>
  <c r="AH73" i="5"/>
  <c r="C34" i="5"/>
  <c r="AP49" i="5"/>
  <c r="AF25" i="5"/>
  <c r="AD70" i="5"/>
  <c r="AR19" i="5"/>
  <c r="AI70" i="5"/>
  <c r="AN70" i="5"/>
  <c r="AT52" i="5"/>
  <c r="AH79" i="6"/>
  <c r="AW70" i="6"/>
  <c r="AH79" i="5"/>
  <c r="AE7" i="6"/>
  <c r="AG25" i="6"/>
  <c r="AL85" i="6"/>
  <c r="AV58" i="6"/>
  <c r="AJ19" i="5"/>
  <c r="AW76" i="5"/>
  <c r="AU91" i="6"/>
  <c r="AK37" i="5"/>
  <c r="V28" i="6"/>
  <c r="AH16" i="6"/>
  <c r="V43" i="6"/>
  <c r="AU94" i="6"/>
  <c r="AY67" i="6"/>
  <c r="R91" i="6"/>
  <c r="AU13" i="6"/>
  <c r="AH97" i="5"/>
  <c r="AX7" i="5"/>
  <c r="AB76" i="5"/>
  <c r="AX40" i="6"/>
  <c r="AQ97" i="5"/>
  <c r="AQ28" i="6"/>
  <c r="AU79" i="6"/>
  <c r="AU22" i="5"/>
  <c r="AG49" i="6"/>
  <c r="AT46" i="6"/>
  <c r="AT37" i="5"/>
  <c r="AW4" i="5"/>
  <c r="AZ79" i="5"/>
  <c r="AS28" i="5"/>
  <c r="AH55" i="5"/>
  <c r="AV31" i="5"/>
  <c r="AY97" i="6"/>
  <c r="AJ4" i="6"/>
  <c r="AN37" i="6"/>
  <c r="AN49" i="6"/>
  <c r="AF10" i="5"/>
  <c r="AS79" i="5"/>
  <c r="AG97" i="6"/>
  <c r="AE91" i="5"/>
  <c r="AT46" i="5"/>
  <c r="AS73" i="5"/>
  <c r="AF34" i="6"/>
  <c r="AH85" i="5"/>
  <c r="AU49" i="5"/>
  <c r="AY28" i="6"/>
  <c r="AX7" i="6"/>
  <c r="AS76" i="5"/>
  <c r="AD91" i="6"/>
  <c r="AL73" i="6"/>
  <c r="AA67" i="5"/>
  <c r="AG85" i="5"/>
  <c r="AY46" i="6"/>
  <c r="AJ97" i="5"/>
  <c r="AP64" i="5"/>
  <c r="Z97" i="6"/>
  <c r="Z70" i="6"/>
  <c r="AJ19" i="6"/>
  <c r="Z73" i="5"/>
  <c r="AI7" i="6"/>
  <c r="AO40" i="6"/>
  <c r="AO43" i="6"/>
  <c r="AK88" i="5"/>
  <c r="AS61" i="5"/>
  <c r="AN16" i="5"/>
  <c r="AK64" i="5"/>
  <c r="AM37" i="6"/>
  <c r="AB34" i="5"/>
  <c r="AF64" i="5"/>
  <c r="AJ49" i="5"/>
  <c r="AG46" i="5"/>
  <c r="AC82" i="6"/>
  <c r="AO58" i="6"/>
  <c r="AI85" i="5"/>
  <c r="AG7" i="6"/>
  <c r="AM79" i="5"/>
  <c r="AV10" i="6"/>
  <c r="AU82" i="5"/>
  <c r="AU7" i="6"/>
  <c r="AR25" i="5"/>
  <c r="AN7" i="6"/>
  <c r="AI10" i="5"/>
  <c r="Z79" i="6"/>
  <c r="AQ13" i="6"/>
  <c r="AF49" i="5"/>
  <c r="AE28" i="6"/>
  <c r="AZ55" i="6"/>
  <c r="AN94" i="6"/>
  <c r="AC52" i="5"/>
  <c r="R13" i="6"/>
  <c r="Z79" i="5"/>
  <c r="AC82" i="5"/>
  <c r="AZ70" i="5"/>
  <c r="AC85" i="5"/>
  <c r="AO67" i="5"/>
  <c r="AN94" i="5"/>
  <c r="AW40" i="5"/>
  <c r="AJ76" i="5"/>
  <c r="AR46" i="5"/>
  <c r="AH34" i="5"/>
  <c r="AQ43" i="5"/>
  <c r="AX85" i="5"/>
  <c r="AL61" i="6"/>
  <c r="AG13" i="5"/>
  <c r="AZ52" i="5"/>
  <c r="AL76" i="5"/>
  <c r="AI88" i="6"/>
  <c r="AK13" i="6"/>
  <c r="AR43" i="5"/>
  <c r="AH58" i="5"/>
  <c r="AG16" i="6"/>
  <c r="AK31" i="6"/>
  <c r="AW28" i="5"/>
  <c r="AM13" i="6"/>
  <c r="AY82" i="6"/>
  <c r="AO82" i="5"/>
  <c r="AB70" i="5"/>
  <c r="AX49" i="6"/>
  <c r="X28" i="6"/>
  <c r="AW52" i="6"/>
  <c r="AQ97" i="6"/>
  <c r="V40" i="6"/>
  <c r="AB88" i="5"/>
  <c r="AP19" i="6"/>
  <c r="AD46" i="5"/>
  <c r="AM34" i="6"/>
  <c r="Z25" i="5"/>
  <c r="AP91" i="6"/>
  <c r="AL70" i="5"/>
  <c r="AG22" i="5"/>
  <c r="AI64" i="6"/>
  <c r="AJ82" i="6"/>
  <c r="AR31" i="5"/>
  <c r="AR94" i="6"/>
  <c r="AV67" i="5"/>
  <c r="AV85" i="5"/>
  <c r="AZ10" i="5"/>
  <c r="Z91" i="6"/>
  <c r="AK76" i="6"/>
  <c r="AP76" i="5"/>
  <c r="AQ40" i="6"/>
  <c r="AM70" i="5"/>
  <c r="AT40" i="6"/>
  <c r="AS40" i="5"/>
  <c r="AL7" i="6"/>
  <c r="AU28" i="5"/>
  <c r="C10" i="6"/>
  <c r="AE13" i="5"/>
  <c r="AQ34" i="6"/>
  <c r="AP76" i="6"/>
  <c r="AE97" i="5"/>
  <c r="AJ91" i="6"/>
  <c r="AC79" i="6"/>
  <c r="AI70" i="6"/>
  <c r="AB31" i="5"/>
  <c r="AD7" i="6"/>
  <c r="AZ7" i="5"/>
  <c r="AQ31" i="6"/>
  <c r="AZ22" i="6"/>
  <c r="AU52" i="6"/>
  <c r="AX82" i="6"/>
  <c r="AW61" i="5"/>
  <c r="AO79" i="6"/>
  <c r="AD19" i="5"/>
  <c r="AP97" i="6"/>
  <c r="AZ97" i="5"/>
  <c r="C67" i="6"/>
  <c r="X55" i="6"/>
  <c r="AF70" i="6"/>
  <c r="AL22" i="6"/>
  <c r="Z61" i="5"/>
  <c r="AA25" i="5"/>
  <c r="AT76" i="6"/>
  <c r="Z7" i="6"/>
  <c r="Z37" i="6"/>
  <c r="AJ64" i="5"/>
  <c r="AE79" i="5"/>
  <c r="AI94" i="6"/>
  <c r="AM40" i="5"/>
  <c r="AK22" i="5"/>
  <c r="AO46" i="6"/>
  <c r="AB85" i="5"/>
  <c r="AH52" i="6"/>
  <c r="AO73" i="6"/>
  <c r="Z4" i="5"/>
  <c r="AR31" i="6"/>
  <c r="AD43" i="5"/>
  <c r="AI13" i="6"/>
  <c r="AN64" i="6"/>
  <c r="AH76" i="6"/>
  <c r="AX61" i="5"/>
  <c r="AS88" i="6"/>
  <c r="AU64" i="5"/>
  <c r="V64" i="6"/>
  <c r="AJ91" i="5"/>
  <c r="AL16" i="5"/>
  <c r="AW16" i="5"/>
  <c r="AL34" i="6"/>
  <c r="X16" i="6"/>
  <c r="AT91" i="6"/>
  <c r="AF70" i="5"/>
  <c r="AY88" i="6"/>
  <c r="AC37" i="6"/>
  <c r="AP10" i="5"/>
  <c r="AT67" i="5"/>
  <c r="AA82" i="5"/>
  <c r="V85" i="6"/>
  <c r="AK70" i="5"/>
  <c r="C25" i="5"/>
  <c r="AQ58" i="6"/>
  <c r="AA91" i="5"/>
  <c r="AZ88" i="6"/>
  <c r="AK16" i="5"/>
  <c r="AJ61" i="6"/>
  <c r="AM55" i="5"/>
  <c r="C31" i="5"/>
  <c r="Z34" i="6"/>
  <c r="C28" i="6"/>
  <c r="AG79" i="5"/>
  <c r="AQ28" i="5"/>
  <c r="AG19" i="5"/>
  <c r="AO7" i="5"/>
  <c r="C34" i="6"/>
  <c r="C22" i="5"/>
  <c r="C79" i="6"/>
  <c r="AT52" i="6"/>
  <c r="AW10" i="6"/>
  <c r="AF46" i="6"/>
  <c r="AD94" i="5"/>
  <c r="Z58" i="6"/>
  <c r="AN13" i="6"/>
  <c r="AY64" i="6"/>
  <c r="AH28" i="5"/>
  <c r="AP10" i="6"/>
  <c r="AT79" i="5"/>
  <c r="AP88" i="5"/>
  <c r="AH82" i="5"/>
  <c r="AN91" i="6"/>
  <c r="AD97" i="5"/>
  <c r="AR79" i="5"/>
  <c r="AT40" i="5"/>
  <c r="AO82" i="6"/>
  <c r="AD64" i="6"/>
  <c r="AO73" i="5"/>
  <c r="AT97" i="5"/>
  <c r="AV37" i="5"/>
  <c r="AN10" i="6"/>
  <c r="AC94" i="5"/>
  <c r="AG64" i="5"/>
  <c r="AH52" i="5"/>
  <c r="AF61" i="5"/>
  <c r="AC67" i="6"/>
  <c r="AJ25" i="5"/>
  <c r="AV88" i="5"/>
  <c r="AN67" i="6"/>
  <c r="AV55" i="5"/>
  <c r="C79" i="5"/>
  <c r="AK25" i="6"/>
  <c r="AC55" i="6"/>
  <c r="V61" i="6"/>
  <c r="AJ76" i="6"/>
  <c r="AC67" i="5"/>
  <c r="AB40" i="5"/>
  <c r="AG67" i="5"/>
  <c r="AF76" i="5"/>
  <c r="AM46" i="6"/>
  <c r="AM4" i="6"/>
  <c r="AC76" i="5"/>
  <c r="AK82" i="6"/>
  <c r="AO13" i="6"/>
  <c r="AU37" i="6"/>
  <c r="AF85" i="5"/>
  <c r="AE76" i="5"/>
  <c r="AU76" i="5"/>
  <c r="AD46" i="6"/>
  <c r="AH67" i="6"/>
  <c r="AK61" i="6"/>
  <c r="AX70" i="5"/>
  <c r="X79" i="6"/>
  <c r="AV52" i="5"/>
  <c r="R16" i="6"/>
  <c r="AF97" i="5"/>
  <c r="AV34" i="6"/>
  <c r="Z46" i="6"/>
  <c r="AR88" i="6"/>
  <c r="AC76" i="6"/>
  <c r="AH4" i="6"/>
  <c r="AJ67" i="6"/>
  <c r="AD49" i="5"/>
  <c r="AV52" i="6"/>
  <c r="V25" i="6"/>
  <c r="AU10" i="6"/>
  <c r="AI40" i="6"/>
  <c r="AI46" i="6"/>
  <c r="X13" i="6"/>
  <c r="AX43" i="6"/>
  <c r="AH94" i="6"/>
  <c r="AQ58" i="5"/>
  <c r="AL13" i="5"/>
  <c r="R10" i="6"/>
  <c r="AK61" i="5"/>
  <c r="AT70" i="5"/>
  <c r="AZ91" i="6"/>
  <c r="AA16" i="5"/>
  <c r="AV16" i="6"/>
  <c r="AV76" i="5"/>
  <c r="AP67" i="6"/>
  <c r="AK22" i="6"/>
  <c r="Z82" i="6"/>
  <c r="AF52" i="6"/>
  <c r="AK91" i="6"/>
  <c r="X82" i="6"/>
  <c r="AO13" i="5"/>
  <c r="AB55" i="5"/>
  <c r="R25" i="6"/>
  <c r="AH13" i="5"/>
  <c r="AN70" i="6"/>
  <c r="AQ49" i="5"/>
  <c r="C31" i="6"/>
  <c r="AQ85" i="5"/>
  <c r="AP49" i="6"/>
  <c r="AN82" i="5"/>
  <c r="AH49" i="5"/>
  <c r="AD34" i="6"/>
  <c r="AF94" i="5"/>
  <c r="AD94" i="6"/>
  <c r="R67" i="6"/>
  <c r="AX4" i="6"/>
  <c r="AM16" i="6"/>
  <c r="X88" i="6"/>
  <c r="AG52" i="5"/>
  <c r="AV94" i="6"/>
  <c r="AX67" i="6"/>
  <c r="AT94" i="5"/>
  <c r="AS94" i="6"/>
  <c r="AZ28" i="5"/>
  <c r="AT31" i="5"/>
  <c r="AM19" i="5"/>
  <c r="AS91" i="6"/>
  <c r="AU55" i="5"/>
  <c r="AC7" i="6"/>
  <c r="AP43" i="5"/>
  <c r="Z88" i="6"/>
  <c r="AK46" i="6"/>
  <c r="AU7" i="5"/>
  <c r="AZ79" i="6"/>
  <c r="AK16" i="6"/>
  <c r="AG25" i="5"/>
  <c r="V55" i="6"/>
  <c r="AD28" i="5"/>
  <c r="AI28" i="5"/>
  <c r="AW55" i="6"/>
  <c r="AE52" i="6"/>
  <c r="AJ43" i="6"/>
  <c r="AW43" i="6"/>
  <c r="AH76" i="5"/>
  <c r="AQ79" i="5"/>
  <c r="AB37" i="5"/>
  <c r="AW82" i="6"/>
  <c r="AW4" i="6"/>
  <c r="AR64" i="6"/>
  <c r="C7" i="6"/>
  <c r="AJ7" i="6"/>
  <c r="AH25" i="5"/>
  <c r="AR13" i="6"/>
  <c r="AS58" i="6"/>
  <c r="AK70" i="6"/>
  <c r="AS76" i="6"/>
  <c r="V7" i="6"/>
  <c r="AQ73" i="6"/>
  <c r="Z13" i="6"/>
  <c r="AW58" i="5"/>
  <c r="X31" i="6"/>
  <c r="AL31" i="5"/>
  <c r="AV13" i="5"/>
  <c r="AL55" i="5"/>
  <c r="Z40" i="6"/>
  <c r="AN73" i="6"/>
  <c r="AS46" i="6"/>
  <c r="AN4" i="6"/>
  <c r="AE25" i="5"/>
  <c r="AY10" i="6"/>
  <c r="AZ58" i="5"/>
  <c r="AH13" i="6"/>
  <c r="AU28" i="6"/>
  <c r="AH28" i="6"/>
  <c r="AS34" i="6"/>
  <c r="AQ55" i="6"/>
  <c r="AV82" i="6"/>
  <c r="AG22" i="6"/>
  <c r="X22" i="6"/>
  <c r="AV25" i="6"/>
  <c r="AD43" i="6"/>
  <c r="AE85" i="6"/>
  <c r="AX16" i="5"/>
  <c r="AA46" i="5"/>
  <c r="AH82" i="6"/>
  <c r="AM28" i="6"/>
  <c r="AU61" i="5"/>
  <c r="AT73" i="5"/>
  <c r="AC22" i="5"/>
  <c r="AB46" i="5"/>
  <c r="AW67" i="6"/>
  <c r="AJ34" i="6"/>
  <c r="AU94" i="5"/>
  <c r="AQ64" i="5"/>
  <c r="Z25" i="6"/>
  <c r="AU25" i="5"/>
  <c r="V88" i="6"/>
  <c r="AX4" i="5"/>
  <c r="AW31" i="5"/>
  <c r="AY70" i="6"/>
  <c r="AU58" i="6"/>
  <c r="AJ85" i="6"/>
  <c r="AD58" i="5"/>
  <c r="AX46" i="6"/>
  <c r="Z82" i="5"/>
  <c r="AO97" i="6"/>
  <c r="AM70" i="6"/>
  <c r="AE10" i="6"/>
  <c r="AQ7" i="6"/>
  <c r="AE16" i="6"/>
  <c r="AK10" i="6"/>
  <c r="AS91" i="5"/>
  <c r="Z64" i="5"/>
  <c r="AL82" i="5"/>
  <c r="AN19" i="5"/>
  <c r="AZ76" i="6"/>
  <c r="AI49" i="5"/>
  <c r="AQ70" i="6"/>
  <c r="AF91" i="5"/>
  <c r="AE46" i="5"/>
  <c r="AR25" i="6"/>
  <c r="AG46" i="6"/>
  <c r="AX31" i="5"/>
  <c r="AN58" i="5"/>
  <c r="AX70" i="6"/>
  <c r="AZ70" i="6"/>
  <c r="AL97" i="5"/>
  <c r="AW10" i="5"/>
  <c r="AQ94" i="5"/>
  <c r="AA49" i="5"/>
  <c r="AF22" i="5"/>
  <c r="AB97" i="5"/>
  <c r="AD22" i="5"/>
  <c r="AC97" i="5"/>
  <c r="AA55" i="5"/>
  <c r="AO61" i="5"/>
  <c r="AJ40" i="6"/>
  <c r="AC22" i="6"/>
  <c r="AI34" i="6"/>
  <c r="AP28" i="6"/>
  <c r="AU46" i="6"/>
  <c r="AV97" i="5"/>
  <c r="AX13" i="5"/>
  <c r="AB94" i="5"/>
  <c r="AF82" i="5"/>
  <c r="C58" i="5"/>
  <c r="AU85" i="5"/>
  <c r="AP46" i="5"/>
  <c r="AA85" i="5"/>
  <c r="AT43" i="5"/>
  <c r="AD67" i="6"/>
  <c r="AN58" i="6"/>
  <c r="AI82" i="5"/>
  <c r="AL13" i="6"/>
  <c r="AS52" i="5"/>
  <c r="AE7" i="5"/>
  <c r="AQ43" i="6"/>
  <c r="AI43" i="6"/>
  <c r="AR7" i="5"/>
  <c r="Z76" i="5"/>
  <c r="AI34" i="5"/>
  <c r="Z19" i="6"/>
  <c r="AD82" i="6"/>
  <c r="AT10" i="5"/>
  <c r="C73" i="5"/>
  <c r="AO76" i="6"/>
  <c r="AJ73" i="6"/>
  <c r="X67" i="6"/>
  <c r="AC16" i="5"/>
  <c r="AR49" i="5"/>
  <c r="AN22" i="6"/>
  <c r="AE25" i="6"/>
  <c r="AX37" i="6"/>
  <c r="AA79" i="5"/>
  <c r="AP91" i="5"/>
  <c r="AK97" i="6"/>
  <c r="AF67" i="5"/>
  <c r="AX82" i="5"/>
  <c r="AM22" i="5"/>
  <c r="AT64" i="6"/>
  <c r="C46" i="5"/>
  <c r="AN16" i="6"/>
  <c r="C4" i="5"/>
  <c r="AV40" i="6"/>
  <c r="AV31" i="6"/>
  <c r="AX73" i="6"/>
  <c r="AT61" i="6"/>
  <c r="AG19" i="6"/>
  <c r="AI91" i="5"/>
  <c r="AZ49" i="5"/>
  <c r="AT25" i="5"/>
  <c r="AJ34" i="5"/>
  <c r="AQ61" i="5"/>
  <c r="AE49" i="6"/>
  <c r="AR4" i="5"/>
  <c r="AR49" i="6"/>
  <c r="AC52" i="6"/>
  <c r="Z97" i="5"/>
  <c r="AW7" i="6"/>
  <c r="AB25" i="5"/>
  <c r="AF34" i="5"/>
  <c r="AJ31" i="5"/>
  <c r="AS7" i="5"/>
  <c r="AV79" i="6"/>
  <c r="AU34" i="6"/>
  <c r="AC46" i="6"/>
  <c r="AO67" i="6"/>
  <c r="AL4" i="6"/>
  <c r="AG88" i="5"/>
  <c r="AV91" i="6"/>
  <c r="Z34" i="5"/>
  <c r="AY16" i="6"/>
  <c r="AU73" i="6"/>
  <c r="AK58" i="6"/>
  <c r="AU34" i="5"/>
  <c r="R4" i="6"/>
  <c r="AD37" i="6"/>
  <c r="X91" i="6"/>
  <c r="AR85" i="6"/>
  <c r="AW37" i="6"/>
  <c r="AG94" i="5"/>
  <c r="AV61" i="6"/>
  <c r="AL19" i="5"/>
  <c r="AC28" i="5"/>
  <c r="AQ25" i="6"/>
  <c r="AH19" i="5"/>
  <c r="AO16" i="5"/>
  <c r="Z46" i="5"/>
  <c r="AH40" i="6"/>
  <c r="AV70" i="6"/>
  <c r="AC4" i="5"/>
  <c r="AH88" i="6"/>
  <c r="AW49" i="5"/>
  <c r="AD82" i="5"/>
  <c r="AN31" i="5"/>
  <c r="AW46" i="5"/>
  <c r="AI25" i="6"/>
  <c r="AZ91" i="5"/>
  <c r="V16" i="6"/>
  <c r="AE82" i="5"/>
  <c r="C73" i="6"/>
  <c r="AG34" i="6"/>
  <c r="AY49" i="6"/>
  <c r="AN19" i="6"/>
  <c r="AL88" i="5"/>
  <c r="C82" i="5"/>
  <c r="AP70" i="6"/>
  <c r="AK25" i="5"/>
  <c r="AR55" i="5"/>
  <c r="AY58" i="6"/>
  <c r="AT19" i="6"/>
  <c r="AK28" i="5"/>
  <c r="AH58" i="6"/>
  <c r="AL43" i="6"/>
  <c r="AO70" i="6"/>
  <c r="AP22" i="6"/>
  <c r="AR88" i="5"/>
  <c r="AQ25" i="5"/>
  <c r="AM73" i="5"/>
  <c r="AZ61" i="5"/>
  <c r="AF88" i="5"/>
  <c r="C43" i="6"/>
  <c r="AT34" i="5"/>
  <c r="AU55" i="6"/>
  <c r="AJ52" i="6"/>
  <c r="AZ13" i="6"/>
  <c r="AB61" i="5"/>
  <c r="AL67" i="6"/>
  <c r="AG31" i="5"/>
  <c r="AR43" i="6"/>
  <c r="Z52" i="6"/>
  <c r="AV10" i="5"/>
  <c r="AX79" i="6"/>
  <c r="AE76" i="6"/>
  <c r="AM79" i="6"/>
  <c r="R97" i="6"/>
  <c r="AV22" i="5"/>
  <c r="AG40" i="6"/>
  <c r="AI22" i="6"/>
  <c r="AG43" i="5"/>
  <c r="X4" i="6"/>
  <c r="AZ37" i="6"/>
  <c r="AC64" i="5"/>
  <c r="AM55" i="6"/>
  <c r="AO28" i="5"/>
  <c r="AP25" i="5"/>
  <c r="AZ7" i="6"/>
  <c r="AY73" i="6"/>
  <c r="AX76" i="5"/>
  <c r="AK4" i="5"/>
  <c r="AP85" i="5"/>
  <c r="AE4" i="5"/>
  <c r="AQ79" i="6"/>
  <c r="AU4" i="5"/>
  <c r="AB22" i="5"/>
  <c r="AA43" i="5"/>
  <c r="AM97" i="5"/>
  <c r="AA73" i="5"/>
  <c r="AM10" i="6"/>
  <c r="AT28" i="6"/>
  <c r="AK52" i="5"/>
  <c r="AV46" i="6"/>
  <c r="V10" i="6"/>
  <c r="AI52" i="5"/>
  <c r="AS73" i="6"/>
  <c r="AP85" i="6"/>
  <c r="AV64" i="6"/>
  <c r="AY79" i="6"/>
  <c r="Z43" i="6"/>
  <c r="AP25" i="6"/>
  <c r="Z94" i="6"/>
  <c r="AQ67" i="5"/>
  <c r="AP82" i="6"/>
  <c r="AW67" i="5"/>
  <c r="C7" i="5"/>
  <c r="R40" i="6"/>
  <c r="AQ94" i="6"/>
  <c r="AE70" i="6"/>
  <c r="AU40" i="5"/>
  <c r="AK82" i="5"/>
  <c r="AV73" i="6"/>
  <c r="AF31" i="6"/>
  <c r="AO64" i="5"/>
  <c r="AI4" i="6"/>
  <c r="C13" i="6"/>
  <c r="C97" i="6"/>
  <c r="AW85" i="6"/>
  <c r="AZ37" i="5"/>
  <c r="AN43" i="5"/>
  <c r="AO94" i="6"/>
  <c r="X97" i="6"/>
  <c r="AI58" i="5"/>
  <c r="AT7" i="6"/>
  <c r="C55" i="6"/>
  <c r="AE82" i="6"/>
  <c r="AR70" i="5"/>
  <c r="AR55" i="6"/>
  <c r="AR76" i="6"/>
  <c r="AN67" i="5"/>
  <c r="AB64" i="5"/>
  <c r="AP73" i="6"/>
  <c r="AO91" i="6"/>
  <c r="AU22" i="6"/>
  <c r="AK79" i="6"/>
  <c r="Z85" i="6"/>
  <c r="AW97" i="5"/>
  <c r="AF55" i="5"/>
  <c r="Z91" i="5"/>
  <c r="AB10" i="5"/>
  <c r="AY34" i="6"/>
  <c r="AJ70" i="6"/>
  <c r="V82" i="6"/>
  <c r="V52" i="6"/>
  <c r="AL58" i="5"/>
  <c r="AD10" i="5"/>
  <c r="AA37" i="5"/>
  <c r="AH64" i="5"/>
  <c r="AL67" i="5"/>
  <c r="AY43" i="6"/>
  <c r="Z76" i="6"/>
  <c r="AH34" i="6"/>
  <c r="AV91" i="5"/>
  <c r="AH61" i="5"/>
  <c r="AA94" i="5"/>
  <c r="AG76" i="5"/>
  <c r="AT49" i="5"/>
  <c r="AF22" i="6"/>
  <c r="AO94" i="5"/>
  <c r="AZ61" i="6"/>
  <c r="AD55" i="6"/>
  <c r="AM85" i="5"/>
  <c r="AK58" i="5"/>
  <c r="AS55" i="5"/>
  <c r="AM7" i="6"/>
  <c r="AX55" i="6"/>
  <c r="AY76" i="6"/>
  <c r="AN49" i="5"/>
  <c r="AE73" i="5"/>
  <c r="AY40" i="6"/>
  <c r="AE49" i="5"/>
  <c r="AT25" i="6"/>
  <c r="AS52" i="6"/>
  <c r="AW64" i="6"/>
  <c r="AM10" i="5"/>
  <c r="AL40" i="5"/>
  <c r="AL79" i="5"/>
  <c r="AH97" i="6"/>
  <c r="AJ73" i="5"/>
  <c r="AL49" i="5"/>
  <c r="AB13" i="5"/>
  <c r="AJ28" i="6"/>
  <c r="AQ10" i="5"/>
  <c r="AW97" i="6"/>
  <c r="AJ10" i="6"/>
  <c r="AF82" i="6"/>
  <c r="AY19" i="6"/>
  <c r="AH46" i="5"/>
  <c r="AH70" i="5"/>
  <c r="AJ10" i="5"/>
  <c r="AM31" i="6"/>
  <c r="AU46" i="5"/>
  <c r="AE13" i="6"/>
  <c r="AI67" i="6"/>
  <c r="AC34" i="5"/>
  <c r="AQ49" i="6"/>
  <c r="AM52" i="5"/>
  <c r="AJ85" i="5"/>
  <c r="AZ4" i="5"/>
  <c r="AR28" i="6"/>
  <c r="AD52" i="5"/>
  <c r="AW64" i="5"/>
  <c r="AS67" i="6"/>
  <c r="AR28" i="5"/>
  <c r="AG91" i="5"/>
  <c r="AW73" i="6"/>
  <c r="AN82" i="6"/>
  <c r="AF73" i="6"/>
  <c r="AM85" i="6"/>
  <c r="AC28" i="6"/>
  <c r="AZ94" i="6"/>
  <c r="AJ70" i="5"/>
  <c r="AU43" i="5"/>
  <c r="AQ76" i="5"/>
  <c r="V91" i="6"/>
  <c r="AS16" i="5"/>
  <c r="AL25" i="5"/>
  <c r="AM58" i="5"/>
  <c r="AV49" i="6"/>
  <c r="AC4" i="6"/>
  <c r="AR97" i="6"/>
  <c r="AS43" i="6"/>
  <c r="AK67" i="6"/>
  <c r="AE94" i="5"/>
  <c r="AT13" i="6"/>
  <c r="AI97" i="6"/>
  <c r="Z43" i="5"/>
  <c r="AM31" i="5"/>
  <c r="AC46" i="5"/>
  <c r="C46" i="6"/>
  <c r="AE97" i="6"/>
  <c r="AT82" i="5"/>
  <c r="AS7" i="6"/>
  <c r="AW70" i="5"/>
  <c r="AI43" i="5"/>
  <c r="AD22" i="6"/>
  <c r="AP16" i="5"/>
  <c r="AC91" i="6"/>
  <c r="AC16" i="6"/>
  <c r="AS13" i="6"/>
  <c r="AI73" i="5"/>
  <c r="AQ64" i="6"/>
  <c r="C19" i="6"/>
  <c r="AG88" i="6"/>
  <c r="AH40" i="5"/>
  <c r="AG37" i="5"/>
  <c r="AK7" i="5"/>
  <c r="AX37" i="5"/>
  <c r="AV70" i="5"/>
  <c r="C91" i="5"/>
  <c r="AV82" i="5"/>
  <c r="AW94" i="5"/>
  <c r="AZ34" i="6"/>
  <c r="V19" i="6"/>
  <c r="AL52" i="5"/>
  <c r="AG97" i="5"/>
  <c r="AL52" i="6"/>
  <c r="AR79" i="6"/>
  <c r="AC49" i="5"/>
  <c r="AU10" i="5"/>
  <c r="C4" i="6"/>
  <c r="AR85" i="5"/>
  <c r="AQ70" i="5"/>
  <c r="AF67" i="6"/>
  <c r="AK85" i="6"/>
  <c r="AW16" i="6"/>
  <c r="AJ55" i="5"/>
  <c r="AV58" i="5"/>
  <c r="AZ64" i="6"/>
  <c r="AX58" i="5"/>
  <c r="AE28" i="5"/>
  <c r="AE10" i="5"/>
  <c r="AU76" i="6"/>
  <c r="C64" i="6"/>
  <c r="AL46" i="5"/>
  <c r="C16" i="6"/>
  <c r="V4" i="6"/>
  <c r="AP40" i="5"/>
  <c r="AZ16" i="5"/>
  <c r="AJ64" i="6"/>
  <c r="AQ19" i="6"/>
  <c r="R85" i="6"/>
  <c r="AF49" i="6"/>
  <c r="AD88" i="6"/>
  <c r="AU91" i="5"/>
  <c r="AP79" i="5"/>
  <c r="AN28" i="6"/>
  <c r="AK34" i="5"/>
  <c r="AF79" i="5"/>
  <c r="AC43" i="6"/>
  <c r="AF61" i="6"/>
  <c r="AH61" i="6"/>
  <c r="AU61" i="6"/>
  <c r="AQ82" i="5"/>
  <c r="AS19" i="5"/>
  <c r="AP58" i="5"/>
  <c r="C52" i="5"/>
  <c r="AL7" i="5"/>
  <c r="AJ37" i="6"/>
  <c r="AR37" i="6"/>
  <c r="Z73" i="6"/>
  <c r="AE58" i="5"/>
  <c r="AX58" i="6"/>
  <c r="AE31" i="5"/>
  <c r="AS16" i="6"/>
  <c r="Z58" i="5"/>
  <c r="AJ40" i="5"/>
  <c r="AK49" i="6"/>
  <c r="AJ88" i="6"/>
  <c r="AT58" i="6"/>
  <c r="AG52" i="6"/>
  <c r="AQ91" i="6"/>
  <c r="AN88" i="6"/>
  <c r="AJ4" i="5"/>
  <c r="AS49" i="5"/>
  <c r="AG55" i="6"/>
  <c r="AX28" i="6"/>
  <c r="AE34" i="5"/>
  <c r="AV97" i="6"/>
  <c r="AX94" i="6"/>
  <c r="AI55" i="6"/>
  <c r="AQ34" i="5"/>
  <c r="AP79" i="6"/>
  <c r="Z85" i="5"/>
  <c r="X73" i="6"/>
  <c r="AI97" i="5"/>
  <c r="AV64" i="5"/>
  <c r="AI19" i="6"/>
  <c r="AK13" i="5"/>
  <c r="AG43" i="6"/>
  <c r="AU52" i="5"/>
  <c r="AH31" i="5"/>
  <c r="AS10" i="5"/>
  <c r="AQ46" i="6"/>
  <c r="AP7" i="6"/>
  <c r="R31" i="6"/>
  <c r="AW79" i="6"/>
  <c r="AI79" i="6"/>
  <c r="AS31" i="6"/>
  <c r="AQ16" i="5"/>
  <c r="AS25" i="5"/>
  <c r="AH64" i="6"/>
  <c r="AP64" i="6"/>
  <c r="AC70" i="6"/>
  <c r="AB16" i="5"/>
  <c r="AO4" i="6"/>
  <c r="Z4" i="6"/>
  <c r="AG76" i="6"/>
  <c r="AP4" i="5"/>
  <c r="AI13" i="5"/>
  <c r="AW28" i="6"/>
  <c r="AJ82" i="5"/>
  <c r="C94" i="5"/>
  <c r="AR52" i="5"/>
  <c r="AI52" i="6"/>
  <c r="AZ34" i="5"/>
  <c r="AX43" i="5"/>
  <c r="AV28" i="6"/>
  <c r="AV16" i="5"/>
  <c r="AH91" i="5"/>
  <c r="AT28" i="5"/>
  <c r="AW55" i="5"/>
  <c r="AP94" i="5"/>
  <c r="C70" i="6"/>
  <c r="AH91" i="6"/>
  <c r="AK40" i="6"/>
  <c r="AF4" i="6"/>
  <c r="R37" i="6"/>
  <c r="V97" i="6"/>
  <c r="AE52" i="5"/>
  <c r="AO37" i="6"/>
  <c r="AD91" i="5"/>
  <c r="AU82" i="6"/>
  <c r="AT85" i="5"/>
  <c r="AE46" i="6"/>
  <c r="AZ40" i="5"/>
  <c r="AW52" i="5"/>
  <c r="C16" i="5"/>
  <c r="AH22" i="6"/>
  <c r="AM49" i="5"/>
  <c r="AT4" i="6"/>
  <c r="AS4" i="6"/>
  <c r="AT34" i="6"/>
  <c r="AR94" i="5"/>
  <c r="AV37" i="6"/>
  <c r="AN85" i="6"/>
  <c r="AG55" i="5"/>
  <c r="Z28" i="5"/>
  <c r="AS61" i="6"/>
  <c r="AX19" i="5"/>
  <c r="AG16" i="5"/>
  <c r="AQ13" i="5"/>
  <c r="AW25" i="6"/>
  <c r="AD73" i="5"/>
  <c r="C64" i="5"/>
  <c r="AP99" i="6" l="1"/>
  <c r="D76" i="6"/>
  <c r="D58" i="6"/>
  <c r="D64" i="5"/>
  <c r="AS99" i="6"/>
  <c r="AT99" i="6"/>
  <c r="D16" i="5"/>
  <c r="AF99" i="6"/>
  <c r="D70" i="6"/>
  <c r="D94" i="5"/>
  <c r="AP99" i="5"/>
  <c r="Z99" i="6"/>
  <c r="K33" i="1" s="1"/>
  <c r="D33" i="1" s="1"/>
  <c r="AJ99" i="5"/>
  <c r="D52" i="5"/>
  <c r="D64" i="6"/>
  <c r="C100" i="6"/>
  <c r="D4" i="6"/>
  <c r="D46" i="6"/>
  <c r="AZ99" i="5"/>
  <c r="D55" i="6"/>
  <c r="D97" i="6"/>
  <c r="AI99" i="6"/>
  <c r="AU99" i="5"/>
  <c r="AE99" i="5"/>
  <c r="AK99" i="5"/>
  <c r="D43" i="6"/>
  <c r="D82" i="5"/>
  <c r="D73" i="6"/>
  <c r="AR99" i="5"/>
  <c r="AL99" i="6"/>
  <c r="C100" i="5"/>
  <c r="D4" i="5"/>
  <c r="D73" i="5"/>
  <c r="D58" i="5"/>
  <c r="AX99" i="5"/>
  <c r="AN99" i="6"/>
  <c r="AX99" i="6"/>
  <c r="AH99" i="6"/>
  <c r="D79" i="5"/>
  <c r="D79" i="6"/>
  <c r="D28" i="6"/>
  <c r="D31" i="5"/>
  <c r="D25" i="5"/>
  <c r="D67" i="6"/>
  <c r="D10" i="6"/>
  <c r="D34" i="5"/>
  <c r="D28" i="5"/>
  <c r="D49" i="6"/>
  <c r="D91" i="6"/>
  <c r="AA99" i="5"/>
  <c r="AB99" i="5"/>
  <c r="AQ99" i="5"/>
  <c r="D49" i="5"/>
  <c r="D82" i="6"/>
  <c r="AG99" i="5"/>
  <c r="AD99" i="6"/>
  <c r="AV99" i="6"/>
  <c r="AQ99" i="6"/>
  <c r="AF99" i="5"/>
  <c r="D97" i="5"/>
  <c r="D25" i="6"/>
  <c r="D67" i="5"/>
  <c r="D43" i="5"/>
  <c r="D19" i="5"/>
  <c r="AH99" i="5"/>
  <c r="D52" i="6"/>
  <c r="AK99" i="6"/>
  <c r="AG99" i="6"/>
  <c r="AE99" i="6"/>
  <c r="D13" i="5"/>
  <c r="D37" i="6"/>
  <c r="AM99" i="5"/>
  <c r="D76" i="5"/>
  <c r="D10" i="5"/>
  <c r="D37" i="5"/>
  <c r="D40" i="5"/>
  <c r="AN99" i="5"/>
  <c r="D94" i="6"/>
  <c r="AS99" i="5"/>
  <c r="AL99" i="5"/>
  <c r="D85" i="5"/>
  <c r="AD99" i="5"/>
  <c r="AR99" i="6"/>
  <c r="D88" i="5"/>
  <c r="AV99" i="5"/>
  <c r="D100" i="5"/>
  <c r="D100" i="6"/>
  <c r="AW34" i="6"/>
  <c r="AJ31" i="6"/>
  <c r="AC61" i="6"/>
  <c r="Z22" i="5"/>
  <c r="AW91" i="5"/>
  <c r="AU88" i="6"/>
  <c r="AC7" i="5"/>
  <c r="AM22" i="6"/>
  <c r="AC40" i="6"/>
  <c r="AO70" i="5"/>
  <c r="AT61" i="5"/>
  <c r="AJ16" i="6"/>
  <c r="V13" i="6"/>
  <c r="AI55" i="5"/>
  <c r="AY31" i="6"/>
  <c r="R7" i="6"/>
  <c r="AZ16" i="6"/>
  <c r="X19" i="6"/>
  <c r="AO46" i="5"/>
  <c r="AO85" i="6"/>
  <c r="D85" i="6" l="1"/>
  <c r="AO99" i="6"/>
  <c r="D46" i="5"/>
  <c r="AO99" i="5"/>
  <c r="X99" i="6"/>
  <c r="K30" i="1" s="1"/>
  <c r="D30" i="1" s="1"/>
  <c r="D19" i="6"/>
  <c r="AZ99" i="6"/>
  <c r="L38" i="11"/>
  <c r="AF71" i="11"/>
  <c r="O93" i="11"/>
  <c r="K82" i="11"/>
  <c r="AB148" i="11"/>
  <c r="M60" i="11"/>
  <c r="V170" i="11"/>
  <c r="AH60" i="11"/>
  <c r="E159" i="11"/>
  <c r="U126" i="11"/>
  <c r="AG38" i="11"/>
  <c r="U27" i="11"/>
  <c r="E49" i="11"/>
  <c r="J126" i="11"/>
  <c r="S60" i="11"/>
  <c r="I137" i="11"/>
  <c r="AN115" i="11"/>
  <c r="AJ82" i="11"/>
  <c r="AF137" i="11"/>
  <c r="AE170" i="11"/>
  <c r="AM49" i="11"/>
  <c r="O60" i="11"/>
  <c r="AQ148" i="11"/>
  <c r="F137" i="11"/>
  <c r="L27" i="11"/>
  <c r="AF148" i="11"/>
  <c r="R5" i="11"/>
  <c r="Q137" i="11"/>
  <c r="K38" i="11"/>
  <c r="C38" i="11"/>
  <c r="J16" i="11"/>
  <c r="AF49" i="11"/>
  <c r="G148" i="11"/>
  <c r="J5" i="11"/>
  <c r="G82" i="11"/>
  <c r="AI126" i="11"/>
  <c r="AB137" i="11"/>
  <c r="AE115" i="11"/>
  <c r="AI148" i="11"/>
  <c r="AB104" i="11"/>
  <c r="E104" i="11"/>
  <c r="F60" i="11"/>
  <c r="AE38" i="11"/>
  <c r="O126" i="11"/>
  <c r="H126" i="11"/>
  <c r="S71" i="11"/>
  <c r="AA38" i="11"/>
  <c r="R115" i="11"/>
  <c r="J170" i="11"/>
  <c r="H82" i="11"/>
  <c r="AD137" i="11"/>
  <c r="G38" i="11"/>
  <c r="AM82" i="11"/>
  <c r="AJ126" i="11"/>
  <c r="AD170" i="11"/>
  <c r="AA27" i="11"/>
  <c r="K104" i="11"/>
  <c r="G71" i="11"/>
  <c r="E60" i="11"/>
  <c r="AC71" i="11"/>
  <c r="AN49" i="11"/>
  <c r="T137" i="11"/>
  <c r="AF60" i="11"/>
  <c r="AM104" i="11"/>
  <c r="N82" i="11"/>
  <c r="AF82" i="11"/>
  <c r="H60" i="11"/>
  <c r="AR71" i="11"/>
  <c r="AQ82" i="11"/>
  <c r="X82" i="11"/>
  <c r="F27" i="11"/>
  <c r="AM148" i="11"/>
  <c r="S159" i="11"/>
  <c r="AG170" i="11"/>
  <c r="AB71" i="11"/>
  <c r="C49" i="11"/>
  <c r="AO16" i="11"/>
  <c r="T148" i="11"/>
  <c r="AR126" i="11"/>
  <c r="K137" i="11"/>
  <c r="Q126" i="11"/>
  <c r="AN27" i="11"/>
  <c r="AB16" i="11"/>
  <c r="AO170" i="11"/>
  <c r="W27" i="11"/>
  <c r="X115" i="11"/>
  <c r="AH5" i="11"/>
  <c r="H148" i="11"/>
  <c r="AJ170" i="11"/>
  <c r="AM115" i="11"/>
  <c r="AR60" i="11"/>
  <c r="S16" i="11"/>
  <c r="AP27" i="11"/>
  <c r="X170" i="11"/>
  <c r="AD16" i="11"/>
  <c r="R148" i="11"/>
  <c r="H93" i="11"/>
  <c r="Y93" i="11"/>
  <c r="AN148" i="11"/>
  <c r="X38" i="11"/>
  <c r="Z71" i="11"/>
  <c r="AI27" i="11"/>
  <c r="Y137" i="11"/>
  <c r="U148" i="11"/>
  <c r="D170" i="11"/>
  <c r="AG148" i="11"/>
  <c r="N49" i="11"/>
  <c r="AH93" i="11"/>
  <c r="C126" i="11"/>
  <c r="I104" i="11"/>
  <c r="U82" i="11"/>
  <c r="S93" i="11"/>
  <c r="AH16" i="11"/>
  <c r="AF104" i="11"/>
  <c r="AN16" i="11"/>
  <c r="AB60" i="11"/>
  <c r="U115" i="11"/>
  <c r="L93" i="11"/>
  <c r="R71" i="11"/>
  <c r="AD82" i="11"/>
  <c r="M115" i="11"/>
  <c r="V71" i="11"/>
  <c r="T60" i="11"/>
  <c r="AL115" i="11"/>
  <c r="X148" i="11"/>
  <c r="N60" i="11"/>
  <c r="G60" i="11"/>
  <c r="L148" i="11"/>
  <c r="AC49" i="11"/>
  <c r="Z5" i="11"/>
  <c r="I49" i="11"/>
  <c r="Z148" i="11"/>
  <c r="L159" i="11"/>
  <c r="R60" i="11"/>
  <c r="F148" i="11"/>
  <c r="AB82" i="11"/>
  <c r="U137" i="11"/>
  <c r="Y104" i="11"/>
  <c r="E93" i="11"/>
  <c r="D38" i="11"/>
  <c r="AI82" i="11"/>
  <c r="H115" i="11"/>
  <c r="AC82" i="11"/>
  <c r="AG60" i="11"/>
  <c r="O27" i="11"/>
  <c r="I27" i="11"/>
  <c r="C71" i="11"/>
  <c r="AA148" i="11"/>
  <c r="N159" i="11"/>
  <c r="Y38" i="11"/>
  <c r="C104" i="11"/>
  <c r="AL137" i="11"/>
  <c r="AG104" i="11"/>
  <c r="F82" i="11"/>
  <c r="J104" i="11"/>
  <c r="AF38" i="11"/>
  <c r="AH49" i="11"/>
  <c r="M16" i="11"/>
  <c r="AO38" i="11"/>
  <c r="J148" i="11"/>
  <c r="D126" i="11"/>
  <c r="O82" i="11"/>
  <c r="P16" i="11"/>
  <c r="AM71" i="11"/>
  <c r="V148" i="11"/>
  <c r="AJ71" i="11"/>
  <c r="AL71" i="11"/>
  <c r="K71" i="11"/>
  <c r="K159" i="11"/>
  <c r="AP93" i="11"/>
  <c r="I93" i="11"/>
  <c r="Y16" i="11"/>
  <c r="X5" i="11"/>
  <c r="I5" i="11"/>
  <c r="D60" i="11"/>
  <c r="V126" i="11"/>
  <c r="I170" i="11"/>
  <c r="AN60" i="11"/>
  <c r="V27" i="11"/>
  <c r="R126" i="11"/>
  <c r="AG27" i="11"/>
  <c r="AQ27" i="11"/>
  <c r="P137" i="11"/>
  <c r="K60" i="11"/>
  <c r="AA49" i="11"/>
  <c r="S115" i="11"/>
  <c r="P82" i="11"/>
  <c r="M27" i="11"/>
  <c r="AR16" i="11"/>
  <c r="X27" i="11"/>
  <c r="Q104" i="11"/>
  <c r="Z27" i="11"/>
  <c r="Z60" i="11"/>
  <c r="AQ93" i="11"/>
  <c r="U170" i="11"/>
  <c r="Q170" i="11"/>
  <c r="O115" i="11"/>
  <c r="W137" i="11"/>
  <c r="AR5" i="11"/>
  <c r="R137" i="11"/>
  <c r="O5" i="11"/>
  <c r="I38" i="11"/>
  <c r="K170" i="11"/>
  <c r="S148" i="11"/>
  <c r="G16" i="11"/>
  <c r="O49" i="11"/>
  <c r="AF126" i="11"/>
  <c r="F126" i="11"/>
  <c r="M49" i="11"/>
  <c r="W82" i="11"/>
  <c r="W159" i="11"/>
  <c r="P115" i="11"/>
  <c r="AH159" i="11"/>
  <c r="AQ159" i="11"/>
  <c r="Z115" i="11"/>
  <c r="W60" i="11"/>
  <c r="AN82" i="11"/>
  <c r="AR137" i="11"/>
  <c r="K148" i="11"/>
  <c r="Y170" i="11"/>
  <c r="S38" i="11"/>
  <c r="Y49" i="11"/>
  <c r="V5" i="11"/>
  <c r="H104" i="11"/>
  <c r="AO71" i="11"/>
  <c r="AB38" i="11"/>
  <c r="AF27" i="11"/>
  <c r="C60" i="11"/>
  <c r="R82" i="11"/>
  <c r="H16" i="11"/>
  <c r="T49" i="11"/>
  <c r="N5" i="11"/>
  <c r="D82" i="11"/>
  <c r="AA115" i="11"/>
  <c r="AJ159" i="11"/>
  <c r="AQ104" i="11"/>
  <c r="AE49" i="11"/>
  <c r="AC93" i="11"/>
  <c r="R16" i="11"/>
  <c r="AL38" i="11"/>
  <c r="S49" i="11"/>
  <c r="P38" i="11"/>
  <c r="AH137" i="11"/>
  <c r="O71" i="11"/>
  <c r="O148" i="11"/>
  <c r="S82" i="11"/>
  <c r="AG16" i="11"/>
  <c r="L137" i="11"/>
  <c r="AE93" i="11"/>
  <c r="K115" i="11"/>
  <c r="L60" i="11"/>
  <c r="AJ148" i="11"/>
  <c r="AK27" i="11"/>
  <c r="AI159" i="11"/>
  <c r="V60" i="11"/>
  <c r="O104" i="11"/>
  <c r="Y71" i="11"/>
  <c r="Z49" i="11"/>
  <c r="AR93" i="11"/>
  <c r="T27" i="11"/>
  <c r="AL93" i="11"/>
  <c r="AQ126" i="11"/>
  <c r="P27" i="11"/>
  <c r="Q49" i="11"/>
  <c r="G49" i="11"/>
  <c r="Z16" i="11"/>
  <c r="AH38" i="11"/>
  <c r="AK170" i="11"/>
  <c r="X137" i="11"/>
  <c r="AM60" i="11"/>
  <c r="AJ60" i="11"/>
  <c r="AI104" i="11"/>
  <c r="G5" i="11"/>
  <c r="AF5" i="11"/>
  <c r="C93" i="11"/>
  <c r="AL82" i="11"/>
  <c r="AA60" i="11"/>
  <c r="J27" i="11"/>
  <c r="V82" i="11"/>
  <c r="L5" i="11"/>
  <c r="AK148" i="11"/>
  <c r="AH104" i="11"/>
  <c r="L49" i="11"/>
  <c r="E71" i="11"/>
  <c r="K5" i="11"/>
  <c r="AL159" i="11"/>
  <c r="C115" i="11"/>
  <c r="AE71" i="11"/>
  <c r="AL5" i="11"/>
  <c r="Y159" i="11"/>
  <c r="T104" i="11"/>
  <c r="AQ137" i="11"/>
  <c r="AE104" i="11"/>
  <c r="AK82" i="11"/>
  <c r="AN137" i="11"/>
  <c r="AN5" i="11"/>
  <c r="AF159" i="11"/>
  <c r="X71" i="11"/>
  <c r="AE5" i="11"/>
  <c r="Q82" i="11"/>
  <c r="V16" i="11"/>
  <c r="Q148" i="11"/>
  <c r="AI71" i="11"/>
  <c r="W38" i="11"/>
  <c r="C148" i="11"/>
  <c r="V38" i="11"/>
  <c r="AH126" i="11"/>
  <c r="AP126" i="11"/>
  <c r="AP38" i="11"/>
  <c r="H170" i="11"/>
  <c r="O137" i="11"/>
  <c r="AA126" i="11"/>
  <c r="G126" i="11"/>
  <c r="G115" i="11"/>
  <c r="AA16" i="11"/>
  <c r="K93" i="11"/>
  <c r="C5" i="11"/>
  <c r="AJ49" i="11"/>
  <c r="N126" i="11"/>
  <c r="AF170" i="11"/>
  <c r="F93" i="11"/>
  <c r="X49" i="11"/>
  <c r="AH115" i="11"/>
  <c r="AB126" i="11"/>
  <c r="D5" i="11"/>
  <c r="L82" i="11"/>
  <c r="M38" i="11"/>
  <c r="AG126" i="11"/>
  <c r="N93" i="11"/>
  <c r="M104" i="11"/>
  <c r="AQ5" i="11"/>
  <c r="M148" i="11"/>
  <c r="AO93" i="11"/>
  <c r="AR148" i="11"/>
  <c r="U93" i="11"/>
  <c r="D137" i="11"/>
  <c r="AB159" i="11"/>
  <c r="AC159" i="11"/>
  <c r="AI115" i="11"/>
  <c r="AJ115" i="11"/>
  <c r="Z38" i="11"/>
  <c r="Z82" i="11"/>
  <c r="AB49" i="11"/>
  <c r="F49" i="11"/>
  <c r="AD126" i="11"/>
  <c r="AP5" i="11"/>
  <c r="M71" i="11"/>
  <c r="O170" i="11"/>
  <c r="H159" i="11"/>
  <c r="AR82" i="11"/>
  <c r="U71" i="11"/>
  <c r="AN104" i="11"/>
  <c r="W170" i="11"/>
  <c r="AJ137" i="11"/>
  <c r="AD159" i="11"/>
  <c r="AO159" i="11"/>
  <c r="R170" i="11"/>
  <c r="K126" i="11"/>
  <c r="U49" i="11"/>
  <c r="AO60" i="11"/>
  <c r="AA82" i="11"/>
  <c r="AD93" i="11"/>
  <c r="AQ16" i="11"/>
  <c r="Z159" i="11"/>
  <c r="D104" i="11"/>
  <c r="AR104" i="11"/>
  <c r="Z126" i="11"/>
  <c r="AO82" i="11"/>
  <c r="AR49" i="11"/>
  <c r="E170" i="11"/>
  <c r="J60" i="11"/>
  <c r="AM27" i="11"/>
  <c r="AP159" i="11"/>
  <c r="Q5" i="11"/>
  <c r="F159" i="11"/>
  <c r="AL27" i="11"/>
  <c r="AJ38" i="11"/>
  <c r="AB27" i="11"/>
  <c r="T126" i="11"/>
  <c r="Z170" i="11"/>
  <c r="T93" i="11"/>
  <c r="P60" i="11"/>
  <c r="N38" i="11"/>
  <c r="E126" i="11"/>
  <c r="T159" i="11"/>
  <c r="AP148" i="11"/>
  <c r="K27" i="11"/>
  <c r="AB115" i="11"/>
  <c r="W104" i="11"/>
  <c r="L170" i="11"/>
  <c r="AE16" i="11"/>
  <c r="Y5" i="11"/>
  <c r="Y60" i="11"/>
  <c r="P170" i="11"/>
  <c r="AM137" i="11"/>
  <c r="D115" i="11"/>
  <c r="AE137" i="11"/>
  <c r="M159" i="11"/>
  <c r="AG159" i="11"/>
  <c r="G159" i="11"/>
  <c r="AH71" i="11"/>
  <c r="W93" i="11"/>
  <c r="I159" i="11"/>
  <c r="M137" i="11"/>
  <c r="G170" i="11"/>
  <c r="AK71" i="11"/>
  <c r="AB5" i="11"/>
  <c r="Z104" i="11"/>
  <c r="H27" i="11"/>
  <c r="C159" i="11"/>
  <c r="AO137" i="11"/>
  <c r="AK104" i="11"/>
  <c r="W148" i="11"/>
  <c r="AE148" i="11"/>
  <c r="AF115" i="11"/>
  <c r="AG115" i="11"/>
  <c r="AO49" i="11"/>
  <c r="D148" i="11"/>
  <c r="G137" i="11"/>
  <c r="AP104" i="11"/>
  <c r="R49" i="11"/>
  <c r="AO126" i="11"/>
  <c r="AL104" i="11"/>
  <c r="U159" i="11"/>
  <c r="D93" i="11"/>
  <c r="AJ5" i="11"/>
  <c r="AH170" i="11"/>
  <c r="N148" i="11"/>
  <c r="W5" i="11"/>
  <c r="AE159" i="11"/>
  <c r="AQ115" i="11"/>
  <c r="AH27" i="11"/>
  <c r="J93" i="11"/>
  <c r="AP16" i="11"/>
  <c r="D159" i="11"/>
  <c r="AK93" i="11"/>
  <c r="N104" i="11"/>
  <c r="AN71" i="11"/>
  <c r="AM5" i="11"/>
  <c r="H137" i="11"/>
  <c r="AM93" i="11"/>
  <c r="F71" i="11"/>
  <c r="AD71" i="11"/>
  <c r="V137" i="11"/>
  <c r="AM126" i="11"/>
  <c r="AJ93" i="11"/>
  <c r="E5" i="11"/>
  <c r="Q38" i="11"/>
  <c r="J82" i="11"/>
  <c r="AE82" i="11"/>
  <c r="E27" i="11"/>
  <c r="AG82" i="11"/>
  <c r="AJ16" i="11"/>
  <c r="AI170" i="11"/>
  <c r="X60" i="11"/>
  <c r="AL60" i="11"/>
  <c r="AC60" i="11"/>
  <c r="R38" i="11"/>
  <c r="W16" i="11"/>
  <c r="S5" i="11"/>
  <c r="R104" i="11"/>
  <c r="E38" i="11"/>
  <c r="AI5" i="11"/>
  <c r="AP60" i="11"/>
  <c r="Y82" i="11"/>
  <c r="Y27" i="11"/>
  <c r="AP71" i="11"/>
  <c r="AP137" i="11"/>
  <c r="AG5" i="11"/>
  <c r="AR159" i="11"/>
  <c r="N16" i="11"/>
  <c r="AN93" i="11"/>
  <c r="F115" i="11"/>
  <c r="F170" i="11"/>
  <c r="F38" i="11"/>
  <c r="L126" i="11"/>
  <c r="U16" i="11"/>
  <c r="AL170" i="11"/>
  <c r="AO104" i="11"/>
  <c r="I126" i="11"/>
  <c r="C16" i="11"/>
  <c r="AF93" i="11"/>
  <c r="AH82" i="11"/>
  <c r="J159" i="11"/>
  <c r="T170" i="11"/>
  <c r="AA5" i="11"/>
  <c r="AE27" i="11"/>
  <c r="Q71" i="11"/>
  <c r="AA170" i="11"/>
  <c r="T82" i="11"/>
  <c r="AI49" i="11"/>
  <c r="AI60" i="11"/>
  <c r="U38" i="11"/>
  <c r="P126" i="11"/>
  <c r="AR38" i="11"/>
  <c r="U104" i="11"/>
  <c r="AN159" i="11"/>
  <c r="K16" i="11"/>
  <c r="AK159" i="11"/>
  <c r="N137" i="11"/>
  <c r="Q115" i="11"/>
  <c r="L104" i="11"/>
  <c r="AQ170" i="11"/>
  <c r="AD27" i="11"/>
  <c r="AF16" i="11"/>
  <c r="AL148" i="11"/>
  <c r="AP82" i="11"/>
  <c r="W115" i="11"/>
  <c r="R93" i="11"/>
  <c r="AI137" i="11"/>
  <c r="E82" i="11"/>
  <c r="V49" i="11"/>
  <c r="AG49" i="11"/>
  <c r="AP115" i="11"/>
  <c r="L115" i="11"/>
  <c r="F104" i="11"/>
  <c r="E148" i="11"/>
  <c r="S137" i="11"/>
  <c r="P148" i="11"/>
  <c r="AC27" i="11"/>
  <c r="I82" i="11"/>
  <c r="N27" i="11"/>
  <c r="J49" i="11"/>
  <c r="AC170" i="11"/>
  <c r="AJ27" i="11"/>
  <c r="Q16" i="11"/>
  <c r="W71" i="11"/>
  <c r="AN170" i="11"/>
  <c r="I115" i="11"/>
  <c r="D27" i="11"/>
  <c r="AA104" i="11"/>
  <c r="T115" i="11"/>
  <c r="AQ49" i="11"/>
  <c r="AI16" i="11"/>
  <c r="Z137" i="11"/>
  <c r="AD60" i="11"/>
  <c r="J115" i="11"/>
  <c r="AM159" i="11"/>
  <c r="P49" i="11"/>
  <c r="Q27" i="11"/>
  <c r="P93" i="11"/>
  <c r="AM38" i="11"/>
  <c r="P104" i="11"/>
  <c r="S170" i="11"/>
  <c r="AK126" i="11"/>
  <c r="I16" i="11"/>
  <c r="AC137" i="11"/>
  <c r="E16" i="11"/>
  <c r="X16" i="11"/>
  <c r="K49" i="11"/>
  <c r="R27" i="11"/>
  <c r="R159" i="11"/>
  <c r="C137" i="11"/>
  <c r="AQ71" i="11"/>
  <c r="Y115" i="11"/>
  <c r="X126" i="11"/>
  <c r="H5" i="11"/>
  <c r="AP49" i="11"/>
  <c r="AR27" i="11"/>
  <c r="M126" i="11"/>
  <c r="AD38" i="11"/>
  <c r="AK16" i="11"/>
  <c r="AD5" i="11"/>
  <c r="H38" i="11"/>
  <c r="H71" i="11"/>
  <c r="AQ60" i="11"/>
  <c r="AN126" i="11"/>
  <c r="AC16" i="11"/>
  <c r="F16" i="11"/>
  <c r="L71" i="11"/>
  <c r="D16" i="11"/>
  <c r="AQ38" i="11"/>
  <c r="W49" i="11"/>
  <c r="AK49" i="11"/>
  <c r="H49" i="11"/>
  <c r="AD115" i="11"/>
  <c r="AK137" i="11"/>
  <c r="E115" i="11"/>
  <c r="AR115" i="11"/>
  <c r="L16" i="11"/>
  <c r="AL49" i="11"/>
  <c r="T38" i="11"/>
  <c r="AA159" i="11"/>
  <c r="P159" i="11"/>
  <c r="D49" i="11"/>
  <c r="X159" i="11"/>
  <c r="T5" i="11"/>
  <c r="P71" i="11"/>
  <c r="AC126" i="11"/>
  <c r="O38" i="11"/>
  <c r="M5" i="11"/>
  <c r="AC115" i="11"/>
  <c r="AD148" i="11"/>
  <c r="AP170" i="11"/>
  <c r="I60" i="11"/>
  <c r="AH148" i="11"/>
  <c r="AO148" i="11"/>
  <c r="AE126" i="11"/>
  <c r="AO5" i="11"/>
  <c r="AA71" i="11"/>
  <c r="Y148" i="11"/>
  <c r="O159" i="11"/>
  <c r="S27" i="11"/>
  <c r="V115" i="11"/>
  <c r="X104" i="11"/>
  <c r="Q60" i="11"/>
  <c r="J71" i="11"/>
  <c r="AA137" i="11"/>
  <c r="D71" i="11"/>
  <c r="J137" i="11"/>
  <c r="AO27" i="11"/>
  <c r="E137" i="11"/>
  <c r="AA93" i="11"/>
  <c r="AC5" i="11"/>
  <c r="U5" i="11"/>
  <c r="AG71" i="11"/>
  <c r="Y126" i="11"/>
  <c r="AD49" i="11"/>
  <c r="M170" i="11"/>
  <c r="C27" i="11"/>
  <c r="AR170" i="11"/>
  <c r="AK38" i="11"/>
  <c r="AL126" i="11"/>
  <c r="V104" i="11"/>
  <c r="AC148" i="11"/>
  <c r="Q93" i="11"/>
  <c r="N170" i="11"/>
  <c r="AD104" i="11"/>
  <c r="X93" i="11"/>
  <c r="AI93" i="11"/>
  <c r="AI38" i="11"/>
  <c r="AB93" i="11"/>
  <c r="M93" i="11"/>
  <c r="Q159" i="11"/>
  <c r="AG93" i="11"/>
  <c r="AK5" i="11"/>
  <c r="AO115" i="11"/>
  <c r="Z93" i="11"/>
  <c r="T16" i="11"/>
  <c r="AC38" i="11"/>
  <c r="P5" i="11"/>
  <c r="F5" i="11"/>
  <c r="O16" i="11"/>
  <c r="S104" i="11"/>
  <c r="U60" i="11"/>
  <c r="I71" i="11"/>
  <c r="C82" i="11"/>
  <c r="S126" i="11"/>
  <c r="T71" i="11"/>
  <c r="AE60" i="11"/>
  <c r="N115" i="11"/>
  <c r="AJ104" i="11"/>
  <c r="AK60" i="11"/>
  <c r="AC104" i="11"/>
  <c r="I148" i="11"/>
  <c r="W126" i="11"/>
  <c r="G104" i="11"/>
  <c r="V159" i="11"/>
  <c r="V93" i="11"/>
  <c r="AM16" i="11"/>
  <c r="C170" i="11"/>
  <c r="AN38" i="11"/>
  <c r="AG137" i="11"/>
  <c r="J38" i="11"/>
  <c r="G93" i="11"/>
  <c r="M82" i="11"/>
  <c r="G27" i="11"/>
  <c r="AL16" i="11"/>
  <c r="N71" i="11"/>
  <c r="AM170" i="11"/>
  <c r="AB170" i="11"/>
  <c r="AK115" i="11"/>
  <c r="R99" i="6"/>
  <c r="D7" i="6"/>
  <c r="AY99" i="6"/>
  <c r="AI99" i="5"/>
  <c r="D55" i="5"/>
  <c r="V99" i="6"/>
  <c r="K38" i="1" s="1"/>
  <c r="D38" i="1" s="1"/>
  <c r="D13" i="6"/>
  <c r="D16" i="6"/>
  <c r="AJ99" i="6"/>
  <c r="D61" i="5"/>
  <c r="AT99" i="5"/>
  <c r="D70" i="5"/>
  <c r="AC99" i="6"/>
  <c r="D40" i="6"/>
  <c r="D22" i="6"/>
  <c r="AM99" i="6"/>
  <c r="AK81" i="11"/>
  <c r="AK88" i="11" s="1"/>
  <c r="AK89" i="11" s="1"/>
  <c r="W15" i="11"/>
  <c r="W22" i="11" s="1"/>
  <c r="W23" i="11" s="1"/>
  <c r="AL59" i="11"/>
  <c r="AL66" i="11" s="1"/>
  <c r="AL67" i="11" s="1"/>
  <c r="AC158" i="11"/>
  <c r="AC165" i="11" s="1"/>
  <c r="AC166" i="11" s="1"/>
  <c r="C103" i="11"/>
  <c r="C110" i="11" s="1"/>
  <c r="C111" i="11" s="1"/>
  <c r="AD26" i="11"/>
  <c r="AD33" i="11" s="1"/>
  <c r="AD34" i="11" s="1"/>
  <c r="E169" i="11"/>
  <c r="E176" i="11" s="1"/>
  <c r="E177" i="11" s="1"/>
  <c r="AI70" i="11"/>
  <c r="AI77" i="11" s="1"/>
  <c r="AI78" i="11" s="1"/>
  <c r="AF59" i="11"/>
  <c r="AF66" i="11" s="1"/>
  <c r="AF67" i="11" s="1"/>
  <c r="F26" i="11"/>
  <c r="F33" i="11" s="1"/>
  <c r="F34" i="11" s="1"/>
  <c r="F4" i="11"/>
  <c r="AO70" i="11"/>
  <c r="AO77" i="11" s="1"/>
  <c r="AO78" i="11" s="1"/>
  <c r="AG70" i="11"/>
  <c r="AG77" i="11" s="1"/>
  <c r="AG78" i="11" s="1"/>
  <c r="AL81" i="11"/>
  <c r="AL88" i="11" s="1"/>
  <c r="AL89" i="11" s="1"/>
  <c r="AN59" i="11"/>
  <c r="AN66" i="11" s="1"/>
  <c r="AN67" i="11" s="1"/>
  <c r="F70" i="11"/>
  <c r="F77" i="11" s="1"/>
  <c r="F78" i="11" s="1"/>
  <c r="J103" i="11"/>
  <c r="J110" i="11" s="1"/>
  <c r="J111" i="11" s="1"/>
  <c r="T103" i="11"/>
  <c r="T110" i="11" s="1"/>
  <c r="T111" i="11" s="1"/>
  <c r="AE59" i="11"/>
  <c r="AK15" i="11"/>
  <c r="AN114" i="11"/>
  <c r="AN121" i="11" s="1"/>
  <c r="AN122" i="11" s="1"/>
  <c r="V4" i="11"/>
  <c r="V11" i="11" s="1"/>
  <c r="V12" i="11" s="1"/>
  <c r="L169" i="11"/>
  <c r="L176" i="11" s="1"/>
  <c r="L177" i="11" s="1"/>
  <c r="AH136" i="11"/>
  <c r="AH143" i="11" s="1"/>
  <c r="AH144" i="11" s="1"/>
  <c r="E92" i="11"/>
  <c r="E99" i="11" s="1"/>
  <c r="E100" i="11" s="1"/>
  <c r="V48" i="11"/>
  <c r="V55" i="11" s="1"/>
  <c r="V56" i="11" s="1"/>
  <c r="M37" i="11"/>
  <c r="M44" i="11" s="1"/>
  <c r="M45" i="11" s="1"/>
  <c r="AJ26" i="11"/>
  <c r="AJ33" i="11" s="1"/>
  <c r="AJ34" i="11" s="1"/>
  <c r="AG136" i="11"/>
  <c r="AG143" i="11" s="1"/>
  <c r="AG144" i="11" s="1"/>
  <c r="C169" i="11"/>
  <c r="C176" i="11" s="1"/>
  <c r="C177" i="11" s="1"/>
  <c r="R4" i="11"/>
  <c r="R11" i="11" s="1"/>
  <c r="R12" i="11" s="1"/>
  <c r="AI158" i="11"/>
  <c r="AI165" i="11" s="1"/>
  <c r="AI166" i="11" s="1"/>
  <c r="S81" i="11"/>
  <c r="S88" i="11" s="1"/>
  <c r="S89" i="11" s="1"/>
  <c r="AR114" i="11"/>
  <c r="AR121" i="11" s="1"/>
  <c r="AR122" i="11" s="1"/>
  <c r="L103" i="11"/>
  <c r="Y125" i="11"/>
  <c r="Y132" i="11" s="1"/>
  <c r="Y133" i="11" s="1"/>
  <c r="AG147" i="11"/>
  <c r="AG154" i="11" s="1"/>
  <c r="AG155" i="11" s="1"/>
  <c r="Z136" i="11"/>
  <c r="Z143" i="11" s="1"/>
  <c r="Z144" i="11" s="1"/>
  <c r="V70" i="11"/>
  <c r="V77" i="11" s="1"/>
  <c r="V78" i="11" s="1"/>
  <c r="J15" i="11"/>
  <c r="J22" i="11" s="1"/>
  <c r="J23" i="11" s="1"/>
  <c r="O158" i="11"/>
  <c r="K136" i="11"/>
  <c r="K143" i="11" s="1"/>
  <c r="K144" i="11" s="1"/>
  <c r="P158" i="11"/>
  <c r="P165" i="11" s="1"/>
  <c r="P166" i="11" s="1"/>
  <c r="AN48" i="11"/>
  <c r="AN55" i="11" s="1"/>
  <c r="AN56" i="11" s="1"/>
  <c r="C26" i="11"/>
  <c r="C33" i="11" s="1"/>
  <c r="C34" i="11" s="1"/>
  <c r="T59" i="11"/>
  <c r="T66" i="11" s="1"/>
  <c r="T67" i="11" s="1"/>
  <c r="AJ70" i="11"/>
  <c r="AJ77" i="11" s="1"/>
  <c r="AJ78" i="11" s="1"/>
  <c r="I37" i="11"/>
  <c r="I44" i="11" s="1"/>
  <c r="I45" i="11" s="1"/>
  <c r="AD37" i="11"/>
  <c r="AD44" i="11" s="1"/>
  <c r="AD45" i="11" s="1"/>
  <c r="T169" i="11"/>
  <c r="T176" i="11" s="1"/>
  <c r="T177" i="11" s="1"/>
  <c r="J4" i="11"/>
  <c r="J11" i="11" s="1"/>
  <c r="J12" i="11" s="1"/>
  <c r="N26" i="11"/>
  <c r="N33" i="11" s="1"/>
  <c r="N34" i="11" s="1"/>
  <c r="G147" i="11"/>
  <c r="G154" i="11" s="1"/>
  <c r="G155" i="11" s="1"/>
  <c r="D48" i="11"/>
  <c r="D55" i="11" s="1"/>
  <c r="D56" i="11" s="1"/>
  <c r="Q147" i="11"/>
  <c r="Q154" i="11" s="1"/>
  <c r="Q155" i="11" s="1"/>
  <c r="AP48" i="11"/>
  <c r="J125" i="11"/>
  <c r="J132" i="11" s="1"/>
  <c r="J133" i="11" s="1"/>
  <c r="R147" i="11"/>
  <c r="R154" i="11" s="1"/>
  <c r="R155" i="11" s="1"/>
  <c r="AP81" i="11"/>
  <c r="AP88" i="11" s="1"/>
  <c r="AP89" i="11" s="1"/>
  <c r="U81" i="11"/>
  <c r="U88" i="11" s="1"/>
  <c r="U89" i="11" s="1"/>
  <c r="E70" i="11"/>
  <c r="E77" i="11" s="1"/>
  <c r="E78" i="11" s="1"/>
  <c r="J81" i="11"/>
  <c r="J88" i="11" s="1"/>
  <c r="J89" i="11" s="1"/>
  <c r="AK114" i="11"/>
  <c r="AK121" i="11" s="1"/>
  <c r="AK122" i="11" s="1"/>
  <c r="AN37" i="11"/>
  <c r="G37" i="11"/>
  <c r="G44" i="11" s="1"/>
  <c r="G45" i="11" s="1"/>
  <c r="Q4" i="11"/>
  <c r="Q11" i="11" s="1"/>
  <c r="Q12" i="11" s="1"/>
  <c r="AR26" i="11"/>
  <c r="AR33" i="11" s="1"/>
  <c r="AR34" i="11" s="1"/>
  <c r="G92" i="11"/>
  <c r="G99" i="11" s="1"/>
  <c r="G100" i="11" s="1"/>
  <c r="C158" i="11"/>
  <c r="C165" i="11" s="1"/>
  <c r="C166" i="11" s="1"/>
  <c r="O114" i="11"/>
  <c r="O121" i="11" s="1"/>
  <c r="O122" i="11" s="1"/>
  <c r="K125" i="11"/>
  <c r="K132" i="11" s="1"/>
  <c r="K133" i="11" s="1"/>
  <c r="AD103" i="11"/>
  <c r="AD110" i="11" s="1"/>
  <c r="AD111" i="11" s="1"/>
  <c r="AF81" i="11"/>
  <c r="AF88" i="11" s="1"/>
  <c r="AF89" i="11" s="1"/>
  <c r="N169" i="11"/>
  <c r="N176" i="11" s="1"/>
  <c r="N177" i="11" s="1"/>
  <c r="F92" i="11"/>
  <c r="F99" i="11" s="1"/>
  <c r="F100" i="11" s="1"/>
  <c r="AK4" i="11"/>
  <c r="AK11" i="11" s="1"/>
  <c r="AK12" i="11" s="1"/>
  <c r="E15" i="11"/>
  <c r="E22" i="11" s="1"/>
  <c r="E23" i="11" s="1"/>
  <c r="M4" i="11"/>
  <c r="M11" i="11" s="1"/>
  <c r="M12" i="11" s="1"/>
  <c r="AD125" i="11"/>
  <c r="AD132" i="11" s="1"/>
  <c r="AD133" i="11" s="1"/>
  <c r="T92" i="11"/>
  <c r="T99" i="11" s="1"/>
  <c r="T100" i="11" s="1"/>
  <c r="H147" i="11"/>
  <c r="H154" i="11" s="1"/>
  <c r="H155" i="11" s="1"/>
  <c r="F48" i="11"/>
  <c r="F55" i="11" s="1"/>
  <c r="F56" i="11" s="1"/>
  <c r="L4" i="11"/>
  <c r="L11" i="11" s="1"/>
  <c r="L12" i="11" s="1"/>
  <c r="AM4" i="11"/>
  <c r="AM11" i="11" s="1"/>
  <c r="AM12" i="11" s="1"/>
  <c r="Z158" i="11"/>
  <c r="Z165" i="11" s="1"/>
  <c r="Z166" i="11" s="1"/>
  <c r="G48" i="11"/>
  <c r="G55" i="11" s="1"/>
  <c r="G56" i="11" s="1"/>
  <c r="AM81" i="11"/>
  <c r="AM88" i="11" s="1"/>
  <c r="AM89" i="11" s="1"/>
  <c r="N70" i="11"/>
  <c r="N77" i="11" s="1"/>
  <c r="N78" i="11" s="1"/>
  <c r="AG103" i="11"/>
  <c r="AG110" i="11" s="1"/>
  <c r="AG111" i="11" s="1"/>
  <c r="AB59" i="11"/>
  <c r="AB66" i="11" s="1"/>
  <c r="AB67" i="11" s="1"/>
  <c r="G15" i="11"/>
  <c r="G22" i="11" s="1"/>
  <c r="G23" i="11" s="1"/>
  <c r="AM26" i="11"/>
  <c r="AM33" i="11" s="1"/>
  <c r="AM34" i="11" s="1"/>
  <c r="AE26" i="11"/>
  <c r="AE33" i="11" s="1"/>
  <c r="AE34" i="11" s="1"/>
  <c r="K169" i="11"/>
  <c r="K176" i="11" s="1"/>
  <c r="K177" i="11" s="1"/>
  <c r="W59" i="11"/>
  <c r="W66" i="11" s="1"/>
  <c r="W67" i="11" s="1"/>
  <c r="M147" i="11"/>
  <c r="M154" i="11" s="1"/>
  <c r="M155" i="11" s="1"/>
  <c r="C136" i="11"/>
  <c r="C143" i="11" s="1"/>
  <c r="C144" i="11" s="1"/>
  <c r="T4" i="11"/>
  <c r="T11" i="11" s="1"/>
  <c r="T12" i="11" s="1"/>
  <c r="AR169" i="11"/>
  <c r="AR176" i="11" s="1"/>
  <c r="AR177" i="11" s="1"/>
  <c r="AQ48" i="11"/>
  <c r="AQ55" i="11" s="1"/>
  <c r="AQ56" i="11" s="1"/>
  <c r="U26" i="11"/>
  <c r="U33" i="11" s="1"/>
  <c r="U34" i="11" s="1"/>
  <c r="O37" i="11"/>
  <c r="O44" i="11" s="1"/>
  <c r="O45" i="11" s="1"/>
  <c r="H169" i="11"/>
  <c r="H176" i="11" s="1"/>
  <c r="H177" i="11" s="1"/>
  <c r="K48" i="11"/>
  <c r="K55" i="11" s="1"/>
  <c r="K56" i="11" s="1"/>
  <c r="AA147" i="11"/>
  <c r="AA154" i="11" s="1"/>
  <c r="AA155" i="11" s="1"/>
  <c r="AL114" i="11"/>
  <c r="AL121" i="11" s="1"/>
  <c r="AL122" i="11" s="1"/>
  <c r="E114" i="11"/>
  <c r="X125" i="11"/>
  <c r="X132" i="11" s="1"/>
  <c r="X133" i="11" s="1"/>
  <c r="E158" i="11"/>
  <c r="E165" i="11" s="1"/>
  <c r="E166" i="11" s="1"/>
  <c r="AB70" i="11"/>
  <c r="AB77" i="11" s="1"/>
  <c r="AB78" i="11" s="1"/>
  <c r="H59" i="11"/>
  <c r="H66" i="11" s="1"/>
  <c r="H67" i="11" s="1"/>
  <c r="AI48" i="11"/>
  <c r="AI55" i="11" s="1"/>
  <c r="AI56" i="11" s="1"/>
  <c r="AK147" i="11"/>
  <c r="AK154" i="11" s="1"/>
  <c r="AK155" i="11" s="1"/>
  <c r="AE48" i="11"/>
  <c r="AE55" i="11" s="1"/>
  <c r="AE56" i="11" s="1"/>
  <c r="V147" i="11"/>
  <c r="V154" i="11" s="1"/>
  <c r="V155" i="11" s="1"/>
  <c r="AL48" i="11"/>
  <c r="AL55" i="11" s="1"/>
  <c r="AL56" i="11" s="1"/>
  <c r="S4" i="11"/>
  <c r="S11" i="11" s="1"/>
  <c r="S12" i="11" s="1"/>
  <c r="Z4" i="11"/>
  <c r="Z11" i="11" s="1"/>
  <c r="Z12" i="11" s="1"/>
  <c r="X103" i="11"/>
  <c r="X110" i="11" s="1"/>
  <c r="X111" i="11" s="1"/>
  <c r="AQ37" i="11"/>
  <c r="AQ44" i="11" s="1"/>
  <c r="AQ45" i="11" s="1"/>
  <c r="K92" i="11"/>
  <c r="K99" i="11" s="1"/>
  <c r="K100" i="11" s="1"/>
  <c r="Q70" i="11"/>
  <c r="Q77" i="11" s="1"/>
  <c r="Q78" i="11" s="1"/>
  <c r="AC136" i="11"/>
  <c r="AC143" i="11" s="1"/>
  <c r="AC144" i="11" s="1"/>
  <c r="AQ70" i="11"/>
  <c r="AQ77" i="11" s="1"/>
  <c r="AQ78" i="11" s="1"/>
  <c r="AA37" i="11"/>
  <c r="AA44" i="11" s="1"/>
  <c r="AA45" i="11" s="1"/>
  <c r="L59" i="11"/>
  <c r="L66" i="11" s="1"/>
  <c r="L67" i="11" s="1"/>
  <c r="AH4" i="11"/>
  <c r="AH11" i="11" s="1"/>
  <c r="AH12" i="11" s="1"/>
  <c r="AM169" i="11"/>
  <c r="AB114" i="11"/>
  <c r="AB121" i="11" s="1"/>
  <c r="AB122" i="11" s="1"/>
  <c r="AE158" i="11"/>
  <c r="AE165" i="11" s="1"/>
  <c r="AE166" i="11" s="1"/>
  <c r="AN125" i="11"/>
  <c r="AN132" i="11" s="1"/>
  <c r="AN133" i="11" s="1"/>
  <c r="AF125" i="11"/>
  <c r="AF132" i="11" s="1"/>
  <c r="AF133" i="11" s="1"/>
  <c r="S169" i="11"/>
  <c r="S176" i="11" s="1"/>
  <c r="S177" i="11" s="1"/>
  <c r="D26" i="11"/>
  <c r="D33" i="11" s="1"/>
  <c r="D34" i="11" s="1"/>
  <c r="AQ92" i="11"/>
  <c r="AQ99" i="11" s="1"/>
  <c r="AQ100" i="11" s="1"/>
  <c r="AR125" i="11"/>
  <c r="AR132" i="11" s="1"/>
  <c r="AR133" i="11" s="1"/>
  <c r="G103" i="11"/>
  <c r="G110" i="11" s="1"/>
  <c r="G111" i="11" s="1"/>
  <c r="AF15" i="11"/>
  <c r="AF22" i="11" s="1"/>
  <c r="AF23" i="11" s="1"/>
  <c r="S59" i="11"/>
  <c r="S66" i="11" s="1"/>
  <c r="S67" i="11" s="1"/>
  <c r="AO81" i="11"/>
  <c r="AO88" i="11" s="1"/>
  <c r="AO89" i="11" s="1"/>
  <c r="AD158" i="11"/>
  <c r="AD165" i="11" s="1"/>
  <c r="AD166" i="11" s="1"/>
  <c r="AG4" i="11"/>
  <c r="AG11" i="11" s="1"/>
  <c r="AG12" i="11" s="1"/>
  <c r="N48" i="11"/>
  <c r="N55" i="11" s="1"/>
  <c r="N56" i="11" s="1"/>
  <c r="Y70" i="11"/>
  <c r="Y77" i="11" s="1"/>
  <c r="Y78" i="11" s="1"/>
  <c r="AN81" i="11"/>
  <c r="AN88" i="11" s="1"/>
  <c r="AN89" i="11" s="1"/>
  <c r="AG81" i="11"/>
  <c r="AG88" i="11" s="1"/>
  <c r="AG89" i="11" s="1"/>
  <c r="V37" i="11"/>
  <c r="V44" i="11" s="1"/>
  <c r="V45" i="11" s="1"/>
  <c r="AM147" i="11"/>
  <c r="AM154" i="11" s="1"/>
  <c r="AM155" i="11" s="1"/>
  <c r="Y169" i="11"/>
  <c r="Y176" i="11" s="1"/>
  <c r="Y177" i="11" s="1"/>
  <c r="Q92" i="11"/>
  <c r="Q99" i="11" s="1"/>
  <c r="Q100" i="11" s="1"/>
  <c r="U4" i="11"/>
  <c r="U11" i="11" s="1"/>
  <c r="U12" i="11" s="1"/>
  <c r="Z48" i="11"/>
  <c r="Z55" i="11" s="1"/>
  <c r="Z56" i="11" s="1"/>
  <c r="P48" i="11"/>
  <c r="P55" i="11" s="1"/>
  <c r="P56" i="11" s="1"/>
  <c r="K114" i="11"/>
  <c r="K121" i="11" s="1"/>
  <c r="K122" i="11" s="1"/>
  <c r="AP158" i="11"/>
  <c r="AP165" i="11" s="1"/>
  <c r="AP166" i="11" s="1"/>
  <c r="W48" i="11"/>
  <c r="W55" i="11" s="1"/>
  <c r="W56" i="11" s="1"/>
  <c r="M92" i="11"/>
  <c r="M99" i="11" s="1"/>
  <c r="M100" i="11" s="1"/>
  <c r="AA81" i="11"/>
  <c r="AA88" i="11" s="1"/>
  <c r="AA89" i="11" s="1"/>
  <c r="AO114" i="11"/>
  <c r="AO121" i="11" s="1"/>
  <c r="AO122" i="11" s="1"/>
  <c r="AE147" i="11"/>
  <c r="AE154" i="11" s="1"/>
  <c r="AE155" i="11" s="1"/>
  <c r="G114" i="11"/>
  <c r="G121" i="11" s="1"/>
  <c r="G122" i="11" s="1"/>
  <c r="AL103" i="11"/>
  <c r="AL110" i="11" s="1"/>
  <c r="AL111" i="11" s="1"/>
  <c r="S37" i="11"/>
  <c r="S44" i="11" s="1"/>
  <c r="S45" i="11" s="1"/>
  <c r="AK169" i="11"/>
  <c r="AK176" i="11" s="1"/>
  <c r="AK177" i="11" s="1"/>
  <c r="H48" i="11"/>
  <c r="H55" i="11" s="1"/>
  <c r="H56" i="11" s="1"/>
  <c r="P125" i="11"/>
  <c r="P132" i="11" s="1"/>
  <c r="P133" i="11" s="1"/>
  <c r="K15" i="11"/>
  <c r="K22" i="11" s="1"/>
  <c r="K23" i="11" s="1"/>
  <c r="F158" i="11"/>
  <c r="F165" i="11" s="1"/>
  <c r="F166" i="11" s="1"/>
  <c r="AO37" i="11"/>
  <c r="AO44" i="11" s="1"/>
  <c r="AO45" i="11" s="1"/>
  <c r="K158" i="11"/>
  <c r="K165" i="11" s="1"/>
  <c r="K166" i="11" s="1"/>
  <c r="T158" i="11"/>
  <c r="T165" i="11" s="1"/>
  <c r="T166" i="11" s="1"/>
  <c r="AJ92" i="11"/>
  <c r="AJ99" i="11" s="1"/>
  <c r="AJ100" i="11" s="1"/>
  <c r="M169" i="11"/>
  <c r="M176" i="11" s="1"/>
  <c r="M177" i="11" s="1"/>
  <c r="Z92" i="11"/>
  <c r="Z99" i="11" s="1"/>
  <c r="Z100" i="11" s="1"/>
  <c r="I81" i="11"/>
  <c r="I88" i="11" s="1"/>
  <c r="I89" i="11" s="1"/>
  <c r="U136" i="11"/>
  <c r="U143" i="11" s="1"/>
  <c r="U144" i="11" s="1"/>
  <c r="AC59" i="11"/>
  <c r="AC66" i="11" s="1"/>
  <c r="AC67" i="11" s="1"/>
  <c r="AD147" i="11"/>
  <c r="AD154" i="11" s="1"/>
  <c r="AD155" i="11" s="1"/>
  <c r="AA4" i="11"/>
  <c r="AA11" i="11" s="1"/>
  <c r="AA12" i="11" s="1"/>
  <c r="L48" i="11"/>
  <c r="L55" i="11" s="1"/>
  <c r="L56" i="11" s="1"/>
  <c r="Y103" i="11"/>
  <c r="Y110" i="11" s="1"/>
  <c r="Y111" i="11" s="1"/>
  <c r="J92" i="11"/>
  <c r="J99" i="11" s="1"/>
  <c r="J100" i="11" s="1"/>
  <c r="Y147" i="11"/>
  <c r="Y154" i="11" s="1"/>
  <c r="Y155" i="11" s="1"/>
  <c r="AQ81" i="11"/>
  <c r="AQ88" i="11" s="1"/>
  <c r="AQ89" i="11" s="1"/>
  <c r="AE125" i="11"/>
  <c r="AE132" i="11" s="1"/>
  <c r="AE133" i="11" s="1"/>
  <c r="Y26" i="11"/>
  <c r="Y33" i="11" s="1"/>
  <c r="Y34" i="11" s="1"/>
  <c r="AP15" i="11"/>
  <c r="AP22" i="11" s="1"/>
  <c r="AP23" i="11" s="1"/>
  <c r="T48" i="11"/>
  <c r="T55" i="11" s="1"/>
  <c r="T56" i="11" s="1"/>
  <c r="AO169" i="11"/>
  <c r="AO176" i="11" s="1"/>
  <c r="AO177" i="11" s="1"/>
  <c r="AP103" i="11"/>
  <c r="AP110" i="11" s="1"/>
  <c r="AP111" i="11" s="1"/>
  <c r="M48" i="11"/>
  <c r="M55" i="11" s="1"/>
  <c r="M56" i="11" s="1"/>
  <c r="AR81" i="11"/>
  <c r="AR88" i="11" s="1"/>
  <c r="AR89" i="11" s="1"/>
  <c r="J169" i="11"/>
  <c r="J176" i="11" s="1"/>
  <c r="J177" i="11" s="1"/>
  <c r="N158" i="11"/>
  <c r="N165" i="11" s="1"/>
  <c r="N166" i="11" s="1"/>
  <c r="P59" i="11"/>
  <c r="P66" i="11" s="1"/>
  <c r="P67" i="11" s="1"/>
  <c r="AP169" i="11"/>
  <c r="AP176" i="11" s="1"/>
  <c r="AP177" i="11" s="1"/>
  <c r="N103" i="11"/>
  <c r="N110" i="11" s="1"/>
  <c r="N111" i="11" s="1"/>
  <c r="H81" i="11"/>
  <c r="H88" i="11" s="1"/>
  <c r="H89" i="11" s="1"/>
  <c r="W114" i="11"/>
  <c r="W121" i="11" s="1"/>
  <c r="W122" i="11" s="1"/>
  <c r="D92" i="11"/>
  <c r="D99" i="11" s="1"/>
  <c r="D100" i="11" s="1"/>
  <c r="AI103" i="11"/>
  <c r="AI110" i="11" s="1"/>
  <c r="AI111" i="11" s="1"/>
  <c r="D37" i="11"/>
  <c r="D44" i="11" s="1"/>
  <c r="D45" i="11" s="1"/>
  <c r="Q158" i="11"/>
  <c r="Q165" i="11" s="1"/>
  <c r="Q166" i="11" s="1"/>
  <c r="T125" i="11"/>
  <c r="T132" i="11" s="1"/>
  <c r="T133" i="11" s="1"/>
  <c r="E48" i="11"/>
  <c r="E55" i="11" s="1"/>
  <c r="E56" i="11" s="1"/>
  <c r="AH70" i="11"/>
  <c r="AH77" i="11" s="1"/>
  <c r="AH78" i="11" s="1"/>
  <c r="I114" i="11"/>
  <c r="I121" i="11" s="1"/>
  <c r="I122" i="11" s="1"/>
  <c r="AL26" i="11"/>
  <c r="AL33" i="11" s="1"/>
  <c r="AL34" i="11" s="1"/>
  <c r="Z169" i="11"/>
  <c r="Z176" i="11" s="1"/>
  <c r="Z177" i="11" s="1"/>
  <c r="AA125" i="11"/>
  <c r="AA132" i="11" s="1"/>
  <c r="AA133" i="11" s="1"/>
  <c r="R70" i="11"/>
  <c r="R77" i="11" s="1"/>
  <c r="R78" i="11" s="1"/>
  <c r="AH37" i="11"/>
  <c r="AH44" i="11" s="1"/>
  <c r="AH45" i="11" s="1"/>
  <c r="AL147" i="11"/>
  <c r="AL154" i="11" s="1"/>
  <c r="AL155" i="11" s="1"/>
  <c r="AL37" i="11"/>
  <c r="AL44" i="11" s="1"/>
  <c r="AL45" i="11" s="1"/>
  <c r="E125" i="11"/>
  <c r="E132" i="11" s="1"/>
  <c r="E133" i="11" s="1"/>
  <c r="AQ59" i="11"/>
  <c r="AQ66" i="11" s="1"/>
  <c r="AQ67" i="11" s="1"/>
  <c r="D158" i="11"/>
  <c r="D165" i="11" s="1"/>
  <c r="D166" i="11" s="1"/>
  <c r="G81" i="11"/>
  <c r="G88" i="11" s="1"/>
  <c r="G89" i="11" s="1"/>
  <c r="H26" i="11"/>
  <c r="H33" i="11" s="1"/>
  <c r="H34" i="11" s="1"/>
  <c r="N136" i="11"/>
  <c r="N143" i="11" s="1"/>
  <c r="N144" i="11" s="1"/>
  <c r="X114" i="11"/>
  <c r="X121" i="11" s="1"/>
  <c r="X122" i="11" s="1"/>
  <c r="AH26" i="11"/>
  <c r="AH33" i="11" s="1"/>
  <c r="AH34" i="11" s="1"/>
  <c r="AA15" i="11"/>
  <c r="AA22" i="11" s="1"/>
  <c r="AA23" i="11" s="1"/>
  <c r="O26" i="11"/>
  <c r="O33" i="11" s="1"/>
  <c r="O34" i="11" s="1"/>
  <c r="W26" i="11"/>
  <c r="W33" i="11" s="1"/>
  <c r="W34" i="11" s="1"/>
  <c r="C4" i="11"/>
  <c r="C11" i="11" s="1"/>
  <c r="C12" i="11" s="1"/>
  <c r="AQ114" i="11"/>
  <c r="AQ121" i="11" s="1"/>
  <c r="AQ122" i="11" s="1"/>
  <c r="AR48" i="11"/>
  <c r="AR55" i="11" s="1"/>
  <c r="AR56" i="11" s="1"/>
  <c r="K81" i="11"/>
  <c r="K88" i="11" s="1"/>
  <c r="K89" i="11" s="1"/>
  <c r="AB136" i="11"/>
  <c r="AB143" i="11" s="1"/>
  <c r="AB144" i="11" s="1"/>
  <c r="Q81" i="11"/>
  <c r="Q88" i="11" s="1"/>
  <c r="Q89" i="11" s="1"/>
  <c r="O136" i="11"/>
  <c r="O143" i="11" s="1"/>
  <c r="O144" i="11" s="1"/>
  <c r="J26" i="11"/>
  <c r="J33" i="11" s="1"/>
  <c r="J34" i="11" s="1"/>
  <c r="AD81" i="11"/>
  <c r="AD88" i="11" s="1"/>
  <c r="AD89" i="11" s="1"/>
  <c r="N59" i="11"/>
  <c r="N66" i="11" s="1"/>
  <c r="N67" i="11" s="1"/>
  <c r="AE169" i="11"/>
  <c r="AE176" i="11" s="1"/>
  <c r="AE177" i="11" s="1"/>
  <c r="AA59" i="11"/>
  <c r="AA66" i="11" s="1"/>
  <c r="AA67" i="11" s="1"/>
  <c r="AO158" i="11"/>
  <c r="AO165" i="11" s="1"/>
  <c r="AO166" i="11" s="1"/>
  <c r="E81" i="11"/>
  <c r="E88" i="11" s="1"/>
  <c r="E89" i="11" s="1"/>
  <c r="M70" i="11"/>
  <c r="M77" i="11" s="1"/>
  <c r="M78" i="11" s="1"/>
  <c r="T70" i="11"/>
  <c r="T77" i="11" s="1"/>
  <c r="T78" i="11" s="1"/>
  <c r="P92" i="11"/>
  <c r="P99" i="11" s="1"/>
  <c r="P100" i="11" s="1"/>
  <c r="N147" i="11"/>
  <c r="N154" i="11" s="1"/>
  <c r="N155" i="11" s="1"/>
  <c r="D70" i="11"/>
  <c r="D77" i="11" s="1"/>
  <c r="D78" i="11" s="1"/>
  <c r="AC15" i="11"/>
  <c r="AC22" i="11" s="1"/>
  <c r="AC23" i="11" s="1"/>
  <c r="T37" i="11"/>
  <c r="T44" i="11" s="1"/>
  <c r="T45" i="11" s="1"/>
  <c r="Z81" i="11"/>
  <c r="Z88" i="11" s="1"/>
  <c r="Z89" i="11" s="1"/>
  <c r="X48" i="11"/>
  <c r="X55" i="11" s="1"/>
  <c r="X56" i="11" s="1"/>
  <c r="AH81" i="11"/>
  <c r="AH88" i="11" s="1"/>
  <c r="AH89" i="11" s="1"/>
  <c r="Z114" i="11"/>
  <c r="Z121" i="11" s="1"/>
  <c r="Z122" i="11" s="1"/>
  <c r="AH15" i="11"/>
  <c r="AH22" i="11" s="1"/>
  <c r="AH23" i="11" s="1"/>
  <c r="AM125" i="11"/>
  <c r="AM132" i="11" s="1"/>
  <c r="AM133" i="11" s="1"/>
  <c r="AB125" i="11"/>
  <c r="AB132" i="11" s="1"/>
  <c r="AB133" i="11" s="1"/>
  <c r="AR59" i="11"/>
  <c r="AR66" i="11" s="1"/>
  <c r="AR67" i="11" s="1"/>
  <c r="AD59" i="11"/>
  <c r="AD66" i="11" s="1"/>
  <c r="AD67" i="11" s="1"/>
  <c r="AH59" i="11"/>
  <c r="AH66" i="11" s="1"/>
  <c r="AH67" i="11" s="1"/>
  <c r="H114" i="11"/>
  <c r="H121" i="11" s="1"/>
  <c r="H122" i="11" s="1"/>
  <c r="V114" i="11"/>
  <c r="V121" i="11" s="1"/>
  <c r="V122" i="11" s="1"/>
  <c r="AJ114" i="11"/>
  <c r="AJ121" i="11" s="1"/>
  <c r="AJ122" i="11" s="1"/>
  <c r="AM59" i="11"/>
  <c r="AM66" i="11" s="1"/>
  <c r="AM67" i="11" s="1"/>
  <c r="AJ169" i="11"/>
  <c r="AJ176" i="11" s="1"/>
  <c r="AJ177" i="11" s="1"/>
  <c r="O169" i="11"/>
  <c r="O176" i="11" s="1"/>
  <c r="O177" i="11" s="1"/>
  <c r="AA169" i="11"/>
  <c r="AA176" i="11" s="1"/>
  <c r="AA177" i="11" s="1"/>
  <c r="I103" i="11"/>
  <c r="I110" i="11" s="1"/>
  <c r="I111" i="11" s="1"/>
  <c r="AK158" i="11"/>
  <c r="AK165" i="11" s="1"/>
  <c r="AK166" i="11" s="1"/>
  <c r="AF158" i="11"/>
  <c r="AF165" i="11" s="1"/>
  <c r="AF166" i="11" s="1"/>
  <c r="AD4" i="11"/>
  <c r="AD11" i="11" s="1"/>
  <c r="AD12" i="11" s="1"/>
  <c r="AC37" i="11"/>
  <c r="AC44" i="11" s="1"/>
  <c r="AC45" i="11" s="1"/>
  <c r="R48" i="11"/>
  <c r="R55" i="11" s="1"/>
  <c r="R56" i="11" s="1"/>
  <c r="AC125" i="11"/>
  <c r="AC132" i="11" s="1"/>
  <c r="AC133" i="11" s="1"/>
  <c r="AE92" i="11"/>
  <c r="AE99" i="11" s="1"/>
  <c r="AE100" i="11" s="1"/>
  <c r="AJ147" i="11"/>
  <c r="AJ154" i="11" s="1"/>
  <c r="AJ155" i="11" s="1"/>
  <c r="Z147" i="11"/>
  <c r="Z154" i="11" s="1"/>
  <c r="Z155" i="11" s="1"/>
  <c r="AR37" i="11"/>
  <c r="AR44" i="11" s="1"/>
  <c r="AR45" i="11" s="1"/>
  <c r="S48" i="11"/>
  <c r="S55" i="11" s="1"/>
  <c r="S56" i="11" s="1"/>
  <c r="N4" i="11"/>
  <c r="N11" i="11" s="1"/>
  <c r="N12" i="11" s="1"/>
  <c r="AH147" i="11"/>
  <c r="AH154" i="11" s="1"/>
  <c r="AH155" i="11" s="1"/>
  <c r="AO147" i="11"/>
  <c r="AO154" i="11" s="1"/>
  <c r="AO155" i="11" s="1"/>
  <c r="C70" i="11"/>
  <c r="C77" i="11" s="1"/>
  <c r="C78" i="11" s="1"/>
  <c r="AB37" i="11"/>
  <c r="AB44" i="11" s="1"/>
  <c r="AB45" i="11" s="1"/>
  <c r="W4" i="11"/>
  <c r="W11" i="11" s="1"/>
  <c r="W12" i="11" s="1"/>
  <c r="V103" i="11"/>
  <c r="V110" i="11" s="1"/>
  <c r="V111" i="11" s="1"/>
  <c r="AF147" i="11"/>
  <c r="AF154" i="11" s="1"/>
  <c r="AF155" i="11" s="1"/>
  <c r="AO26" i="11"/>
  <c r="AO33" i="11" s="1"/>
  <c r="AO34" i="11" s="1"/>
  <c r="AG114" i="11"/>
  <c r="AG121" i="11" s="1"/>
  <c r="AG122" i="11" s="1"/>
  <c r="S136" i="11"/>
  <c r="S143" i="11" s="1"/>
  <c r="S144" i="11" s="1"/>
  <c r="C125" i="11"/>
  <c r="C132" i="11" s="1"/>
  <c r="C133" i="11" s="1"/>
  <c r="AL15" i="11"/>
  <c r="AL22" i="11" s="1"/>
  <c r="AL23" i="11" s="1"/>
  <c r="AM70" i="11"/>
  <c r="AM77" i="11" s="1"/>
  <c r="AM78" i="11" s="1"/>
  <c r="AC92" i="11"/>
  <c r="AC99" i="11" s="1"/>
  <c r="AC100" i="11" s="1"/>
  <c r="P4" i="11"/>
  <c r="P11" i="11" s="1"/>
  <c r="P12" i="11" s="1"/>
  <c r="AP125" i="11"/>
  <c r="AP132" i="11" s="1"/>
  <c r="AP133" i="11" s="1"/>
  <c r="AJ48" i="11"/>
  <c r="AJ55" i="11" s="1"/>
  <c r="AJ56" i="11" s="1"/>
  <c r="C15" i="11"/>
  <c r="C22" i="11" s="1"/>
  <c r="C23" i="11" s="1"/>
  <c r="P26" i="11"/>
  <c r="P33" i="11" s="1"/>
  <c r="P34" i="11" s="1"/>
  <c r="Z70" i="11"/>
  <c r="Z77" i="11" s="1"/>
  <c r="Z78" i="11" s="1"/>
  <c r="G70" i="11"/>
  <c r="G77" i="11" s="1"/>
  <c r="G78" i="11" s="1"/>
  <c r="AJ136" i="11"/>
  <c r="AJ143" i="11" s="1"/>
  <c r="AJ144" i="11" s="1"/>
  <c r="H136" i="11"/>
  <c r="H143" i="11" s="1"/>
  <c r="H144" i="11" s="1"/>
  <c r="AA92" i="11"/>
  <c r="AA99" i="11" s="1"/>
  <c r="AA100" i="11" s="1"/>
  <c r="AK136" i="11"/>
  <c r="AK143" i="11" s="1"/>
  <c r="AK144" i="11" s="1"/>
  <c r="AP92" i="11"/>
  <c r="AP99" i="11" s="1"/>
  <c r="AP100" i="11" s="1"/>
  <c r="R59" i="11"/>
  <c r="R66" i="11" s="1"/>
  <c r="R67" i="11" s="1"/>
  <c r="V92" i="11"/>
  <c r="V99" i="11" s="1"/>
  <c r="V100" i="11" s="1"/>
  <c r="AP70" i="11"/>
  <c r="AP77" i="11" s="1"/>
  <c r="AP78" i="11" s="1"/>
  <c r="AH48" i="11"/>
  <c r="AH55" i="11" s="1"/>
  <c r="AH56" i="11" s="1"/>
  <c r="F15" i="11"/>
  <c r="F22" i="11" s="1"/>
  <c r="F23" i="11" s="1"/>
  <c r="AL4" i="11"/>
  <c r="AL11" i="11" s="1"/>
  <c r="AL12" i="11" s="1"/>
  <c r="O103" i="11"/>
  <c r="O110" i="11" s="1"/>
  <c r="O111" i="11" s="1"/>
  <c r="Q125" i="11"/>
  <c r="Q132" i="11" s="1"/>
  <c r="Q133" i="11" s="1"/>
  <c r="R158" i="11"/>
  <c r="R165" i="11" s="1"/>
  <c r="R166" i="11" s="1"/>
  <c r="X59" i="11"/>
  <c r="X66" i="11" s="1"/>
  <c r="X67" i="11" s="1"/>
  <c r="Z37" i="11"/>
  <c r="Z44" i="11" s="1"/>
  <c r="Z45" i="11" s="1"/>
  <c r="AK92" i="11"/>
  <c r="AK99" i="11" s="1"/>
  <c r="AK100" i="11" s="1"/>
  <c r="AO4" i="11"/>
  <c r="AO11" i="11" s="1"/>
  <c r="AO12" i="11" s="1"/>
  <c r="AF114" i="11"/>
  <c r="AF121" i="11" s="1"/>
  <c r="AF122" i="11" s="1"/>
  <c r="AN136" i="11"/>
  <c r="AN143" i="11" s="1"/>
  <c r="AN144" i="11" s="1"/>
  <c r="AC70" i="11"/>
  <c r="AC77" i="11" s="1"/>
  <c r="AC78" i="11" s="1"/>
  <c r="AO59" i="11"/>
  <c r="AO66" i="11" s="1"/>
  <c r="AO67" i="11" s="1"/>
  <c r="AM114" i="11"/>
  <c r="AM121" i="11" s="1"/>
  <c r="AM122" i="11" s="1"/>
  <c r="E4" i="11"/>
  <c r="E11" i="11" s="1"/>
  <c r="E12" i="11" s="1"/>
  <c r="AR158" i="11"/>
  <c r="AR165" i="11" s="1"/>
  <c r="AR166" i="11" s="1"/>
  <c r="AR136" i="11"/>
  <c r="AR143" i="11" s="1"/>
  <c r="AR144" i="11" s="1"/>
  <c r="AR92" i="11"/>
  <c r="AR99" i="11" s="1"/>
  <c r="AR100" i="11" s="1"/>
  <c r="G169" i="11"/>
  <c r="G176" i="11" s="1"/>
  <c r="G177" i="11" s="1"/>
  <c r="AK26" i="11"/>
  <c r="AK33" i="11" s="1"/>
  <c r="AK34" i="11" s="1"/>
  <c r="AH125" i="11"/>
  <c r="AH132" i="11" s="1"/>
  <c r="AH133" i="11" s="1"/>
  <c r="AB169" i="11"/>
  <c r="AB176" i="11" s="1"/>
  <c r="AB177" i="11" s="1"/>
  <c r="AO136" i="11"/>
  <c r="AO143" i="11" s="1"/>
  <c r="AO144" i="11" s="1"/>
  <c r="P114" i="11"/>
  <c r="P121" i="11" s="1"/>
  <c r="P122" i="11" s="1"/>
  <c r="AN26" i="11"/>
  <c r="AN33" i="11" s="1"/>
  <c r="AN34" i="11" s="1"/>
  <c r="AI136" i="11"/>
  <c r="AI143" i="11" s="1"/>
  <c r="AI144" i="11" s="1"/>
  <c r="G125" i="11"/>
  <c r="G132" i="11" s="1"/>
  <c r="G133" i="11" s="1"/>
  <c r="AQ15" i="11"/>
  <c r="AQ22" i="11" s="1"/>
  <c r="AQ23" i="11" s="1"/>
  <c r="T136" i="11"/>
  <c r="T143" i="11" s="1"/>
  <c r="T144" i="11" s="1"/>
  <c r="AA70" i="11"/>
  <c r="AA77" i="11" s="1"/>
  <c r="AA78" i="11" s="1"/>
  <c r="O15" i="11"/>
  <c r="O22" i="11" s="1"/>
  <c r="O23" i="11" s="1"/>
  <c r="W81" i="11"/>
  <c r="W88" i="11" s="1"/>
  <c r="W89" i="11" s="1"/>
  <c r="AI114" i="11"/>
  <c r="AI121" i="11" s="1"/>
  <c r="AI122" i="11" s="1"/>
  <c r="AM37" i="11"/>
  <c r="AM44" i="11" s="1"/>
  <c r="AM45" i="11" s="1"/>
  <c r="AR4" i="11"/>
  <c r="AR11" i="11" s="1"/>
  <c r="AR12" i="11" s="1"/>
  <c r="D81" i="11"/>
  <c r="D88" i="11" s="1"/>
  <c r="D89" i="11" s="1"/>
  <c r="AP114" i="11"/>
  <c r="AP121" i="11" s="1"/>
  <c r="AP122" i="11" s="1"/>
  <c r="F147" i="11"/>
  <c r="F154" i="11" s="1"/>
  <c r="F155" i="11" s="1"/>
  <c r="L147" i="11"/>
  <c r="L154" i="11" s="1"/>
  <c r="L155" i="11" s="1"/>
  <c r="V158" i="11"/>
  <c r="V165" i="11" s="1"/>
  <c r="V166" i="11" s="1"/>
  <c r="AA114" i="11"/>
  <c r="AA121" i="11" s="1"/>
  <c r="AA122" i="11" s="1"/>
  <c r="Z125" i="11"/>
  <c r="Z132" i="11" s="1"/>
  <c r="Z133" i="11" s="1"/>
  <c r="AM103" i="11"/>
  <c r="AM110" i="11" s="1"/>
  <c r="AM111" i="11" s="1"/>
  <c r="H37" i="11"/>
  <c r="H44" i="11" s="1"/>
  <c r="H45" i="11" s="1"/>
  <c r="L15" i="11"/>
  <c r="L22" i="11" s="1"/>
  <c r="L23" i="11" s="1"/>
  <c r="AJ103" i="11"/>
  <c r="AJ110" i="11" s="1"/>
  <c r="AJ111" i="11" s="1"/>
  <c r="AL70" i="11"/>
  <c r="AL77" i="11" s="1"/>
  <c r="AL78" i="11" s="1"/>
  <c r="AO125" i="11"/>
  <c r="AO132" i="11" s="1"/>
  <c r="AO133" i="11" s="1"/>
  <c r="P103" i="11"/>
  <c r="P110" i="11" s="1"/>
  <c r="P111" i="11" s="1"/>
  <c r="AF103" i="11"/>
  <c r="AF110" i="11" s="1"/>
  <c r="AF111" i="11" s="1"/>
  <c r="AK125" i="11"/>
  <c r="AK132" i="11" s="1"/>
  <c r="AK133" i="11" s="1"/>
  <c r="W147" i="11"/>
  <c r="W154" i="11" s="1"/>
  <c r="W155" i="11" s="1"/>
  <c r="O59" i="11"/>
  <c r="O66" i="11" s="1"/>
  <c r="O67" i="11" s="1"/>
  <c r="AA136" i="11"/>
  <c r="AA143" i="11" s="1"/>
  <c r="AA144" i="11" s="1"/>
  <c r="AH158" i="11"/>
  <c r="AH165" i="11" s="1"/>
  <c r="AH166" i="11" s="1"/>
  <c r="E59" i="11"/>
  <c r="E66" i="11" s="1"/>
  <c r="E67" i="11" s="1"/>
  <c r="AO48" i="11"/>
  <c r="AO55" i="11" s="1"/>
  <c r="AO56" i="11" s="1"/>
  <c r="AG26" i="11"/>
  <c r="AG33" i="11" s="1"/>
  <c r="AG34" i="11" s="1"/>
  <c r="C114" i="11"/>
  <c r="C121" i="11" s="1"/>
  <c r="C122" i="11" s="1"/>
  <c r="I136" i="11"/>
  <c r="I143" i="11" s="1"/>
  <c r="I144" i="11" s="1"/>
  <c r="D15" i="11"/>
  <c r="D22" i="11" s="1"/>
  <c r="D23" i="11" s="1"/>
  <c r="AM158" i="11"/>
  <c r="AM165" i="11" s="1"/>
  <c r="AM166" i="11" s="1"/>
  <c r="S15" i="11"/>
  <c r="S22" i="11" s="1"/>
  <c r="S23" i="11" s="1"/>
  <c r="L26" i="11"/>
  <c r="L33" i="11" s="1"/>
  <c r="L34" i="11" s="1"/>
  <c r="J136" i="11"/>
  <c r="J143" i="11" s="1"/>
  <c r="J144" i="11" s="1"/>
  <c r="AI59" i="11"/>
  <c r="AI66" i="11" s="1"/>
  <c r="AI67" i="11" s="1"/>
  <c r="AF70" i="11"/>
  <c r="AF77" i="11" s="1"/>
  <c r="AF78" i="11" s="1"/>
  <c r="W37" i="11"/>
  <c r="W44" i="11" s="1"/>
  <c r="W45" i="11" s="1"/>
  <c r="U114" i="11"/>
  <c r="U121" i="11" s="1"/>
  <c r="U122" i="11" s="1"/>
  <c r="I125" i="11"/>
  <c r="I132" i="11" s="1"/>
  <c r="I133" i="11" s="1"/>
  <c r="F37" i="11"/>
  <c r="F44" i="11" s="1"/>
  <c r="F45" i="11" s="1"/>
  <c r="W169" i="11"/>
  <c r="W176" i="11" s="1"/>
  <c r="W177" i="11" s="1"/>
  <c r="D59" i="11"/>
  <c r="D66" i="11" s="1"/>
  <c r="D67" i="11" s="1"/>
  <c r="V26" i="11"/>
  <c r="V33" i="11" s="1"/>
  <c r="V34" i="11" s="1"/>
  <c r="E103" i="11"/>
  <c r="E110" i="11" s="1"/>
  <c r="E111" i="11" s="1"/>
  <c r="AN103" i="11"/>
  <c r="AN110" i="11" s="1"/>
  <c r="AN111" i="11" s="1"/>
  <c r="U15" i="11"/>
  <c r="U22" i="11" s="1"/>
  <c r="U23" i="11" s="1"/>
  <c r="AD114" i="11"/>
  <c r="AD121" i="11" s="1"/>
  <c r="AD122" i="11" s="1"/>
  <c r="AI125" i="11"/>
  <c r="AI132" i="11" s="1"/>
  <c r="AI133" i="11" s="1"/>
  <c r="E37" i="11"/>
  <c r="E44" i="11" s="1"/>
  <c r="E45" i="11" s="1"/>
  <c r="AI26" i="11"/>
  <c r="AI33" i="11" s="1"/>
  <c r="AI34" i="11" s="1"/>
  <c r="AJ37" i="11"/>
  <c r="AJ44" i="11" s="1"/>
  <c r="AJ45" i="11" s="1"/>
  <c r="AL136" i="11"/>
  <c r="AL143" i="11" s="1"/>
  <c r="AL144" i="11" s="1"/>
  <c r="AK59" i="11"/>
  <c r="AK66" i="11" s="1"/>
  <c r="AK67" i="11" s="1"/>
  <c r="N125" i="11"/>
  <c r="N132" i="11" s="1"/>
  <c r="N133" i="11" s="1"/>
  <c r="AL92" i="11"/>
  <c r="AL99" i="11" s="1"/>
  <c r="AL100" i="11" s="1"/>
  <c r="AF4" i="11"/>
  <c r="AF11" i="11" s="1"/>
  <c r="AF12" i="11" s="1"/>
  <c r="D4" i="11"/>
  <c r="D11" i="11" s="1"/>
  <c r="D12" i="11" s="1"/>
  <c r="J114" i="11"/>
  <c r="J121" i="11" s="1"/>
  <c r="J122" i="11" s="1"/>
  <c r="U125" i="11"/>
  <c r="U132" i="11" s="1"/>
  <c r="U133" i="11" s="1"/>
  <c r="AC103" i="11"/>
  <c r="AC110" i="11" s="1"/>
  <c r="AC111" i="11" s="1"/>
  <c r="U158" i="11"/>
  <c r="U165" i="11" s="1"/>
  <c r="U166" i="11" s="1"/>
  <c r="P37" i="11"/>
  <c r="P44" i="11" s="1"/>
  <c r="P45" i="11" s="1"/>
  <c r="R15" i="11"/>
  <c r="R22" i="11" s="1"/>
  <c r="R23" i="11" s="1"/>
  <c r="AC48" i="11"/>
  <c r="AC55" i="11" s="1"/>
  <c r="AC56" i="11" s="1"/>
  <c r="G158" i="11"/>
  <c r="G165" i="11" s="1"/>
  <c r="G166" i="11" s="1"/>
  <c r="AA26" i="11"/>
  <c r="AA33" i="11" s="1"/>
  <c r="AA34" i="11" s="1"/>
  <c r="AJ4" i="11"/>
  <c r="AJ11" i="11" s="1"/>
  <c r="AJ12" i="11" s="1"/>
  <c r="Y136" i="11"/>
  <c r="Y143" i="11" s="1"/>
  <c r="Y144" i="11" s="1"/>
  <c r="H15" i="11"/>
  <c r="H22" i="11" s="1"/>
  <c r="H23" i="11" s="1"/>
  <c r="X15" i="11"/>
  <c r="X22" i="11" s="1"/>
  <c r="X23" i="11" s="1"/>
  <c r="W92" i="11"/>
  <c r="W99" i="11" s="1"/>
  <c r="W100" i="11" s="1"/>
  <c r="AJ158" i="11"/>
  <c r="AJ165" i="11" s="1"/>
  <c r="AJ166" i="11" s="1"/>
  <c r="AG37" i="11"/>
  <c r="AG44" i="11" s="1"/>
  <c r="AG45" i="11" s="1"/>
  <c r="AJ81" i="11"/>
  <c r="AJ88" i="11" s="1"/>
  <c r="AJ89" i="11" s="1"/>
  <c r="AB15" i="11"/>
  <c r="AB22" i="11" s="1"/>
  <c r="AB23" i="11" s="1"/>
  <c r="F125" i="11"/>
  <c r="F132" i="11" s="1"/>
  <c r="F133" i="11" s="1"/>
  <c r="AQ147" i="11"/>
  <c r="AQ154" i="11" s="1"/>
  <c r="AQ155" i="11" s="1"/>
  <c r="C37" i="11"/>
  <c r="C44" i="11" s="1"/>
  <c r="C45" i="11" s="1"/>
  <c r="W158" i="11"/>
  <c r="W165" i="11" s="1"/>
  <c r="W166" i="11" s="1"/>
  <c r="AF37" i="11"/>
  <c r="AF44" i="11" s="1"/>
  <c r="AF45" i="11" s="1"/>
  <c r="I158" i="11"/>
  <c r="I165" i="11" s="1"/>
  <c r="I166" i="11" s="1"/>
  <c r="S70" i="11"/>
  <c r="S77" i="11" s="1"/>
  <c r="S78" i="11" s="1"/>
  <c r="AB4" i="11"/>
  <c r="AB11" i="11" s="1"/>
  <c r="AB12" i="11" s="1"/>
  <c r="AF136" i="11"/>
  <c r="AF143" i="11" s="1"/>
  <c r="AF144" i="11" s="1"/>
  <c r="AH114" i="11"/>
  <c r="AH121" i="11" s="1"/>
  <c r="AH122" i="11" s="1"/>
  <c r="P15" i="11"/>
  <c r="P22" i="11" s="1"/>
  <c r="P23" i="11" s="1"/>
  <c r="Q136" i="11"/>
  <c r="Q143" i="11" s="1"/>
  <c r="Q144" i="11" s="1"/>
  <c r="Q37" i="11"/>
  <c r="Q44" i="11" s="1"/>
  <c r="Q45" i="11" s="1"/>
  <c r="M81" i="11"/>
  <c r="M88" i="11" s="1"/>
  <c r="M89" i="11" s="1"/>
  <c r="O125" i="11"/>
  <c r="O132" i="11" s="1"/>
  <c r="O133" i="11" s="1"/>
  <c r="AR103" i="11"/>
  <c r="AR110" i="11" s="1"/>
  <c r="AR111" i="11" s="1"/>
  <c r="P81" i="11"/>
  <c r="P88" i="11" s="1"/>
  <c r="P89" i="11" s="1"/>
  <c r="M103" i="11"/>
  <c r="M110" i="11" s="1"/>
  <c r="M111" i="11" s="1"/>
  <c r="T147" i="11"/>
  <c r="T154" i="11" s="1"/>
  <c r="T155" i="11" s="1"/>
  <c r="AI4" i="11"/>
  <c r="AI11" i="11" s="1"/>
  <c r="AI12" i="11" s="1"/>
  <c r="AQ103" i="11"/>
  <c r="AQ110" i="11" s="1"/>
  <c r="AQ111" i="11" s="1"/>
  <c r="J147" i="11"/>
  <c r="J154" i="11" s="1"/>
  <c r="J155" i="11" s="1"/>
  <c r="U59" i="11"/>
  <c r="U66" i="11" s="1"/>
  <c r="U67" i="11" s="1"/>
  <c r="S125" i="11"/>
  <c r="S132" i="11" s="1"/>
  <c r="S133" i="11" s="1"/>
  <c r="Q114" i="11"/>
  <c r="Q121" i="11" s="1"/>
  <c r="Q122" i="11" s="1"/>
  <c r="W136" i="11"/>
  <c r="W143" i="11" s="1"/>
  <c r="W144" i="11" s="1"/>
  <c r="L92" i="11"/>
  <c r="L99" i="11" s="1"/>
  <c r="L100" i="11" s="1"/>
  <c r="AB158" i="11"/>
  <c r="AB165" i="11" s="1"/>
  <c r="AB166" i="11" s="1"/>
  <c r="AB26" i="11"/>
  <c r="AB33" i="11" s="1"/>
  <c r="AB34" i="11" s="1"/>
  <c r="AB103" i="11"/>
  <c r="AB110" i="11" s="1"/>
  <c r="AB111" i="11" s="1"/>
  <c r="G4" i="11"/>
  <c r="G11" i="11" s="1"/>
  <c r="G12" i="11" s="1"/>
  <c r="AE136" i="11"/>
  <c r="AE143" i="11" s="1"/>
  <c r="AE144" i="11" s="1"/>
  <c r="P169" i="11"/>
  <c r="P176" i="11" s="1"/>
  <c r="P177" i="11" s="1"/>
  <c r="F114" i="11"/>
  <c r="F121" i="11" s="1"/>
  <c r="F122" i="11" s="1"/>
  <c r="K26" i="11"/>
  <c r="K33" i="11" s="1"/>
  <c r="K34" i="11" s="1"/>
  <c r="AN147" i="11"/>
  <c r="AN154" i="11" s="1"/>
  <c r="AN155" i="11" s="1"/>
  <c r="AI15" i="11"/>
  <c r="AI22" i="11" s="1"/>
  <c r="AI23" i="11" s="1"/>
  <c r="AA158" i="11"/>
  <c r="AA165" i="11" s="1"/>
  <c r="AA166" i="11" s="1"/>
  <c r="AD169" i="11"/>
  <c r="AD176" i="11" s="1"/>
  <c r="AD177" i="11" s="1"/>
  <c r="F59" i="11"/>
  <c r="F66" i="11" s="1"/>
  <c r="F67" i="11" s="1"/>
  <c r="E136" i="11"/>
  <c r="E143" i="11" s="1"/>
  <c r="E144" i="11" s="1"/>
  <c r="AM136" i="11"/>
  <c r="AM143" i="11" s="1"/>
  <c r="AM144" i="11" s="1"/>
  <c r="S92" i="11"/>
  <c r="S99" i="11" s="1"/>
  <c r="S100" i="11" s="1"/>
  <c r="O70" i="11"/>
  <c r="O77" i="11" s="1"/>
  <c r="O78" i="11" s="1"/>
  <c r="D103" i="11"/>
  <c r="D110" i="11" s="1"/>
  <c r="D111" i="11" s="1"/>
  <c r="AD48" i="11"/>
  <c r="AD55" i="11" s="1"/>
  <c r="AD56" i="11" s="1"/>
  <c r="AC114" i="11"/>
  <c r="AC121" i="11" s="1"/>
  <c r="AC122" i="11" s="1"/>
  <c r="AH169" i="11"/>
  <c r="AH176" i="11" s="1"/>
  <c r="AH177" i="11" s="1"/>
  <c r="O92" i="11"/>
  <c r="O99" i="11" s="1"/>
  <c r="O100" i="11" s="1"/>
  <c r="Q103" i="11"/>
  <c r="Q110" i="11" s="1"/>
  <c r="Q111" i="11" s="1"/>
  <c r="Q169" i="11"/>
  <c r="Q176" i="11" s="1"/>
  <c r="Q177" i="11" s="1"/>
  <c r="AB92" i="11"/>
  <c r="AB99" i="11" s="1"/>
  <c r="AB100" i="11" s="1"/>
  <c r="K103" i="11"/>
  <c r="K110" i="11" s="1"/>
  <c r="K111" i="11" s="1"/>
  <c r="AH103" i="11"/>
  <c r="AH110" i="11" s="1"/>
  <c r="AH111" i="11" s="1"/>
  <c r="AH182" i="11" s="1"/>
  <c r="T35" i="1" s="1"/>
  <c r="E35" i="1" s="1"/>
  <c r="V35" i="1" s="1"/>
  <c r="T81" i="11"/>
  <c r="T88" i="11" s="1"/>
  <c r="T89" i="11" s="1"/>
  <c r="AE114" i="11"/>
  <c r="AE121" i="11" s="1"/>
  <c r="AE122" i="11" s="1"/>
  <c r="T114" i="11"/>
  <c r="T121" i="11" s="1"/>
  <c r="T122" i="11" s="1"/>
  <c r="R103" i="11"/>
  <c r="R110" i="11" s="1"/>
  <c r="R111" i="11" s="1"/>
  <c r="J59" i="11"/>
  <c r="J66" i="11" s="1"/>
  <c r="J67" i="11" s="1"/>
  <c r="X37" i="11"/>
  <c r="X44" i="11" s="1"/>
  <c r="X45" i="11" s="1"/>
  <c r="AQ4" i="11"/>
  <c r="AQ11" i="11" s="1"/>
  <c r="AQ12" i="11" s="1"/>
  <c r="X169" i="11"/>
  <c r="X176" i="11" s="1"/>
  <c r="X177" i="11" s="1"/>
  <c r="AE37" i="11"/>
  <c r="AE44" i="11" s="1"/>
  <c r="AE45" i="11" s="1"/>
  <c r="AI169" i="11"/>
  <c r="AI176" i="11" s="1"/>
  <c r="AI177" i="11" s="1"/>
  <c r="N15" i="11"/>
  <c r="N22" i="11" s="1"/>
  <c r="N23" i="11" s="1"/>
  <c r="AP147" i="11"/>
  <c r="AP154" i="11" s="1"/>
  <c r="AP155" i="11" s="1"/>
  <c r="O4" i="11"/>
  <c r="O11" i="11" s="1"/>
  <c r="O12" i="11" s="1"/>
  <c r="AQ169" i="11"/>
  <c r="AQ176" i="11" s="1"/>
  <c r="AQ177" i="11" s="1"/>
  <c r="AD15" i="11"/>
  <c r="AD22" i="11" s="1"/>
  <c r="AD23" i="11" s="1"/>
  <c r="L81" i="11"/>
  <c r="L88" i="11" s="1"/>
  <c r="L89" i="11" s="1"/>
  <c r="AN92" i="11"/>
  <c r="AN99" i="11" s="1"/>
  <c r="AN100" i="11" s="1"/>
  <c r="AI92" i="11"/>
  <c r="U169" i="11"/>
  <c r="U176" i="11" s="1"/>
  <c r="U177" i="11" s="1"/>
  <c r="AL125" i="11"/>
  <c r="AL132" i="11" s="1"/>
  <c r="AL133" i="11" s="1"/>
  <c r="H92" i="11"/>
  <c r="H99" i="11" s="1"/>
  <c r="H100" i="11" s="1"/>
  <c r="Z59" i="11"/>
  <c r="Z66" i="11" s="1"/>
  <c r="Z67" i="11" s="1"/>
  <c r="Y81" i="11"/>
  <c r="Y88" i="11" s="1"/>
  <c r="Y89" i="11" s="1"/>
  <c r="AE15" i="11"/>
  <c r="AE22" i="11" s="1"/>
  <c r="AE23" i="11" s="1"/>
  <c r="J70" i="11"/>
  <c r="J77" i="11" s="1"/>
  <c r="J78" i="11" s="1"/>
  <c r="G136" i="11"/>
  <c r="G143" i="11" s="1"/>
  <c r="G144" i="11" s="1"/>
  <c r="I48" i="11"/>
  <c r="I55" i="11" s="1"/>
  <c r="I56" i="11" s="1"/>
  <c r="AQ136" i="11"/>
  <c r="AQ143" i="11" s="1"/>
  <c r="AQ144" i="11" s="1"/>
  <c r="O147" i="11"/>
  <c r="O154" i="11" s="1"/>
  <c r="O155" i="11" s="1"/>
  <c r="F103" i="11"/>
  <c r="F110" i="11" s="1"/>
  <c r="F111" i="11" s="1"/>
  <c r="AC169" i="11"/>
  <c r="AC176" i="11" s="1"/>
  <c r="AC177" i="11" s="1"/>
  <c r="AB48" i="11"/>
  <c r="AB55" i="11" s="1"/>
  <c r="AB56" i="11" s="1"/>
  <c r="W70" i="11"/>
  <c r="W77" i="11" s="1"/>
  <c r="W78" i="11" s="1"/>
  <c r="Q15" i="11"/>
  <c r="Q22" i="11" s="1"/>
  <c r="Q23" i="11" s="1"/>
  <c r="Y114" i="11"/>
  <c r="Y121" i="11" s="1"/>
  <c r="Y122" i="11" s="1"/>
  <c r="X26" i="11"/>
  <c r="X33" i="11" s="1"/>
  <c r="X34" i="11" s="1"/>
  <c r="M125" i="11"/>
  <c r="M132" i="11" s="1"/>
  <c r="M133" i="11" s="1"/>
  <c r="AQ158" i="11"/>
  <c r="AQ165" i="11" s="1"/>
  <c r="AQ166" i="11" s="1"/>
  <c r="AM48" i="11"/>
  <c r="AM55" i="11" s="1"/>
  <c r="AM56" i="11" s="1"/>
  <c r="X4" i="11"/>
  <c r="X11" i="11" s="1"/>
  <c r="X12" i="11" s="1"/>
  <c r="X182" i="11" s="1"/>
  <c r="T25" i="1" s="1"/>
  <c r="E25" i="1" s="1"/>
  <c r="V25" i="1" s="1"/>
  <c r="AC81" i="11"/>
  <c r="AC88" i="11" s="1"/>
  <c r="AC89" i="11" s="1"/>
  <c r="M59" i="11"/>
  <c r="M66" i="11" s="1"/>
  <c r="M67" i="11" s="1"/>
  <c r="AP26" i="11"/>
  <c r="AP33" i="11" s="1"/>
  <c r="AP34" i="11" s="1"/>
  <c r="V125" i="11"/>
  <c r="V132" i="11" s="1"/>
  <c r="V133" i="11" s="1"/>
  <c r="AM15" i="11"/>
  <c r="AM22" i="11" s="1"/>
  <c r="AM23" i="11" s="1"/>
  <c r="AO103" i="11"/>
  <c r="AO110" i="11" s="1"/>
  <c r="AO111" i="11" s="1"/>
  <c r="L114" i="11"/>
  <c r="L121" i="11" s="1"/>
  <c r="L122" i="11" s="1"/>
  <c r="I26" i="11"/>
  <c r="I33" i="11" s="1"/>
  <c r="I34" i="11" s="1"/>
  <c r="Y37" i="11"/>
  <c r="Y44" i="11" s="1"/>
  <c r="Y45" i="11" s="1"/>
  <c r="AH92" i="11"/>
  <c r="AH99" i="11" s="1"/>
  <c r="AH100" i="11" s="1"/>
  <c r="M26" i="11"/>
  <c r="M33" i="11" s="1"/>
  <c r="M34" i="11" s="1"/>
  <c r="AE70" i="11"/>
  <c r="AE77" i="11" s="1"/>
  <c r="AE78" i="11" s="1"/>
  <c r="F169" i="11"/>
  <c r="F176" i="11" s="1"/>
  <c r="F177" i="11" s="1"/>
  <c r="AR147" i="11"/>
  <c r="AR154" i="11" s="1"/>
  <c r="AR155" i="11" s="1"/>
  <c r="D136" i="11"/>
  <c r="D143" i="11" s="1"/>
  <c r="D144" i="11" s="1"/>
  <c r="AP37" i="11"/>
  <c r="AP44" i="11" s="1"/>
  <c r="AP45" i="11" s="1"/>
  <c r="D125" i="11"/>
  <c r="D132" i="11" s="1"/>
  <c r="D133" i="11" s="1"/>
  <c r="AK70" i="11"/>
  <c r="AK77" i="11" s="1"/>
  <c r="AK78" i="11" s="1"/>
  <c r="F81" i="11"/>
  <c r="F88" i="11" s="1"/>
  <c r="F89" i="11" s="1"/>
  <c r="I15" i="11"/>
  <c r="I22" i="11" s="1"/>
  <c r="I23" i="11" s="1"/>
  <c r="Q48" i="11"/>
  <c r="Q55" i="11" s="1"/>
  <c r="Q56" i="11" s="1"/>
  <c r="AO92" i="11"/>
  <c r="AO99" i="11" s="1"/>
  <c r="AO100" i="11" s="1"/>
  <c r="H70" i="11"/>
  <c r="H77" i="11" s="1"/>
  <c r="H78" i="11" s="1"/>
  <c r="R92" i="11"/>
  <c r="R99" i="11" s="1"/>
  <c r="R100" i="11" s="1"/>
  <c r="AA48" i="11"/>
  <c r="AA55" i="11" s="1"/>
  <c r="AA56" i="11" s="1"/>
  <c r="X158" i="11"/>
  <c r="X165" i="11" s="1"/>
  <c r="X166" i="11" s="1"/>
  <c r="X81" i="11"/>
  <c r="X88" i="11" s="1"/>
  <c r="X89" i="11" s="1"/>
  <c r="Y59" i="11"/>
  <c r="Y66" i="11" s="1"/>
  <c r="Y67" i="11" s="1"/>
  <c r="T26" i="11"/>
  <c r="T33" i="11" s="1"/>
  <c r="T34" i="11" s="1"/>
  <c r="I4" i="11"/>
  <c r="I11" i="11" s="1"/>
  <c r="I12" i="11" s="1"/>
  <c r="AE4" i="11"/>
  <c r="AE11" i="11" s="1"/>
  <c r="AE12" i="11" s="1"/>
  <c r="AP59" i="11"/>
  <c r="AP66" i="11" s="1"/>
  <c r="AP67" i="11" s="1"/>
  <c r="AK103" i="11"/>
  <c r="AK110" i="11" s="1"/>
  <c r="AK111" i="11" s="1"/>
  <c r="AM92" i="11"/>
  <c r="AM99" i="11" s="1"/>
  <c r="AM100" i="11" s="1"/>
  <c r="E26" i="11"/>
  <c r="E33" i="11" s="1"/>
  <c r="E34" i="11" s="1"/>
  <c r="N114" i="11"/>
  <c r="N121" i="11" s="1"/>
  <c r="N122" i="11" s="1"/>
  <c r="AN158" i="11"/>
  <c r="AN165" i="11" s="1"/>
  <c r="AN166" i="11" s="1"/>
  <c r="R37" i="11"/>
  <c r="R44" i="11" s="1"/>
  <c r="R45" i="11" s="1"/>
  <c r="D114" i="11"/>
  <c r="D121" i="11" s="1"/>
  <c r="D122" i="11" s="1"/>
  <c r="D169" i="11"/>
  <c r="D176" i="11" s="1"/>
  <c r="D177" i="11" s="1"/>
  <c r="D182" i="11" s="1"/>
  <c r="T5" i="1" s="1"/>
  <c r="E5" i="1" s="1"/>
  <c r="V5" i="1" s="1"/>
  <c r="K4" i="11"/>
  <c r="K11" i="11" s="1"/>
  <c r="K12" i="11" s="1"/>
  <c r="AG59" i="11"/>
  <c r="AG66" i="11" s="1"/>
  <c r="AG67" i="11" s="1"/>
  <c r="AD136" i="11"/>
  <c r="AD143" i="11" s="1"/>
  <c r="AD144" i="11" s="1"/>
  <c r="J158" i="11"/>
  <c r="J165" i="11" s="1"/>
  <c r="J166" i="11" s="1"/>
  <c r="S158" i="11"/>
  <c r="S165" i="11" s="1"/>
  <c r="S166" i="11" s="1"/>
  <c r="C147" i="11"/>
  <c r="C154" i="11" s="1"/>
  <c r="C155" i="11" s="1"/>
  <c r="AG158" i="11"/>
  <c r="AG165" i="11" s="1"/>
  <c r="AG166" i="11" s="1"/>
  <c r="P70" i="11"/>
  <c r="P77" i="11" s="1"/>
  <c r="P78" i="11" s="1"/>
  <c r="P182" i="11" s="1"/>
  <c r="T17" i="1" s="1"/>
  <c r="E17" i="1" s="1"/>
  <c r="V17" i="1" s="1"/>
  <c r="AF92" i="11"/>
  <c r="AF99" i="11" s="1"/>
  <c r="AF100" i="11" s="1"/>
  <c r="J37" i="11"/>
  <c r="J44" i="11" s="1"/>
  <c r="J45" i="11" s="1"/>
  <c r="H158" i="11"/>
  <c r="H165" i="11" s="1"/>
  <c r="H166" i="11" s="1"/>
  <c r="AC147" i="11"/>
  <c r="AC154" i="11" s="1"/>
  <c r="AC155" i="11" s="1"/>
  <c r="AE81" i="11"/>
  <c r="AE88" i="11" s="1"/>
  <c r="AE89" i="11" s="1"/>
  <c r="N92" i="11"/>
  <c r="N99" i="11" s="1"/>
  <c r="N100" i="11" s="1"/>
  <c r="U37" i="11"/>
  <c r="U44" i="11" s="1"/>
  <c r="U45" i="11" s="1"/>
  <c r="AN4" i="11"/>
  <c r="AN11" i="11" s="1"/>
  <c r="AN12" i="11" s="1"/>
  <c r="L70" i="11"/>
  <c r="L77" i="11" s="1"/>
  <c r="L78" i="11" s="1"/>
  <c r="AJ59" i="11"/>
  <c r="AJ66" i="11" s="1"/>
  <c r="AJ67" i="11" s="1"/>
  <c r="P147" i="11"/>
  <c r="P154" i="11" s="1"/>
  <c r="P155" i="11" s="1"/>
  <c r="AJ15" i="11"/>
  <c r="AJ22" i="11" s="1"/>
  <c r="AJ23" i="11" s="1"/>
  <c r="AR70" i="11"/>
  <c r="AR77" i="11" s="1"/>
  <c r="AR78" i="11" s="1"/>
  <c r="M114" i="11"/>
  <c r="M121" i="11" s="1"/>
  <c r="M122" i="11" s="1"/>
  <c r="O48" i="11"/>
  <c r="O55" i="11" s="1"/>
  <c r="O56" i="11" s="1"/>
  <c r="V15" i="11"/>
  <c r="V22" i="11" s="1"/>
  <c r="V23" i="11" s="1"/>
  <c r="V182" i="11" s="1"/>
  <c r="T23" i="1" s="1"/>
  <c r="E23" i="1" s="1"/>
  <c r="V23" i="1" s="1"/>
  <c r="K147" i="11"/>
  <c r="K154" i="11" s="1"/>
  <c r="K155" i="11" s="1"/>
  <c r="C59" i="11"/>
  <c r="C66" i="11" s="1"/>
  <c r="C67" i="11" s="1"/>
  <c r="C48" i="11"/>
  <c r="C55" i="11" s="1"/>
  <c r="C56" i="11" s="1"/>
  <c r="I59" i="11"/>
  <c r="I66" i="11" s="1"/>
  <c r="I67" i="11" s="1"/>
  <c r="U147" i="11"/>
  <c r="U154" i="11" s="1"/>
  <c r="U155" i="11" s="1"/>
  <c r="S147" i="11"/>
  <c r="S154" i="11" s="1"/>
  <c r="S155" i="11" s="1"/>
  <c r="AG125" i="11"/>
  <c r="AG132" i="11" s="1"/>
  <c r="AG133" i="11" s="1"/>
  <c r="Y4" i="11"/>
  <c r="Y11" i="11" s="1"/>
  <c r="Y12" i="11" s="1"/>
  <c r="Y182" i="11" s="1"/>
  <c r="T26" i="1" s="1"/>
  <c r="E26" i="1" s="1"/>
  <c r="V26" i="1" s="1"/>
  <c r="AI81" i="11"/>
  <c r="AI88" i="11" s="1"/>
  <c r="AI89" i="11" s="1"/>
  <c r="D147" i="11"/>
  <c r="D154" i="11" s="1"/>
  <c r="D155" i="11" s="1"/>
  <c r="AG48" i="11"/>
  <c r="AG55" i="11" s="1"/>
  <c r="AG56" i="11" s="1"/>
  <c r="AK37" i="11"/>
  <c r="AK44" i="11" s="1"/>
  <c r="AK45" i="11" s="1"/>
  <c r="K70" i="11"/>
  <c r="K77" i="11" s="1"/>
  <c r="K78" i="11" s="1"/>
  <c r="Q59" i="11"/>
  <c r="Q66" i="11" s="1"/>
  <c r="Q67" i="11" s="1"/>
  <c r="R125" i="11"/>
  <c r="R132" i="11" s="1"/>
  <c r="R133" i="11" s="1"/>
  <c r="I169" i="11"/>
  <c r="I176" i="11" s="1"/>
  <c r="I177" i="11" s="1"/>
  <c r="W125" i="11"/>
  <c r="W132" i="11" s="1"/>
  <c r="W133" i="11" s="1"/>
  <c r="R169" i="11"/>
  <c r="R176" i="11" s="1"/>
  <c r="R177" i="11" s="1"/>
  <c r="O81" i="11"/>
  <c r="O88" i="11" s="1"/>
  <c r="O89" i="11" s="1"/>
  <c r="I147" i="11"/>
  <c r="I154" i="11" s="1"/>
  <c r="I155" i="11" s="1"/>
  <c r="L37" i="11"/>
  <c r="L44" i="11" s="1"/>
  <c r="L45" i="11" s="1"/>
  <c r="AA103" i="11"/>
  <c r="AA110" i="11" s="1"/>
  <c r="AA111" i="11" s="1"/>
  <c r="M136" i="11"/>
  <c r="M143" i="11" s="1"/>
  <c r="M144" i="11" s="1"/>
  <c r="Q26" i="11"/>
  <c r="Q33" i="11" s="1"/>
  <c r="Q34" i="11" s="1"/>
  <c r="Q182" i="11" s="1"/>
  <c r="T18" i="1" s="1"/>
  <c r="E18" i="1" s="1"/>
  <c r="V18" i="1" s="1"/>
  <c r="L125" i="11"/>
  <c r="L132" i="11" s="1"/>
  <c r="L133" i="11" s="1"/>
  <c r="S114" i="11"/>
  <c r="S121" i="11" s="1"/>
  <c r="S122" i="11" s="1"/>
  <c r="Z15" i="11"/>
  <c r="Z22" i="11" s="1"/>
  <c r="Z23" i="11" s="1"/>
  <c r="AC26" i="11"/>
  <c r="AC33" i="11" s="1"/>
  <c r="AC34" i="11" s="1"/>
  <c r="AC182" i="11" s="1"/>
  <c r="T30" i="1" s="1"/>
  <c r="E30" i="1" s="1"/>
  <c r="V30" i="1" s="1"/>
  <c r="AN70" i="11"/>
  <c r="AN77" i="11" s="1"/>
  <c r="AN78" i="11" s="1"/>
  <c r="F136" i="11"/>
  <c r="F143" i="11" s="1"/>
  <c r="F144" i="11" s="1"/>
  <c r="AL158" i="11"/>
  <c r="AL165" i="11" s="1"/>
  <c r="AL166" i="11" s="1"/>
  <c r="X92" i="11"/>
  <c r="X99" i="11" s="1"/>
  <c r="X100" i="11" s="1"/>
  <c r="AN169" i="11"/>
  <c r="AN176" i="11" s="1"/>
  <c r="AN177" i="11" s="1"/>
  <c r="AR15" i="11"/>
  <c r="AR22" i="11" s="1"/>
  <c r="AR23" i="11" s="1"/>
  <c r="AF48" i="11"/>
  <c r="AF55" i="11" s="1"/>
  <c r="AF56" i="11" s="1"/>
  <c r="R81" i="11"/>
  <c r="R88" i="11" s="1"/>
  <c r="R89" i="11" s="1"/>
  <c r="R182" i="11" s="1"/>
  <c r="T19" i="1" s="1"/>
  <c r="E19" i="1" s="1"/>
  <c r="V19" i="1" s="1"/>
  <c r="K59" i="11"/>
  <c r="K66" i="11" s="1"/>
  <c r="K67" i="11" s="1"/>
  <c r="AO15" i="11"/>
  <c r="AO22" i="11" s="1"/>
  <c r="AO23" i="11" s="1"/>
  <c r="AG92" i="11"/>
  <c r="AG99" i="11" s="1"/>
  <c r="AG100" i="11" s="1"/>
  <c r="X136" i="11"/>
  <c r="X143" i="11" s="1"/>
  <c r="X144" i="11" s="1"/>
  <c r="AN15" i="11"/>
  <c r="AN22" i="11" s="1"/>
  <c r="AN23" i="11" s="1"/>
  <c r="X70" i="11"/>
  <c r="X77" i="11" s="1"/>
  <c r="X78" i="11" s="1"/>
  <c r="P136" i="11"/>
  <c r="P143" i="11" s="1"/>
  <c r="P144" i="11" s="1"/>
  <c r="S103" i="11"/>
  <c r="S110" i="11" s="1"/>
  <c r="S111" i="11" s="1"/>
  <c r="S182" i="11" s="1"/>
  <c r="T20" i="1" s="1"/>
  <c r="E20" i="1" s="1"/>
  <c r="V59" i="11"/>
  <c r="V66" i="11" s="1"/>
  <c r="V67" i="11" s="1"/>
  <c r="AQ26" i="11"/>
  <c r="AQ33" i="11" s="1"/>
  <c r="AQ34" i="11" s="1"/>
  <c r="Z103" i="11"/>
  <c r="Z110" i="11" s="1"/>
  <c r="Z111" i="11" s="1"/>
  <c r="AB81" i="11"/>
  <c r="AB88" i="11" s="1"/>
  <c r="AB89" i="11" s="1"/>
  <c r="AD70" i="11"/>
  <c r="AD77" i="11" s="1"/>
  <c r="AD78" i="11" s="1"/>
  <c r="C81" i="11"/>
  <c r="C88" i="11" s="1"/>
  <c r="C89" i="11" s="1"/>
  <c r="C182" i="11" s="1"/>
  <c r="T4" i="1" s="1"/>
  <c r="Y92" i="11"/>
  <c r="Y99" i="11" s="1"/>
  <c r="Y100" i="11" s="1"/>
  <c r="I70" i="11"/>
  <c r="I77" i="11" s="1"/>
  <c r="I78" i="11" s="1"/>
  <c r="AI147" i="11"/>
  <c r="AI154" i="11" s="1"/>
  <c r="AI155" i="11" s="1"/>
  <c r="H103" i="11"/>
  <c r="H110" i="11" s="1"/>
  <c r="H111" i="11" s="1"/>
  <c r="X147" i="11"/>
  <c r="X154" i="11" s="1"/>
  <c r="X155" i="11" s="1"/>
  <c r="V169" i="11"/>
  <c r="V176" i="11" s="1"/>
  <c r="V177" i="11" s="1"/>
  <c r="R26" i="11"/>
  <c r="R33" i="11" s="1"/>
  <c r="R34" i="11" s="1"/>
  <c r="AQ125" i="11"/>
  <c r="AQ132" i="11" s="1"/>
  <c r="AQ133" i="11" s="1"/>
  <c r="U92" i="11"/>
  <c r="U99" i="11" s="1"/>
  <c r="U100" i="11" s="1"/>
  <c r="J48" i="11"/>
  <c r="J55" i="11" s="1"/>
  <c r="J56" i="11" s="1"/>
  <c r="J182" i="11" s="1"/>
  <c r="AC4" i="11"/>
  <c r="AC11" i="11" s="1"/>
  <c r="AC12" i="11" s="1"/>
  <c r="H4" i="11"/>
  <c r="H11" i="11" s="1"/>
  <c r="H12" i="11" s="1"/>
  <c r="H182" i="11" s="1"/>
  <c r="T9" i="1" s="1"/>
  <c r="E9" i="1" s="1"/>
  <c r="V9" i="1" s="1"/>
  <c r="Z26" i="11"/>
  <c r="Z33" i="11" s="1"/>
  <c r="Z34" i="11" s="1"/>
  <c r="M15" i="11"/>
  <c r="M22" i="11" s="1"/>
  <c r="M23" i="11" s="1"/>
  <c r="M182" i="11" s="1"/>
  <c r="T14" i="1" s="1"/>
  <c r="E14" i="1" s="1"/>
  <c r="V14" i="1" s="1"/>
  <c r="AK48" i="11"/>
  <c r="AK55" i="11" s="1"/>
  <c r="AK56" i="11" s="1"/>
  <c r="AP4" i="11"/>
  <c r="AP11" i="11" s="1"/>
  <c r="AP12" i="11" s="1"/>
  <c r="V136" i="11"/>
  <c r="V143" i="11" s="1"/>
  <c r="V144" i="11" s="1"/>
  <c r="V81" i="11"/>
  <c r="V88" i="11" s="1"/>
  <c r="V89" i="11" s="1"/>
  <c r="R114" i="11"/>
  <c r="R121" i="11" s="1"/>
  <c r="R122" i="11" s="1"/>
  <c r="G26" i="11"/>
  <c r="G33" i="11" s="1"/>
  <c r="G34" i="11" s="1"/>
  <c r="AB147" i="11"/>
  <c r="AB154" i="11" s="1"/>
  <c r="AB155" i="11" s="1"/>
  <c r="AL169" i="11"/>
  <c r="AL176" i="11" s="1"/>
  <c r="AL177" i="11" s="1"/>
  <c r="Y48" i="11"/>
  <c r="Y55" i="11" s="1"/>
  <c r="Y56" i="11" s="1"/>
  <c r="M158" i="11"/>
  <c r="M165" i="11" s="1"/>
  <c r="M166" i="11" s="1"/>
  <c r="AP136" i="11"/>
  <c r="AP143" i="11" s="1"/>
  <c r="AP144" i="11" s="1"/>
  <c r="AF169" i="11"/>
  <c r="AF176" i="11" s="1"/>
  <c r="AF177" i="11" s="1"/>
  <c r="U70" i="11"/>
  <c r="U77" i="11" s="1"/>
  <c r="U78" i="11" s="1"/>
  <c r="G59" i="11"/>
  <c r="G66" i="11" s="1"/>
  <c r="G67" i="11" s="1"/>
  <c r="AF26" i="11"/>
  <c r="AF33" i="11" s="1"/>
  <c r="AF34" i="11" s="1"/>
  <c r="AF182" i="11" s="1"/>
  <c r="T33" i="1" s="1"/>
  <c r="E33" i="1" s="1"/>
  <c r="V33" i="1" s="1"/>
  <c r="T15" i="11"/>
  <c r="T22" i="11" s="1"/>
  <c r="T23" i="11" s="1"/>
  <c r="T182" i="11" s="1"/>
  <c r="T21" i="1" s="1"/>
  <c r="E21" i="1" s="1"/>
  <c r="V21" i="1" s="1"/>
  <c r="AG15" i="11"/>
  <c r="AG22" i="11" s="1"/>
  <c r="AG23" i="11" s="1"/>
  <c r="AD92" i="11"/>
  <c r="AD99" i="11" s="1"/>
  <c r="AD100" i="11" s="1"/>
  <c r="Y158" i="11"/>
  <c r="Y165" i="11" s="1"/>
  <c r="Y166" i="11" s="1"/>
  <c r="R136" i="11"/>
  <c r="R143" i="11" s="1"/>
  <c r="R144" i="11" s="1"/>
  <c r="S26" i="11"/>
  <c r="S33" i="11" s="1"/>
  <c r="S34" i="11" s="1"/>
  <c r="U103" i="11"/>
  <c r="U110" i="11" s="1"/>
  <c r="U111" i="11" s="1"/>
  <c r="K37" i="11"/>
  <c r="K44" i="11" s="1"/>
  <c r="K45" i="11" s="1"/>
  <c r="AE103" i="11"/>
  <c r="AE110" i="11" s="1"/>
  <c r="AE111" i="11" s="1"/>
  <c r="AI37" i="11"/>
  <c r="AI44" i="11" s="1"/>
  <c r="AI45" i="11" s="1"/>
  <c r="L136" i="11"/>
  <c r="L143" i="11" s="1"/>
  <c r="L144" i="11" s="1"/>
  <c r="H125" i="11"/>
  <c r="H132" i="11" s="1"/>
  <c r="H133" i="11" s="1"/>
  <c r="AJ125" i="11"/>
  <c r="AJ132" i="11" s="1"/>
  <c r="AJ133" i="11" s="1"/>
  <c r="N37" i="11"/>
  <c r="N44" i="11" s="1"/>
  <c r="N45" i="11" s="1"/>
  <c r="D7" i="5"/>
  <c r="AC99" i="5"/>
  <c r="D99" i="5" s="1"/>
  <c r="AG169" i="11"/>
  <c r="AG176" i="11" s="1"/>
  <c r="AG177" i="11" s="1"/>
  <c r="AG182" i="11" s="1"/>
  <c r="T34" i="1" s="1"/>
  <c r="E34" i="1" s="1"/>
  <c r="V34" i="1" s="1"/>
  <c r="L158" i="11"/>
  <c r="L165" i="11" s="1"/>
  <c r="L166" i="11" s="1"/>
  <c r="W103" i="11"/>
  <c r="W110" i="11" s="1"/>
  <c r="W111" i="11" s="1"/>
  <c r="U48" i="11"/>
  <c r="U55" i="11" s="1"/>
  <c r="U56" i="11" s="1"/>
  <c r="U182" i="11" s="1"/>
  <c r="T22" i="1" s="1"/>
  <c r="E22" i="1" s="1"/>
  <c r="V22" i="1" s="1"/>
  <c r="N81" i="11"/>
  <c r="N88" i="11" s="1"/>
  <c r="N89" i="11" s="1"/>
  <c r="N182" i="11" s="1"/>
  <c r="T15" i="1" s="1"/>
  <c r="E15" i="1" s="1"/>
  <c r="V15" i="1" s="1"/>
  <c r="E147" i="11"/>
  <c r="E154" i="11" s="1"/>
  <c r="E155" i="11" s="1"/>
  <c r="Y15" i="11"/>
  <c r="Y22" i="11" s="1"/>
  <c r="Y23" i="11" s="1"/>
  <c r="C92" i="11"/>
  <c r="C99" i="11" s="1"/>
  <c r="C100" i="11" s="1"/>
  <c r="I92" i="11"/>
  <c r="I99" i="11" s="1"/>
  <c r="I100" i="11" s="1"/>
  <c r="I182" i="11" s="1"/>
  <c r="D88" i="6"/>
  <c r="AU99" i="6"/>
  <c r="D91" i="5"/>
  <c r="AW99" i="5"/>
  <c r="Z99" i="5"/>
  <c r="D22" i="5"/>
  <c r="D61" i="6"/>
  <c r="D31" i="6"/>
  <c r="D34" i="6"/>
  <c r="AW99" i="6"/>
  <c r="D99" i="6"/>
  <c r="C101" i="5"/>
  <c r="D101" i="5" s="1"/>
  <c r="C103" i="5" s="1"/>
  <c r="G182" i="11"/>
  <c r="T8" i="1" s="1"/>
  <c r="E8" i="1" s="1"/>
  <c r="V8" i="1" s="1"/>
  <c r="AA182" i="11"/>
  <c r="T28" i="1" s="1"/>
  <c r="E28" i="1" s="1"/>
  <c r="V28" i="1" s="1"/>
  <c r="AJ182" i="11"/>
  <c r="K182" i="11"/>
  <c r="T12" i="1" s="1"/>
  <c r="E12" i="1" s="1"/>
  <c r="V12" i="1" s="1"/>
  <c r="W182" i="11"/>
  <c r="T24" i="1" s="1"/>
  <c r="E24" i="1" s="1"/>
  <c r="V24" i="1" s="1"/>
  <c r="AD182" i="11"/>
  <c r="T31" i="1" s="1"/>
  <c r="E31" i="1" s="1"/>
  <c r="V31" i="1" s="1"/>
  <c r="Z182" i="11"/>
  <c r="T27" i="1" s="1"/>
  <c r="E27" i="1" s="1"/>
  <c r="V27" i="1" s="1"/>
  <c r="AI99" i="11"/>
  <c r="AI100" i="11" s="1"/>
  <c r="AI182" i="11" s="1"/>
  <c r="F11" i="11"/>
  <c r="F12" i="11" s="1"/>
  <c r="F182" i="11" s="1"/>
  <c r="T7" i="1" s="1"/>
  <c r="E7" i="1" s="1"/>
  <c r="V7" i="1" s="1"/>
  <c r="T10" i="1" l="1"/>
  <c r="E10" i="1" s="1"/>
  <c r="V10" i="1" s="1"/>
  <c r="T11" i="1"/>
  <c r="E11" i="1" s="1"/>
  <c r="V11" i="1" s="1"/>
  <c r="O165" i="11"/>
  <c r="O166" i="11" s="1"/>
  <c r="O182" i="11" s="1"/>
  <c r="T16" i="1" s="1"/>
  <c r="E16" i="1" s="1"/>
  <c r="V16" i="1" s="1"/>
  <c r="K20" i="1"/>
  <c r="C101" i="6"/>
  <c r="AB182" i="11"/>
  <c r="T29" i="1" s="1"/>
  <c r="E29" i="1" s="1"/>
  <c r="V29" i="1" s="1"/>
  <c r="AM176" i="11"/>
  <c r="AM177" i="11" s="1"/>
  <c r="AN44" i="11"/>
  <c r="AN45" i="11" s="1"/>
  <c r="AP55" i="11"/>
  <c r="AP56" i="11" s="1"/>
  <c r="AK22" i="11"/>
  <c r="AK23" i="11" s="1"/>
  <c r="C99" i="5"/>
  <c r="J48" i="1" s="1"/>
  <c r="E121" i="11"/>
  <c r="E122" i="11" s="1"/>
  <c r="E182" i="11" s="1"/>
  <c r="L110" i="11"/>
  <c r="L111" i="11" s="1"/>
  <c r="L182" i="11" s="1"/>
  <c r="T13" i="1" s="1"/>
  <c r="E13" i="1" s="1"/>
  <c r="V13" i="1" s="1"/>
  <c r="AE66" i="11"/>
  <c r="AE67" i="11" s="1"/>
  <c r="AE182" i="11" s="1"/>
  <c r="T32" i="1" s="1"/>
  <c r="E32" i="1" s="1"/>
  <c r="V32" i="1" s="1"/>
  <c r="T39" i="1"/>
  <c r="E39" i="1" s="1"/>
  <c r="V39" i="1" s="1"/>
  <c r="T43" i="1"/>
  <c r="E43" i="1" s="1"/>
  <c r="V43" i="1" s="1"/>
  <c r="T45" i="1"/>
  <c r="E45" i="1" s="1"/>
  <c r="V45" i="1" s="1"/>
  <c r="T37" i="1"/>
  <c r="E37" i="1" s="1"/>
  <c r="V37" i="1" s="1"/>
  <c r="T42" i="1"/>
  <c r="E42" i="1" s="1"/>
  <c r="V42" i="1" s="1"/>
  <c r="T36" i="1"/>
  <c r="E36" i="1" s="1"/>
  <c r="V36" i="1" s="1"/>
  <c r="T38" i="1"/>
  <c r="E38" i="1" s="1"/>
  <c r="V38" i="1" s="1"/>
  <c r="T40" i="1"/>
  <c r="E40" i="1" s="1"/>
  <c r="V40" i="1" s="1"/>
  <c r="T44" i="1"/>
  <c r="E44" i="1" s="1"/>
  <c r="V44" i="1" s="1"/>
  <c r="T41" i="1"/>
  <c r="E41" i="1" s="1"/>
  <c r="V41" i="1" s="1"/>
  <c r="E4" i="1"/>
  <c r="J49" i="1"/>
  <c r="T6" i="1" l="1"/>
  <c r="E6" i="1" s="1"/>
  <c r="V6" i="1" s="1"/>
  <c r="B182" i="11"/>
  <c r="T48" i="1" s="1"/>
  <c r="E48" i="1" s="1"/>
  <c r="D101" i="6"/>
  <c r="C103" i="6" s="1"/>
  <c r="C99" i="6"/>
  <c r="K48" i="1" s="1"/>
  <c r="D20" i="1"/>
  <c r="K46" i="1"/>
  <c r="P3" i="13" s="1"/>
  <c r="P4" i="13" s="1"/>
  <c r="V4" i="1"/>
  <c r="K49" i="1" l="1"/>
  <c r="D48" i="1"/>
  <c r="D49" i="1" s="1"/>
  <c r="E46" i="1"/>
  <c r="E49" i="1" s="1"/>
  <c r="V49" i="1" s="1"/>
  <c r="D46" i="1"/>
  <c r="V20" i="1"/>
  <c r="V46" i="1" s="1"/>
  <c r="T46" i="1"/>
  <c r="T49" i="1" s="1"/>
  <c r="G52" i="1" l="1"/>
  <c r="B54" i="1"/>
  <c r="B55" i="1" s="1"/>
  <c r="E52" i="1"/>
  <c r="K3" i="13"/>
  <c r="K4" i="13" s="1"/>
  <c r="D52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sharedStrings.xml><?xml version="1.0" encoding="utf-8"?>
<sst xmlns="http://schemas.openxmlformats.org/spreadsheetml/2006/main" count="676" uniqueCount="161">
  <si>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</si>
  <si>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</si>
  <si>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</si>
  <si>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</si>
  <si>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</si>
  <si>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</si>
  <si>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</si>
  <si>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</si>
  <si>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</si>
  <si>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</si>
  <si>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</si>
  <si>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</si>
  <si>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</si>
  <si>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</si>
  <si>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</si>
  <si>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</si>
  <si>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</si>
  <si>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</si>
  <si>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</si>
  <si>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</si>
  <si>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</si>
  <si>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</si>
  <si>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</si>
  <si>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</si>
  <si>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</si>
  <si>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</si>
  <si>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</si>
  <si>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</si>
  <si>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</si>
  <si>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</si>
  <si>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</si>
  <si>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</si>
  <si>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</si>
  <si>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</si>
  <si>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</si>
  <si>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</si>
  <si>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</si>
  <si>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</si>
  <si>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</si>
  <si>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</si>
  <si>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</si>
  <si>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</si>
  <si>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</si>
  <si>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</si>
  <si>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</si>
  <si>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</si>
  <si>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</si>
  <si>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</si>
  <si>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</si>
  <si>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</si>
  <si>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</si>
  <si>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</si>
  <si>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</si>
  <si>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</si>
  <si>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</si>
  <si>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</si>
  <si>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</si>
  <si>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</si>
  <si>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</si>
  <si>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</si>
  <si>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</si>
  <si>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</si>
  <si>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</si>
  <si>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</si>
  <si>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</si>
  <si>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</si>
  <si>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</si>
  <si>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</si>
  <si>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</si>
  <si>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</si>
  <si>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</si>
  <si>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</si>
  <si>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</si>
  <si>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</si>
  <si>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</si>
  <si>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</si>
  <si>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</si>
  <si>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</si>
  <si>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</si>
  <si>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</si>
  <si>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</si>
  <si>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</si>
  <si>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</si>
  <si>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</si>
  <si>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</si>
  <si>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</si>
  <si>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</si>
  <si>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</si>
  <si>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</si>
  <si>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</si>
  <si>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</si>
  <si>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</si>
  <si>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</si>
  <si>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</si>
  <si>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</si>
  <si>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</si>
  <si>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</si>
  <si>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</si>
  <si>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</si>
  <si>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</si>
  <si>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</si>
  <si>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</si>
  <si>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Rodriguez, Benito</t>
  </si>
  <si>
    <t>Henning, Daniel</t>
  </si>
  <si>
    <t>Ramsier, Sarah</t>
  </si>
  <si>
    <t>Barnyak, Aleksey</t>
  </si>
  <si>
    <t>Levesque, Quintin</t>
  </si>
  <si>
    <t>Cannon, David</t>
  </si>
  <si>
    <t>Loggins, Harrison</t>
  </si>
  <si>
    <t>Silva, Aaron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</si>
  <si>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</si>
  <si>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</si>
  <si>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</si>
  <si>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</si>
  <si>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</si>
  <si>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</si>
  <si>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</si>
  <si>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</si>
  <si>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</si>
  <si>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</si>
  <si>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</si>
  <si>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</si>
  <si>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</si>
  <si>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</si>
  <si>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</si>
  <si>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</si>
  <si>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RanG3RRR</t>
  </si>
  <si>
    <t>Location</t>
  </si>
  <si>
    <t>Position</t>
  </si>
  <si>
    <t>Start Time</t>
  </si>
  <si>
    <t>End Time</t>
  </si>
  <si>
    <t>Reg Hours</t>
  </si>
  <si>
    <t>Ocampo-Mora, Celestino</t>
  </si>
  <si>
    <t>Heflin, Johnathon</t>
  </si>
  <si>
    <t>Bringgold, Christopher</t>
  </si>
  <si>
    <t>Barr, Christopher</t>
  </si>
  <si>
    <t>Veilleux, Matthew</t>
  </si>
  <si>
    <t>Snow, Kyle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</si>
  <si>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</si>
  <si>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</si>
  <si>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</si>
  <si>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</si>
  <si>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</si>
  <si>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</si>
  <si>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</si>
  <si>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</si>
  <si>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</si>
  <si>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</si>
  <si>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Arroyo, Tyler</t>
  </si>
  <si>
    <t>Brewer, Benjamin</t>
  </si>
  <si>
    <t>Wedman, Kevin</t>
  </si>
  <si>
    <t>Navarro, Juan</t>
  </si>
  <si>
    <t>Bullock, Quintin</t>
  </si>
  <si>
    <t>Rochester, David</t>
  </si>
  <si>
    <t>McLaughlin, Dalton</t>
  </si>
  <si>
    <t>Semeryuk, Timofey</t>
  </si>
  <si>
    <t>Lujan, Wilfredo</t>
  </si>
  <si>
    <t>Gomez, Cesar</t>
  </si>
  <si>
    <t>Burris, Kyle</t>
  </si>
  <si>
    <t>Knight, Alexander</t>
  </si>
  <si>
    <t>Grecin, Andrei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</si>
</sst>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</numFmts>
  <fonts count="2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0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8" fillId="12" borderId="64" xfId="1" applyFont="1" applyFill="1" applyBorder="1" applyAlignment="1" applyProtection="1">
      <alignment horizontal="center"/>
    </xf>
    <xf numFmtId="44" fontId="8" fillId="12" borderId="20" xfId="1" applyFont="1" applyFill="1" applyBorder="1" applyAlignment="1" applyProtection="1">
      <alignment horizontal="center"/>
    </xf>
    <xf numFmtId="43" fontId="8" fillId="14" borderId="21" xfId="0" applyNumberFormat="1" applyFont="1" applyFill="1" applyBorder="1" applyAlignment="1" applyProtection="1">
      <alignment horizontal="center"/>
    </xf>
    <xf numFmtId="44" fontId="8" fillId="4" borderId="20" xfId="1" applyFont="1" applyFill="1" applyBorder="1" applyAlignment="1" applyProtection="1">
      <alignment horizontal="center"/>
    </xf>
    <xf numFmtId="44" fontId="8" fillId="5" borderId="57" xfId="1" applyFont="1" applyFill="1" applyBorder="1" applyAlignment="1" applyProtection="1">
      <alignment horizontal="center"/>
    </xf>
    <xf numFmtId="44" fontId="17" fillId="15" borderId="20" xfId="1" applyFont="1" applyFill="1" applyBorder="1" applyAlignment="1" applyProtection="1">
      <alignment horizontal="center"/>
    </xf>
    <xf numFmtId="44" fontId="8" fillId="6" borderId="20" xfId="1" applyFont="1" applyFill="1" applyBorder="1" applyAlignment="1" applyProtection="1">
      <alignment horizontal="center"/>
    </xf>
    <xf numFmtId="44" fontId="8" fillId="12" borderId="63" xfId="1" applyFont="1" applyFill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44" fontId="17" fillId="10" borderId="58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77"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D48482"/>
      <color rgb="FFFF3399"/>
      <color rgb="FF008582"/>
      <color rgb="FF008E40"/>
      <color rgb="FF00FFFF"/>
      <color rgb="FF03EB3A"/>
      <color rgb="FFB8B400"/>
      <color rgb="FFBB6201"/>
      <color rgb="FFFF8BBF"/>
      <color rgb="FF00E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104778</xdr:colOff>
      <xdr:row>1</xdr:row>
      <xdr:rowOff>47625</xdr:rowOff>
    </xdr:from>
    <xdr:to>
      <xdr:col>27</xdr:col>
      <xdr:colOff>308613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25</xdr:col>
      <xdr:colOff>190500</xdr:colOff>
      <xdr:row>58</xdr:row>
      <xdr:rowOff>85725</xdr:rowOff>
    </xdr:from>
    <xdr:to>
      <xdr:col>27</xdr:col>
      <xdr:colOff>369570</xdr:colOff>
      <xdr:row>65</xdr:row>
      <xdr:rowOff>125730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25</xdr:col>
      <xdr:colOff>0</xdr:colOff>
      <xdr:row>10</xdr:row>
      <xdr:rowOff>66675</xdr:rowOff>
    </xdr:from>
    <xdr:to>
      <xdr:col>27</xdr:col>
      <xdr:colOff>7620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25</xdr:col>
      <xdr:colOff>19049</xdr:colOff>
      <xdr:row>41</xdr:row>
      <xdr:rowOff>0</xdr:rowOff>
    </xdr:from>
    <xdr:to>
      <xdr:col>27</xdr:col>
      <xdr:colOff>426720</xdr:colOff>
      <xdr:row>45</xdr:row>
      <xdr:rowOff>95250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25</xdr:col>
      <xdr:colOff>19050</xdr:colOff>
      <xdr:row>46</xdr:row>
      <xdr:rowOff>133350</xdr:rowOff>
    </xdr:from>
    <xdr:to>
      <xdr:col>27</xdr:col>
      <xdr:colOff>436245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25</xdr:col>
      <xdr:colOff>0</xdr:colOff>
      <xdr:row>27</xdr:row>
      <xdr:rowOff>19050</xdr:rowOff>
    </xdr:from>
    <xdr:to>
      <xdr:col>27</xdr:col>
      <xdr:colOff>407670</xdr:colOff>
      <xdr:row>40</xdr:row>
      <xdr:rowOff>28575</xdr:rowOff>
    </xdr:to>
    <xdr:pic macro="[0]!SMSHours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25</xdr:col>
      <xdr:colOff>0</xdr:colOff>
      <xdr:row>18</xdr:row>
      <xdr:rowOff>123825</xdr:rowOff>
    </xdr:from>
    <xdr:to>
      <xdr:col>28</xdr:col>
      <xdr:colOff>159710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25</xdr:col>
      <xdr:colOff>28575</xdr:colOff>
      <xdr:row>67</xdr:row>
      <xdr:rowOff>57150</xdr:rowOff>
    </xdr:from>
    <xdr:to>
      <xdr:col>27</xdr:col>
      <xdr:colOff>7620</xdr:colOff>
      <xdr:row>72</xdr:row>
      <xdr:rowOff>114300</xdr:rowOff>
    </xdr:to>
    <xdr:sp macro="[0]!AddNewAccount" textlink="">
      <xdr:nvSpPr>
        <xdr:cNvPr id="8" name="btnNewAccount"/>
        <xdr:cNvSpPr/>
      </xdr:nvSpPr>
      <xdr:spPr>
        <a:xfrm>
          <a:off x="12153900" y="9629775"/>
          <a:ext cx="1181100" cy="7715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New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Account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!</a:t>
          </a:r>
        </a:p>
      </xdr:txBody>
    </xdr:sp>
    <xdr:clientData/>
  </xdr:twoCellAnchor>
  <xdr:twoCellAnchor editAs="oneCell">
    <xdr:from>
      <xdr:col>27</xdr:col>
      <xdr:colOff>38100</xdr:colOff>
      <xdr:row>67</xdr:row>
      <xdr:rowOff>57150</xdr:rowOff>
    </xdr:from>
    <xdr:to>
      <xdr:col>28</xdr:col>
      <xdr:colOff>104775</xdr:colOff>
      <xdr:row>72</xdr:row>
      <xdr:rowOff>114300</xdr:rowOff>
    </xdr:to>
    <xdr:sp macro="[0]!RemoveAccount" textlink="">
      <xdr:nvSpPr>
        <xdr:cNvPr id="10" name="btnRemoveAccount"/>
        <xdr:cNvSpPr/>
      </xdr:nvSpPr>
      <xdr:spPr>
        <a:xfrm>
          <a:off x="13373100" y="9629775"/>
          <a:ext cx="1181100" cy="771525"/>
        </a:xfrm>
        <a:prstGeom prst="rect">
          <a:avLst/>
        </a:prstGeom>
        <a:solidFill>
          <a:srgbClr val="7030A0"/>
        </a:solidFill>
        <a:ln>
          <a:solidFill>
            <a:schemeClr val="accent4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 Account</a:t>
          </a:r>
          <a:endParaRPr lang="en-US" sz="1100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200025</xdr:colOff>
      <xdr:row>9</xdr:row>
      <xdr:rowOff>104775</xdr:rowOff>
    </xdr:from>
    <xdr:to>
      <xdr:col>28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320040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15240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8</xdr:col>
      <xdr:colOff>600075</xdr:colOff>
      <xdr:row>13</xdr:row>
      <xdr:rowOff>133350</xdr:rowOff>
    </xdr:from>
    <xdr:to>
      <xdr:col>10</xdr:col>
      <xdr:colOff>34290</xdr:colOff>
      <xdr:row>17</xdr:row>
      <xdr:rowOff>123825</xdr:rowOff>
    </xdr:to>
    <xdr:sp macro="[0]!RemoveBonus" textlink="">
      <xdr:nvSpPr>
        <xdr:cNvPr id="3" name="Rectangle 2"/>
        <xdr:cNvSpPr/>
      </xdr:nvSpPr>
      <xdr:spPr>
        <a:xfrm>
          <a:off x="2724150" y="2047875"/>
          <a:ext cx="70485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18</xdr:col>
      <xdr:colOff>161925</xdr:colOff>
      <xdr:row>21</xdr:row>
      <xdr:rowOff>142874</xdr:rowOff>
    </xdr:from>
    <xdr:to>
      <xdr:col>20</xdr:col>
      <xdr:colOff>247650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2.xml"/><Relationship Id="rId4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S141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R18" sqref="R18"/>
    </sheetView>
  </sheetViews>
  <sheetFormatPr defaultColWidth="16.7109375" defaultRowHeight="11.25" x14ac:dyDescent="0.2"/>
  <cols>
    <col min="1" max="1" width="18" style="99" bestFit="1" customWidth="1"/>
    <col min="2" max="2" width="8.85546875" style="401" bestFit="1" customWidth="1"/>
    <col min="3" max="3" width="8.7109375" style="401" bestFit="1" customWidth="1"/>
    <col min="4" max="4" width="9" style="233" bestFit="1" customWidth="1"/>
    <col min="5" max="6" width="6.5703125" style="95" bestFit="1" customWidth="1"/>
    <col min="7" max="7" width="6" style="233" bestFit="1" customWidth="1"/>
    <col min="8" max="9" width="4" style="400" bestFit="1" customWidth="1"/>
    <col min="10" max="10" width="4" style="226" bestFit="1" customWidth="1"/>
    <col min="11" max="11" width="4.28515625" style="226" bestFit="1" customWidth="1"/>
    <col min="12" max="12" width="4" style="226" bestFit="1" customWidth="1"/>
    <col min="13" max="14" width="4" style="233" bestFit="1" customWidth="1"/>
    <col min="15" max="15" width="9.7109375" style="95" bestFit="1" customWidth="1"/>
    <col min="16" max="17" width="6.5703125" style="95" bestFit="1" customWidth="1"/>
    <col min="18" max="18" width="7" style="95" bestFit="1" customWidth="1"/>
    <col min="19" max="19" width="6.42578125" style="95" bestFit="1" customWidth="1"/>
    <col min="20" max="20" width="4.85546875" style="95" bestFit="1" customWidth="1"/>
    <col min="21" max="21" width="5.42578125" style="401" bestFit="1" customWidth="1"/>
    <col min="22" max="22" width="5.140625" style="95" bestFit="1" customWidth="1"/>
    <col min="23" max="23" width="8.28515625" style="62" bestFit="1" customWidth="1"/>
    <col min="24" max="24" width="12.5703125" style="62" bestFit="1" customWidth="1"/>
    <col min="25" max="25" width="1.42578125" style="62" bestFit="1" customWidth="1"/>
    <col min="26" max="26" width="16.7109375" style="62"/>
    <col min="27" max="27" width="1.42578125" style="62" bestFit="1" customWidth="1"/>
    <col min="28" max="16384" width="16.7109375" style="62"/>
  </cols>
  <sheetData>
    <row r="1" spans="1:27" x14ac:dyDescent="0.2">
      <c r="A1" s="321" t="s">
        <v>9</v>
      </c>
      <c r="B1" s="322" t="s">
        <v>81</v>
      </c>
      <c r="C1" s="323" t="s">
        <v>80</v>
      </c>
      <c r="D1" s="324" t="s">
        <v>33</v>
      </c>
      <c r="E1" s="325" t="s">
        <v>26</v>
      </c>
      <c r="F1" s="326" t="s">
        <v>32</v>
      </c>
      <c r="G1" s="313" t="s">
        <v>77</v>
      </c>
      <c r="H1" s="314" t="s">
        <v>70</v>
      </c>
      <c r="I1" s="315" t="s">
        <v>72</v>
      </c>
      <c r="J1" s="316" t="s">
        <v>29</v>
      </c>
      <c r="K1" s="317" t="s">
        <v>30</v>
      </c>
      <c r="L1" s="318" t="s">
        <v>31</v>
      </c>
      <c r="M1" s="319" t="s">
        <v>49</v>
      </c>
      <c r="N1" s="320" t="s">
        <v>74</v>
      </c>
      <c r="O1" s="327" t="s">
        <v>78</v>
      </c>
      <c r="P1" s="328" t="s">
        <v>71</v>
      </c>
      <c r="Q1" s="328" t="s">
        <v>89</v>
      </c>
      <c r="R1" s="318" t="s">
        <v>67</v>
      </c>
      <c r="S1" s="319" t="s">
        <v>96</v>
      </c>
      <c r="T1" s="484" t="s">
        <v>88</v>
      </c>
      <c r="U1" s="329" t="s">
        <v>39</v>
      </c>
      <c r="V1" s="330" t="s">
        <v>3</v>
      </c>
      <c r="X1" s="331" t="s">
        <v>112</v>
      </c>
    </row>
    <row r="2" spans="1:27" x14ac:dyDescent="0.2">
      <c r="A2" s="554" t="s">
        <v>110</v>
      </c>
      <c r="B2" s="555">
        <v>0</v>
      </c>
      <c r="C2" s="555">
        <v>0</v>
      </c>
      <c r="D2" s="504">
        <f t="shared" ref="D2:D3" si="0">SUM(G2:N2)</f>
        <v>0</v>
      </c>
      <c r="E2" s="505">
        <f t="shared" ref="E2:E3" si="1">SUM(O2:U2)</f>
        <v>0</v>
      </c>
      <c r="F2" s="506">
        <f>SUMIF(PP!$1:$1,$X2,PP!$86:$86)+SUMIF(PC!$1:$1,$X2,PC!$87:$87)</f>
        <v>0</v>
      </c>
      <c r="G2" s="507">
        <f>SUMIF(Driver!$1:$1,$X2,Driver!$18:$18)</f>
        <v>0</v>
      </c>
      <c r="H2" s="508">
        <f>SUMIF(PP!$1:$1,$X2,PP!$84:$84)</f>
        <v>0</v>
      </c>
      <c r="I2" s="509">
        <f>SUMIF(PC!$1:$1,$X2,PC!$85:$85)</f>
        <v>0</v>
      </c>
      <c r="J2" s="507">
        <f>SUMIF(FH!$1:$1,$X2,FH!$99:$99)</f>
        <v>0</v>
      </c>
      <c r="K2" s="510">
        <f>SUMIF('T22'!$1:$1,$X2,'T22'!$99:$99)</f>
        <v>0</v>
      </c>
      <c r="L2" s="507">
        <f>SUMIF(RF!$1:$1,$X2,RF!$18:$18)</f>
        <v>0</v>
      </c>
      <c r="M2" s="507">
        <f>SUMIF(SC!$1:$1,$X2,IF(DAY(PayDay1)=1,SC!$17:$17,SC!$35:$35))</f>
        <v>0</v>
      </c>
      <c r="N2" s="511">
        <f>SUMIF(TM!$1:$1,$X2,TM!$18:$18)</f>
        <v>0</v>
      </c>
      <c r="O2" s="512">
        <f>SUMIF(Driver!$1:$1,$X2,Driver!$19:$19)</f>
        <v>0</v>
      </c>
      <c r="P2" s="512">
        <f>SUMIF(PP!$1:$1,$X2,PP!$85:$85)</f>
        <v>0</v>
      </c>
      <c r="Q2" s="512">
        <f>SUMIF(PC!$1:$1,$X2,PC!$86:$86)</f>
        <v>0</v>
      </c>
      <c r="R2" s="512">
        <f>SUMIF(RF!$1:$1,$X2,RF!$22:$22)</f>
        <v>0</v>
      </c>
      <c r="S2" s="507">
        <f>SUMIF(SC!$1:$1,$X2,IF(DAY(PayDay1)=1,SC!$18:$18,SC!$36:$36))</f>
        <v>0</v>
      </c>
      <c r="T2" s="513">
        <f>SUMIF(OT!$1:$1,$X2,OT!$182:$182)</f>
        <v>0</v>
      </c>
      <c r="U2" s="587"/>
      <c r="V2" s="514">
        <f t="shared" ref="V2:V3" si="2">(D2*B2)+E2+F2</f>
        <v>0</v>
      </c>
      <c r="W2" s="515"/>
      <c r="X2" s="515" t="str">
        <f t="shared" ref="X2:X3" si="3">IFERROR(LEFT(A2,SEARCH(",",A2)-1)&amp;MID(A2,SEARCH(" ",A2),3)," ")</f>
        <v>Bauer Br</v>
      </c>
    </row>
    <row r="3" spans="1:27" x14ac:dyDescent="0.2">
      <c r="A3" s="556" t="s">
        <v>111</v>
      </c>
      <c r="B3" s="557">
        <v>0</v>
      </c>
      <c r="C3" s="557">
        <v>0</v>
      </c>
      <c r="D3" s="516">
        <f t="shared" si="0"/>
        <v>0</v>
      </c>
      <c r="E3" s="517">
        <f t="shared" si="1"/>
        <v>0</v>
      </c>
      <c r="F3" s="518">
        <f>SUMIF(PP!$1:$1,$X3,PP!$86:$86)+SUMIF(PC!$1:$1,$X3,PC!$87:$87)</f>
        <v>0</v>
      </c>
      <c r="G3" s="519">
        <f>SUMIF(Driver!$1:$1,$X3,Driver!$18:$18)</f>
        <v>0</v>
      </c>
      <c r="H3" s="520">
        <f>SUMIF(PP!$1:$1,$X3,PP!$84:$84)</f>
        <v>0</v>
      </c>
      <c r="I3" s="521">
        <f>SUMIF(PC!$1:$1,$X3,PC!$85:$85)</f>
        <v>0</v>
      </c>
      <c r="J3" s="519">
        <f>SUMIF(FH!$1:$1,$X3,FH!$99:$99)</f>
        <v>0</v>
      </c>
      <c r="K3" s="522">
        <f>SUMIF('T22'!$1:$1,$X3,'T22'!$99:$99)</f>
        <v>0</v>
      </c>
      <c r="L3" s="519">
        <f>SUMIF(RF!$1:$1,$X3,RF!$18:$18)</f>
        <v>0</v>
      </c>
      <c r="M3" s="519">
        <f>SUMIF(SC!$1:$1,$X3,IF(DAY(PayDay1)=1,SC!$17:$17,SC!$35:$35))</f>
        <v>0</v>
      </c>
      <c r="N3" s="523">
        <f>SUMIF(TM!$1:$1,$X3,TM!$18:$18)</f>
        <v>0</v>
      </c>
      <c r="O3" s="524">
        <f>SUMIF(Driver!$1:$1,$X3,Driver!$19:$19)</f>
        <v>0</v>
      </c>
      <c r="P3" s="524">
        <f>SUMIF(PP!$1:$1,$X3,PP!$85:$85)</f>
        <v>0</v>
      </c>
      <c r="Q3" s="524">
        <f>SUMIF(PC!$1:$1,$X3,PC!$86:$86)</f>
        <v>0</v>
      </c>
      <c r="R3" s="524">
        <f>SUMIF(RF!$1:$1,$X3,RF!$22:$22)</f>
        <v>0</v>
      </c>
      <c r="S3" s="519">
        <f>SUMIF(SC!$1:$1,$X3,IF(DAY(PayDay1)=1,SC!$18:$18,SC!$36:$36))</f>
        <v>0</v>
      </c>
      <c r="T3" s="525">
        <f>SUMIF(OT!$1:$1,$X3,OT!$182:$182)</f>
        <v>0</v>
      </c>
      <c r="U3" s="588"/>
      <c r="V3" s="526">
        <f t="shared" si="2"/>
        <v>0</v>
      </c>
      <c r="W3" s="527"/>
      <c r="X3" s="527" t="str">
        <f t="shared" si="3"/>
        <v>Bauer St</v>
      </c>
    </row>
    <row r="4" spans="1:27" x14ac:dyDescent="0.2">
      <c r="A4" s="558" t="s">
        <v>148</v>
      </c>
      <c r="B4" s="603">
        <v>10</v>
      </c>
      <c r="C4" s="603">
        <v>13.5</v>
      </c>
      <c r="D4" s="333">
        <f>SUM(G4:N4)</f>
        <v>0</v>
      </c>
      <c r="E4" s="334">
        <f>SUM(O4:U4)</f>
        <v>0</v>
      </c>
      <c r="F4" s="335">
        <f>SUMIF(PP!$1:$1,$X4,PP!$86:$86)+SUMIF(PC!$1:$1,$X4,PC!$87:$87)</f>
        <v>0</v>
      </c>
      <c r="G4" s="336">
        <f>SUMIF(Driver!$1:$1,$X4,Driver!$18:$18)</f>
        <v>0</v>
      </c>
      <c r="H4" s="337">
        <f>SUMIF(PP!$1:$1,$X4,PP!$84:$84)</f>
        <v>0</v>
      </c>
      <c r="I4" s="338">
        <f>SUMIF(PC!$1:$1,$X4,PC!$85:$85)</f>
        <v>0</v>
      </c>
      <c r="J4" s="336">
        <f>SUMIF(FH!$1:$1,$X4,FH!$99:$99)</f>
        <v>0</v>
      </c>
      <c r="K4" s="339">
        <f>SUMIF('T22'!$1:$1,$X4,'T22'!$99:$99)</f>
        <v>0</v>
      </c>
      <c r="L4" s="336">
        <f>SUMIF(RF!$1:$1,$X4,RF!$18:$18)</f>
        <v>0</v>
      </c>
      <c r="M4" s="336">
        <f>SUMIF(SC!$1:$1,$X4,IF(DAY(PayDay1)=1,SC!$17:$17,SC!$35:$35))</f>
        <v>0</v>
      </c>
      <c r="N4" s="340">
        <f>SUMIF(TM!$1:$1,$X4,TM!$18:$18)</f>
        <v>0</v>
      </c>
      <c r="O4" s="196">
        <f>SUMIF(Driver!$1:$1,$X4,Driver!$19:$19)</f>
        <v>0</v>
      </c>
      <c r="P4" s="196">
        <f>SUMIF(PP!$1:$1,$X4,PP!$85:$85)</f>
        <v>0</v>
      </c>
      <c r="Q4" s="196">
        <f>SUMIF(PC!$1:$1,$X4,PC!$86:$86)</f>
        <v>0</v>
      </c>
      <c r="R4" s="196">
        <f>SUMIF(RF!$1:$1,$X4,RF!$22:$22)</f>
        <v>0</v>
      </c>
      <c r="S4" s="336">
        <f>SUMIF(SC!$1:$1,$X4,IF(DAY(PayDay1)=1,SC!$18:$18,SC!$36:$36))</f>
        <v>0</v>
      </c>
      <c r="T4" s="341">
        <f>SUMIF(OT!$1:$1,$X4,OT!$182:$182)</f>
        <v>0</v>
      </c>
      <c r="U4" s="589"/>
      <c r="V4" s="342">
        <f>(D4*B4)+E4+F4</f>
        <v>0</v>
      </c>
      <c r="W4" s="332"/>
      <c r="X4" s="332" t="str">
        <f>IFERROR(LEFT(A4,SEARCH(",",A4)-1)&amp;MID(A4,SEARCH(" ",A4),3)," ")</f>
        <v>Arroyo Ty</v>
      </c>
    </row>
    <row r="5" spans="1:27" x14ac:dyDescent="0.2">
      <c r="A5" s="559" t="s">
        <v>105</v>
      </c>
      <c r="B5" s="604">
        <v>10</v>
      </c>
      <c r="C5" s="604">
        <v>13.5</v>
      </c>
      <c r="D5" s="343">
        <f>SUM(G5:N5)</f>
        <v>0</v>
      </c>
      <c r="E5" s="344">
        <f>SUM(O5:U5)</f>
        <v>0</v>
      </c>
      <c r="F5" s="345">
        <f>SUMIF(PP!$1:$1,$X5,PP!$86:$86)+SUMIF(PC!$1:$1,$X5,PC!$87:$87)</f>
        <v>0</v>
      </c>
      <c r="G5" s="346">
        <f>SUMIF(Driver!$1:$1,$X5,Driver!$18:$18)</f>
        <v>0</v>
      </c>
      <c r="H5" s="347">
        <f>SUMIF(PP!$1:$1,$X5,PP!$84:$84)</f>
        <v>0</v>
      </c>
      <c r="I5" s="348">
        <f>SUMIF(PC!$1:$1,$X5,PC!$85:$85)</f>
        <v>0</v>
      </c>
      <c r="J5" s="346">
        <f>SUMIF(FH!$1:$1,$X5,FH!$99:$99)</f>
        <v>0</v>
      </c>
      <c r="K5" s="349">
        <f>SUMIF('T22'!$1:$1,$X5,'T22'!$99:$99)</f>
        <v>0</v>
      </c>
      <c r="L5" s="346">
        <f>SUMIF(RF!$1:$1,$X5,RF!$18:$18)</f>
        <v>0</v>
      </c>
      <c r="M5" s="346">
        <f>SUMIF(SC!$1:$1,$X5,IF(DAY(PayDay1)=1,SC!$17:$17,SC!$35:$35))</f>
        <v>0</v>
      </c>
      <c r="N5" s="350">
        <f>SUMIF(TM!$1:$1,$X5,TM!$18:$18)</f>
        <v>0</v>
      </c>
      <c r="O5" s="351">
        <f>SUMIF(Driver!$1:$1,$X5,Driver!$19:$19)</f>
        <v>0</v>
      </c>
      <c r="P5" s="351">
        <f>SUMIF(PP!$1:$1,$X5,PP!$85:$85)</f>
        <v>0</v>
      </c>
      <c r="Q5" s="351">
        <f>SUMIF(PC!$1:$1,$X5,PC!$86:$86)</f>
        <v>0</v>
      </c>
      <c r="R5" s="351">
        <f>SUMIF(RF!$1:$1,$X5,RF!$22:$22)</f>
        <v>0</v>
      </c>
      <c r="S5" s="346">
        <f>SUMIF(SC!$1:$1,$X5,IF(DAY(PayDay1)=1,SC!$18:$18,SC!$36:$36))</f>
        <v>0</v>
      </c>
      <c r="T5" s="352">
        <f>SUMIF(OT!$1:$1,$X5,OT!$182:$182)</f>
        <v>0</v>
      </c>
      <c r="U5" s="590"/>
      <c r="V5" s="353">
        <f>(D5*B5)+E5+F5</f>
        <v>0</v>
      </c>
      <c r="W5" s="354"/>
      <c r="X5" s="354" t="str">
        <f>IFERROR(LEFT(A5,SEARCH(",",A5)-1)&amp;MID(A5,SEARCH(" ",A5),3)," ")</f>
        <v>Barnyak Al</v>
      </c>
    </row>
    <row r="6" spans="1:27" x14ac:dyDescent="0.2">
      <c r="A6" s="558" t="s">
        <v>135</v>
      </c>
      <c r="B6" s="603">
        <v>10</v>
      </c>
      <c r="C6" s="603">
        <v>13.5</v>
      </c>
      <c r="D6" s="333">
        <f>SUM(G6:N6)</f>
        <v>0</v>
      </c>
      <c r="E6" s="334">
        <f>SUM(O6:U6)</f>
        <v>0</v>
      </c>
      <c r="F6" s="335">
        <f>SUMIF(PP!$1:$1,$X6,PP!$86:$86)+SUMIF(PC!$1:$1,$X6,PC!$87:$87)</f>
        <v>0</v>
      </c>
      <c r="G6" s="336">
        <f>SUMIF(Driver!$1:$1,$X6,Driver!$18:$18)</f>
        <v>0</v>
      </c>
      <c r="H6" s="337">
        <f>SUMIF(PP!$1:$1,$X6,PP!$84:$84)</f>
        <v>0</v>
      </c>
      <c r="I6" s="338">
        <f>SUMIF(PC!$1:$1,$X6,PC!$85:$85)</f>
        <v>0</v>
      </c>
      <c r="J6" s="336">
        <f>SUMIF(FH!$1:$1,$X6,FH!$99:$99)</f>
        <v>0</v>
      </c>
      <c r="K6" s="339">
        <f>SUMIF('T22'!$1:$1,$X6,'T22'!$99:$99)</f>
        <v>0</v>
      </c>
      <c r="L6" s="336">
        <f>SUMIF(RF!$1:$1,$X6,RF!$18:$18)</f>
        <v>0</v>
      </c>
      <c r="M6" s="336">
        <f>SUMIF(SC!$1:$1,$X6,IF(DAY(PayDay1)=1,SC!$17:$17,SC!$35:$35))</f>
        <v>0</v>
      </c>
      <c r="N6" s="340">
        <f>SUMIF(TM!$1:$1,$X6,TM!$18:$18)</f>
        <v>0</v>
      </c>
      <c r="O6" s="196">
        <f>SUMIF(Driver!$1:$1,$X6,Driver!$19:$19)</f>
        <v>0</v>
      </c>
      <c r="P6" s="196">
        <f>SUMIF(PP!$1:$1,$X6,PP!$85:$85)</f>
        <v>0</v>
      </c>
      <c r="Q6" s="196">
        <f>SUMIF(PC!$1:$1,$X6,PC!$86:$86)</f>
        <v>0</v>
      </c>
      <c r="R6" s="196">
        <f>SUMIF(RF!$1:$1,$X6,RF!$22:$22)</f>
        <v>0</v>
      </c>
      <c r="S6" s="336">
        <f>SUMIF(SC!$1:$1,$X6,IF(DAY(PayDay1)=1,SC!$18:$18,SC!$36:$36))</f>
        <v>0</v>
      </c>
      <c r="T6" s="341">
        <f>SUMIF(OT!$1:$1,$X6,OT!$182:$182)</f>
        <v>0</v>
      </c>
      <c r="U6" s="589"/>
      <c r="V6" s="342">
        <f>(D6*B6)+E6+F6</f>
        <v>0</v>
      </c>
      <c r="W6" s="332"/>
      <c r="X6" s="332" t="str">
        <f>IFERROR(LEFT(A6,SEARCH(",",A6)-1)&amp;MID(A6,SEARCH(" ",A6),3)," ")</f>
        <v>Barr Ch</v>
      </c>
    </row>
    <row r="7" spans="1:27" s="355" customFormat="1" x14ac:dyDescent="0.2">
      <c r="A7" s="559" t="s">
        <v>149</v>
      </c>
      <c r="B7" s="604">
        <v>10</v>
      </c>
      <c r="C7" s="604">
        <v>13.5</v>
      </c>
      <c r="D7" s="343">
        <f>SUM(G7:N7)</f>
        <v>0</v>
      </c>
      <c r="E7" s="344">
        <f>SUM(O7:U7)</f>
        <v>0</v>
      </c>
      <c r="F7" s="345">
        <f>SUMIF(PP!$1:$1,$X7,PP!$86:$86)+SUMIF(PC!$1:$1,$X7,PC!$87:$87)</f>
        <v>0</v>
      </c>
      <c r="G7" s="346">
        <f>SUMIF(Driver!$1:$1,$X7,Driver!$18:$18)</f>
        <v>0</v>
      </c>
      <c r="H7" s="347">
        <f>SUMIF(PP!$1:$1,$X7,PP!$84:$84)</f>
        <v>0</v>
      </c>
      <c r="I7" s="348">
        <f>SUMIF(PC!$1:$1,$X7,PC!$85:$85)</f>
        <v>0</v>
      </c>
      <c r="J7" s="346">
        <f>SUMIF(FH!$1:$1,$X7,FH!$99:$99)</f>
        <v>0</v>
      </c>
      <c r="K7" s="349">
        <f>SUMIF('T22'!$1:$1,$X7,'T22'!$99:$99)</f>
        <v>0</v>
      </c>
      <c r="L7" s="346">
        <f>SUMIF(RF!$1:$1,$X7,RF!$18:$18)</f>
        <v>0</v>
      </c>
      <c r="M7" s="346">
        <f>SUMIF(SC!$1:$1,$X7,IF(DAY(PayDay1)=1,SC!$17:$17,SC!$35:$35))</f>
        <v>0</v>
      </c>
      <c r="N7" s="350">
        <f>SUMIF(TM!$1:$1,$X7,TM!$18:$18)</f>
        <v>0</v>
      </c>
      <c r="O7" s="351">
        <f>SUMIF(Driver!$1:$1,$X7,Driver!$19:$19)</f>
        <v>0</v>
      </c>
      <c r="P7" s="351">
        <f>SUMIF(PP!$1:$1,$X7,PP!$85:$85)</f>
        <v>0</v>
      </c>
      <c r="Q7" s="351">
        <f>SUMIF(PC!$1:$1,$X7,PC!$86:$86)</f>
        <v>0</v>
      </c>
      <c r="R7" s="351">
        <f>SUMIF(RF!$1:$1,$X7,RF!$22:$22)</f>
        <v>0</v>
      </c>
      <c r="S7" s="346">
        <f>SUMIF(SC!$1:$1,$X7,IF(DAY(PayDay1)=1,SC!$18:$18,SC!$36:$36))</f>
        <v>0</v>
      </c>
      <c r="T7" s="352">
        <f>SUMIF(OT!$1:$1,$X7,OT!$182:$182)</f>
        <v>0</v>
      </c>
      <c r="U7" s="590"/>
      <c r="V7" s="353">
        <f>(D7*B7)+E7+F7</f>
        <v>0</v>
      </c>
      <c r="W7" s="354"/>
      <c r="X7" s="354" t="str">
        <f>IFERROR(LEFT(A7,SEARCH(",",A7)-1)&amp;MID(A7,SEARCH(" ",A7),3)," ")</f>
        <v>Brewer Be</v>
      </c>
    </row>
    <row r="8" spans="1:27" x14ac:dyDescent="0.2">
      <c r="A8" s="558" t="s">
        <v>134</v>
      </c>
      <c r="B8" s="603">
        <v>10</v>
      </c>
      <c r="C8" s="603">
        <v>13.5</v>
      </c>
      <c r="D8" s="333">
        <f>SUM(G8:N8)</f>
        <v>0</v>
      </c>
      <c r="E8" s="334">
        <f>SUM(O8:U8)</f>
        <v>0</v>
      </c>
      <c r="F8" s="335">
        <f>SUMIF(PP!$1:$1,$X8,PP!$86:$86)+SUMIF(PC!$1:$1,$X8,PC!$87:$87)</f>
        <v>0</v>
      </c>
      <c r="G8" s="336">
        <f>SUMIF(Driver!$1:$1,$X8,Driver!$18:$18)</f>
        <v>0</v>
      </c>
      <c r="H8" s="337">
        <f>SUMIF(PP!$1:$1,$X8,PP!$84:$84)</f>
        <v>0</v>
      </c>
      <c r="I8" s="338">
        <f>SUMIF(PC!$1:$1,$X8,PC!$85:$85)</f>
        <v>0</v>
      </c>
      <c r="J8" s="336">
        <f>SUMIF(FH!$1:$1,$X8,FH!$99:$99)</f>
        <v>0</v>
      </c>
      <c r="K8" s="339">
        <f>SUMIF('T22'!$1:$1,$X8,'T22'!$99:$99)</f>
        <v>0</v>
      </c>
      <c r="L8" s="336">
        <f>SUMIF(RF!$1:$1,$X8,RF!$18:$18)</f>
        <v>0</v>
      </c>
      <c r="M8" s="336">
        <f>SUMIF(SC!$1:$1,$X8,IF(DAY(PayDay1)=1,SC!$17:$17,SC!$35:$35))</f>
        <v>0</v>
      </c>
      <c r="N8" s="340">
        <f>SUMIF(TM!$1:$1,$X8,TM!$18:$18)</f>
        <v>0</v>
      </c>
      <c r="O8" s="196">
        <f>SUMIF(Driver!$1:$1,$X8,Driver!$19:$19)</f>
        <v>0</v>
      </c>
      <c r="P8" s="196">
        <f>SUMIF(PP!$1:$1,$X8,PP!$85:$85)</f>
        <v>0</v>
      </c>
      <c r="Q8" s="196">
        <f>SUMIF(PC!$1:$1,$X8,PC!$86:$86)</f>
        <v>0</v>
      </c>
      <c r="R8" s="196">
        <f>SUMIF(RF!$1:$1,$X8,RF!$22:$22)</f>
        <v>0</v>
      </c>
      <c r="S8" s="336">
        <f>SUMIF(SC!$1:$1,$X8,IF(DAY(PayDay1)=1,SC!$18:$18,SC!$36:$36))</f>
        <v>0</v>
      </c>
      <c r="T8" s="341">
        <f>SUMIF(OT!$1:$1,$X8,OT!$182:$182)</f>
        <v>0</v>
      </c>
      <c r="U8" s="589"/>
      <c r="V8" s="342">
        <f>(D8*B8)+E8+F8</f>
        <v>0</v>
      </c>
      <c r="W8" s="332"/>
      <c r="X8" s="332" t="str">
        <f>IFERROR(LEFT(A8,SEARCH(",",A8)-1)&amp;MID(A8,SEARCH(" ",A8),3)," ")</f>
        <v>Bringgold Ch</v>
      </c>
    </row>
    <row r="9" spans="1:27" s="355" customFormat="1" x14ac:dyDescent="0.2">
      <c r="A9" s="559" t="s">
        <v>152</v>
      </c>
      <c r="B9" s="604">
        <v>10</v>
      </c>
      <c r="C9" s="604">
        <v>13.5</v>
      </c>
      <c r="D9" s="343">
        <f>SUM(G9:N9)</f>
        <v>0</v>
      </c>
      <c r="E9" s="344">
        <f>SUM(O9:U9)</f>
        <v>0</v>
      </c>
      <c r="F9" s="345">
        <f>SUMIF(PP!$1:$1,$X9,PP!$86:$86)+SUMIF(PC!$1:$1,$X9,PC!$87:$87)</f>
        <v>0</v>
      </c>
      <c r="G9" s="346">
        <f>SUMIF(Driver!$1:$1,$X9,Driver!$18:$18)</f>
        <v>0</v>
      </c>
      <c r="H9" s="347">
        <f>SUMIF(PP!$1:$1,$X9,PP!$84:$84)</f>
        <v>0</v>
      </c>
      <c r="I9" s="348">
        <f>SUMIF(PC!$1:$1,$X9,PC!$85:$85)</f>
        <v>0</v>
      </c>
      <c r="J9" s="346">
        <f>SUMIF(FH!$1:$1,$X9,FH!$99:$99)</f>
        <v>0</v>
      </c>
      <c r="K9" s="349">
        <f>SUMIF('T22'!$1:$1,$X9,'T22'!$99:$99)</f>
        <v>0</v>
      </c>
      <c r="L9" s="346">
        <f>SUMIF(RF!$1:$1,$X9,RF!$18:$18)</f>
        <v>0</v>
      </c>
      <c r="M9" s="346">
        <f>SUMIF(SC!$1:$1,$X9,IF(DAY(PayDay1)=1,SC!$17:$17,SC!$35:$35))</f>
        <v>0</v>
      </c>
      <c r="N9" s="350">
        <f>SUMIF(TM!$1:$1,$X9,TM!$18:$18)</f>
        <v>0</v>
      </c>
      <c r="O9" s="351">
        <f>SUMIF(Driver!$1:$1,$X9,Driver!$19:$19)</f>
        <v>0</v>
      </c>
      <c r="P9" s="351">
        <f>SUMIF(PP!$1:$1,$X9,PP!$85:$85)</f>
        <v>0</v>
      </c>
      <c r="Q9" s="351">
        <f>SUMIF(PC!$1:$1,$X9,PC!$86:$86)</f>
        <v>0</v>
      </c>
      <c r="R9" s="351">
        <f>SUMIF(RF!$1:$1,$X9,RF!$22:$22)</f>
        <v>0</v>
      </c>
      <c r="S9" s="346">
        <f>SUMIF(SC!$1:$1,$X9,IF(DAY(PayDay1)=1,SC!$18:$18,SC!$36:$36))</f>
        <v>0</v>
      </c>
      <c r="T9" s="352">
        <f>SUMIF(OT!$1:$1,$X9,OT!$182:$182)</f>
        <v>0</v>
      </c>
      <c r="U9" s="590"/>
      <c r="V9" s="353">
        <f>(D9*B9)+E9+F9</f>
        <v>0</v>
      </c>
      <c r="W9" s="354"/>
      <c r="X9" s="354" t="str">
        <f>IFERROR(LEFT(A9,SEARCH(",",A9)-1)&amp;MID(A9,SEARCH(" ",A9),3)," ")</f>
        <v>Bullock Qu</v>
      </c>
    </row>
    <row r="10" spans="1:27" x14ac:dyDescent="0.2">
      <c r="A10" s="558" t="s">
        <v>158</v>
      </c>
      <c r="B10" s="603">
        <v>10</v>
      </c>
      <c r="C10" s="603">
        <v>13.5</v>
      </c>
      <c r="D10" s="333">
        <f>SUM(G10:N10)</f>
        <v>0</v>
      </c>
      <c r="E10" s="334">
        <f>SUM(O10:U10)</f>
        <v>0</v>
      </c>
      <c r="F10" s="335">
        <f>SUMIF(PP!$1:$1,$X10,PP!$86:$86)+SUMIF(PC!$1:$1,$X10,PC!$87:$87)</f>
        <v>0</v>
      </c>
      <c r="G10" s="336">
        <f>SUMIF(Driver!$1:$1,$X10,Driver!$18:$18)</f>
        <v>0</v>
      </c>
      <c r="H10" s="337">
        <f>SUMIF(PP!$1:$1,$X10,PP!$84:$84)</f>
        <v>0</v>
      </c>
      <c r="I10" s="338">
        <f>SUMIF(PC!$1:$1,$X10,PC!$85:$85)</f>
        <v>0</v>
      </c>
      <c r="J10" s="336">
        <f>SUMIF(FH!$1:$1,$X10,FH!$99:$99)</f>
        <v>0</v>
      </c>
      <c r="K10" s="339">
        <f>SUMIF('T22'!$1:$1,$X10,'T22'!$99:$99)</f>
        <v>0</v>
      </c>
      <c r="L10" s="336">
        <f>SUMIF(RF!$1:$1,$X10,RF!$18:$18)</f>
        <v>0</v>
      </c>
      <c r="M10" s="336">
        <f>SUMIF(SC!$1:$1,$X10,IF(DAY(PayDay1)=1,SC!$17:$17,SC!$35:$35))</f>
        <v>0</v>
      </c>
      <c r="N10" s="340">
        <f>SUMIF(TM!$1:$1,$X10,TM!$18:$18)</f>
        <v>0</v>
      </c>
      <c r="O10" s="196">
        <f>SUMIF(Driver!$1:$1,$X10,Driver!$19:$19)</f>
        <v>0</v>
      </c>
      <c r="P10" s="196">
        <f>SUMIF(PP!$1:$1,$X10,PP!$85:$85)</f>
        <v>0</v>
      </c>
      <c r="Q10" s="196">
        <f>SUMIF(PC!$1:$1,$X10,PC!$86:$86)</f>
        <v>0</v>
      </c>
      <c r="R10" s="196">
        <f>SUMIF(RF!$1:$1,$X10,RF!$22:$22)</f>
        <v>0</v>
      </c>
      <c r="S10" s="336">
        <f>SUMIF(SC!$1:$1,$X10,IF(DAY(PayDay1)=1,SC!$18:$18,SC!$36:$36))</f>
        <v>0</v>
      </c>
      <c r="T10" s="341">
        <f>SUMIF(OT!$1:$1,$X10,OT!$182:$182)</f>
        <v>0</v>
      </c>
      <c r="U10" s="589"/>
      <c r="V10" s="342">
        <f>(D10*B10)+E10+F10</f>
        <v>0</v>
      </c>
      <c r="W10" s="332"/>
      <c r="X10" s="332" t="str">
        <f>IFERROR(LEFT(A10,SEARCH(",",A10)-1)&amp;MID(A10,SEARCH(" ",A10),3)," ")</f>
        <v>Burris Ky</v>
      </c>
    </row>
    <row r="11" spans="1:27" s="355" customFormat="1" x14ac:dyDescent="0.2">
      <c r="A11" s="559" t="s">
        <v>107</v>
      </c>
      <c r="B11" s="604">
        <v>10</v>
      </c>
      <c r="C11" s="604">
        <v>13.5</v>
      </c>
      <c r="D11" s="343">
        <f>SUM(G11:N11)</f>
        <v>0</v>
      </c>
      <c r="E11" s="344">
        <f>SUM(O11:U11)</f>
        <v>0</v>
      </c>
      <c r="F11" s="345">
        <f>SUMIF(PP!$1:$1,$X11,PP!$86:$86)+SUMIF(PC!$1:$1,$X11,PC!$87:$87)</f>
        <v>0</v>
      </c>
      <c r="G11" s="346">
        <f>SUMIF(Driver!$1:$1,$X11,Driver!$18:$18)</f>
        <v>0</v>
      </c>
      <c r="H11" s="347">
        <f>SUMIF(PP!$1:$1,$X11,PP!$84:$84)</f>
        <v>0</v>
      </c>
      <c r="I11" s="348">
        <f>SUMIF(PC!$1:$1,$X11,PC!$85:$85)</f>
        <v>0</v>
      </c>
      <c r="J11" s="346">
        <f>SUMIF(FH!$1:$1,$X11,FH!$99:$99)</f>
        <v>0</v>
      </c>
      <c r="K11" s="349">
        <f>SUMIF('T22'!$1:$1,$X11,'T22'!$99:$99)</f>
        <v>0</v>
      </c>
      <c r="L11" s="346">
        <f>SUMIF(RF!$1:$1,$X11,RF!$18:$18)</f>
        <v>0</v>
      </c>
      <c r="M11" s="346">
        <f>SUMIF(SC!$1:$1,$X11,IF(DAY(PayDay1)=1,SC!$17:$17,SC!$35:$35))</f>
        <v>0</v>
      </c>
      <c r="N11" s="350">
        <f>SUMIF(TM!$1:$1,$X11,TM!$18:$18)</f>
        <v>0</v>
      </c>
      <c r="O11" s="351">
        <f>SUMIF(Driver!$1:$1,$X11,Driver!$19:$19)</f>
        <v>0</v>
      </c>
      <c r="P11" s="351">
        <f>SUMIF(PP!$1:$1,$X11,PP!$85:$85)</f>
        <v>0</v>
      </c>
      <c r="Q11" s="351">
        <f>SUMIF(PC!$1:$1,$X11,PC!$86:$86)</f>
        <v>0</v>
      </c>
      <c r="R11" s="351">
        <f>SUMIF(RF!$1:$1,$X11,RF!$22:$22)</f>
        <v>0</v>
      </c>
      <c r="S11" s="346">
        <f>SUMIF(SC!$1:$1,$X11,IF(DAY(PayDay1)=1,SC!$18:$18,SC!$36:$36))</f>
        <v>0</v>
      </c>
      <c r="T11" s="352">
        <f>SUMIF(OT!$1:$1,$X11,OT!$182:$182)</f>
        <v>0</v>
      </c>
      <c r="U11" s="590"/>
      <c r="V11" s="353">
        <f>(D11*B11)+E11+F11</f>
        <v>0</v>
      </c>
      <c r="W11" s="354"/>
      <c r="X11" s="354" t="str">
        <f>IFERROR(LEFT(A11,SEARCH(",",A11)-1)&amp;MID(A11,SEARCH(" ",A11),3)," ")</f>
        <v>Cannon Da</v>
      </c>
      <c r="AA11" s="355" t="s">
        <v>122</v>
      </c>
    </row>
    <row r="12" spans="1:27" s="355" customFormat="1" x14ac:dyDescent="0.2">
      <c r="A12" s="558" t="s">
        <v>147</v>
      </c>
      <c r="B12" s="603">
        <v>10</v>
      </c>
      <c r="C12" s="603">
        <v>13.5</v>
      </c>
      <c r="D12" s="333">
        <f>SUM(G12:N12)</f>
        <v>0</v>
      </c>
      <c r="E12" s="334">
        <f>SUM(O12:U12)</f>
        <v>0</v>
      </c>
      <c r="F12" s="335">
        <f>SUMIF(PP!$1:$1,$X12,PP!$86:$86)+SUMIF(PC!$1:$1,$X12,PC!$87:$87)</f>
        <v>0</v>
      </c>
      <c r="G12" s="336">
        <f>SUMIF(Driver!$1:$1,$X12,Driver!$18:$18)</f>
        <v>0</v>
      </c>
      <c r="H12" s="337">
        <f>SUMIF(PP!$1:$1,$X12,PP!$84:$84)</f>
        <v>0</v>
      </c>
      <c r="I12" s="338">
        <f>SUMIF(PC!$1:$1,$X12,PC!$85:$85)</f>
        <v>0</v>
      </c>
      <c r="J12" s="336">
        <f>SUMIF(FH!$1:$1,$X12,FH!$99:$99)</f>
        <v>0</v>
      </c>
      <c r="K12" s="339">
        <f>SUMIF('T22'!$1:$1,$X12,'T22'!$99:$99)</f>
        <v>0</v>
      </c>
      <c r="L12" s="336">
        <f>SUMIF(RF!$1:$1,$X12,RF!$18:$18)</f>
        <v>0</v>
      </c>
      <c r="M12" s="336">
        <f>SUMIF(SC!$1:$1,$X12,IF(DAY(PayDay1)=1,SC!$17:$17,SC!$35:$35))</f>
        <v>0</v>
      </c>
      <c r="N12" s="340">
        <f>SUMIF(TM!$1:$1,$X12,TM!$18:$18)</f>
        <v>0</v>
      </c>
      <c r="O12" s="196">
        <f>SUMIF(Driver!$1:$1,$X12,Driver!$19:$19)</f>
        <v>0</v>
      </c>
      <c r="P12" s="196">
        <f>SUMIF(PP!$1:$1,$X12,PP!$85:$85)</f>
        <v>0</v>
      </c>
      <c r="Q12" s="196">
        <f>SUMIF(PC!$1:$1,$X12,PC!$86:$86)</f>
        <v>0</v>
      </c>
      <c r="R12" s="196">
        <f>SUMIF(RF!$1:$1,$X12,RF!$22:$22)</f>
        <v>0</v>
      </c>
      <c r="S12" s="336">
        <f>SUMIF(SC!$1:$1,$X12,IF(DAY(PayDay1)=1,SC!$18:$18,SC!$36:$36))</f>
        <v>0</v>
      </c>
      <c r="T12" s="341">
        <f>SUMIF(OT!$1:$1,$X12,OT!$182:$182)</f>
        <v>0</v>
      </c>
      <c r="U12" s="589"/>
      <c r="V12" s="342">
        <f>(D12*B12)+E12+F12</f>
        <v>0</v>
      </c>
      <c r="W12" s="332"/>
      <c r="X12" s="332" t="str">
        <f>IFERROR(LEFT(A12,SEARCH(",",A12)-1)&amp;MID(A12,SEARCH(" ",A12),3)," ")</f>
        <v>Carmenita Ja</v>
      </c>
    </row>
    <row r="13" spans="1:27" s="355" customFormat="1" x14ac:dyDescent="0.2">
      <c r="A13" s="559" t="s">
        <v>101</v>
      </c>
      <c r="B13" s="604">
        <v>10</v>
      </c>
      <c r="C13" s="604">
        <v>13.5</v>
      </c>
      <c r="D13" s="343">
        <f>SUM(G13:N13)</f>
        <v>0</v>
      </c>
      <c r="E13" s="344">
        <f>SUM(O13:U13)</f>
        <v>0</v>
      </c>
      <c r="F13" s="345">
        <f>SUMIF(PP!$1:$1,$X13,PP!$86:$86)+SUMIF(PC!$1:$1,$X13,PC!$87:$87)</f>
        <v>0</v>
      </c>
      <c r="G13" s="346">
        <f>SUMIF(Driver!$1:$1,$X13,Driver!$18:$18)</f>
        <v>0</v>
      </c>
      <c r="H13" s="347">
        <f>SUMIF(PP!$1:$1,$X13,PP!$84:$84)</f>
        <v>0</v>
      </c>
      <c r="I13" s="348">
        <f>SUMIF(PC!$1:$1,$X13,PC!$85:$85)</f>
        <v>0</v>
      </c>
      <c r="J13" s="346">
        <f>SUMIF(FH!$1:$1,$X13,FH!$99:$99)</f>
        <v>0</v>
      </c>
      <c r="K13" s="349">
        <f>SUMIF('T22'!$1:$1,$X13,'T22'!$99:$99)</f>
        <v>0</v>
      </c>
      <c r="L13" s="346">
        <f>SUMIF(RF!$1:$1,$X13,RF!$18:$18)</f>
        <v>0</v>
      </c>
      <c r="M13" s="346">
        <f>SUMIF(SC!$1:$1,$X13,IF(DAY(PayDay1)=1,SC!$17:$17,SC!$35:$35))</f>
        <v>0</v>
      </c>
      <c r="N13" s="350">
        <f>SUMIF(TM!$1:$1,$X13,TM!$18:$18)</f>
        <v>0</v>
      </c>
      <c r="O13" s="351">
        <f>SUMIF(Driver!$1:$1,$X13,Driver!$19:$19)</f>
        <v>0</v>
      </c>
      <c r="P13" s="351">
        <f>SUMIF(PP!$1:$1,$X13,PP!$85:$85)</f>
        <v>0</v>
      </c>
      <c r="Q13" s="351">
        <f>SUMIF(PC!$1:$1,$X13,PC!$86:$86)</f>
        <v>0</v>
      </c>
      <c r="R13" s="351">
        <f>SUMIF(RF!$1:$1,$X13,RF!$22:$22)</f>
        <v>0</v>
      </c>
      <c r="S13" s="346">
        <f>SUMIF(SC!$1:$1,$X13,IF(DAY(PayDay1)=1,SC!$18:$18,SC!$36:$36))</f>
        <v>0</v>
      </c>
      <c r="T13" s="352">
        <f>SUMIF(OT!$1:$1,$X13,OT!$182:$182)</f>
        <v>0</v>
      </c>
      <c r="U13" s="590"/>
      <c r="V13" s="353">
        <f>(D13*B13)+E13+F13</f>
        <v>0</v>
      </c>
      <c r="W13" s="354"/>
      <c r="X13" s="354" t="str">
        <f>IFERROR(LEFT(A13,SEARCH(",",A13)-1)&amp;MID(A13,SEARCH(" ",A13),3)," ")</f>
        <v>Flores Os</v>
      </c>
    </row>
    <row r="14" spans="1:27" s="355" customFormat="1" x14ac:dyDescent="0.2">
      <c r="A14" s="558" t="s">
        <v>157</v>
      </c>
      <c r="B14" s="603">
        <v>10</v>
      </c>
      <c r="C14" s="603">
        <v>13.5</v>
      </c>
      <c r="D14" s="333">
        <f>SUM(G14:N14)</f>
        <v>0</v>
      </c>
      <c r="E14" s="334">
        <f>SUM(O14:U14)</f>
        <v>0</v>
      </c>
      <c r="F14" s="335">
        <f>SUMIF(PP!$1:$1,$X14,PP!$86:$86)+SUMIF(PC!$1:$1,$X14,PC!$87:$87)</f>
        <v>0</v>
      </c>
      <c r="G14" s="336">
        <f>SUMIF(Driver!$1:$1,$X14,Driver!$18:$18)</f>
        <v>0</v>
      </c>
      <c r="H14" s="337">
        <f>SUMIF(PP!$1:$1,$X14,PP!$84:$84)</f>
        <v>0</v>
      </c>
      <c r="I14" s="338">
        <f>SUMIF(PC!$1:$1,$X14,PC!$85:$85)</f>
        <v>0</v>
      </c>
      <c r="J14" s="336">
        <f>SUMIF(FH!$1:$1,$X14,FH!$99:$99)</f>
        <v>0</v>
      </c>
      <c r="K14" s="339">
        <f>SUMIF('T22'!$1:$1,$X14,'T22'!$99:$99)</f>
        <v>0</v>
      </c>
      <c r="L14" s="336">
        <f>SUMIF(RF!$1:$1,$X14,RF!$18:$18)</f>
        <v>0</v>
      </c>
      <c r="M14" s="336">
        <f>SUMIF(SC!$1:$1,$X14,IF(DAY(PayDay1)=1,SC!$17:$17,SC!$35:$35))</f>
        <v>0</v>
      </c>
      <c r="N14" s="340">
        <f>SUMIF(TM!$1:$1,$X14,TM!$18:$18)</f>
        <v>0</v>
      </c>
      <c r="O14" s="196">
        <f>SUMIF(Driver!$1:$1,$X14,Driver!$19:$19)</f>
        <v>0</v>
      </c>
      <c r="P14" s="196">
        <f>SUMIF(PP!$1:$1,$X14,PP!$85:$85)</f>
        <v>0</v>
      </c>
      <c r="Q14" s="196">
        <f>SUMIF(PC!$1:$1,$X14,PC!$86:$86)</f>
        <v>0</v>
      </c>
      <c r="R14" s="196">
        <f>SUMIF(RF!$1:$1,$X14,RF!$22:$22)</f>
        <v>0</v>
      </c>
      <c r="S14" s="336">
        <f>SUMIF(SC!$1:$1,$X14,IF(DAY(PayDay1)=1,SC!$18:$18,SC!$36:$36))</f>
        <v>0</v>
      </c>
      <c r="T14" s="341">
        <f>SUMIF(OT!$1:$1,$X14,OT!$182:$182)</f>
        <v>0</v>
      </c>
      <c r="U14" s="589"/>
      <c r="V14" s="342">
        <f>(D14*B14)+E14+F14</f>
        <v>0</v>
      </c>
      <c r="W14" s="332"/>
      <c r="X14" s="332" t="str">
        <f>IFERROR(LEFT(A14,SEARCH(",",A14)-1)&amp;MID(A14,SEARCH(" ",A14),3)," ")</f>
        <v>Gomez Ce</v>
      </c>
    </row>
    <row r="15" spans="1:27" s="355" customFormat="1" x14ac:dyDescent="0.2">
      <c r="A15" s="559" t="s">
        <v>160</v>
      </c>
      <c r="B15" s="604">
        <v>10</v>
      </c>
      <c r="C15" s="604">
        <v>13.5</v>
      </c>
      <c r="D15" s="343">
        <f>SUM(G15:N15)</f>
        <v>0</v>
      </c>
      <c r="E15" s="344">
        <f>SUM(O15:U15)</f>
        <v>0</v>
      </c>
      <c r="F15" s="345">
        <f>SUMIF(PP!$1:$1,$X15,PP!$86:$86)+SUMIF(PC!$1:$1,$X15,PC!$87:$87)</f>
        <v>0</v>
      </c>
      <c r="G15" s="346">
        <f>SUMIF(Driver!$1:$1,$X15,Driver!$18:$18)</f>
        <v>0</v>
      </c>
      <c r="H15" s="347">
        <f>SUMIF(PP!$1:$1,$X15,PP!$84:$84)</f>
        <v>0</v>
      </c>
      <c r="I15" s="348">
        <f>SUMIF(PC!$1:$1,$X15,PC!$85:$85)</f>
        <v>0</v>
      </c>
      <c r="J15" s="346">
        <f>SUMIF(FH!$1:$1,$X15,FH!$99:$99)</f>
        <v>0</v>
      </c>
      <c r="K15" s="349">
        <f>SUMIF('T22'!$1:$1,$X15,'T22'!$99:$99)</f>
        <v>0</v>
      </c>
      <c r="L15" s="346">
        <f>SUMIF(RF!$1:$1,$X15,RF!$18:$18)</f>
        <v>0</v>
      </c>
      <c r="M15" s="346">
        <f>SUMIF(SC!$1:$1,$X15,IF(DAY(PayDay1)=1,SC!$17:$17,SC!$35:$35))</f>
        <v>0</v>
      </c>
      <c r="N15" s="350">
        <f>SUMIF(TM!$1:$1,$X15,TM!$18:$18)</f>
        <v>0</v>
      </c>
      <c r="O15" s="351">
        <f>SUMIF(Driver!$1:$1,$X15,Driver!$19:$19)</f>
        <v>0</v>
      </c>
      <c r="P15" s="351">
        <f>SUMIF(PP!$1:$1,$X15,PP!$85:$85)</f>
        <v>0</v>
      </c>
      <c r="Q15" s="351">
        <f>SUMIF(PC!$1:$1,$X15,PC!$86:$86)</f>
        <v>0</v>
      </c>
      <c r="R15" s="351">
        <f>SUMIF(RF!$1:$1,$X15,RF!$22:$22)</f>
        <v>0</v>
      </c>
      <c r="S15" s="346">
        <f>SUMIF(SC!$1:$1,$X15,IF(DAY(PayDay1)=1,SC!$18:$18,SC!$36:$36))</f>
        <v>0</v>
      </c>
      <c r="T15" s="352">
        <f>SUMIF(OT!$1:$1,$X15,OT!$182:$182)</f>
        <v>0</v>
      </c>
      <c r="U15" s="590"/>
      <c r="V15" s="353">
        <f>(D15*B15)+E15+F15</f>
        <v>0</v>
      </c>
      <c r="W15" s="354"/>
      <c r="X15" s="354" t="str">
        <f>IFERROR(LEFT(A15,SEARCH(",",A15)-1)&amp;MID(A15,SEARCH(" ",A15),3)," ")</f>
        <v>Grecin An</v>
      </c>
    </row>
    <row r="16" spans="1:27" s="355" customFormat="1" x14ac:dyDescent="0.2">
      <c r="A16" s="558" t="s">
        <v>133</v>
      </c>
      <c r="B16" s="603">
        <v>10</v>
      </c>
      <c r="C16" s="603">
        <v>13.5</v>
      </c>
      <c r="D16" s="333">
        <f>SUM(G16:N16)</f>
        <v>0</v>
      </c>
      <c r="E16" s="334">
        <f>SUM(O16:U16)</f>
        <v>0</v>
      </c>
      <c r="F16" s="335">
        <f>SUMIF(PP!$1:$1,$X16,PP!$86:$86)+SUMIF(PC!$1:$1,$X16,PC!$87:$87)</f>
        <v>0</v>
      </c>
      <c r="G16" s="336">
        <f>SUMIF(Driver!$1:$1,$X16,Driver!$18:$18)</f>
        <v>0</v>
      </c>
      <c r="H16" s="337">
        <f>SUMIF(PP!$1:$1,$X16,PP!$84:$84)</f>
        <v>0</v>
      </c>
      <c r="I16" s="338">
        <f>SUMIF(PC!$1:$1,$X16,PC!$85:$85)</f>
        <v>0</v>
      </c>
      <c r="J16" s="336">
        <f>SUMIF(FH!$1:$1,$X16,FH!$99:$99)</f>
        <v>0</v>
      </c>
      <c r="K16" s="339">
        <f>SUMIF('T22'!$1:$1,$X16,'T22'!$99:$99)</f>
        <v>0</v>
      </c>
      <c r="L16" s="336">
        <f>SUMIF(RF!$1:$1,$X16,RF!$18:$18)</f>
        <v>0</v>
      </c>
      <c r="M16" s="336">
        <f>SUMIF(SC!$1:$1,$X16,IF(DAY(PayDay1)=1,SC!$17:$17,SC!$35:$35))</f>
        <v>0</v>
      </c>
      <c r="N16" s="340">
        <f>SUMIF(TM!$1:$1,$X16,TM!$18:$18)</f>
        <v>0</v>
      </c>
      <c r="O16" s="196">
        <f>SUMIF(Driver!$1:$1,$X16,Driver!$19:$19)</f>
        <v>0</v>
      </c>
      <c r="P16" s="196">
        <f>SUMIF(PP!$1:$1,$X16,PP!$85:$85)</f>
        <v>0</v>
      </c>
      <c r="Q16" s="196">
        <f>SUMIF(PC!$1:$1,$X16,PC!$86:$86)</f>
        <v>0</v>
      </c>
      <c r="R16" s="196">
        <f>SUMIF(RF!$1:$1,$X16,RF!$22:$22)</f>
        <v>0</v>
      </c>
      <c r="S16" s="336">
        <f>SUMIF(SC!$1:$1,$X16,IF(DAY(PayDay1)=1,SC!$18:$18,SC!$36:$36))</f>
        <v>0</v>
      </c>
      <c r="T16" s="341">
        <f>SUMIF(OT!$1:$1,$X16,OT!$182:$182)</f>
        <v>0</v>
      </c>
      <c r="U16" s="589"/>
      <c r="V16" s="342">
        <f>(D16*B16)+E16+F16</f>
        <v>0</v>
      </c>
      <c r="W16" s="332"/>
      <c r="X16" s="332" t="str">
        <f>IFERROR(LEFT(A16,SEARCH(",",A16)-1)&amp;MID(A16,SEARCH(" ",A16),3)," ")</f>
        <v>Heflin Jo</v>
      </c>
    </row>
    <row r="17" spans="1:24" s="355" customFormat="1" x14ac:dyDescent="0.2">
      <c r="A17" s="559" t="s">
        <v>103</v>
      </c>
      <c r="B17" s="604">
        <v>10</v>
      </c>
      <c r="C17" s="604">
        <v>13.5</v>
      </c>
      <c r="D17" s="343">
        <f>SUM(G17:N17)</f>
        <v>0</v>
      </c>
      <c r="E17" s="344">
        <f>SUM(O17:U17)</f>
        <v>0</v>
      </c>
      <c r="F17" s="345">
        <f>SUMIF(PP!$1:$1,$X17,PP!$86:$86)+SUMIF(PC!$1:$1,$X17,PC!$87:$87)</f>
        <v>0</v>
      </c>
      <c r="G17" s="346">
        <f>SUMIF(Driver!$1:$1,$X17,Driver!$18:$18)</f>
        <v>0</v>
      </c>
      <c r="H17" s="347">
        <f>SUMIF(PP!$1:$1,$X17,PP!$84:$84)</f>
        <v>0</v>
      </c>
      <c r="I17" s="348">
        <f>SUMIF(PC!$1:$1,$X17,PC!$85:$85)</f>
        <v>0</v>
      </c>
      <c r="J17" s="346">
        <f>SUMIF(FH!$1:$1,$X17,FH!$99:$99)</f>
        <v>0</v>
      </c>
      <c r="K17" s="349">
        <f>SUMIF('T22'!$1:$1,$X17,'T22'!$99:$99)</f>
        <v>0</v>
      </c>
      <c r="L17" s="346">
        <f>SUMIF(RF!$1:$1,$X17,RF!$18:$18)</f>
        <v>0</v>
      </c>
      <c r="M17" s="346">
        <f>SUMIF(SC!$1:$1,$X17,IF(DAY(PayDay1)=1,SC!$17:$17,SC!$35:$35))</f>
        <v>0</v>
      </c>
      <c r="N17" s="350">
        <f>SUMIF(TM!$1:$1,$X17,TM!$18:$18)</f>
        <v>0</v>
      </c>
      <c r="O17" s="351">
        <f>SUMIF(Driver!$1:$1,$X17,Driver!$19:$19)</f>
        <v>0</v>
      </c>
      <c r="P17" s="351">
        <f>SUMIF(PP!$1:$1,$X17,PP!$85:$85)</f>
        <v>0</v>
      </c>
      <c r="Q17" s="351">
        <f>SUMIF(PC!$1:$1,$X17,PC!$86:$86)</f>
        <v>0</v>
      </c>
      <c r="R17" s="351">
        <f>SUMIF(RF!$1:$1,$X17,RF!$22:$22)</f>
        <v>0</v>
      </c>
      <c r="S17" s="346">
        <f>SUMIF(SC!$1:$1,$X17,IF(DAY(PayDay1)=1,SC!$18:$18,SC!$36:$36))</f>
        <v>0</v>
      </c>
      <c r="T17" s="352">
        <f>SUMIF(OT!$1:$1,$X17,OT!$182:$182)</f>
        <v>0</v>
      </c>
      <c r="U17" s="590"/>
      <c r="V17" s="353">
        <f>(D17*B17)+E17+F17</f>
        <v>0</v>
      </c>
      <c r="W17" s="354"/>
      <c r="X17" s="354" t="str">
        <f>IFERROR(LEFT(A17,SEARCH(",",A17)-1)&amp;MID(A17,SEARCH(" ",A17),3)," ")</f>
        <v>Henning Da</v>
      </c>
    </row>
    <row r="18" spans="1:24" s="355" customFormat="1" x14ac:dyDescent="0.2">
      <c r="A18" s="558" t="s">
        <v>139</v>
      </c>
      <c r="B18" s="603">
        <v>10</v>
      </c>
      <c r="C18" s="603">
        <v>13.5</v>
      </c>
      <c r="D18" s="333">
        <f>SUM(G18:N18)</f>
        <v>0</v>
      </c>
      <c r="E18" s="334">
        <f>SUM(O18:U18)</f>
        <v>0</v>
      </c>
      <c r="F18" s="335">
        <f>SUMIF(PP!$1:$1,$X18,PP!$86:$86)+SUMIF(PC!$1:$1,$X18,PC!$87:$87)</f>
        <v>0</v>
      </c>
      <c r="G18" s="336">
        <f>SUMIF(Driver!$1:$1,$X18,Driver!$18:$18)</f>
        <v>0</v>
      </c>
      <c r="H18" s="337">
        <f>SUMIF(PP!$1:$1,$X18,PP!$84:$84)</f>
        <v>0</v>
      </c>
      <c r="I18" s="338">
        <f>SUMIF(PC!$1:$1,$X18,PC!$85:$85)</f>
        <v>0</v>
      </c>
      <c r="J18" s="336">
        <f>SUMIF(FH!$1:$1,$X18,FH!$99:$99)</f>
        <v>0</v>
      </c>
      <c r="K18" s="339">
        <f>SUMIF('T22'!$1:$1,$X18,'T22'!$99:$99)</f>
        <v>0</v>
      </c>
      <c r="L18" s="336">
        <f>SUMIF(RF!$1:$1,$X18,RF!$18:$18)</f>
        <v>0</v>
      </c>
      <c r="M18" s="336">
        <f>SUMIF(SC!$1:$1,$X18,IF(DAY(PayDay1)=1,SC!$17:$17,SC!$35:$35))</f>
        <v>0</v>
      </c>
      <c r="N18" s="340">
        <f>SUMIF(TM!$1:$1,$X18,TM!$18:$18)</f>
        <v>0</v>
      </c>
      <c r="O18" s="196">
        <f>SUMIF(Driver!$1:$1,$X18,Driver!$19:$19)</f>
        <v>0</v>
      </c>
      <c r="P18" s="196">
        <f>SUMIF(PP!$1:$1,$X18,PP!$85:$85)</f>
        <v>0</v>
      </c>
      <c r="Q18" s="196">
        <f>SUMIF(PC!$1:$1,$X18,PC!$86:$86)</f>
        <v>0</v>
      </c>
      <c r="R18" s="196">
        <f>SUMIF(RF!$1:$1,$X18,RF!$22:$22)</f>
        <v>0</v>
      </c>
      <c r="S18" s="336">
        <f>SUMIF(SC!$1:$1,$X18,IF(DAY(PayDay1)=1,SC!$18:$18,SC!$36:$36))</f>
        <v>0</v>
      </c>
      <c r="T18" s="341">
        <f>SUMIF(OT!$1:$1,$X18,OT!$182:$182)</f>
        <v>0</v>
      </c>
      <c r="U18" s="589"/>
      <c r="V18" s="342">
        <f>(D18*B18)+E18+F18</f>
        <v>0</v>
      </c>
      <c r="W18" s="332"/>
      <c r="X18" s="332" t="str">
        <f>IFERROR(LEFT(A18,SEARCH(",",A18)-1)&amp;MID(A18,SEARCH(" ",A18),3)," ")</f>
        <v>Kane Ro</v>
      </c>
    </row>
    <row r="19" spans="1:24" s="355" customFormat="1" x14ac:dyDescent="0.2">
      <c r="A19" s="559" t="s">
        <v>159</v>
      </c>
      <c r="B19" s="604">
        <v>10</v>
      </c>
      <c r="C19" s="604">
        <v>13.5</v>
      </c>
      <c r="D19" s="343">
        <f>SUM(G19:N19)</f>
        <v>0</v>
      </c>
      <c r="E19" s="344">
        <f>SUM(O19:U19)</f>
        <v>0</v>
      </c>
      <c r="F19" s="345">
        <f>SUMIF(PP!$1:$1,$X19,PP!$86:$86)+SUMIF(PC!$1:$1,$X19,PC!$87:$87)</f>
        <v>0</v>
      </c>
      <c r="G19" s="346">
        <f>SUMIF(Driver!$1:$1,$X19,Driver!$18:$18)</f>
        <v>0</v>
      </c>
      <c r="H19" s="347">
        <f>SUMIF(PP!$1:$1,$X19,PP!$84:$84)</f>
        <v>0</v>
      </c>
      <c r="I19" s="348">
        <f>SUMIF(PC!$1:$1,$X19,PC!$85:$85)</f>
        <v>0</v>
      </c>
      <c r="J19" s="346">
        <f>SUMIF(FH!$1:$1,$X19,FH!$99:$99)</f>
        <v>0</v>
      </c>
      <c r="K19" s="349">
        <f>SUMIF('T22'!$1:$1,$X19,'T22'!$99:$99)</f>
        <v>0</v>
      </c>
      <c r="L19" s="346">
        <f>SUMIF(RF!$1:$1,$X19,RF!$18:$18)</f>
        <v>0</v>
      </c>
      <c r="M19" s="346">
        <f>SUMIF(SC!$1:$1,$X19,IF(DAY(PayDay1)=1,SC!$17:$17,SC!$35:$35))</f>
        <v>0</v>
      </c>
      <c r="N19" s="350">
        <f>SUMIF(TM!$1:$1,$X19,TM!$18:$18)</f>
        <v>0</v>
      </c>
      <c r="O19" s="351">
        <f>SUMIF(Driver!$1:$1,$X19,Driver!$19:$19)</f>
        <v>0</v>
      </c>
      <c r="P19" s="351">
        <f>SUMIF(PP!$1:$1,$X19,PP!$85:$85)</f>
        <v>0</v>
      </c>
      <c r="Q19" s="351">
        <f>SUMIF(PC!$1:$1,$X19,PC!$86:$86)</f>
        <v>0</v>
      </c>
      <c r="R19" s="351">
        <f>SUMIF(RF!$1:$1,$X19,RF!$22:$22)</f>
        <v>0</v>
      </c>
      <c r="S19" s="346">
        <f>SUMIF(SC!$1:$1,$X19,IF(DAY(PayDay1)=1,SC!$18:$18,SC!$36:$36))</f>
        <v>0</v>
      </c>
      <c r="T19" s="352">
        <f>SUMIF(OT!$1:$1,$X19,OT!$182:$182)</f>
        <v>0</v>
      </c>
      <c r="U19" s="590"/>
      <c r="V19" s="353">
        <f>(D19*B19)+E19+F19</f>
        <v>0</v>
      </c>
      <c r="W19" s="354"/>
      <c r="X19" s="354" t="str">
        <f>IFERROR(LEFT(A19,SEARCH(",",A19)-1)&amp;MID(A19,SEARCH(" ",A19),3)," ")</f>
        <v>Knight Al</v>
      </c>
    </row>
    <row r="20" spans="1:24" s="355" customFormat="1" x14ac:dyDescent="0.2">
      <c r="A20" s="558" t="s">
        <v>106</v>
      </c>
      <c r="B20" s="603">
        <v>10</v>
      </c>
      <c r="C20" s="603">
        <v>13.5</v>
      </c>
      <c r="D20" s="333">
        <f>SUM(G20:N20)</f>
        <v>0</v>
      </c>
      <c r="E20" s="334">
        <f>SUM(O20:U20)</f>
        <v>0</v>
      </c>
      <c r="F20" s="335">
        <f>SUMIF(PP!$1:$1,$X20,PP!$86:$86)+SUMIF(PC!$1:$1,$X20,PC!$87:$87)</f>
        <v>0</v>
      </c>
      <c r="G20" s="336">
        <f>SUMIF(Driver!$1:$1,$X20,Driver!$18:$18)</f>
        <v>0</v>
      </c>
      <c r="H20" s="337">
        <f>SUMIF(PP!$1:$1,$X20,PP!$84:$84)</f>
        <v>0</v>
      </c>
      <c r="I20" s="338">
        <f>SUMIF(PC!$1:$1,$X20,PC!$85:$85)</f>
        <v>0</v>
      </c>
      <c r="J20" s="336">
        <f>SUMIF(FH!$1:$1,$X20,FH!$99:$99)</f>
        <v>0</v>
      </c>
      <c r="K20" s="339">
        <f>SUMIF('T22'!$1:$1,$X20,'T22'!$99:$99)</f>
        <v>0</v>
      </c>
      <c r="L20" s="336">
        <f>SUMIF(RF!$1:$1,$X20,RF!$18:$18)</f>
        <v>0</v>
      </c>
      <c r="M20" s="336">
        <f>SUMIF(SC!$1:$1,$X20,IF(DAY(PayDay1)=1,SC!$17:$17,SC!$35:$35))</f>
        <v>0</v>
      </c>
      <c r="N20" s="340">
        <f>SUMIF(TM!$1:$1,$X20,TM!$18:$18)</f>
        <v>0</v>
      </c>
      <c r="O20" s="196">
        <f>SUMIF(Driver!$1:$1,$X20,Driver!$19:$19)</f>
        <v>0</v>
      </c>
      <c r="P20" s="196">
        <f>SUMIF(PP!$1:$1,$X20,PP!$85:$85)</f>
        <v>0</v>
      </c>
      <c r="Q20" s="196">
        <f>SUMIF(PC!$1:$1,$X20,PC!$86:$86)</f>
        <v>0</v>
      </c>
      <c r="R20" s="196">
        <f>SUMIF(RF!$1:$1,$X20,RF!$22:$22)</f>
        <v>0</v>
      </c>
      <c r="S20" s="336">
        <f>SUMIF(SC!$1:$1,$X20,IF(DAY(PayDay1)=1,SC!$18:$18,SC!$36:$36))</f>
        <v>0</v>
      </c>
      <c r="T20" s="341">
        <f>SUMIF(OT!$1:$1,$X20,OT!$182:$182)</f>
        <v>0</v>
      </c>
      <c r="U20" s="589"/>
      <c r="V20" s="342">
        <f>(D20*B20)+E20+F20</f>
        <v>0</v>
      </c>
      <c r="W20" s="332"/>
      <c r="X20" s="332" t="str">
        <f>IFERROR(LEFT(A20,SEARCH(",",A20)-1)&amp;MID(A20,SEARCH(" ",A20),3)," ")</f>
        <v>Levesque Qu</v>
      </c>
    </row>
    <row r="21" spans="1:24" s="355" customFormat="1" x14ac:dyDescent="0.2">
      <c r="A21" s="559" t="s">
        <v>108</v>
      </c>
      <c r="B21" s="604">
        <v>10</v>
      </c>
      <c r="C21" s="604">
        <v>13.5</v>
      </c>
      <c r="D21" s="343">
        <f>SUM(G21:N21)</f>
        <v>0</v>
      </c>
      <c r="E21" s="344">
        <f>SUM(O21:U21)</f>
        <v>0</v>
      </c>
      <c r="F21" s="345">
        <f>SUMIF(PP!$1:$1,$X21,PP!$86:$86)+SUMIF(PC!$1:$1,$X21,PC!$87:$87)</f>
        <v>0</v>
      </c>
      <c r="G21" s="346">
        <f>SUMIF(Driver!$1:$1,$X21,Driver!$18:$18)</f>
        <v>0</v>
      </c>
      <c r="H21" s="347">
        <f>SUMIF(PP!$1:$1,$X21,PP!$84:$84)</f>
        <v>0</v>
      </c>
      <c r="I21" s="348">
        <f>SUMIF(PC!$1:$1,$X21,PC!$85:$85)</f>
        <v>0</v>
      </c>
      <c r="J21" s="346">
        <f>SUMIF(FH!$1:$1,$X21,FH!$99:$99)</f>
        <v>0</v>
      </c>
      <c r="K21" s="349">
        <f>SUMIF('T22'!$1:$1,$X21,'T22'!$99:$99)</f>
        <v>0</v>
      </c>
      <c r="L21" s="346">
        <f>SUMIF(RF!$1:$1,$X21,RF!$18:$18)</f>
        <v>0</v>
      </c>
      <c r="M21" s="346">
        <f>SUMIF(SC!$1:$1,$X21,IF(DAY(PayDay1)=1,SC!$17:$17,SC!$35:$35))</f>
        <v>0</v>
      </c>
      <c r="N21" s="350">
        <f>SUMIF(TM!$1:$1,$X21,TM!$18:$18)</f>
        <v>0</v>
      </c>
      <c r="O21" s="351">
        <f>SUMIF(Driver!$1:$1,$X21,Driver!$19:$19)</f>
        <v>0</v>
      </c>
      <c r="P21" s="351">
        <f>SUMIF(PP!$1:$1,$X21,PP!$85:$85)</f>
        <v>0</v>
      </c>
      <c r="Q21" s="351">
        <f>SUMIF(PC!$1:$1,$X21,PC!$86:$86)</f>
        <v>0</v>
      </c>
      <c r="R21" s="351">
        <f>SUMIF(RF!$1:$1,$X21,RF!$22:$22)</f>
        <v>0</v>
      </c>
      <c r="S21" s="346">
        <f>SUMIF(SC!$1:$1,$X21,IF(DAY(PayDay1)=1,SC!$18:$18,SC!$36:$36))</f>
        <v>0</v>
      </c>
      <c r="T21" s="352">
        <f>SUMIF(OT!$1:$1,$X21,OT!$182:$182)</f>
        <v>0</v>
      </c>
      <c r="U21" s="590"/>
      <c r="V21" s="353">
        <f>(D21*B21)+E21+F21</f>
        <v>0</v>
      </c>
      <c r="W21" s="354"/>
      <c r="X21" s="354" t="str">
        <f>IFERROR(LEFT(A21,SEARCH(",",A21)-1)&amp;MID(A21,SEARCH(" ",A21),3)," ")</f>
        <v>Loggins Ha</v>
      </c>
    </row>
    <row r="22" spans="1:24" s="355" customFormat="1" x14ac:dyDescent="0.2">
      <c r="A22" s="558" t="s">
        <v>156</v>
      </c>
      <c r="B22" s="603">
        <v>10</v>
      </c>
      <c r="C22" s="603">
        <v>13.5</v>
      </c>
      <c r="D22" s="333">
        <f>SUM(G22:N22)</f>
        <v>0</v>
      </c>
      <c r="E22" s="334">
        <f>SUM(O22:U22)</f>
        <v>0</v>
      </c>
      <c r="F22" s="335">
        <f>SUMIF(PP!$1:$1,$X22,PP!$86:$86)+SUMIF(PC!$1:$1,$X22,PC!$87:$87)</f>
        <v>0</v>
      </c>
      <c r="G22" s="336">
        <f>SUMIF(Driver!$1:$1,$X22,Driver!$18:$18)</f>
        <v>0</v>
      </c>
      <c r="H22" s="337">
        <f>SUMIF(PP!$1:$1,$X22,PP!$84:$84)</f>
        <v>0</v>
      </c>
      <c r="I22" s="338">
        <f>SUMIF(PC!$1:$1,$X22,PC!$85:$85)</f>
        <v>0</v>
      </c>
      <c r="J22" s="336">
        <f>SUMIF(FH!$1:$1,$X22,FH!$99:$99)</f>
        <v>0</v>
      </c>
      <c r="K22" s="339">
        <f>SUMIF('T22'!$1:$1,$X22,'T22'!$99:$99)</f>
        <v>0</v>
      </c>
      <c r="L22" s="336">
        <f>SUMIF(RF!$1:$1,$X22,RF!$18:$18)</f>
        <v>0</v>
      </c>
      <c r="M22" s="336">
        <f>SUMIF(SC!$1:$1,$X22,IF(DAY(PayDay1)=1,SC!$17:$17,SC!$35:$35))</f>
        <v>0</v>
      </c>
      <c r="N22" s="340">
        <f>SUMIF(TM!$1:$1,$X22,TM!$18:$18)</f>
        <v>0</v>
      </c>
      <c r="O22" s="196">
        <f>SUMIF(Driver!$1:$1,$X22,Driver!$19:$19)</f>
        <v>0</v>
      </c>
      <c r="P22" s="196">
        <f>SUMIF(PP!$1:$1,$X22,PP!$85:$85)</f>
        <v>0</v>
      </c>
      <c r="Q22" s="196">
        <f>SUMIF(PC!$1:$1,$X22,PC!$86:$86)</f>
        <v>0</v>
      </c>
      <c r="R22" s="196">
        <f>SUMIF(RF!$1:$1,$X22,RF!$22:$22)</f>
        <v>0</v>
      </c>
      <c r="S22" s="336">
        <f>SUMIF(SC!$1:$1,$X22,IF(DAY(PayDay1)=1,SC!$18:$18,SC!$36:$36))</f>
        <v>0</v>
      </c>
      <c r="T22" s="341">
        <f>SUMIF(OT!$1:$1,$X22,OT!$182:$182)</f>
        <v>0</v>
      </c>
      <c r="U22" s="589"/>
      <c r="V22" s="342">
        <f>(D22*B22)+E22+F22</f>
        <v>0</v>
      </c>
      <c r="W22" s="332"/>
      <c r="X22" s="332" t="str">
        <f>IFERROR(LEFT(A22,SEARCH(",",A22)-1)&amp;MID(A22,SEARCH(" ",A22),3)," ")</f>
        <v>Lujan Wi</v>
      </c>
    </row>
    <row r="23" spans="1:24" s="355" customFormat="1" x14ac:dyDescent="0.2">
      <c r="A23" s="559" t="s">
        <v>154</v>
      </c>
      <c r="B23" s="604">
        <v>10</v>
      </c>
      <c r="C23" s="604">
        <v>13.5</v>
      </c>
      <c r="D23" s="343">
        <f>SUM(G23:N23)</f>
        <v>0</v>
      </c>
      <c r="E23" s="344">
        <f>SUM(O23:U23)</f>
        <v>0</v>
      </c>
      <c r="F23" s="345">
        <f>SUMIF(PP!$1:$1,$X23,PP!$86:$86)+SUMIF(PC!$1:$1,$X23,PC!$87:$87)</f>
        <v>0</v>
      </c>
      <c r="G23" s="346">
        <f>SUMIF(Driver!$1:$1,$X23,Driver!$18:$18)</f>
        <v>0</v>
      </c>
      <c r="H23" s="347">
        <f>SUMIF(PP!$1:$1,$X23,PP!$84:$84)</f>
        <v>0</v>
      </c>
      <c r="I23" s="348">
        <f>SUMIF(PC!$1:$1,$X23,PC!$85:$85)</f>
        <v>0</v>
      </c>
      <c r="J23" s="346">
        <f>SUMIF(FH!$1:$1,$X23,FH!$99:$99)</f>
        <v>0</v>
      </c>
      <c r="K23" s="349">
        <f>SUMIF('T22'!$1:$1,$X23,'T22'!$99:$99)</f>
        <v>0</v>
      </c>
      <c r="L23" s="346">
        <f>SUMIF(RF!$1:$1,$X23,RF!$18:$18)</f>
        <v>0</v>
      </c>
      <c r="M23" s="346">
        <f>SUMIF(SC!$1:$1,$X23,IF(DAY(PayDay1)=1,SC!$17:$17,SC!$35:$35))</f>
        <v>0</v>
      </c>
      <c r="N23" s="350">
        <f>SUMIF(TM!$1:$1,$X23,TM!$18:$18)</f>
        <v>0</v>
      </c>
      <c r="O23" s="351">
        <f>SUMIF(Driver!$1:$1,$X23,Driver!$19:$19)</f>
        <v>0</v>
      </c>
      <c r="P23" s="351">
        <f>SUMIF(PP!$1:$1,$X23,PP!$85:$85)</f>
        <v>0</v>
      </c>
      <c r="Q23" s="351">
        <f>SUMIF(PC!$1:$1,$X23,PC!$86:$86)</f>
        <v>0</v>
      </c>
      <c r="R23" s="351">
        <f>SUMIF(RF!$1:$1,$X23,RF!$22:$22)</f>
        <v>0</v>
      </c>
      <c r="S23" s="346">
        <f>SUMIF(SC!$1:$1,$X23,IF(DAY(PayDay1)=1,SC!$18:$18,SC!$36:$36))</f>
        <v>0</v>
      </c>
      <c r="T23" s="352">
        <f>SUMIF(OT!$1:$1,$X23,OT!$182:$182)</f>
        <v>0</v>
      </c>
      <c r="U23" s="590"/>
      <c r="V23" s="353">
        <f>(D23*B23)+E23+F23</f>
        <v>0</v>
      </c>
      <c r="W23" s="354"/>
      <c r="X23" s="354" t="str">
        <f>IFERROR(LEFT(A23,SEARCH(",",A23)-1)&amp;MID(A23,SEARCH(" ",A23),3)," ")</f>
        <v>McLaughlin Da</v>
      </c>
    </row>
    <row r="24" spans="1:24" s="355" customFormat="1" x14ac:dyDescent="0.2">
      <c r="A24" s="558" t="s">
        <v>151</v>
      </c>
      <c r="B24" s="603">
        <v>10</v>
      </c>
      <c r="C24" s="603">
        <v>13.5</v>
      </c>
      <c r="D24" s="333">
        <f>SUM(G24:N24)</f>
        <v>0</v>
      </c>
      <c r="E24" s="334">
        <f>SUM(O24:U24)</f>
        <v>0</v>
      </c>
      <c r="F24" s="335">
        <f>SUMIF(PP!$1:$1,$X24,PP!$86:$86)+SUMIF(PC!$1:$1,$X24,PC!$87:$87)</f>
        <v>0</v>
      </c>
      <c r="G24" s="336">
        <f>SUMIF(Driver!$1:$1,$X24,Driver!$18:$18)</f>
        <v>0</v>
      </c>
      <c r="H24" s="337">
        <f>SUMIF(PP!$1:$1,$X24,PP!$84:$84)</f>
        <v>0</v>
      </c>
      <c r="I24" s="338">
        <f>SUMIF(PC!$1:$1,$X24,PC!$85:$85)</f>
        <v>0</v>
      </c>
      <c r="J24" s="336">
        <f>SUMIF(FH!$1:$1,$X24,FH!$99:$99)</f>
        <v>0</v>
      </c>
      <c r="K24" s="339">
        <f>SUMIF('T22'!$1:$1,$X24,'T22'!$99:$99)</f>
        <v>0</v>
      </c>
      <c r="L24" s="336">
        <f>SUMIF(RF!$1:$1,$X24,RF!$18:$18)</f>
        <v>0</v>
      </c>
      <c r="M24" s="336">
        <f>SUMIF(SC!$1:$1,$X24,IF(DAY(PayDay1)=1,SC!$17:$17,SC!$35:$35))</f>
        <v>0</v>
      </c>
      <c r="N24" s="340">
        <f>SUMIF(TM!$1:$1,$X24,TM!$18:$18)</f>
        <v>0</v>
      </c>
      <c r="O24" s="196">
        <f>SUMIF(Driver!$1:$1,$X24,Driver!$19:$19)</f>
        <v>0</v>
      </c>
      <c r="P24" s="196">
        <f>SUMIF(PP!$1:$1,$X24,PP!$85:$85)</f>
        <v>0</v>
      </c>
      <c r="Q24" s="196">
        <f>SUMIF(PC!$1:$1,$X24,PC!$86:$86)</f>
        <v>0</v>
      </c>
      <c r="R24" s="196">
        <f>SUMIF(RF!$1:$1,$X24,RF!$22:$22)</f>
        <v>0</v>
      </c>
      <c r="S24" s="336">
        <f>SUMIF(SC!$1:$1,$X24,IF(DAY(PayDay1)=1,SC!$18:$18,SC!$36:$36))</f>
        <v>0</v>
      </c>
      <c r="T24" s="341">
        <f>SUMIF(OT!$1:$1,$X24,OT!$182:$182)</f>
        <v>0</v>
      </c>
      <c r="U24" s="589"/>
      <c r="V24" s="342">
        <f>(D24*B24)+E24+F24</f>
        <v>0</v>
      </c>
      <c r="W24" s="332"/>
      <c r="X24" s="332" t="str">
        <f>IFERROR(LEFT(A24,SEARCH(",",A24)-1)&amp;MID(A24,SEARCH(" ",A24),3)," ")</f>
        <v>Navarro Ju</v>
      </c>
    </row>
    <row r="25" spans="1:24" s="355" customFormat="1" x14ac:dyDescent="0.2">
      <c r="A25" s="559" t="s">
        <v>132</v>
      </c>
      <c r="B25" s="604">
        <v>10</v>
      </c>
      <c r="C25" s="604">
        <v>13.5</v>
      </c>
      <c r="D25" s="343">
        <f>SUM(G25:N25)</f>
        <v>0</v>
      </c>
      <c r="E25" s="344">
        <f>SUM(O25:U25)</f>
        <v>0</v>
      </c>
      <c r="F25" s="345">
        <f>SUMIF(PP!$1:$1,$X25,PP!$86:$86)+SUMIF(PC!$1:$1,$X25,PC!$87:$87)</f>
        <v>0</v>
      </c>
      <c r="G25" s="346">
        <f>SUMIF(Driver!$1:$1,$X25,Driver!$18:$18)</f>
        <v>0</v>
      </c>
      <c r="H25" s="347">
        <f>SUMIF(PP!$1:$1,$X25,PP!$84:$84)</f>
        <v>0</v>
      </c>
      <c r="I25" s="348">
        <f>SUMIF(PC!$1:$1,$X25,PC!$85:$85)</f>
        <v>0</v>
      </c>
      <c r="J25" s="346">
        <f>SUMIF(FH!$1:$1,$X25,FH!$99:$99)</f>
        <v>0</v>
      </c>
      <c r="K25" s="349">
        <f>SUMIF('T22'!$1:$1,$X25,'T22'!$99:$99)</f>
        <v>0</v>
      </c>
      <c r="L25" s="346">
        <f>SUMIF(RF!$1:$1,$X25,RF!$18:$18)</f>
        <v>0</v>
      </c>
      <c r="M25" s="346">
        <f>SUMIF(SC!$1:$1,$X25,IF(DAY(PayDay1)=1,SC!$17:$17,SC!$35:$35))</f>
        <v>0</v>
      </c>
      <c r="N25" s="350">
        <f>SUMIF(TM!$1:$1,$X25,TM!$18:$18)</f>
        <v>0</v>
      </c>
      <c r="O25" s="351">
        <f>SUMIF(Driver!$1:$1,$X25,Driver!$19:$19)</f>
        <v>0</v>
      </c>
      <c r="P25" s="351">
        <f>SUMIF(PP!$1:$1,$X25,PP!$85:$85)</f>
        <v>0</v>
      </c>
      <c r="Q25" s="351">
        <f>SUMIF(PC!$1:$1,$X25,PC!$86:$86)</f>
        <v>0</v>
      </c>
      <c r="R25" s="351">
        <f>SUMIF(RF!$1:$1,$X25,RF!$22:$22)</f>
        <v>0</v>
      </c>
      <c r="S25" s="346">
        <f>SUMIF(SC!$1:$1,$X25,IF(DAY(PayDay1)=1,SC!$18:$18,SC!$36:$36))</f>
        <v>0</v>
      </c>
      <c r="T25" s="352">
        <f>SUMIF(OT!$1:$1,$X25,OT!$182:$182)</f>
        <v>0</v>
      </c>
      <c r="U25" s="590"/>
      <c r="V25" s="353">
        <f>(D25*B25)+E25+F25</f>
        <v>0</v>
      </c>
      <c r="W25" s="354"/>
      <c r="X25" s="354" t="str">
        <f>IFERROR(LEFT(A25,SEARCH(",",A25)-1)&amp;MID(A25,SEARCH(" ",A25),3)," ")</f>
        <v>Ocampo-Mora Ce</v>
      </c>
    </row>
    <row r="26" spans="1:24" s="355" customFormat="1" x14ac:dyDescent="0.2">
      <c r="A26" s="558" t="s">
        <v>104</v>
      </c>
      <c r="B26" s="603">
        <v>10</v>
      </c>
      <c r="C26" s="603">
        <v>13.5</v>
      </c>
      <c r="D26" s="333">
        <f>SUM(G26:N26)</f>
        <v>0</v>
      </c>
      <c r="E26" s="334">
        <f>SUM(O26:U26)</f>
        <v>0</v>
      </c>
      <c r="F26" s="335">
        <f>SUMIF(PP!$1:$1,$X26,PP!$86:$86)+SUMIF(PC!$1:$1,$X26,PC!$87:$87)</f>
        <v>0</v>
      </c>
      <c r="G26" s="336">
        <f>SUMIF(Driver!$1:$1,$X26,Driver!$18:$18)</f>
        <v>0</v>
      </c>
      <c r="H26" s="337">
        <f>SUMIF(PP!$1:$1,$X26,PP!$84:$84)</f>
        <v>0</v>
      </c>
      <c r="I26" s="338">
        <f>SUMIF(PC!$1:$1,$X26,PC!$85:$85)</f>
        <v>0</v>
      </c>
      <c r="J26" s="336">
        <f>SUMIF(FH!$1:$1,$X26,FH!$99:$99)</f>
        <v>0</v>
      </c>
      <c r="K26" s="339">
        <f>SUMIF('T22'!$1:$1,$X26,'T22'!$99:$99)</f>
        <v>0</v>
      </c>
      <c r="L26" s="336">
        <f>SUMIF(RF!$1:$1,$X26,RF!$18:$18)</f>
        <v>0</v>
      </c>
      <c r="M26" s="336">
        <f>SUMIF(SC!$1:$1,$X26,IF(DAY(PayDay1)=1,SC!$17:$17,SC!$35:$35))</f>
        <v>0</v>
      </c>
      <c r="N26" s="340">
        <f>SUMIF(TM!$1:$1,$X26,TM!$18:$18)</f>
        <v>0</v>
      </c>
      <c r="O26" s="196">
        <f>SUMIF(Driver!$1:$1,$X26,Driver!$19:$19)</f>
        <v>0</v>
      </c>
      <c r="P26" s="196">
        <f>SUMIF(PP!$1:$1,$X26,PP!$85:$85)</f>
        <v>0</v>
      </c>
      <c r="Q26" s="196">
        <f>SUMIF(PC!$1:$1,$X26,PC!$86:$86)</f>
        <v>0</v>
      </c>
      <c r="R26" s="196">
        <f>SUMIF(RF!$1:$1,$X26,RF!$22:$22)</f>
        <v>0</v>
      </c>
      <c r="S26" s="336">
        <f>SUMIF(SC!$1:$1,$X26,IF(DAY(PayDay1)=1,SC!$18:$18,SC!$36:$36))</f>
        <v>0</v>
      </c>
      <c r="T26" s="341">
        <f>SUMIF(OT!$1:$1,$X26,OT!$182:$182)</f>
        <v>0</v>
      </c>
      <c r="U26" s="589"/>
      <c r="V26" s="342">
        <f>(D26*B26)+E26+F26</f>
        <v>0</v>
      </c>
      <c r="W26" s="332"/>
      <c r="X26" s="332" t="str">
        <f>IFERROR(LEFT(A26,SEARCH(",",A26)-1)&amp;MID(A26,SEARCH(" ",A26),3)," ")</f>
        <v>Ramsier Sa</v>
      </c>
    </row>
    <row r="27" spans="1:24" s="355" customFormat="1" x14ac:dyDescent="0.2">
      <c r="A27" s="559" t="s">
        <v>153</v>
      </c>
      <c r="B27" s="604">
        <v>10</v>
      </c>
      <c r="C27" s="604">
        <v>13.5</v>
      </c>
      <c r="D27" s="343">
        <f>SUM(G27:N27)</f>
        <v>0</v>
      </c>
      <c r="E27" s="344">
        <f>SUM(O27:U27)</f>
        <v>0</v>
      </c>
      <c r="F27" s="345">
        <f>SUMIF(PP!$1:$1,$X27,PP!$86:$86)+SUMIF(PC!$1:$1,$X27,PC!$87:$87)</f>
        <v>0</v>
      </c>
      <c r="G27" s="346">
        <f>SUMIF(Driver!$1:$1,$X27,Driver!$18:$18)</f>
        <v>0</v>
      </c>
      <c r="H27" s="347">
        <f>SUMIF(PP!$1:$1,$X27,PP!$84:$84)</f>
        <v>0</v>
      </c>
      <c r="I27" s="348">
        <f>SUMIF(PC!$1:$1,$X27,PC!$85:$85)</f>
        <v>0</v>
      </c>
      <c r="J27" s="346">
        <f>SUMIF(FH!$1:$1,$X27,FH!$99:$99)</f>
        <v>0</v>
      </c>
      <c r="K27" s="349">
        <f>SUMIF('T22'!$1:$1,$X27,'T22'!$99:$99)</f>
        <v>0</v>
      </c>
      <c r="L27" s="346">
        <f>SUMIF(RF!$1:$1,$X27,RF!$18:$18)</f>
        <v>0</v>
      </c>
      <c r="M27" s="346">
        <f>SUMIF(SC!$1:$1,$X27,IF(DAY(PayDay1)=1,SC!$17:$17,SC!$35:$35))</f>
        <v>0</v>
      </c>
      <c r="N27" s="350">
        <f>SUMIF(TM!$1:$1,$X27,TM!$18:$18)</f>
        <v>0</v>
      </c>
      <c r="O27" s="351">
        <f>SUMIF(Driver!$1:$1,$X27,Driver!$19:$19)</f>
        <v>0</v>
      </c>
      <c r="P27" s="351">
        <f>SUMIF(PP!$1:$1,$X27,PP!$85:$85)</f>
        <v>0</v>
      </c>
      <c r="Q27" s="351">
        <f>SUMIF(PC!$1:$1,$X27,PC!$86:$86)</f>
        <v>0</v>
      </c>
      <c r="R27" s="351">
        <f>SUMIF(RF!$1:$1,$X27,RF!$22:$22)</f>
        <v>0</v>
      </c>
      <c r="S27" s="346">
        <f>SUMIF(SC!$1:$1,$X27,IF(DAY(PayDay1)=1,SC!$18:$18,SC!$36:$36))</f>
        <v>0</v>
      </c>
      <c r="T27" s="352">
        <f>SUMIF(OT!$1:$1,$X27,OT!$182:$182)</f>
        <v>0</v>
      </c>
      <c r="U27" s="590"/>
      <c r="V27" s="353">
        <f>(D27*B27)+E27+F27</f>
        <v>0</v>
      </c>
      <c r="W27" s="354"/>
      <c r="X27" s="354" t="str">
        <f>IFERROR(LEFT(A27,SEARCH(",",A27)-1)&amp;MID(A27,SEARCH(" ",A27),3)," ")</f>
        <v>Rochester Da</v>
      </c>
    </row>
    <row r="28" spans="1:24" s="355" customFormat="1" x14ac:dyDescent="0.2">
      <c r="A28" s="558" t="s">
        <v>102</v>
      </c>
      <c r="B28" s="603">
        <v>10.5</v>
      </c>
      <c r="C28" s="603">
        <v>15</v>
      </c>
      <c r="D28" s="333">
        <f>SUM(G28:N28)</f>
        <v>0</v>
      </c>
      <c r="E28" s="334">
        <f>SUM(O28:U28)</f>
        <v>0</v>
      </c>
      <c r="F28" s="335">
        <f>SUMIF(PP!$1:$1,$X28,PP!$86:$86)+SUMIF(PC!$1:$1,$X28,PC!$87:$87)</f>
        <v>0</v>
      </c>
      <c r="G28" s="336">
        <f>SUMIF(Driver!$1:$1,$X28,Driver!$18:$18)</f>
        <v>0</v>
      </c>
      <c r="H28" s="337">
        <f>SUMIF(PP!$1:$1,$X28,PP!$84:$84)</f>
        <v>0</v>
      </c>
      <c r="I28" s="338">
        <f>SUMIF(PC!$1:$1,$X28,PC!$85:$85)</f>
        <v>0</v>
      </c>
      <c r="J28" s="336">
        <f>SUMIF(FH!$1:$1,$X28,FH!$99:$99)</f>
        <v>0</v>
      </c>
      <c r="K28" s="339">
        <f>SUMIF('T22'!$1:$1,$X28,'T22'!$99:$99)</f>
        <v>0</v>
      </c>
      <c r="L28" s="336">
        <f>SUMIF(RF!$1:$1,$X28,RF!$18:$18)</f>
        <v>0</v>
      </c>
      <c r="M28" s="336">
        <f>SUMIF(SC!$1:$1,$X28,IF(DAY(PayDay1)=1,SC!$17:$17,SC!$35:$35))</f>
        <v>0</v>
      </c>
      <c r="N28" s="340">
        <f>SUMIF(TM!$1:$1,$X28,TM!$18:$18)</f>
        <v>0</v>
      </c>
      <c r="O28" s="196">
        <f>SUMIF(Driver!$1:$1,$X28,Driver!$19:$19)</f>
        <v>0</v>
      </c>
      <c r="P28" s="196">
        <f>SUMIF(PP!$1:$1,$X28,PP!$85:$85)</f>
        <v>0</v>
      </c>
      <c r="Q28" s="196">
        <f>SUMIF(PC!$1:$1,$X28,PC!$86:$86)</f>
        <v>0</v>
      </c>
      <c r="R28" s="196">
        <f>SUMIF(RF!$1:$1,$X28,RF!$22:$22)</f>
        <v>0</v>
      </c>
      <c r="S28" s="336">
        <f>SUMIF(SC!$1:$1,$X28,IF(DAY(PayDay1)=1,SC!$18:$18,SC!$36:$36))</f>
        <v>0</v>
      </c>
      <c r="T28" s="341">
        <f>SUMIF(OT!$1:$1,$X28,OT!$182:$182)</f>
        <v>0</v>
      </c>
      <c r="U28" s="589"/>
      <c r="V28" s="342">
        <f>(D28*B28)+E28+F28</f>
        <v>0</v>
      </c>
      <c r="W28" s="332"/>
      <c r="X28" s="332" t="str">
        <f>IFERROR(LEFT(A28,SEARCH(",",A28)-1)&amp;MID(A28,SEARCH(" ",A28),3)," ")</f>
        <v>Rodriguez Be</v>
      </c>
    </row>
    <row r="29" spans="1:24" s="355" customFormat="1" x14ac:dyDescent="0.2">
      <c r="A29" s="559" t="s">
        <v>155</v>
      </c>
      <c r="B29" s="604">
        <v>10</v>
      </c>
      <c r="C29" s="604">
        <v>15</v>
      </c>
      <c r="D29" s="343">
        <f>SUM(G29:N29)</f>
        <v>0</v>
      </c>
      <c r="E29" s="344">
        <f>SUM(O29:U29)</f>
        <v>0</v>
      </c>
      <c r="F29" s="345">
        <f>SUMIF(PP!$1:$1,$X29,PP!$86:$86)+SUMIF(PC!$1:$1,$X29,PC!$87:$87)</f>
        <v>0</v>
      </c>
      <c r="G29" s="346">
        <f>SUMIF(Driver!$1:$1,$X29,Driver!$18:$18)</f>
        <v>0</v>
      </c>
      <c r="H29" s="347">
        <f>SUMIF(PP!$1:$1,$X29,PP!$84:$84)</f>
        <v>0</v>
      </c>
      <c r="I29" s="348">
        <f>SUMIF(PC!$1:$1,$X29,PC!$85:$85)</f>
        <v>0</v>
      </c>
      <c r="J29" s="346">
        <f>SUMIF(FH!$1:$1,$X29,FH!$99:$99)</f>
        <v>0</v>
      </c>
      <c r="K29" s="349">
        <f>SUMIF('T22'!$1:$1,$X29,'T22'!$99:$99)</f>
        <v>0</v>
      </c>
      <c r="L29" s="346">
        <f>SUMIF(RF!$1:$1,$X29,RF!$18:$18)</f>
        <v>0</v>
      </c>
      <c r="M29" s="346">
        <f>SUMIF(SC!$1:$1,$X29,IF(DAY(PayDay1)=1,SC!$17:$17,SC!$35:$35))</f>
        <v>0</v>
      </c>
      <c r="N29" s="350">
        <f>SUMIF(TM!$1:$1,$X29,TM!$18:$18)</f>
        <v>0</v>
      </c>
      <c r="O29" s="351">
        <f>SUMIF(Driver!$1:$1,$X29,Driver!$19:$19)</f>
        <v>0</v>
      </c>
      <c r="P29" s="351">
        <f>SUMIF(PP!$1:$1,$X29,PP!$85:$85)</f>
        <v>0</v>
      </c>
      <c r="Q29" s="351">
        <f>SUMIF(PC!$1:$1,$X29,PC!$86:$86)</f>
        <v>0</v>
      </c>
      <c r="R29" s="351">
        <f>SUMIF(RF!$1:$1,$X29,RF!$22:$22)</f>
        <v>0</v>
      </c>
      <c r="S29" s="346">
        <f>SUMIF(SC!$1:$1,$X29,IF(DAY(PayDay1)=1,SC!$18:$18,SC!$36:$36))</f>
        <v>0</v>
      </c>
      <c r="T29" s="352">
        <f>SUMIF(OT!$1:$1,$X29,OT!$182:$182)</f>
        <v>0</v>
      </c>
      <c r="U29" s="590"/>
      <c r="V29" s="353">
        <f>(D29*B29)+E29+F29</f>
        <v>0</v>
      </c>
      <c r="W29" s="354"/>
      <c r="X29" s="354" t="str">
        <f>IFERROR(LEFT(A29,SEARCH(",",A29)-1)&amp;MID(A29,SEARCH(" ",A29),3)," ")</f>
        <v>Semeryuk Ti</v>
      </c>
    </row>
    <row r="30" spans="1:24" s="355" customFormat="1" x14ac:dyDescent="0.2">
      <c r="A30" s="558" t="s">
        <v>109</v>
      </c>
      <c r="B30" s="603">
        <v>10</v>
      </c>
      <c r="C30" s="603">
        <v>13.5</v>
      </c>
      <c r="D30" s="333">
        <f>SUM(G30:N30)</f>
        <v>0</v>
      </c>
      <c r="E30" s="334">
        <f>SUM(O30:U30)</f>
        <v>0</v>
      </c>
      <c r="F30" s="335">
        <f>SUMIF(PP!$1:$1,$X30,PP!$86:$86)+SUMIF(PC!$1:$1,$X30,PC!$87:$87)</f>
        <v>0</v>
      </c>
      <c r="G30" s="336">
        <f>SUMIF(Driver!$1:$1,$X30,Driver!$18:$18)</f>
        <v>0</v>
      </c>
      <c r="H30" s="337">
        <f>SUMIF(PP!$1:$1,$X30,PP!$84:$84)</f>
        <v>0</v>
      </c>
      <c r="I30" s="338">
        <f>SUMIF(PC!$1:$1,$X30,PC!$85:$85)</f>
        <v>0</v>
      </c>
      <c r="J30" s="336">
        <f>SUMIF(FH!$1:$1,$X30,FH!$99:$99)</f>
        <v>0</v>
      </c>
      <c r="K30" s="339">
        <f>SUMIF('T22'!$1:$1,$X30,'T22'!$99:$99)</f>
        <v>0</v>
      </c>
      <c r="L30" s="336">
        <f>SUMIF(RF!$1:$1,$X30,RF!$18:$18)</f>
        <v>0</v>
      </c>
      <c r="M30" s="336">
        <f>SUMIF(SC!$1:$1,$X30,IF(DAY(PayDay1)=1,SC!$17:$17,SC!$35:$35))</f>
        <v>0</v>
      </c>
      <c r="N30" s="340">
        <f>SUMIF(TM!$1:$1,$X30,TM!$18:$18)</f>
        <v>0</v>
      </c>
      <c r="O30" s="196">
        <f>SUMIF(Driver!$1:$1,$X30,Driver!$19:$19)</f>
        <v>0</v>
      </c>
      <c r="P30" s="196">
        <f>SUMIF(PP!$1:$1,$X30,PP!$85:$85)</f>
        <v>0</v>
      </c>
      <c r="Q30" s="196">
        <f>SUMIF(PC!$1:$1,$X30,PC!$86:$86)</f>
        <v>0</v>
      </c>
      <c r="R30" s="196">
        <f>SUMIF(RF!$1:$1,$X30,RF!$22:$22)</f>
        <v>0</v>
      </c>
      <c r="S30" s="336">
        <f>SUMIF(SC!$1:$1,$X30,IF(DAY(PayDay1)=1,SC!$18:$18,SC!$36:$36))</f>
        <v>0</v>
      </c>
      <c r="T30" s="341">
        <f>SUMIF(OT!$1:$1,$X30,OT!$182:$182)</f>
        <v>0</v>
      </c>
      <c r="U30" s="589"/>
      <c r="V30" s="342">
        <f>(D30*B30)+E30+F30</f>
        <v>0</v>
      </c>
      <c r="W30" s="332"/>
      <c r="X30" s="332" t="str">
        <f>IFERROR(LEFT(A30,SEARCH(",",A30)-1)&amp;MID(A30,SEARCH(" ",A30),3)," ")</f>
        <v>Silva Aa</v>
      </c>
    </row>
    <row r="31" spans="1:24" s="355" customFormat="1" x14ac:dyDescent="0.2">
      <c r="A31" s="559" t="s">
        <v>100</v>
      </c>
      <c r="B31" s="604">
        <v>10</v>
      </c>
      <c r="C31" s="604">
        <v>13.5</v>
      </c>
      <c r="D31" s="343">
        <f>SUM(G31:N31)</f>
        <v>0</v>
      </c>
      <c r="E31" s="344">
        <f>SUM(O31:U31)</f>
        <v>0</v>
      </c>
      <c r="F31" s="345">
        <f>SUMIF(PP!$1:$1,$X31,PP!$86:$86)+SUMIF(PC!$1:$1,$X31,PC!$87:$87)</f>
        <v>0</v>
      </c>
      <c r="G31" s="346">
        <f>SUMIF(Driver!$1:$1,$X31,Driver!$18:$18)</f>
        <v>0</v>
      </c>
      <c r="H31" s="347">
        <f>SUMIF(PP!$1:$1,$X31,PP!$84:$84)</f>
        <v>0</v>
      </c>
      <c r="I31" s="348">
        <f>SUMIF(PC!$1:$1,$X31,PC!$85:$85)</f>
        <v>0</v>
      </c>
      <c r="J31" s="346">
        <f>SUMIF(FH!$1:$1,$X31,FH!$99:$99)</f>
        <v>0</v>
      </c>
      <c r="K31" s="349">
        <f>SUMIF('T22'!$1:$1,$X31,'T22'!$99:$99)</f>
        <v>0</v>
      </c>
      <c r="L31" s="346">
        <f>SUMIF(RF!$1:$1,$X31,RF!$18:$18)</f>
        <v>0</v>
      </c>
      <c r="M31" s="346">
        <f>SUMIF(SC!$1:$1,$X31,IF(DAY(PayDay1)=1,SC!$17:$17,SC!$35:$35))</f>
        <v>0</v>
      </c>
      <c r="N31" s="350">
        <f>SUMIF(TM!$1:$1,$X31,TM!$18:$18)</f>
        <v>0</v>
      </c>
      <c r="O31" s="351">
        <f>SUMIF(Driver!$1:$1,$X31,Driver!$19:$19)</f>
        <v>0</v>
      </c>
      <c r="P31" s="351">
        <f>SUMIF(PP!$1:$1,$X31,PP!$85:$85)</f>
        <v>0</v>
      </c>
      <c r="Q31" s="351">
        <f>SUMIF(PC!$1:$1,$X31,PC!$86:$86)</f>
        <v>0</v>
      </c>
      <c r="R31" s="351">
        <f>SUMIF(RF!$1:$1,$X31,RF!$22:$22)</f>
        <v>0</v>
      </c>
      <c r="S31" s="346">
        <f>SUMIF(SC!$1:$1,$X31,IF(DAY(PayDay1)=1,SC!$18:$18,SC!$36:$36))</f>
        <v>0</v>
      </c>
      <c r="T31" s="352">
        <f>SUMIF(OT!$1:$1,$X31,OT!$182:$182)</f>
        <v>0</v>
      </c>
      <c r="U31" s="590"/>
      <c r="V31" s="353">
        <f>(D31*B31)+E31+F31</f>
        <v>0</v>
      </c>
      <c r="W31" s="354"/>
      <c r="X31" s="354" t="str">
        <f>IFERROR(LEFT(A31,SEARCH(",",A31)-1)&amp;MID(A31,SEARCH(" ",A31),3)," ")</f>
        <v>Skogberg Ma</v>
      </c>
    </row>
    <row r="32" spans="1:24" s="355" customFormat="1" x14ac:dyDescent="0.2">
      <c r="A32" s="558" t="s">
        <v>137</v>
      </c>
      <c r="B32" s="603">
        <v>10</v>
      </c>
      <c r="C32" s="603">
        <v>13.5</v>
      </c>
      <c r="D32" s="333">
        <f>SUM(G32:N32)</f>
        <v>0</v>
      </c>
      <c r="E32" s="334">
        <f>SUM(O32:U32)</f>
        <v>0</v>
      </c>
      <c r="F32" s="335">
        <f>SUMIF(PP!$1:$1,$X32,PP!$86:$86)+SUMIF(PC!$1:$1,$X32,PC!$87:$87)</f>
        <v>0</v>
      </c>
      <c r="G32" s="336">
        <f>SUMIF(Driver!$1:$1,$X32,Driver!$18:$18)</f>
        <v>0</v>
      </c>
      <c r="H32" s="337">
        <f>SUMIF(PP!$1:$1,$X32,PP!$84:$84)</f>
        <v>0</v>
      </c>
      <c r="I32" s="338">
        <f>SUMIF(PC!$1:$1,$X32,PC!$85:$85)</f>
        <v>0</v>
      </c>
      <c r="J32" s="336">
        <f>SUMIF(FH!$1:$1,$X32,FH!$99:$99)</f>
        <v>0</v>
      </c>
      <c r="K32" s="339">
        <f>SUMIF('T22'!$1:$1,$X32,'T22'!$99:$99)</f>
        <v>0</v>
      </c>
      <c r="L32" s="336">
        <f>SUMIF(RF!$1:$1,$X32,RF!$18:$18)</f>
        <v>0</v>
      </c>
      <c r="M32" s="336">
        <f>SUMIF(SC!$1:$1,$X32,IF(DAY(PayDay1)=1,SC!$17:$17,SC!$35:$35))</f>
        <v>0</v>
      </c>
      <c r="N32" s="340">
        <f>SUMIF(TM!$1:$1,$X32,TM!$18:$18)</f>
        <v>0</v>
      </c>
      <c r="O32" s="196">
        <f>SUMIF(Driver!$1:$1,$X32,Driver!$19:$19)</f>
        <v>0</v>
      </c>
      <c r="P32" s="196">
        <f>SUMIF(PP!$1:$1,$X32,PP!$85:$85)</f>
        <v>0</v>
      </c>
      <c r="Q32" s="196">
        <f>SUMIF(PC!$1:$1,$X32,PC!$86:$86)</f>
        <v>0</v>
      </c>
      <c r="R32" s="196">
        <f>SUMIF(RF!$1:$1,$X32,RF!$22:$22)</f>
        <v>0</v>
      </c>
      <c r="S32" s="336">
        <f>SUMIF(SC!$1:$1,$X32,IF(DAY(PayDay1)=1,SC!$18:$18,SC!$36:$36))</f>
        <v>0</v>
      </c>
      <c r="T32" s="341">
        <f>SUMIF(OT!$1:$1,$X32,OT!$182:$182)</f>
        <v>0</v>
      </c>
      <c r="U32" s="589"/>
      <c r="V32" s="342">
        <f>(D32*B32)+E32+F32</f>
        <v>0</v>
      </c>
      <c r="W32" s="332"/>
      <c r="X32" s="332" t="str">
        <f>IFERROR(LEFT(A32,SEARCH(",",A32)-1)&amp;MID(A32,SEARCH(" ",A32),3)," ")</f>
        <v>Snow Ky</v>
      </c>
    </row>
    <row r="33" spans="1:24" s="355" customFormat="1" x14ac:dyDescent="0.2">
      <c r="A33" s="559" t="s">
        <v>138</v>
      </c>
      <c r="B33" s="604">
        <v>10</v>
      </c>
      <c r="C33" s="604">
        <v>13.5</v>
      </c>
      <c r="D33" s="343">
        <f>SUM(G33:N33)</f>
        <v>0</v>
      </c>
      <c r="E33" s="344">
        <f>SUM(O33:U33)</f>
        <v>0</v>
      </c>
      <c r="F33" s="345">
        <f>SUMIF(PP!$1:$1,$X33,PP!$86:$86)+SUMIF(PC!$1:$1,$X33,PC!$87:$87)</f>
        <v>0</v>
      </c>
      <c r="G33" s="346">
        <f>SUMIF(Driver!$1:$1,$X33,Driver!$18:$18)</f>
        <v>0</v>
      </c>
      <c r="H33" s="347">
        <f>SUMIF(PP!$1:$1,$X33,PP!$84:$84)</f>
        <v>0</v>
      </c>
      <c r="I33" s="348">
        <f>SUMIF(PC!$1:$1,$X33,PC!$85:$85)</f>
        <v>0</v>
      </c>
      <c r="J33" s="346">
        <f>SUMIF(FH!$1:$1,$X33,FH!$99:$99)</f>
        <v>0</v>
      </c>
      <c r="K33" s="349">
        <f>SUMIF('T22'!$1:$1,$X33,'T22'!$99:$99)</f>
        <v>0</v>
      </c>
      <c r="L33" s="346">
        <f>SUMIF(RF!$1:$1,$X33,RF!$18:$18)</f>
        <v>0</v>
      </c>
      <c r="M33" s="346">
        <f>SUMIF(SC!$1:$1,$X33,IF(DAY(PayDay1)=1,SC!$17:$17,SC!$35:$35))</f>
        <v>0</v>
      </c>
      <c r="N33" s="350">
        <f>SUMIF(TM!$1:$1,$X33,TM!$18:$18)</f>
        <v>0</v>
      </c>
      <c r="O33" s="351">
        <f>SUMIF(Driver!$1:$1,$X33,Driver!$19:$19)</f>
        <v>0</v>
      </c>
      <c r="P33" s="351">
        <f>SUMIF(PP!$1:$1,$X33,PP!$85:$85)</f>
        <v>0</v>
      </c>
      <c r="Q33" s="351">
        <f>SUMIF(PC!$1:$1,$X33,PC!$86:$86)</f>
        <v>0</v>
      </c>
      <c r="R33" s="351">
        <f>SUMIF(RF!$1:$1,$X33,RF!$22:$22)</f>
        <v>0</v>
      </c>
      <c r="S33" s="346">
        <f>SUMIF(SC!$1:$1,$X33,IF(DAY(PayDay1)=1,SC!$18:$18,SC!$36:$36))</f>
        <v>0</v>
      </c>
      <c r="T33" s="352">
        <f>SUMIF(OT!$1:$1,$X33,OT!$182:$182)</f>
        <v>0</v>
      </c>
      <c r="U33" s="590"/>
      <c r="V33" s="353">
        <f>(D33*B33)+E33+F33</f>
        <v>0</v>
      </c>
      <c r="W33" s="354"/>
      <c r="X33" s="354" t="str">
        <f>IFERROR(LEFT(A33,SEARCH(",",A33)-1)&amp;MID(A33,SEARCH(" ",A33),3)," ")</f>
        <v>Torres Vi</v>
      </c>
    </row>
    <row r="34" spans="1:24" x14ac:dyDescent="0.2">
      <c r="A34" s="558" t="s">
        <v>136</v>
      </c>
      <c r="B34" s="603">
        <v>10</v>
      </c>
      <c r="C34" s="603">
        <v>13.5</v>
      </c>
      <c r="D34" s="333">
        <f>SUM(G34:N34)</f>
        <v>0</v>
      </c>
      <c r="E34" s="334">
        <f>SUM(O34:U34)</f>
        <v>0</v>
      </c>
      <c r="F34" s="335">
        <f>SUMIF(PP!$1:$1,$X34,PP!$86:$86)+SUMIF(PC!$1:$1,$X34,PC!$87:$87)</f>
        <v>0</v>
      </c>
      <c r="G34" s="336">
        <f>SUMIF(Driver!$1:$1,$X34,Driver!$18:$18)</f>
        <v>0</v>
      </c>
      <c r="H34" s="337">
        <f>SUMIF(PP!$1:$1,$X34,PP!$84:$84)</f>
        <v>0</v>
      </c>
      <c r="I34" s="338">
        <f>SUMIF(PC!$1:$1,$X34,PC!$85:$85)</f>
        <v>0</v>
      </c>
      <c r="J34" s="336">
        <f>SUMIF(FH!$1:$1,$X34,FH!$99:$99)</f>
        <v>0</v>
      </c>
      <c r="K34" s="339">
        <f>SUMIF('T22'!$1:$1,$X34,'T22'!$99:$99)</f>
        <v>0</v>
      </c>
      <c r="L34" s="336">
        <f>SUMIF(RF!$1:$1,$X34,RF!$18:$18)</f>
        <v>0</v>
      </c>
      <c r="M34" s="336">
        <f>SUMIF(SC!$1:$1,$X34,IF(DAY(PayDay1)=1,SC!$17:$17,SC!$35:$35))</f>
        <v>0</v>
      </c>
      <c r="N34" s="340">
        <f>SUMIF(TM!$1:$1,$X34,TM!$18:$18)</f>
        <v>0</v>
      </c>
      <c r="O34" s="196">
        <f>SUMIF(Driver!$1:$1,$X34,Driver!$19:$19)</f>
        <v>0</v>
      </c>
      <c r="P34" s="196">
        <f>SUMIF(PP!$1:$1,$X34,PP!$85:$85)</f>
        <v>0</v>
      </c>
      <c r="Q34" s="196">
        <f>SUMIF(PC!$1:$1,$X34,PC!$86:$86)</f>
        <v>0</v>
      </c>
      <c r="R34" s="196">
        <f>SUMIF(RF!$1:$1,$X34,RF!$22:$22)</f>
        <v>0</v>
      </c>
      <c r="S34" s="336">
        <f>SUMIF(SC!$1:$1,$X34,IF(DAY(PayDay1)=1,SC!$18:$18,SC!$36:$36))</f>
        <v>0</v>
      </c>
      <c r="T34" s="341">
        <f>SUMIF(OT!$1:$1,$X34,OT!$182:$182)</f>
        <v>0</v>
      </c>
      <c r="U34" s="589"/>
      <c r="V34" s="342">
        <f>(D34*B34)+E34+F34</f>
        <v>0</v>
      </c>
      <c r="W34" s="332"/>
      <c r="X34" s="332" t="str">
        <f>IFERROR(LEFT(A34,SEARCH(",",A34)-1)&amp;MID(A34,SEARCH(" ",A34),3)," ")</f>
        <v>Veilleux Ma</v>
      </c>
    </row>
    <row r="35" spans="1:24" s="355" customFormat="1" x14ac:dyDescent="0.2">
      <c r="A35" s="559" t="s">
        <v>150</v>
      </c>
      <c r="B35" s="604">
        <v>10</v>
      </c>
      <c r="C35" s="604">
        <v>13.5</v>
      </c>
      <c r="D35" s="343">
        <f>SUM(G35:N35)</f>
        <v>0</v>
      </c>
      <c r="E35" s="344">
        <f>SUM(O35:U35)</f>
        <v>0</v>
      </c>
      <c r="F35" s="345">
        <f>SUMIF(PP!$1:$1,$X35,PP!$86:$86)+SUMIF(PC!$1:$1,$X35,PC!$87:$87)</f>
        <v>0</v>
      </c>
      <c r="G35" s="346">
        <f>SUMIF(Driver!$1:$1,$X35,Driver!$18:$18)</f>
        <v>0</v>
      </c>
      <c r="H35" s="347">
        <f>SUMIF(PP!$1:$1,$X35,PP!$84:$84)</f>
        <v>0</v>
      </c>
      <c r="I35" s="348">
        <f>SUMIF(PC!$1:$1,$X35,PC!$85:$85)</f>
        <v>0</v>
      </c>
      <c r="J35" s="346">
        <f>SUMIF(FH!$1:$1,$X35,FH!$99:$99)</f>
        <v>0</v>
      </c>
      <c r="K35" s="349">
        <f>SUMIF('T22'!$1:$1,$X35,'T22'!$99:$99)</f>
        <v>0</v>
      </c>
      <c r="L35" s="346">
        <f>SUMIF(RF!$1:$1,$X35,RF!$18:$18)</f>
        <v>0</v>
      </c>
      <c r="M35" s="346">
        <f>SUMIF(SC!$1:$1,$X35,IF(DAY(PayDay1)=1,SC!$17:$17,SC!$35:$35))</f>
        <v>0</v>
      </c>
      <c r="N35" s="350">
        <f>SUMIF(TM!$1:$1,$X35,TM!$18:$18)</f>
        <v>0</v>
      </c>
      <c r="O35" s="351">
        <f>SUMIF(Driver!$1:$1,$X35,Driver!$19:$19)</f>
        <v>0</v>
      </c>
      <c r="P35" s="351">
        <f>SUMIF(PP!$1:$1,$X35,PP!$85:$85)</f>
        <v>0</v>
      </c>
      <c r="Q35" s="351">
        <f>SUMIF(PC!$1:$1,$X35,PC!$86:$86)</f>
        <v>0</v>
      </c>
      <c r="R35" s="351">
        <f>SUMIF(RF!$1:$1,$X35,RF!$22:$22)</f>
        <v>0</v>
      </c>
      <c r="S35" s="346">
        <f>SUMIF(SC!$1:$1,$X35,IF(DAY(PayDay1)=1,SC!$18:$18,SC!$36:$36))</f>
        <v>0</v>
      </c>
      <c r="T35" s="352">
        <f>SUMIF(OT!$1:$1,$X35,OT!$182:$182)</f>
        <v>0</v>
      </c>
      <c r="U35" s="590"/>
      <c r="V35" s="353">
        <f>(D35*B35)+E35+F35</f>
        <v>0</v>
      </c>
      <c r="W35" s="354"/>
      <c r="X35" s="354" t="str">
        <f>IFERROR(LEFT(A35,SEARCH(",",A35)-1)&amp;MID(A35,SEARCH(" ",A35),3)," ")</f>
        <v>Wedman Ke</v>
      </c>
    </row>
    <row r="36" spans="1:24" s="355" customFormat="1" x14ac:dyDescent="0.2">
      <c r="A36" s="558"/>
      <c r="B36" s="603"/>
      <c r="C36" s="603"/>
      <c r="D36" s="333">
        <f>SUM(G36:N36)</f>
        <v>0</v>
      </c>
      <c r="E36" s="334">
        <f>SUM(O36:U36)</f>
        <v>0</v>
      </c>
      <c r="F36" s="335">
        <f>SUMIF(PP!$1:$1,$X36,PP!$86:$86)+SUMIF(PC!$1:$1,$X36,PC!$87:$87)</f>
        <v>0</v>
      </c>
      <c r="G36" s="336">
        <f>SUMIF(Driver!$1:$1,$X36,Driver!$18:$18)</f>
        <v>0</v>
      </c>
      <c r="H36" s="337">
        <f>SUMIF(PP!$1:$1,$X36,PP!$84:$84)</f>
        <v>0</v>
      </c>
      <c r="I36" s="338">
        <f>SUMIF(PC!$1:$1,$X36,PC!$85:$85)</f>
        <v>0</v>
      </c>
      <c r="J36" s="336">
        <f>SUMIF(FH!$1:$1,$X36,FH!$99:$99)</f>
        <v>0</v>
      </c>
      <c r="K36" s="339">
        <f>SUMIF('T22'!$1:$1,$X36,'T22'!$99:$99)</f>
        <v>0</v>
      </c>
      <c r="L36" s="336">
        <f>SUMIF(RF!$1:$1,$X36,RF!$18:$18)</f>
        <v>0</v>
      </c>
      <c r="M36" s="336">
        <f>SUMIF(SC!$1:$1,$X36,IF(DAY(PayDay1)=1,SC!$17:$17,SC!$35:$35))</f>
        <v>0</v>
      </c>
      <c r="N36" s="340">
        <f>SUMIF(TM!$1:$1,$X36,TM!$18:$18)</f>
        <v>0</v>
      </c>
      <c r="O36" s="196">
        <f>SUMIF(Driver!$1:$1,$X36,Driver!$19:$19)</f>
        <v>0</v>
      </c>
      <c r="P36" s="196">
        <f>SUMIF(PP!$1:$1,$X36,PP!$85:$85)</f>
        <v>0</v>
      </c>
      <c r="Q36" s="196">
        <f>SUMIF(PC!$1:$1,$X36,PC!$86:$86)</f>
        <v>0</v>
      </c>
      <c r="R36" s="196">
        <f>SUMIF(RF!$1:$1,$X36,RF!$22:$22)</f>
        <v>0</v>
      </c>
      <c r="S36" s="336">
        <f>SUMIF(SC!$1:$1,$X36,IF(DAY(PayDay1)=1,SC!$18:$18,SC!$36:$36))</f>
        <v>0</v>
      </c>
      <c r="T36" s="341">
        <f>SUMIF(OT!$1:$1,$X36,OT!$182:$182)</f>
        <v>0</v>
      </c>
      <c r="U36" s="589"/>
      <c r="V36" s="342">
        <f>(D36*B36)+E36+F36</f>
        <v>0</v>
      </c>
      <c r="W36" s="332"/>
      <c r="X36" s="332" t="str">
        <f>IFERROR(LEFT(A36,SEARCH(",",A36)-1)&amp;MID(A36,SEARCH(" ",A36),3)," ")</f>
        <v xml:space="preserve"> </v>
      </c>
    </row>
    <row r="37" spans="1:24" s="355" customFormat="1" x14ac:dyDescent="0.2">
      <c r="A37" s="559"/>
      <c r="B37" s="604"/>
      <c r="C37" s="604"/>
      <c r="D37" s="343">
        <f>SUM(G37:N37)</f>
        <v>0</v>
      </c>
      <c r="E37" s="344">
        <f>SUM(O37:U37)</f>
        <v>0</v>
      </c>
      <c r="F37" s="345">
        <f>SUMIF(PP!$1:$1,$X37,PP!$86:$86)+SUMIF(PC!$1:$1,$X37,PC!$87:$87)</f>
        <v>0</v>
      </c>
      <c r="G37" s="346">
        <f>SUMIF(Driver!$1:$1,$X37,Driver!$18:$18)</f>
        <v>0</v>
      </c>
      <c r="H37" s="347">
        <f>SUMIF(PP!$1:$1,$X37,PP!$84:$84)</f>
        <v>0</v>
      </c>
      <c r="I37" s="348">
        <f>SUMIF(PC!$1:$1,$X37,PC!$85:$85)</f>
        <v>0</v>
      </c>
      <c r="J37" s="346">
        <f>SUMIF(FH!$1:$1,$X37,FH!$99:$99)</f>
        <v>0</v>
      </c>
      <c r="K37" s="349">
        <f>SUMIF('T22'!$1:$1,$X37,'T22'!$99:$99)</f>
        <v>0</v>
      </c>
      <c r="L37" s="346">
        <f>SUMIF(RF!$1:$1,$X37,RF!$18:$18)</f>
        <v>0</v>
      </c>
      <c r="M37" s="346">
        <f>SUMIF(SC!$1:$1,$X37,IF(DAY(PayDay1)=1,SC!$17:$17,SC!$35:$35))</f>
        <v>0</v>
      </c>
      <c r="N37" s="350">
        <f>SUMIF(TM!$1:$1,$X37,TM!$18:$18)</f>
        <v>0</v>
      </c>
      <c r="O37" s="351">
        <f>SUMIF(Driver!$1:$1,$X37,Driver!$19:$19)</f>
        <v>0</v>
      </c>
      <c r="P37" s="351">
        <f>SUMIF(PP!$1:$1,$X37,PP!$85:$85)</f>
        <v>0</v>
      </c>
      <c r="Q37" s="351">
        <f>SUMIF(PC!$1:$1,$X37,PC!$86:$86)</f>
        <v>0</v>
      </c>
      <c r="R37" s="351">
        <f>SUMIF(RF!$1:$1,$X37,RF!$22:$22)</f>
        <v>0</v>
      </c>
      <c r="S37" s="346">
        <f>SUMIF(SC!$1:$1,$X37,IF(DAY(PayDay1)=1,SC!$18:$18,SC!$36:$36))</f>
        <v>0</v>
      </c>
      <c r="T37" s="352">
        <f>SUMIF(OT!$1:$1,$X37,OT!$182:$182)</f>
        <v>0</v>
      </c>
      <c r="U37" s="590"/>
      <c r="V37" s="353">
        <f>(D37*B37)+E37+F37</f>
        <v>0</v>
      </c>
      <c r="W37" s="354"/>
      <c r="X37" s="354" t="str">
        <f>IFERROR(LEFT(A37,SEARCH(",",A37)-1)&amp;MID(A37,SEARCH(" ",A37),3)," ")</f>
        <v xml:space="preserve"> </v>
      </c>
    </row>
    <row r="38" spans="1:24" s="355" customFormat="1" x14ac:dyDescent="0.2">
      <c r="A38" s="558"/>
      <c r="B38" s="603"/>
      <c r="C38" s="603"/>
      <c r="D38" s="333">
        <f>SUM(G38:N38)</f>
        <v>0</v>
      </c>
      <c r="E38" s="334">
        <f>SUM(O38:U38)</f>
        <v>0</v>
      </c>
      <c r="F38" s="335">
        <f>SUMIF(PP!$1:$1,$X38,PP!$86:$86)+SUMIF(PC!$1:$1,$X38,PC!$87:$87)</f>
        <v>0</v>
      </c>
      <c r="G38" s="336">
        <f>SUMIF(Driver!$1:$1,$X38,Driver!$18:$18)</f>
        <v>0</v>
      </c>
      <c r="H38" s="337">
        <f>SUMIF(PP!$1:$1,$X38,PP!$84:$84)</f>
        <v>0</v>
      </c>
      <c r="I38" s="338">
        <f>SUMIF(PC!$1:$1,$X38,PC!$85:$85)</f>
        <v>0</v>
      </c>
      <c r="J38" s="336">
        <f>SUMIF(FH!$1:$1,$X38,FH!$99:$99)</f>
        <v>0</v>
      </c>
      <c r="K38" s="339">
        <f>SUMIF('T22'!$1:$1,$X38,'T22'!$99:$99)</f>
        <v>0</v>
      </c>
      <c r="L38" s="336">
        <f>SUMIF(RF!$1:$1,$X38,RF!$18:$18)</f>
        <v>0</v>
      </c>
      <c r="M38" s="336">
        <f>SUMIF(SC!$1:$1,$X38,IF(DAY(PayDay1)=1,SC!$17:$17,SC!$35:$35))</f>
        <v>0</v>
      </c>
      <c r="N38" s="340">
        <f>SUMIF(TM!$1:$1,$X38,TM!$18:$18)</f>
        <v>0</v>
      </c>
      <c r="O38" s="196">
        <f>SUMIF(Driver!$1:$1,$X38,Driver!$19:$19)</f>
        <v>0</v>
      </c>
      <c r="P38" s="196">
        <f>SUMIF(PP!$1:$1,$X38,PP!$85:$85)</f>
        <v>0</v>
      </c>
      <c r="Q38" s="196">
        <f>SUMIF(PC!$1:$1,$X38,PC!$86:$86)</f>
        <v>0</v>
      </c>
      <c r="R38" s="196">
        <f>SUMIF(RF!$1:$1,$X38,RF!$22:$22)</f>
        <v>0</v>
      </c>
      <c r="S38" s="336">
        <f>SUMIF(SC!$1:$1,$X38,IF(DAY(PayDay1)=1,SC!$18:$18,SC!$36:$36))</f>
        <v>0</v>
      </c>
      <c r="T38" s="341">
        <f>SUMIF(OT!$1:$1,$X38,OT!$182:$182)</f>
        <v>0</v>
      </c>
      <c r="U38" s="589"/>
      <c r="V38" s="342">
        <f>(D38*B38)+E38+F38</f>
        <v>0</v>
      </c>
      <c r="W38" s="332"/>
      <c r="X38" s="332" t="str">
        <f>IFERROR(LEFT(A38,SEARCH(",",A38)-1)&amp;MID(A38,SEARCH(" ",A38),3)," ")</f>
        <v xml:space="preserve"> </v>
      </c>
    </row>
    <row r="39" spans="1:24" s="355" customFormat="1" x14ac:dyDescent="0.2">
      <c r="A39" s="559"/>
      <c r="B39" s="604"/>
      <c r="C39" s="604"/>
      <c r="D39" s="343">
        <f>SUM(G39:N39)</f>
        <v>0</v>
      </c>
      <c r="E39" s="344">
        <f>SUM(O39:U39)</f>
        <v>0</v>
      </c>
      <c r="F39" s="345">
        <f>SUMIF(PP!$1:$1,$X39,PP!$86:$86)+SUMIF(PC!$1:$1,$X39,PC!$87:$87)</f>
        <v>0</v>
      </c>
      <c r="G39" s="346">
        <f>SUMIF(Driver!$1:$1,$X39,Driver!$18:$18)</f>
        <v>0</v>
      </c>
      <c r="H39" s="347">
        <f>SUMIF(PP!$1:$1,$X39,PP!$84:$84)</f>
        <v>0</v>
      </c>
      <c r="I39" s="348">
        <f>SUMIF(PC!$1:$1,$X39,PC!$85:$85)</f>
        <v>0</v>
      </c>
      <c r="J39" s="346">
        <f>SUMIF(FH!$1:$1,$X39,FH!$99:$99)</f>
        <v>0</v>
      </c>
      <c r="K39" s="349">
        <f>SUMIF('T22'!$1:$1,$X39,'T22'!$99:$99)</f>
        <v>0</v>
      </c>
      <c r="L39" s="346">
        <f>SUMIF(RF!$1:$1,$X39,RF!$18:$18)</f>
        <v>0</v>
      </c>
      <c r="M39" s="346">
        <f>SUMIF(SC!$1:$1,$X39,IF(DAY(PayDay1)=1,SC!$17:$17,SC!$35:$35))</f>
        <v>0</v>
      </c>
      <c r="N39" s="350">
        <f>SUMIF(TM!$1:$1,$X39,TM!$18:$18)</f>
        <v>0</v>
      </c>
      <c r="O39" s="351">
        <f>SUMIF(Driver!$1:$1,$X39,Driver!$19:$19)</f>
        <v>0</v>
      </c>
      <c r="P39" s="351">
        <f>SUMIF(PP!$1:$1,$X39,PP!$85:$85)</f>
        <v>0</v>
      </c>
      <c r="Q39" s="351">
        <f>SUMIF(PC!$1:$1,$X39,PC!$86:$86)</f>
        <v>0</v>
      </c>
      <c r="R39" s="351">
        <f>SUMIF(RF!$1:$1,$X39,RF!$22:$22)</f>
        <v>0</v>
      </c>
      <c r="S39" s="346">
        <f>SUMIF(SC!$1:$1,$X39,IF(DAY(PayDay1)=1,SC!$18:$18,SC!$36:$36))</f>
        <v>0</v>
      </c>
      <c r="T39" s="352">
        <f>SUMIF(OT!$1:$1,$X39,OT!$182:$182)</f>
        <v>0</v>
      </c>
      <c r="U39" s="590"/>
      <c r="V39" s="353">
        <f>(D39*B39)+E39+F39</f>
        <v>0</v>
      </c>
      <c r="W39" s="354"/>
      <c r="X39" s="354" t="str">
        <f>IFERROR(LEFT(A39,SEARCH(",",A39)-1)&amp;MID(A39,SEARCH(" ",A39),3)," ")</f>
        <v xml:space="preserve"> </v>
      </c>
    </row>
    <row r="40" spans="1:24" s="355" customFormat="1" x14ac:dyDescent="0.2">
      <c r="A40" s="558"/>
      <c r="B40" s="603"/>
      <c r="C40" s="603"/>
      <c r="D40" s="333">
        <f>SUM(G40:N40)</f>
        <v>0</v>
      </c>
      <c r="E40" s="334">
        <f>SUM(O40:U40)</f>
        <v>0</v>
      </c>
      <c r="F40" s="335">
        <f>SUMIF(PP!$1:$1,$X40,PP!$86:$86)+SUMIF(PC!$1:$1,$X40,PC!$87:$87)</f>
        <v>0</v>
      </c>
      <c r="G40" s="336">
        <f>SUMIF(Driver!$1:$1,$X40,Driver!$18:$18)</f>
        <v>0</v>
      </c>
      <c r="H40" s="337">
        <f>SUMIF(PP!$1:$1,$X40,PP!$84:$84)</f>
        <v>0</v>
      </c>
      <c r="I40" s="338">
        <f>SUMIF(PC!$1:$1,$X40,PC!$85:$85)</f>
        <v>0</v>
      </c>
      <c r="J40" s="336">
        <f>SUMIF(FH!$1:$1,$X40,FH!$99:$99)</f>
        <v>0</v>
      </c>
      <c r="K40" s="339">
        <f>SUMIF('T22'!$1:$1,$X40,'T22'!$99:$99)</f>
        <v>0</v>
      </c>
      <c r="L40" s="336">
        <f>SUMIF(RF!$1:$1,$X40,RF!$18:$18)</f>
        <v>0</v>
      </c>
      <c r="M40" s="336">
        <f>SUMIF(SC!$1:$1,$X40,IF(DAY(PayDay1)=1,SC!$17:$17,SC!$35:$35))</f>
        <v>0</v>
      </c>
      <c r="N40" s="340">
        <f>SUMIF(TM!$1:$1,$X40,TM!$18:$18)</f>
        <v>0</v>
      </c>
      <c r="O40" s="196">
        <f>SUMIF(Driver!$1:$1,$X40,Driver!$19:$19)</f>
        <v>0</v>
      </c>
      <c r="P40" s="196">
        <f>SUMIF(PP!$1:$1,$X40,PP!$85:$85)</f>
        <v>0</v>
      </c>
      <c r="Q40" s="196">
        <f>SUMIF(PC!$1:$1,$X40,PC!$86:$86)</f>
        <v>0</v>
      </c>
      <c r="R40" s="196">
        <f>SUMIF(RF!$1:$1,$X40,RF!$22:$22)</f>
        <v>0</v>
      </c>
      <c r="S40" s="336">
        <f>SUMIF(SC!$1:$1,$X40,IF(DAY(PayDay1)=1,SC!$18:$18,SC!$36:$36))</f>
        <v>0</v>
      </c>
      <c r="T40" s="341">
        <f>SUMIF(OT!$1:$1,$X40,OT!$182:$182)</f>
        <v>0</v>
      </c>
      <c r="U40" s="589"/>
      <c r="V40" s="342">
        <f>(D40*B40)+E40+F40</f>
        <v>0</v>
      </c>
      <c r="W40" s="332"/>
      <c r="X40" s="332" t="str">
        <f>IFERROR(LEFT(A40,SEARCH(",",A40)-1)&amp;MID(A40,SEARCH(" ",A40),3)," ")</f>
        <v xml:space="preserve"> </v>
      </c>
    </row>
    <row r="41" spans="1:24" s="355" customFormat="1" x14ac:dyDescent="0.2">
      <c r="A41" s="559"/>
      <c r="B41" s="604"/>
      <c r="C41" s="604"/>
      <c r="D41" s="343">
        <f>SUM(G41:N41)</f>
        <v>0</v>
      </c>
      <c r="E41" s="344">
        <f>SUM(O41:U41)</f>
        <v>0</v>
      </c>
      <c r="F41" s="345">
        <f>SUMIF(PP!$1:$1,$X41,PP!$86:$86)+SUMIF(PC!$1:$1,$X41,PC!$87:$87)</f>
        <v>0</v>
      </c>
      <c r="G41" s="346">
        <f>SUMIF(Driver!$1:$1,$X41,Driver!$18:$18)</f>
        <v>0</v>
      </c>
      <c r="H41" s="347">
        <f>SUMIF(PP!$1:$1,$X41,PP!$84:$84)</f>
        <v>0</v>
      </c>
      <c r="I41" s="348">
        <f>SUMIF(PC!$1:$1,$X41,PC!$85:$85)</f>
        <v>0</v>
      </c>
      <c r="J41" s="346">
        <f>SUMIF(FH!$1:$1,$X41,FH!$99:$99)</f>
        <v>0</v>
      </c>
      <c r="K41" s="349">
        <f>SUMIF('T22'!$1:$1,$X41,'T22'!$99:$99)</f>
        <v>0</v>
      </c>
      <c r="L41" s="346">
        <f>SUMIF(RF!$1:$1,$X41,RF!$18:$18)</f>
        <v>0</v>
      </c>
      <c r="M41" s="346">
        <f>SUMIF(SC!$1:$1,$X41,IF(DAY(PayDay1)=1,SC!$17:$17,SC!$35:$35))</f>
        <v>0</v>
      </c>
      <c r="N41" s="350">
        <f>SUMIF(TM!$1:$1,$X41,TM!$18:$18)</f>
        <v>0</v>
      </c>
      <c r="O41" s="351">
        <f>SUMIF(Driver!$1:$1,$X41,Driver!$19:$19)</f>
        <v>0</v>
      </c>
      <c r="P41" s="351">
        <f>SUMIF(PP!$1:$1,$X41,PP!$85:$85)</f>
        <v>0</v>
      </c>
      <c r="Q41" s="351">
        <f>SUMIF(PC!$1:$1,$X41,PC!$86:$86)</f>
        <v>0</v>
      </c>
      <c r="R41" s="351">
        <f>SUMIF(RF!$1:$1,$X41,RF!$22:$22)</f>
        <v>0</v>
      </c>
      <c r="S41" s="346">
        <f>SUMIF(SC!$1:$1,$X41,IF(DAY(PayDay1)=1,SC!$18:$18,SC!$36:$36))</f>
        <v>0</v>
      </c>
      <c r="T41" s="352">
        <f>SUMIF(OT!$1:$1,$X41,OT!$182:$182)</f>
        <v>0</v>
      </c>
      <c r="U41" s="590"/>
      <c r="V41" s="353">
        <f>(D41*B41)+E41+F41</f>
        <v>0</v>
      </c>
      <c r="W41" s="354"/>
      <c r="X41" s="354" t="str">
        <f>IFERROR(LEFT(A41,SEARCH(",",A41)-1)&amp;MID(A41,SEARCH(" ",A41),3)," ")</f>
        <v xml:space="preserve"> </v>
      </c>
    </row>
    <row r="42" spans="1:24" s="355" customFormat="1" x14ac:dyDescent="0.2">
      <c r="A42" s="558"/>
      <c r="B42" s="603"/>
      <c r="C42" s="603"/>
      <c r="D42" s="333">
        <f>SUM(G42:N42)</f>
        <v>0</v>
      </c>
      <c r="E42" s="334">
        <f>SUM(O42:U42)</f>
        <v>0</v>
      </c>
      <c r="F42" s="335">
        <f>SUMIF(PP!$1:$1,$X42,PP!$86:$86)+SUMIF(PC!$1:$1,$X42,PC!$87:$87)</f>
        <v>0</v>
      </c>
      <c r="G42" s="336">
        <f>SUMIF(Driver!$1:$1,$X42,Driver!$18:$18)</f>
        <v>0</v>
      </c>
      <c r="H42" s="337">
        <f>SUMIF(PP!$1:$1,$X42,PP!$84:$84)</f>
        <v>0</v>
      </c>
      <c r="I42" s="338">
        <f>SUMIF(PC!$1:$1,$X42,PC!$85:$85)</f>
        <v>0</v>
      </c>
      <c r="J42" s="336">
        <f>SUMIF(FH!$1:$1,$X42,FH!$99:$99)</f>
        <v>0</v>
      </c>
      <c r="K42" s="339">
        <f>SUMIF('T22'!$1:$1,$X42,'T22'!$99:$99)</f>
        <v>0</v>
      </c>
      <c r="L42" s="336">
        <f>SUMIF(RF!$1:$1,$X42,RF!$18:$18)</f>
        <v>0</v>
      </c>
      <c r="M42" s="336">
        <f>SUMIF(SC!$1:$1,$X42,IF(DAY(PayDay1)=1,SC!$17:$17,SC!$35:$35))</f>
        <v>0</v>
      </c>
      <c r="N42" s="340">
        <f>SUMIF(TM!$1:$1,$X42,TM!$18:$18)</f>
        <v>0</v>
      </c>
      <c r="O42" s="196">
        <f>SUMIF(Driver!$1:$1,$X42,Driver!$19:$19)</f>
        <v>0</v>
      </c>
      <c r="P42" s="196">
        <f>SUMIF(PP!$1:$1,$X42,PP!$85:$85)</f>
        <v>0</v>
      </c>
      <c r="Q42" s="196">
        <f>SUMIF(PC!$1:$1,$X42,PC!$86:$86)</f>
        <v>0</v>
      </c>
      <c r="R42" s="196">
        <f>SUMIF(RF!$1:$1,$X42,RF!$22:$22)</f>
        <v>0</v>
      </c>
      <c r="S42" s="336">
        <f>SUMIF(SC!$1:$1,$X42,IF(DAY(PayDay1)=1,SC!$18:$18,SC!$36:$36))</f>
        <v>0</v>
      </c>
      <c r="T42" s="341">
        <f>SUMIF(OT!$1:$1,$X42,OT!$182:$182)</f>
        <v>0</v>
      </c>
      <c r="U42" s="589"/>
      <c r="V42" s="342">
        <f>(D42*B42)+E42+F42</f>
        <v>0</v>
      </c>
      <c r="W42" s="332"/>
      <c r="X42" s="332" t="str">
        <f>IFERROR(LEFT(A42,SEARCH(",",A42)-1)&amp;MID(A42,SEARCH(" ",A42),3)," ")</f>
        <v xml:space="preserve"> </v>
      </c>
    </row>
    <row r="43" spans="1:24" s="355" customFormat="1" x14ac:dyDescent="0.2">
      <c r="A43" s="559"/>
      <c r="B43" s="604"/>
      <c r="C43" s="604"/>
      <c r="D43" s="343">
        <f>SUM(G43:N43)</f>
        <v>0</v>
      </c>
      <c r="E43" s="344">
        <f>SUM(O43:U43)</f>
        <v>0</v>
      </c>
      <c r="F43" s="345">
        <f>SUMIF(PP!$1:$1,$X43,PP!$86:$86)+SUMIF(PC!$1:$1,$X43,PC!$87:$87)</f>
        <v>0</v>
      </c>
      <c r="G43" s="346">
        <f>SUMIF(Driver!$1:$1,$X43,Driver!$18:$18)</f>
        <v>0</v>
      </c>
      <c r="H43" s="347">
        <f>SUMIF(PP!$1:$1,$X43,PP!$84:$84)</f>
        <v>0</v>
      </c>
      <c r="I43" s="348">
        <f>SUMIF(PC!$1:$1,$X43,PC!$85:$85)</f>
        <v>0</v>
      </c>
      <c r="J43" s="346">
        <f>SUMIF(FH!$1:$1,$X43,FH!$99:$99)</f>
        <v>0</v>
      </c>
      <c r="K43" s="349">
        <f>SUMIF('T22'!$1:$1,$X43,'T22'!$99:$99)</f>
        <v>0</v>
      </c>
      <c r="L43" s="346">
        <f>SUMIF(RF!$1:$1,$X43,RF!$18:$18)</f>
        <v>0</v>
      </c>
      <c r="M43" s="346">
        <f>SUMIF(SC!$1:$1,$X43,IF(DAY(PayDay1)=1,SC!$17:$17,SC!$35:$35))</f>
        <v>0</v>
      </c>
      <c r="N43" s="350">
        <f>SUMIF(TM!$1:$1,$X43,TM!$18:$18)</f>
        <v>0</v>
      </c>
      <c r="O43" s="351">
        <f>SUMIF(Driver!$1:$1,$X43,Driver!$19:$19)</f>
        <v>0</v>
      </c>
      <c r="P43" s="351">
        <f>SUMIF(PP!$1:$1,$X43,PP!$85:$85)</f>
        <v>0</v>
      </c>
      <c r="Q43" s="351">
        <f>SUMIF(PC!$1:$1,$X43,PC!$86:$86)</f>
        <v>0</v>
      </c>
      <c r="R43" s="351">
        <f>SUMIF(RF!$1:$1,$X43,RF!$22:$22)</f>
        <v>0</v>
      </c>
      <c r="S43" s="346">
        <f>SUMIF(SC!$1:$1,$X43,IF(DAY(PayDay1)=1,SC!$18:$18,SC!$36:$36))</f>
        <v>0</v>
      </c>
      <c r="T43" s="352">
        <f>SUMIF(OT!$1:$1,$X43,OT!$182:$182)</f>
        <v>0</v>
      </c>
      <c r="U43" s="590"/>
      <c r="V43" s="353">
        <f>(D43*B43)+E43+F43</f>
        <v>0</v>
      </c>
      <c r="W43" s="354"/>
      <c r="X43" s="354" t="str">
        <f>IFERROR(LEFT(A43,SEARCH(",",A43)-1)&amp;MID(A43,SEARCH(" ",A43),3)," ")</f>
        <v xml:space="preserve"> </v>
      </c>
    </row>
    <row r="44" spans="1:24" s="355" customFormat="1" x14ac:dyDescent="0.2">
      <c r="A44" s="558"/>
      <c r="B44" s="603"/>
      <c r="C44" s="603"/>
      <c r="D44" s="333">
        <f>SUM(G44:N44)</f>
        <v>0</v>
      </c>
      <c r="E44" s="334">
        <f>SUM(O44:U44)</f>
        <v>0</v>
      </c>
      <c r="F44" s="335">
        <f>SUMIF(PP!$1:$1,$X44,PP!$86:$86)+SUMIF(PC!$1:$1,$X44,PC!$87:$87)</f>
        <v>0</v>
      </c>
      <c r="G44" s="336">
        <f>SUMIF(Driver!$1:$1,$X44,Driver!$18:$18)</f>
        <v>0</v>
      </c>
      <c r="H44" s="337">
        <f>SUMIF(PP!$1:$1,$X44,PP!$84:$84)</f>
        <v>0</v>
      </c>
      <c r="I44" s="338">
        <f>SUMIF(PC!$1:$1,$X44,PC!$85:$85)</f>
        <v>0</v>
      </c>
      <c r="J44" s="336">
        <f>SUMIF(FH!$1:$1,$X44,FH!$99:$99)</f>
        <v>0</v>
      </c>
      <c r="K44" s="339">
        <f>SUMIF('T22'!$1:$1,$X44,'T22'!$99:$99)</f>
        <v>0</v>
      </c>
      <c r="L44" s="336">
        <f>SUMIF(RF!$1:$1,$X44,RF!$18:$18)</f>
        <v>0</v>
      </c>
      <c r="M44" s="336">
        <f>SUMIF(SC!$1:$1,$X44,IF(DAY(PayDay1)=1,SC!$17:$17,SC!$35:$35))</f>
        <v>0</v>
      </c>
      <c r="N44" s="340">
        <f>SUMIF(TM!$1:$1,$X44,TM!$18:$18)</f>
        <v>0</v>
      </c>
      <c r="O44" s="196">
        <f>SUMIF(Driver!$1:$1,$X44,Driver!$19:$19)</f>
        <v>0</v>
      </c>
      <c r="P44" s="196">
        <f>SUMIF(PP!$1:$1,$X44,PP!$85:$85)</f>
        <v>0</v>
      </c>
      <c r="Q44" s="196">
        <f>SUMIF(PC!$1:$1,$X44,PC!$86:$86)</f>
        <v>0</v>
      </c>
      <c r="R44" s="196">
        <f>SUMIF(RF!$1:$1,$X44,RF!$22:$22)</f>
        <v>0</v>
      </c>
      <c r="S44" s="336">
        <f>SUMIF(SC!$1:$1,$X44,IF(DAY(PayDay1)=1,SC!$18:$18,SC!$36:$36))</f>
        <v>0</v>
      </c>
      <c r="T44" s="341">
        <f>SUMIF(OT!$1:$1,$X44,OT!$182:$182)</f>
        <v>0</v>
      </c>
      <c r="U44" s="589"/>
      <c r="V44" s="342">
        <f>(D44*B44)+E44+F44</f>
        <v>0</v>
      </c>
      <c r="W44" s="332"/>
      <c r="X44" s="332" t="str">
        <f>IFERROR(LEFT(A44,SEARCH(",",A44)-1)&amp;MID(A44,SEARCH(" ",A44),3)," ")</f>
        <v xml:space="preserve"> </v>
      </c>
    </row>
    <row r="45" spans="1:24" s="355" customFormat="1" ht="12" thickBot="1" x14ac:dyDescent="0.25">
      <c r="A45" s="559"/>
      <c r="B45" s="604"/>
      <c r="C45" s="604"/>
      <c r="D45" s="343">
        <f>SUM(G45:N45)</f>
        <v>0</v>
      </c>
      <c r="E45" s="344">
        <f>SUM(O45:U45)</f>
        <v>0</v>
      </c>
      <c r="F45" s="345">
        <f>SUMIF(PP!$1:$1,$X45,PP!$86:$86)+SUMIF(PC!$1:$1,$X45,PC!$87:$87)</f>
        <v>0</v>
      </c>
      <c r="G45" s="346">
        <f>SUMIF(Driver!$1:$1,$X45,Driver!$18:$18)</f>
        <v>0</v>
      </c>
      <c r="H45" s="347">
        <f>SUMIF(PP!$1:$1,$X45,PP!$84:$84)</f>
        <v>0</v>
      </c>
      <c r="I45" s="348">
        <f>SUMIF(PC!$1:$1,$X45,PC!$85:$85)</f>
        <v>0</v>
      </c>
      <c r="J45" s="346">
        <f>SUMIF(FH!$1:$1,$X45,FH!$99:$99)</f>
        <v>0</v>
      </c>
      <c r="K45" s="349">
        <f>SUMIF('T22'!$1:$1,$X45,'T22'!$99:$99)</f>
        <v>0</v>
      </c>
      <c r="L45" s="346">
        <f>SUMIF(RF!$1:$1,$X45,RF!$18:$18)</f>
        <v>0</v>
      </c>
      <c r="M45" s="346">
        <f>SUMIF(SC!$1:$1,$X45,IF(DAY(PayDay1)=1,SC!$17:$17,SC!$35:$35))</f>
        <v>0</v>
      </c>
      <c r="N45" s="350">
        <f>SUMIF(TM!$1:$1,$X45,TM!$18:$18)</f>
        <v>0</v>
      </c>
      <c r="O45" s="351">
        <f>SUMIF(Driver!$1:$1,$X45,Driver!$19:$19)</f>
        <v>0</v>
      </c>
      <c r="P45" s="351">
        <f>SUMIF(PP!$1:$1,$X45,PP!$85:$85)</f>
        <v>0</v>
      </c>
      <c r="Q45" s="351">
        <f>SUMIF(PC!$1:$1,$X45,PC!$86:$86)</f>
        <v>0</v>
      </c>
      <c r="R45" s="351">
        <f>SUMIF(RF!$1:$1,$X45,RF!$22:$22)</f>
        <v>0</v>
      </c>
      <c r="S45" s="346">
        <f>SUMIF(SC!$1:$1,$X45,IF(DAY(PayDay1)=1,SC!$18:$18,SC!$36:$36))</f>
        <v>0</v>
      </c>
      <c r="T45" s="352">
        <f>SUMIF(OT!$1:$1,$X45,OT!$182:$182)</f>
        <v>0</v>
      </c>
      <c r="U45" s="590"/>
      <c r="V45" s="353">
        <f>(D45*B45)+E45+F45</f>
        <v>0</v>
      </c>
      <c r="W45" s="354"/>
      <c r="X45" s="354" t="str">
        <f>IFERROR(LEFT(A45,SEARCH(",",A45)-1)&amp;MID(A45,SEARCH(" ",A45),3)," ")</f>
        <v xml:space="preserve"> </v>
      </c>
    </row>
    <row r="46" spans="1:24" s="355" customFormat="1" ht="12" thickBot="1" x14ac:dyDescent="0.25">
      <c r="A46" s="356" t="s">
        <v>3</v>
      </c>
      <c r="B46" s="357"/>
      <c r="C46" s="494"/>
      <c r="D46" s="358">
        <f t="shared" ref="D46:V46" si="4">SUM(D2:D45)</f>
        <v>0</v>
      </c>
      <c r="E46" s="359">
        <f t="shared" si="4"/>
        <v>0</v>
      </c>
      <c r="F46" s="357">
        <f t="shared" si="4"/>
        <v>0</v>
      </c>
      <c r="G46" s="360">
        <f t="shared" si="4"/>
        <v>0</v>
      </c>
      <c r="H46" s="361">
        <f t="shared" si="4"/>
        <v>0</v>
      </c>
      <c r="I46" s="362">
        <f t="shared" si="4"/>
        <v>0</v>
      </c>
      <c r="J46" s="360">
        <f t="shared" si="4"/>
        <v>0</v>
      </c>
      <c r="K46" s="363">
        <f t="shared" si="4"/>
        <v>0</v>
      </c>
      <c r="L46" s="360">
        <f t="shared" si="4"/>
        <v>0</v>
      </c>
      <c r="M46" s="360">
        <f t="shared" si="4"/>
        <v>0</v>
      </c>
      <c r="N46" s="364">
        <f t="shared" si="4"/>
        <v>0</v>
      </c>
      <c r="O46" s="357">
        <f t="shared" si="4"/>
        <v>0</v>
      </c>
      <c r="P46" s="357">
        <f t="shared" si="4"/>
        <v>0</v>
      </c>
      <c r="Q46" s="357">
        <f t="shared" si="4"/>
        <v>0</v>
      </c>
      <c r="R46" s="357">
        <f t="shared" si="4"/>
        <v>0</v>
      </c>
      <c r="S46" s="357">
        <f t="shared" si="4"/>
        <v>0</v>
      </c>
      <c r="T46" s="357">
        <f t="shared" si="4"/>
        <v>0</v>
      </c>
      <c r="U46" s="490">
        <f t="shared" si="4"/>
        <v>0</v>
      </c>
      <c r="V46" s="365">
        <f t="shared" si="4"/>
        <v>0</v>
      </c>
      <c r="W46" s="486"/>
      <c r="X46" s="486"/>
    </row>
    <row r="47" spans="1:24" s="355" customFormat="1" ht="12" thickBot="1" x14ac:dyDescent="0.25">
      <c r="A47" s="366"/>
      <c r="B47" s="367"/>
      <c r="C47" s="367"/>
      <c r="D47" s="368"/>
      <c r="E47" s="369"/>
      <c r="F47" s="370"/>
      <c r="G47" s="94"/>
      <c r="H47" s="371"/>
      <c r="I47" s="372"/>
      <c r="J47" s="94"/>
      <c r="K47" s="373"/>
      <c r="L47" s="94"/>
      <c r="M47" s="94"/>
      <c r="N47" s="374"/>
      <c r="O47" s="367"/>
      <c r="P47" s="367"/>
      <c r="Q47" s="367"/>
      <c r="R47" s="367"/>
      <c r="S47" s="367"/>
      <c r="T47" s="375"/>
      <c r="U47" s="491"/>
      <c r="V47" s="487"/>
      <c r="W47" s="208"/>
      <c r="X47" s="208"/>
    </row>
    <row r="48" spans="1:24" s="355" customFormat="1" x14ac:dyDescent="0.2">
      <c r="A48" s="376" t="s">
        <v>13</v>
      </c>
      <c r="B48" s="377"/>
      <c r="C48" s="377"/>
      <c r="D48" s="378">
        <f>SUM(G48:N48)</f>
        <v>0</v>
      </c>
      <c r="E48" s="379">
        <f>SUM(O48:U48)</f>
        <v>0</v>
      </c>
      <c r="F48" s="380">
        <f>PP!C86+PC!C87</f>
        <v>0</v>
      </c>
      <c r="G48" s="381">
        <f>Driver!B18</f>
        <v>0</v>
      </c>
      <c r="H48" s="382">
        <f>PP!C84</f>
        <v>0</v>
      </c>
      <c r="I48" s="383">
        <f>PC!C85</f>
        <v>0</v>
      </c>
      <c r="J48" s="381">
        <f>FH!C99</f>
        <v>0</v>
      </c>
      <c r="K48" s="384">
        <f>'T22'!C99</f>
        <v>0</v>
      </c>
      <c r="L48" s="381">
        <f>RF!C18</f>
        <v>0</v>
      </c>
      <c r="M48" s="381">
        <f>IF(DAY(PayDay1)=1,SC!B17,SC!B35)</f>
        <v>0</v>
      </c>
      <c r="N48" s="385">
        <f>TM!C18</f>
        <v>0</v>
      </c>
      <c r="O48" s="377">
        <f>Driver!B19</f>
        <v>0</v>
      </c>
      <c r="P48" s="377">
        <f>PP!C85</f>
        <v>0</v>
      </c>
      <c r="Q48" s="377">
        <f>PC!C86</f>
        <v>0</v>
      </c>
      <c r="R48" s="377">
        <f>SUM(RF!H22:AO22)</f>
        <v>0</v>
      </c>
      <c r="S48" s="377">
        <f>IF(DAY(PayDay1)=1,SC!C18,SC!C36)</f>
        <v>0</v>
      </c>
      <c r="T48" s="386">
        <f>OT!B182</f>
        <v>0</v>
      </c>
      <c r="U48" s="492">
        <f>U46</f>
        <v>0</v>
      </c>
      <c r="V48" s="488"/>
      <c r="W48" s="218"/>
      <c r="X48" s="99"/>
    </row>
    <row r="49" spans="1:24" s="355" customFormat="1" ht="12" thickBot="1" x14ac:dyDescent="0.25">
      <c r="A49" s="387" t="s">
        <v>12</v>
      </c>
      <c r="B49" s="388"/>
      <c r="C49" s="388"/>
      <c r="D49" s="389">
        <f>D46-D48</f>
        <v>0</v>
      </c>
      <c r="E49" s="390">
        <f>E46-E48</f>
        <v>0</v>
      </c>
      <c r="F49" s="391">
        <f t="shared" ref="F49:U49" si="5">F46-F48</f>
        <v>0</v>
      </c>
      <c r="G49" s="392">
        <f t="shared" si="5"/>
        <v>0</v>
      </c>
      <c r="H49" s="393">
        <f t="shared" si="5"/>
        <v>0</v>
      </c>
      <c r="I49" s="394">
        <f t="shared" si="5"/>
        <v>0</v>
      </c>
      <c r="J49" s="392">
        <f t="shared" si="5"/>
        <v>0</v>
      </c>
      <c r="K49" s="395">
        <f t="shared" si="5"/>
        <v>0</v>
      </c>
      <c r="L49" s="392">
        <f t="shared" si="5"/>
        <v>0</v>
      </c>
      <c r="M49" s="392">
        <f t="shared" si="5"/>
        <v>0</v>
      </c>
      <c r="N49" s="396">
        <f t="shared" si="5"/>
        <v>0</v>
      </c>
      <c r="O49" s="388">
        <f t="shared" si="5"/>
        <v>0</v>
      </c>
      <c r="P49" s="388">
        <f t="shared" si="5"/>
        <v>0</v>
      </c>
      <c r="Q49" s="388">
        <f t="shared" si="5"/>
        <v>0</v>
      </c>
      <c r="R49" s="388">
        <f t="shared" si="5"/>
        <v>0</v>
      </c>
      <c r="S49" s="388">
        <f>S46-S48</f>
        <v>0</v>
      </c>
      <c r="T49" s="397">
        <f t="shared" si="5"/>
        <v>0</v>
      </c>
      <c r="U49" s="493">
        <f t="shared" si="5"/>
        <v>0</v>
      </c>
      <c r="V49" s="489">
        <f>SUM(D49:G49)</f>
        <v>0</v>
      </c>
      <c r="W49" s="62"/>
      <c r="X49" s="62"/>
    </row>
    <row r="50" spans="1:24" s="355" customFormat="1" ht="12" thickBot="1" x14ac:dyDescent="0.25">
      <c r="A50" s="398"/>
      <c r="B50" s="399"/>
      <c r="C50" s="399"/>
      <c r="D50" s="336"/>
      <c r="E50" s="196"/>
      <c r="F50" s="95"/>
      <c r="G50" s="233"/>
      <c r="H50" s="400"/>
      <c r="I50" s="400"/>
      <c r="J50" s="233"/>
      <c r="K50" s="233"/>
      <c r="L50" s="233"/>
      <c r="M50" s="233"/>
      <c r="N50" s="233"/>
      <c r="O50" s="95"/>
      <c r="P50" s="95"/>
      <c r="Q50" s="95"/>
      <c r="R50" s="95"/>
      <c r="S50" s="95"/>
      <c r="T50" s="95"/>
      <c r="U50" s="401"/>
      <c r="V50" s="196"/>
      <c r="W50" s="62"/>
      <c r="X50" s="62"/>
    </row>
    <row r="51" spans="1:24" s="355" customFormat="1" ht="12" thickBot="1" x14ac:dyDescent="0.25">
      <c r="A51" s="402"/>
      <c r="B51" s="399"/>
      <c r="C51" s="399"/>
      <c r="D51" s="403" t="s">
        <v>19</v>
      </c>
      <c r="E51" s="404" t="s">
        <v>26</v>
      </c>
      <c r="F51" s="404" t="s">
        <v>32</v>
      </c>
      <c r="G51" s="405" t="s">
        <v>3</v>
      </c>
      <c r="H51" s="337"/>
      <c r="I51" s="337"/>
      <c r="J51" s="336"/>
      <c r="K51" s="336"/>
      <c r="L51" s="336"/>
      <c r="M51" s="233"/>
      <c r="N51" s="233"/>
      <c r="O51" s="196"/>
      <c r="P51" s="196"/>
      <c r="Q51" s="196"/>
      <c r="R51" s="196"/>
      <c r="S51" s="196"/>
      <c r="T51" s="196"/>
      <c r="U51" s="336"/>
      <c r="V51" s="336"/>
      <c r="W51" s="62"/>
      <c r="X51" s="62"/>
    </row>
    <row r="52" spans="1:24" s="355" customFormat="1" ht="12" thickBot="1" x14ac:dyDescent="0.25">
      <c r="A52" s="356" t="s">
        <v>48</v>
      </c>
      <c r="B52" s="357"/>
      <c r="C52" s="357"/>
      <c r="D52" s="360">
        <f>D46-SUM(D2:D3)</f>
        <v>0</v>
      </c>
      <c r="E52" s="357">
        <f>E46-SUM(E2:E3)</f>
        <v>0</v>
      </c>
      <c r="F52" s="357">
        <f>F46-SUM(F2:F3)</f>
        <v>0</v>
      </c>
      <c r="G52" s="365">
        <f>V46-SUM(V2:V3)</f>
        <v>0</v>
      </c>
      <c r="H52" s="406"/>
      <c r="I52" s="406"/>
      <c r="J52" s="407"/>
      <c r="K52" s="407"/>
      <c r="L52" s="407"/>
      <c r="M52" s="208"/>
      <c r="N52" s="208"/>
      <c r="O52" s="99"/>
      <c r="P52" s="99"/>
      <c r="Q52" s="99"/>
      <c r="R52" s="218"/>
      <c r="S52" s="218"/>
      <c r="T52" s="218"/>
      <c r="U52" s="407"/>
      <c r="V52" s="99"/>
      <c r="X52" s="62"/>
    </row>
    <row r="53" spans="1:24" s="355" customFormat="1" ht="12" thickBot="1" x14ac:dyDescent="0.25">
      <c r="A53" s="408"/>
      <c r="B53" s="401"/>
      <c r="C53" s="401"/>
      <c r="D53" s="233"/>
      <c r="E53" s="95"/>
      <c r="F53" s="95"/>
      <c r="G53" s="233"/>
      <c r="H53" s="99"/>
      <c r="I53" s="400"/>
      <c r="J53" s="233"/>
      <c r="K53" s="233"/>
      <c r="L53" s="233"/>
      <c r="M53" s="99"/>
      <c r="N53" s="99"/>
      <c r="O53" s="95"/>
      <c r="P53" s="95"/>
      <c r="Q53" s="95"/>
      <c r="R53" s="95"/>
      <c r="S53" s="95"/>
      <c r="T53" s="95"/>
      <c r="U53" s="233"/>
      <c r="V53" s="233"/>
      <c r="W53" s="99"/>
      <c r="X53" s="62"/>
    </row>
    <row r="54" spans="1:24" s="355" customFormat="1" x14ac:dyDescent="0.2">
      <c r="A54" s="409" t="s">
        <v>25</v>
      </c>
      <c r="B54" s="410">
        <f>V46</f>
        <v>0</v>
      </c>
      <c r="C54" s="218"/>
      <c r="D54" s="233"/>
      <c r="E54" s="95"/>
      <c r="F54" s="95"/>
      <c r="G54" s="233"/>
      <c r="H54" s="400"/>
      <c r="I54" s="400"/>
      <c r="J54" s="233"/>
      <c r="K54" s="233"/>
      <c r="L54" s="233"/>
      <c r="M54" s="233"/>
      <c r="N54" s="233"/>
      <c r="O54" s="95"/>
      <c r="P54" s="95"/>
      <c r="Q54" s="95"/>
      <c r="R54" s="95"/>
      <c r="S54" s="95"/>
      <c r="T54" s="95"/>
      <c r="U54" s="233"/>
      <c r="V54" s="233"/>
      <c r="W54" s="208"/>
    </row>
    <row r="55" spans="1:24" s="355" customFormat="1" ht="12" thickBot="1" x14ac:dyDescent="0.25">
      <c r="A55" s="411" t="s">
        <v>61</v>
      </c>
      <c r="B55" s="412">
        <f>(B54-F46)*0.26</f>
        <v>0</v>
      </c>
      <c r="C55" s="95"/>
      <c r="D55" s="233"/>
      <c r="E55" s="95"/>
      <c r="F55" s="95"/>
      <c r="G55" s="233"/>
      <c r="H55" s="400"/>
      <c r="I55" s="400"/>
      <c r="J55" s="233"/>
      <c r="K55" s="233"/>
      <c r="L55" s="233"/>
      <c r="M55" s="233"/>
      <c r="N55" s="233"/>
      <c r="O55" s="95"/>
      <c r="P55" s="95"/>
      <c r="Q55" s="95"/>
      <c r="R55" s="95"/>
      <c r="S55" s="95"/>
      <c r="T55" s="95"/>
      <c r="U55" s="233"/>
      <c r="V55" s="233"/>
      <c r="W55" s="105"/>
      <c r="X55" s="99"/>
    </row>
    <row r="56" spans="1:24" s="355" customFormat="1" x14ac:dyDescent="0.2">
      <c r="A56" s="99"/>
      <c r="B56" s="401"/>
      <c r="C56" s="401"/>
      <c r="D56" s="233"/>
      <c r="E56" s="95"/>
      <c r="F56" s="95"/>
      <c r="G56" s="233"/>
      <c r="H56" s="400"/>
      <c r="I56" s="371"/>
      <c r="J56" s="233"/>
      <c r="K56" s="167"/>
      <c r="L56" s="233"/>
      <c r="M56" s="233"/>
      <c r="N56" s="233"/>
      <c r="O56" s="95"/>
      <c r="P56" s="95"/>
      <c r="Q56" s="95"/>
      <c r="R56" s="95"/>
      <c r="S56" s="95"/>
      <c r="T56" s="95"/>
      <c r="U56" s="401"/>
      <c r="V56" s="95"/>
      <c r="W56" s="167"/>
      <c r="X56" s="62"/>
    </row>
    <row r="57" spans="1:24" s="355" customFormat="1" x14ac:dyDescent="0.2">
      <c r="A57" s="99"/>
      <c r="B57" s="401"/>
      <c r="C57" s="401"/>
      <c r="D57" s="233"/>
      <c r="E57" s="95"/>
      <c r="F57" s="95"/>
      <c r="G57" s="233"/>
      <c r="H57" s="400"/>
      <c r="I57" s="371"/>
      <c r="J57" s="233"/>
      <c r="K57" s="94"/>
      <c r="L57" s="233"/>
      <c r="M57" s="233"/>
      <c r="N57" s="233"/>
      <c r="O57" s="218"/>
      <c r="P57" s="95"/>
      <c r="Q57" s="95"/>
      <c r="R57" s="95"/>
      <c r="S57" s="95"/>
      <c r="T57" s="95"/>
      <c r="U57" s="401"/>
      <c r="V57" s="95"/>
      <c r="W57" s="167"/>
      <c r="X57" s="62"/>
    </row>
    <row r="58" spans="1:24" s="355" customFormat="1" x14ac:dyDescent="0.2">
      <c r="A58" s="99"/>
      <c r="B58" s="401"/>
      <c r="C58" s="401"/>
      <c r="D58" s="233"/>
      <c r="E58" s="95"/>
      <c r="F58" s="95"/>
      <c r="G58" s="233"/>
      <c r="H58" s="400"/>
      <c r="I58" s="371"/>
      <c r="J58" s="233"/>
      <c r="K58" s="94"/>
      <c r="L58" s="233"/>
      <c r="M58" s="233"/>
      <c r="N58" s="233"/>
      <c r="O58" s="95"/>
      <c r="P58" s="95"/>
      <c r="Q58" s="95"/>
      <c r="R58" s="95"/>
      <c r="S58" s="95"/>
      <c r="T58" s="95"/>
      <c r="U58" s="401"/>
      <c r="V58" s="95"/>
      <c r="W58" s="407"/>
      <c r="X58" s="62"/>
    </row>
    <row r="59" spans="1:24" s="355" customFormat="1" x14ac:dyDescent="0.2">
      <c r="A59" s="99"/>
      <c r="B59" s="401"/>
      <c r="C59" s="401"/>
      <c r="D59" s="233"/>
      <c r="E59" s="95"/>
      <c r="F59" s="95"/>
      <c r="G59" s="233"/>
      <c r="H59" s="400"/>
      <c r="I59" s="400"/>
      <c r="J59" s="233"/>
      <c r="K59" s="233"/>
      <c r="L59" s="233"/>
      <c r="M59" s="233"/>
      <c r="N59" s="233"/>
      <c r="O59" s="95"/>
      <c r="P59" s="95"/>
      <c r="Q59" s="95"/>
      <c r="R59" s="95"/>
      <c r="S59" s="95"/>
      <c r="T59" s="95"/>
      <c r="U59" s="401"/>
      <c r="V59" s="95"/>
      <c r="W59" s="94"/>
      <c r="X59" s="62"/>
    </row>
    <row r="60" spans="1:24" s="355" customFormat="1" x14ac:dyDescent="0.2">
      <c r="A60" s="99"/>
      <c r="B60" s="401"/>
      <c r="C60" s="401"/>
      <c r="D60" s="233"/>
      <c r="E60" s="95"/>
      <c r="F60" s="95"/>
      <c r="G60" s="233"/>
      <c r="H60" s="400"/>
      <c r="I60" s="400"/>
      <c r="J60" s="233"/>
      <c r="K60" s="233"/>
      <c r="L60" s="233"/>
      <c r="M60" s="233"/>
      <c r="N60" s="233"/>
      <c r="O60" s="95"/>
      <c r="P60" s="95"/>
      <c r="Q60" s="95"/>
      <c r="R60" s="95"/>
      <c r="S60" s="95"/>
      <c r="T60" s="95"/>
      <c r="U60" s="401"/>
      <c r="V60" s="95"/>
      <c r="W60" s="94"/>
      <c r="X60" s="62"/>
    </row>
    <row r="61" spans="1:24" s="355" customFormat="1" x14ac:dyDescent="0.2">
      <c r="A61" s="99"/>
      <c r="B61" s="401"/>
      <c r="C61" s="401"/>
      <c r="D61" s="233"/>
      <c r="E61" s="95"/>
      <c r="F61" s="95"/>
      <c r="G61" s="233"/>
      <c r="H61" s="400"/>
      <c r="I61" s="400"/>
      <c r="J61" s="233"/>
      <c r="K61" s="233"/>
      <c r="L61" s="233"/>
      <c r="M61" s="233"/>
      <c r="N61" s="233"/>
      <c r="O61" s="95"/>
      <c r="P61" s="95"/>
      <c r="Q61" s="95"/>
      <c r="R61" s="95"/>
      <c r="S61" s="95"/>
      <c r="T61" s="95"/>
      <c r="U61" s="401"/>
      <c r="V61" s="95"/>
      <c r="W61" s="94"/>
      <c r="X61" s="62"/>
    </row>
    <row r="62" spans="1:24" s="355" customFormat="1" x14ac:dyDescent="0.2">
      <c r="A62" s="99"/>
      <c r="B62" s="401"/>
      <c r="C62" s="401"/>
      <c r="D62" s="233"/>
      <c r="E62" s="95"/>
      <c r="F62" s="95"/>
      <c r="G62" s="233"/>
      <c r="H62" s="400"/>
      <c r="I62" s="400"/>
      <c r="J62" s="233"/>
      <c r="K62" s="233"/>
      <c r="L62" s="233"/>
      <c r="M62" s="233"/>
      <c r="N62" s="233"/>
      <c r="O62" s="95"/>
      <c r="P62" s="95"/>
      <c r="Q62" s="95"/>
      <c r="R62" s="95"/>
      <c r="S62" s="95"/>
      <c r="T62" s="95"/>
      <c r="U62" s="401"/>
      <c r="V62" s="95"/>
      <c r="W62" s="99"/>
      <c r="X62" s="62"/>
    </row>
    <row r="63" spans="1:24" s="355" customFormat="1" x14ac:dyDescent="0.2">
      <c r="A63" s="99"/>
      <c r="B63" s="401"/>
      <c r="C63" s="401"/>
      <c r="D63" s="233"/>
      <c r="E63" s="95"/>
      <c r="F63" s="95"/>
      <c r="G63" s="233"/>
      <c r="H63" s="400"/>
      <c r="I63" s="400"/>
      <c r="J63" s="233"/>
      <c r="K63" s="233"/>
      <c r="L63" s="233"/>
      <c r="M63" s="233"/>
      <c r="N63" s="233"/>
      <c r="O63" s="95"/>
      <c r="P63" s="95"/>
      <c r="Q63" s="95"/>
      <c r="R63" s="95"/>
      <c r="S63" s="95"/>
      <c r="T63" s="95"/>
      <c r="U63" s="401"/>
      <c r="V63" s="95"/>
      <c r="W63" s="99"/>
      <c r="X63" s="62"/>
    </row>
    <row r="64" spans="1:24" s="355" customFormat="1" x14ac:dyDescent="0.2">
      <c r="A64" s="408"/>
      <c r="B64" s="401"/>
      <c r="C64" s="401"/>
      <c r="D64" s="233"/>
      <c r="E64" s="95"/>
      <c r="F64" s="95"/>
      <c r="G64" s="233"/>
      <c r="H64" s="400"/>
      <c r="I64" s="400"/>
      <c r="J64" s="233"/>
      <c r="K64" s="233"/>
      <c r="L64" s="233"/>
      <c r="M64" s="233"/>
      <c r="N64" s="233"/>
      <c r="O64" s="95"/>
      <c r="P64" s="95"/>
      <c r="Q64" s="95"/>
      <c r="R64" s="95"/>
      <c r="S64" s="95"/>
      <c r="T64" s="95"/>
      <c r="U64" s="401"/>
      <c r="V64" s="95"/>
      <c r="W64" s="99"/>
      <c r="X64" s="62"/>
    </row>
    <row r="65" spans="1:71" s="355" customFormat="1" x14ac:dyDescent="0.2">
      <c r="A65" s="188"/>
      <c r="B65" s="401"/>
      <c r="C65" s="401"/>
      <c r="D65" s="233"/>
      <c r="E65" s="95"/>
      <c r="F65" s="95"/>
      <c r="G65" s="233"/>
      <c r="H65" s="400"/>
      <c r="I65" s="400"/>
      <c r="J65" s="233"/>
      <c r="K65" s="233"/>
      <c r="L65" s="233"/>
      <c r="M65" s="233"/>
      <c r="N65" s="233"/>
      <c r="O65" s="95"/>
      <c r="P65" s="95"/>
      <c r="Q65" s="95"/>
      <c r="R65" s="95"/>
      <c r="S65" s="95"/>
      <c r="T65" s="95"/>
      <c r="U65" s="401"/>
      <c r="V65" s="95"/>
      <c r="W65" s="62"/>
      <c r="X65" s="62"/>
    </row>
    <row r="66" spans="1:71" s="355" customFormat="1" x14ac:dyDescent="0.2">
      <c r="A66" s="99"/>
      <c r="B66" s="401"/>
      <c r="C66" s="401"/>
      <c r="D66" s="233"/>
      <c r="E66" s="95"/>
      <c r="F66" s="95"/>
      <c r="G66" s="233"/>
      <c r="H66" s="400"/>
      <c r="I66" s="400"/>
      <c r="J66" s="233"/>
      <c r="K66" s="233"/>
      <c r="L66" s="233"/>
      <c r="M66" s="233"/>
      <c r="N66" s="233"/>
      <c r="O66" s="95"/>
      <c r="P66" s="95"/>
      <c r="Q66" s="95"/>
      <c r="R66" s="95"/>
      <c r="S66" s="95"/>
      <c r="T66" s="95"/>
      <c r="U66" s="401"/>
      <c r="V66" s="95"/>
      <c r="W66" s="62"/>
      <c r="X66" s="62"/>
    </row>
    <row r="67" spans="1:71" s="355" customFormat="1" x14ac:dyDescent="0.2">
      <c r="A67" s="99"/>
      <c r="B67" s="401"/>
      <c r="C67" s="401"/>
      <c r="D67" s="233"/>
      <c r="E67" s="95"/>
      <c r="F67" s="95"/>
      <c r="G67" s="233"/>
      <c r="H67" s="400"/>
      <c r="I67" s="400"/>
      <c r="J67" s="233"/>
      <c r="K67" s="233"/>
      <c r="L67" s="233"/>
      <c r="M67" s="233"/>
      <c r="N67" s="233"/>
      <c r="O67" s="95"/>
      <c r="P67" s="95"/>
      <c r="Q67" s="95"/>
      <c r="R67" s="95"/>
      <c r="S67" s="95"/>
      <c r="T67" s="95"/>
      <c r="U67" s="401"/>
      <c r="V67" s="95"/>
      <c r="W67" s="62"/>
      <c r="X67" s="62"/>
    </row>
    <row r="68" spans="1:71" s="208" customFormat="1" x14ac:dyDescent="0.2">
      <c r="A68" s="99"/>
      <c r="B68" s="401"/>
      <c r="C68" s="401"/>
      <c r="D68" s="233"/>
      <c r="E68" s="95"/>
      <c r="F68" s="95"/>
      <c r="G68" s="233"/>
      <c r="H68" s="400"/>
      <c r="I68" s="400"/>
      <c r="J68" s="233"/>
      <c r="K68" s="233"/>
      <c r="L68" s="233"/>
      <c r="M68" s="233"/>
      <c r="N68" s="233"/>
      <c r="O68" s="95"/>
      <c r="P68" s="95"/>
      <c r="Q68" s="95"/>
      <c r="R68" s="95"/>
      <c r="S68" s="95"/>
      <c r="T68" s="95"/>
      <c r="U68" s="401"/>
      <c r="V68" s="95"/>
      <c r="W68" s="62"/>
      <c r="X68" s="62"/>
      <c r="Y68" s="355"/>
      <c r="Z68" s="355"/>
      <c r="AA68" s="355"/>
      <c r="AB68" s="355"/>
      <c r="AC68" s="355"/>
      <c r="AD68" s="355"/>
      <c r="AE68" s="355"/>
      <c r="AF68" s="355"/>
      <c r="AG68" s="355"/>
      <c r="AH68" s="355"/>
      <c r="AI68" s="355"/>
      <c r="AJ68" s="355"/>
      <c r="AK68" s="355"/>
      <c r="AL68" s="355"/>
      <c r="AM68" s="355"/>
      <c r="AN68" s="355"/>
      <c r="AO68" s="355"/>
      <c r="AP68" s="355"/>
      <c r="AQ68" s="355"/>
      <c r="AR68" s="355"/>
      <c r="AS68" s="355"/>
      <c r="AT68" s="355"/>
      <c r="AU68" s="355"/>
      <c r="AV68" s="355"/>
      <c r="AW68" s="355"/>
      <c r="AX68" s="355"/>
      <c r="AY68" s="355"/>
      <c r="AZ68" s="355"/>
      <c r="BA68" s="355"/>
      <c r="BB68" s="355"/>
      <c r="BC68" s="355"/>
      <c r="BD68" s="355"/>
      <c r="BE68" s="355"/>
      <c r="BF68" s="355"/>
      <c r="BG68" s="355"/>
      <c r="BH68" s="355"/>
      <c r="BI68" s="355"/>
      <c r="BJ68" s="355"/>
      <c r="BK68" s="355"/>
      <c r="BL68" s="355"/>
      <c r="BM68" s="355"/>
      <c r="BN68" s="355"/>
      <c r="BO68" s="355"/>
      <c r="BP68" s="355"/>
      <c r="BQ68" s="355"/>
      <c r="BR68" s="355"/>
      <c r="BS68" s="355"/>
    </row>
    <row r="69" spans="1:71" s="99" customFormat="1" x14ac:dyDescent="0.2">
      <c r="B69" s="401"/>
      <c r="C69" s="401"/>
      <c r="D69" s="233"/>
      <c r="E69" s="95"/>
      <c r="F69" s="95"/>
      <c r="G69" s="233"/>
      <c r="H69" s="400"/>
      <c r="I69" s="400"/>
      <c r="J69" s="233"/>
      <c r="K69" s="233"/>
      <c r="L69" s="233"/>
      <c r="M69" s="233"/>
      <c r="N69" s="233"/>
      <c r="O69" s="95"/>
      <c r="P69" s="95"/>
      <c r="Q69" s="95"/>
      <c r="R69" s="95"/>
      <c r="S69" s="95"/>
      <c r="T69" s="95"/>
      <c r="U69" s="401"/>
      <c r="V69" s="95"/>
      <c r="W69" s="62"/>
      <c r="X69" s="62"/>
      <c r="Y69" s="355"/>
      <c r="Z69" s="355"/>
      <c r="AA69" s="355"/>
      <c r="AB69" s="355"/>
      <c r="AC69" s="355"/>
      <c r="AD69" s="355"/>
      <c r="AE69" s="355"/>
      <c r="AF69" s="355"/>
      <c r="AG69" s="355"/>
      <c r="AH69" s="355"/>
      <c r="AI69" s="355"/>
      <c r="AJ69" s="355"/>
      <c r="AK69" s="355"/>
      <c r="AL69" s="355"/>
      <c r="AM69" s="355"/>
      <c r="AN69" s="355"/>
      <c r="AO69" s="355"/>
      <c r="AP69" s="355"/>
      <c r="AQ69" s="355"/>
      <c r="AR69" s="355"/>
      <c r="AS69" s="355"/>
      <c r="AT69" s="355"/>
      <c r="AU69" s="355"/>
      <c r="AV69" s="355"/>
      <c r="AW69" s="355"/>
      <c r="AX69" s="355"/>
      <c r="AY69" s="355"/>
      <c r="AZ69" s="355"/>
      <c r="BA69" s="355"/>
      <c r="BB69" s="355"/>
      <c r="BC69" s="355"/>
      <c r="BD69" s="355"/>
      <c r="BE69" s="355"/>
      <c r="BF69" s="355"/>
      <c r="BG69" s="355"/>
      <c r="BH69" s="355"/>
      <c r="BI69" s="355"/>
      <c r="BJ69" s="355"/>
      <c r="BK69" s="355"/>
      <c r="BL69" s="355"/>
      <c r="BM69" s="355"/>
      <c r="BN69" s="355"/>
      <c r="BO69" s="355"/>
      <c r="BP69" s="355"/>
      <c r="BQ69" s="355"/>
      <c r="BR69" s="355"/>
      <c r="BS69" s="355"/>
    </row>
    <row r="70" spans="1:71" x14ac:dyDescent="0.2">
      <c r="J70" s="233"/>
      <c r="K70" s="233"/>
      <c r="L70" s="233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</row>
    <row r="71" spans="1:71" x14ac:dyDescent="0.2">
      <c r="J71" s="233"/>
      <c r="K71" s="233"/>
      <c r="L71" s="233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</row>
    <row r="72" spans="1:71" x14ac:dyDescent="0.2">
      <c r="J72" s="233"/>
      <c r="K72" s="233"/>
      <c r="L72" s="233"/>
    </row>
    <row r="73" spans="1:71" x14ac:dyDescent="0.2">
      <c r="J73" s="233"/>
      <c r="K73" s="233"/>
      <c r="L73" s="233"/>
    </row>
    <row r="74" spans="1:71" x14ac:dyDescent="0.2">
      <c r="A74" s="408"/>
      <c r="J74" s="233"/>
      <c r="K74" s="233"/>
      <c r="L74" s="233"/>
    </row>
    <row r="75" spans="1:71" s="355" customFormat="1" x14ac:dyDescent="0.2">
      <c r="A75" s="99"/>
      <c r="B75" s="401"/>
      <c r="C75" s="401"/>
      <c r="D75" s="233"/>
      <c r="E75" s="95"/>
      <c r="F75" s="95"/>
      <c r="G75" s="233"/>
      <c r="H75" s="400"/>
      <c r="I75" s="400"/>
      <c r="J75" s="233"/>
      <c r="K75" s="233"/>
      <c r="L75" s="233"/>
      <c r="M75" s="233"/>
      <c r="N75" s="233"/>
      <c r="O75" s="95"/>
      <c r="P75" s="95"/>
      <c r="Q75" s="95"/>
      <c r="R75" s="95"/>
      <c r="S75" s="95"/>
      <c r="T75" s="95"/>
      <c r="U75" s="401"/>
      <c r="V75" s="95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</row>
    <row r="76" spans="1:71" s="99" customFormat="1" x14ac:dyDescent="0.2">
      <c r="B76" s="401"/>
      <c r="C76" s="401"/>
      <c r="D76" s="233"/>
      <c r="E76" s="95"/>
      <c r="F76" s="95"/>
      <c r="G76" s="233"/>
      <c r="H76" s="400"/>
      <c r="I76" s="400"/>
      <c r="J76" s="233"/>
      <c r="K76" s="233"/>
      <c r="L76" s="233"/>
      <c r="M76" s="233"/>
      <c r="N76" s="233"/>
      <c r="O76" s="95"/>
      <c r="P76" s="95"/>
      <c r="Q76" s="95"/>
      <c r="R76" s="95"/>
      <c r="S76" s="95"/>
      <c r="T76" s="95"/>
      <c r="U76" s="401"/>
      <c r="V76" s="95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</row>
    <row r="77" spans="1:71" x14ac:dyDescent="0.2">
      <c r="J77" s="233"/>
      <c r="K77" s="233"/>
      <c r="L77" s="233"/>
      <c r="Y77" s="355"/>
      <c r="Z77" s="355"/>
      <c r="AA77" s="355"/>
      <c r="AB77" s="355"/>
      <c r="AC77" s="355"/>
      <c r="AD77" s="355"/>
      <c r="AE77" s="355"/>
      <c r="AF77" s="355"/>
      <c r="AG77" s="355"/>
      <c r="AH77" s="355"/>
      <c r="AI77" s="355"/>
      <c r="AJ77" s="355"/>
      <c r="AK77" s="355"/>
      <c r="AL77" s="355"/>
      <c r="AM77" s="355"/>
      <c r="AN77" s="355"/>
      <c r="AO77" s="355"/>
      <c r="AP77" s="355"/>
      <c r="AQ77" s="355"/>
      <c r="AR77" s="355"/>
      <c r="AS77" s="355"/>
      <c r="AT77" s="355"/>
      <c r="AU77" s="355"/>
      <c r="AV77" s="355"/>
      <c r="AW77" s="355"/>
      <c r="AX77" s="355"/>
      <c r="AY77" s="355"/>
      <c r="AZ77" s="355"/>
      <c r="BA77" s="355"/>
      <c r="BB77" s="355"/>
      <c r="BC77" s="355"/>
      <c r="BD77" s="355"/>
      <c r="BE77" s="355"/>
      <c r="BF77" s="355"/>
      <c r="BG77" s="355"/>
      <c r="BH77" s="355"/>
      <c r="BI77" s="355"/>
      <c r="BJ77" s="355"/>
      <c r="BK77" s="355"/>
      <c r="BL77" s="355"/>
      <c r="BM77" s="355"/>
      <c r="BN77" s="355"/>
      <c r="BO77" s="355"/>
      <c r="BP77" s="355"/>
      <c r="BQ77" s="355"/>
      <c r="BR77" s="355"/>
      <c r="BS77" s="355"/>
    </row>
    <row r="78" spans="1:71" x14ac:dyDescent="0.2">
      <c r="J78" s="233"/>
      <c r="K78" s="233"/>
      <c r="L78" s="233"/>
      <c r="Y78" s="99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</row>
    <row r="79" spans="1:71" x14ac:dyDescent="0.2">
      <c r="J79" s="233"/>
      <c r="K79" s="233"/>
      <c r="L79" s="233"/>
    </row>
    <row r="80" spans="1:71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A84" s="408"/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A92" s="408"/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</sheetData>
  <sheetProtection algorithmName="SHA-512" hashValue="5xYHqmOoHfkseNc/rNH+oABAzSK4HenL6P8TDRceUAh2dK/wq2mIYfH9g8x8TcM3ubymMxsnPoHK/p/0liB+QA==" saltValue="DTdhZtH6xBVBK6nAmehZrQ==" spinCount="100000" sheet="1" objects="1" scenarios="1"/>
  <sortState ref="A4:X45">
    <sortCondition ref="A4:A45"/>
  </sortState>
  <dataConsolidate link="1"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V49">
    <cfRule type="cellIs" dxfId="76" priority="9" operator="greaterThan">
      <formula>0</formula>
    </cfRule>
  </conditionalFormatting>
  <conditionalFormatting sqref="W46:X47 X1:X45 W2:W45">
    <cfRule type="containsBlanks" priority="6" stopIfTrue="1">
      <formula>LEN(TRIM(W1))=0</formula>
    </cfRule>
  </conditionalFormatting>
  <conditionalFormatting sqref="W2:X47">
    <cfRule type="duplicateValues" dxfId="75" priority="2208"/>
  </conditionalFormatting>
  <conditionalFormatting sqref="A2:A45">
    <cfRule type="duplicateValues" dxfId="74" priority="2210"/>
  </conditionalFormatting>
  <conditionalFormatting sqref="B4:B45">
    <cfRule type="expression" dxfId="73" priority="2">
      <formula>AND(B4="",A4&lt;&gt;"")</formula>
    </cfRule>
  </conditionalFormatting>
  <conditionalFormatting sqref="C4:C45">
    <cfRule type="expression" dxfId="72" priority="1">
      <formula>AND(C4="",A4&lt;&gt;"")</formula>
    </cfRule>
  </conditionalFormatting>
  <dataValidations count="1">
    <dataValidation type="custom" allowBlank="1" showInputMessage="1" showErrorMessage="1" errorTitle="Invalid Entry" error="Please input new employees in the format: &quot;Lastname, Firstname&quot;" sqref="A2:A45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4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13" t="s">
        <v>77</v>
      </c>
      <c r="B1" s="414" t="s">
        <v>40</v>
      </c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2"/>
      <c r="R1" s="562"/>
      <c r="S1" s="562"/>
      <c r="T1" s="562"/>
      <c r="U1" s="562"/>
      <c r="V1" s="563"/>
    </row>
    <row r="2" spans="1:22" x14ac:dyDescent="0.2">
      <c r="A2" s="290">
        <f>IF(Import!T7&lt;&gt;"",Import!T7,"")</f>
        <v>42461</v>
      </c>
      <c r="B2" s="415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IF(Import!T8&lt;&gt;"",Import!T8,"")</f>
        <v>42462</v>
      </c>
      <c r="B3" s="415">
        <f t="shared" si="0"/>
        <v>0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IF(Import!T9&lt;&gt;"",Import!T9,"")</f>
        <v>42463</v>
      </c>
      <c r="B4" s="415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IF(Import!T10&lt;&gt;"",Import!T10,"")</f>
        <v>42464</v>
      </c>
      <c r="B5" s="415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IF(Import!T11&lt;&gt;"",Import!T11,"")</f>
        <v>42465</v>
      </c>
      <c r="B6" s="415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IF(Import!T12&lt;&gt;"",Import!T12,"")</f>
        <v>42466</v>
      </c>
      <c r="B7" s="415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IF(Import!T13&lt;&gt;"",Import!T13,"")</f>
        <v>42467</v>
      </c>
      <c r="B8" s="415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IF(Import!T14&lt;&gt;"",Import!T14,"")</f>
        <v>42468</v>
      </c>
      <c r="B9" s="415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IF(Import!T15&lt;&gt;"",Import!T15,"")</f>
        <v>42469</v>
      </c>
      <c r="B10" s="415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IF(Import!T16&lt;&gt;"",Import!T16,"")</f>
        <v>42470</v>
      </c>
      <c r="B11" s="415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IF(Import!T17&lt;&gt;"",Import!T17,"")</f>
        <v>42471</v>
      </c>
      <c r="B12" s="415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IF(Import!T18&lt;&gt;"",Import!T18,"")</f>
        <v>42472</v>
      </c>
      <c r="B13" s="415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IF(Import!T19&lt;&gt;"",Import!T19,"")</f>
        <v>42473</v>
      </c>
      <c r="B14" s="415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IF(Import!T20&lt;&gt;"",Import!T20,"")</f>
        <v>42474</v>
      </c>
      <c r="B15" s="415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IF(Import!T21&lt;&gt;"",Import!T21,"")</f>
        <v>42475</v>
      </c>
      <c r="B16" s="415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IF(Import!T22&lt;&gt;"",Import!T22,"")</f>
        <v/>
      </c>
      <c r="B17" s="415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17" customFormat="1" ht="12" thickBot="1" x14ac:dyDescent="0.25">
      <c r="A18" s="213" t="s">
        <v>3</v>
      </c>
      <c r="B18" s="416">
        <f t="shared" ref="B18" si="1">SUM(B2:B17)</f>
        <v>0</v>
      </c>
      <c r="C18" s="102">
        <f>SUM(C2:C17)</f>
        <v>0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420" customFormat="1" ht="12" thickBot="1" x14ac:dyDescent="0.25">
      <c r="A19" s="418" t="s">
        <v>44</v>
      </c>
      <c r="B19" s="419">
        <f>SUM(C19:V19)</f>
        <v>0</v>
      </c>
      <c r="C19" s="560"/>
      <c r="D19" s="560"/>
      <c r="E19" s="560"/>
      <c r="F19" s="560"/>
      <c r="G19" s="560"/>
      <c r="H19" s="560"/>
      <c r="I19" s="560"/>
      <c r="J19" s="560"/>
      <c r="K19" s="560"/>
      <c r="L19" s="560"/>
      <c r="M19" s="560"/>
      <c r="N19" s="560"/>
      <c r="O19" s="560"/>
      <c r="P19" s="560"/>
      <c r="Q19" s="560"/>
      <c r="R19" s="560"/>
      <c r="S19" s="560"/>
      <c r="T19" s="560"/>
      <c r="U19" s="560"/>
      <c r="V19" s="561"/>
    </row>
    <row r="20" spans="1:22" s="417" customFormat="1" x14ac:dyDescent="0.2">
      <c r="A20" s="421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17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20" customFormat="1" x14ac:dyDescent="0.2">
      <c r="A22" s="299"/>
      <c r="B22" s="422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L0Drx/IAcPdlVkr2S380SU2BOMaUJeRVz1mZ3Nnu/4kNBg/gUNpHXtq+GwrsjgQjwzl7XRkAe4FE1GF9nBVy9Q==" saltValue="x8+/5C3AmHmD9e9kvBFejQ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71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41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124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IF(Import!T7&lt;&gt;"",Import!T7,"")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SUMIFS(Import!$H:$H,Import!$A:$A,D$1,Import!$B:$B,$A2,Import!$D:$D,"PP Lead")</f>
        <v>0</v>
      </c>
      <c r="E3" s="462">
        <f>SUMIFS(Import!$H:$H,Import!$A:$A,E$1,Import!$B:$B,$A2,Import!$D:$D,"PP Lead")</f>
        <v>0</v>
      </c>
      <c r="F3" s="462">
        <f>SUMIFS(Import!$H:$H,Import!$A:$A,F$1,Import!$B:$B,$A2,Import!$D:$D,"PP Lead")</f>
        <v>0</v>
      </c>
      <c r="G3" s="462">
        <f>SUMIFS(Import!$H:$H,Import!$A:$A,G$1,Import!$B:$B,$A2,Import!$D:$D,"PP Lead")</f>
        <v>0</v>
      </c>
      <c r="H3" s="462">
        <f>SUMIFS(Import!$H:$H,Import!$A:$A,H$1,Import!$B:$B,$A2,Import!$D:$D,"PP Lead")</f>
        <v>0</v>
      </c>
      <c r="I3" s="462">
        <f>SUMIFS(Import!$H:$H,Import!$A:$A,I$1,Import!$B:$B,$A2,Import!$D:$D,"PP Lead")</f>
        <v>0</v>
      </c>
      <c r="J3" s="462">
        <f>SUMIFS(Import!$H:$H,Import!$A:$A,J$1,Import!$B:$B,$A2,Import!$D:$D,"PP Lead")</f>
        <v>0</v>
      </c>
      <c r="K3" s="462">
        <f>SUMIFS(Import!$H:$H,Import!$A:$A,K$1,Import!$B:$B,$A2,Import!$D:$D,"PP Lead")</f>
        <v>0</v>
      </c>
      <c r="L3" s="462">
        <f>SUMIFS(Import!$H:$H,Import!$A:$A,L$1,Import!$B:$B,$A2,Import!$D:$D,"PP Lead")</f>
        <v>0</v>
      </c>
      <c r="M3" s="462">
        <f>SUMIFS(Import!$H:$H,Import!$A:$A,M$1,Import!$B:$B,$A2,Import!$D:$D,"PP Lead")</f>
        <v>0</v>
      </c>
      <c r="N3" s="462">
        <f>SUMIFS(Import!$H:$H,Import!$A:$A,N$1,Import!$B:$B,$A2,Import!$D:$D,"PP Lead")</f>
        <v>0</v>
      </c>
      <c r="O3" s="462">
        <f>SUMIFS(Import!$H:$H,Import!$A:$A,O$1,Import!$B:$B,$A2,Import!$D:$D,"PP Lead")</f>
        <v>0</v>
      </c>
      <c r="P3" s="462">
        <f>SUMIFS(Import!$H:$H,Import!$A:$A,P$1,Import!$B:$B,$A2,Import!$D:$D,"PP Lead")</f>
        <v>0</v>
      </c>
      <c r="Q3" s="462">
        <f>SUMIFS(Import!$H:$H,Import!$A:$A,Q$1,Import!$B:$B,$A2,Import!$D:$D,"PP Lead")</f>
        <v>0</v>
      </c>
      <c r="R3" s="462">
        <f>SUMIFS(Import!$H:$H,Import!$A:$A,R$1,Import!$B:$B,$A2,Import!$D:$D,"PP Lead")</f>
        <v>0</v>
      </c>
      <c r="S3" s="462">
        <f>SUMIFS(Import!$H:$H,Import!$A:$A,S$1,Import!$B:$B,$A2,Import!$D:$D,"PP Lead")</f>
        <v>0</v>
      </c>
      <c r="T3" s="462">
        <f>SUMIFS(Import!$H:$H,Import!$A:$A,T$1,Import!$B:$B,$A2,Import!$D:$D,"PP Lead")</f>
        <v>0</v>
      </c>
      <c r="U3" s="462">
        <f>SUMIFS(Import!$H:$H,Import!$A:$A,U$1,Import!$B:$B,$A2,Import!$D:$D,"PP Lead")</f>
        <v>0</v>
      </c>
      <c r="V3" s="462">
        <f>SUMIFS(Import!$H:$H,Import!$A:$A,V$1,Import!$B:$B,$A2,Import!$D:$D,"PP Lead")</f>
        <v>0</v>
      </c>
      <c r="W3" s="462">
        <f>SUMIFS(Import!$H:$H,Import!$A:$A,W$1,Import!$B:$B,$A2,Import!$D:$D,"PP Lead")</f>
        <v>0</v>
      </c>
      <c r="X3" s="462">
        <f>SUMIFS(Import!$H:$H,Import!$A:$A,X$1,Import!$B:$B,$A2,Import!$D:$D,"PP Lead")</f>
        <v>0</v>
      </c>
      <c r="Y3" s="462">
        <f>SUMIFS(Import!$H:$H,Import!$A:$A,Y$1,Import!$B:$B,$A2,Import!$D:$D,"PP Lead")</f>
        <v>0</v>
      </c>
      <c r="Z3" s="462">
        <f>SUMIFS(Import!$H:$H,Import!$A:$A,Z$1,Import!$B:$B,$A2,Import!$D:$D,"PP Lead")</f>
        <v>0</v>
      </c>
      <c r="AA3" s="462">
        <f>SUMIFS(Import!$H:$H,Import!$A:$A,AA$1,Import!$B:$B,$A2,Import!$D:$D,"PP Lead")</f>
        <v>0</v>
      </c>
      <c r="AB3" s="462">
        <f>SUMIFS(Import!$H:$H,Import!$A:$A,AB$1,Import!$B:$B,$A2,Import!$D:$D,"PP Lead")</f>
        <v>0</v>
      </c>
      <c r="AC3" s="462">
        <f>SUMIFS(Import!$H:$H,Import!$A:$A,AC$1,Import!$B:$B,$A2,Import!$D:$D,"PP Lead")</f>
        <v>0</v>
      </c>
      <c r="AD3" s="462">
        <f>SUMIFS(Import!$H:$H,Import!$A:$A,AD$1,Import!$B:$B,$A2,Import!$D:$D,"PP Lead")</f>
        <v>0</v>
      </c>
      <c r="AE3" s="462">
        <f>SUMIFS(Import!$H:$H,Import!$A:$A,AE$1,Import!$B:$B,$A2,Import!$D:$D,"PP Lead")</f>
        <v>0</v>
      </c>
      <c r="AF3" s="462">
        <f>SUMIFS(Import!$H:$H,Import!$A:$A,AF$1,Import!$B:$B,$A2,Import!$D:$D,"PP Lead")</f>
        <v>0</v>
      </c>
      <c r="AG3" s="462">
        <f>SUMIFS(Import!$H:$H,Import!$A:$A,AG$1,Import!$B:$B,$A2,Import!$D:$D,"PP Lead")</f>
        <v>0</v>
      </c>
      <c r="AH3" s="462">
        <f>SUMIFS(Import!$H:$H,Import!$A:$A,AH$1,Import!$B:$B,$A2,Import!$D:$D,"PP Lead")</f>
        <v>0</v>
      </c>
      <c r="AI3" s="462">
        <f>SUMIFS(Import!$H:$H,Import!$A:$A,AI$1,Import!$B:$B,$A2,Import!$D:$D,"PP Lead")</f>
        <v>0</v>
      </c>
      <c r="AJ3" s="462">
        <f>SUMIFS(Import!$H:$H,Import!$A:$A,AJ$1,Import!$B:$B,$A2,Import!$D:$D,"PP Lead")</f>
        <v>0</v>
      </c>
      <c r="AK3" s="462">
        <f>SUMIFS(Import!$H:$H,Import!$A:$A,AK$1,Import!$B:$B,$A2,Import!$D:$D,"PP Lead")</f>
        <v>0</v>
      </c>
      <c r="AL3" s="462">
        <f>SUMIFS(Import!$H:$H,Import!$A:$A,AL$1,Import!$B:$B,$A2,Import!$D:$D,"PP Lead")</f>
        <v>0</v>
      </c>
      <c r="AM3" s="462">
        <f>SUMIFS(Import!$H:$H,Import!$A:$A,AM$1,Import!$B:$B,$A2,Import!$D:$D,"PP Lead")</f>
        <v>0</v>
      </c>
      <c r="AN3" s="462">
        <f>SUMIFS(Import!$H:$H,Import!$A:$A,AN$1,Import!$B:$B,$A2,Import!$D:$D,"PP Lead")</f>
        <v>0</v>
      </c>
      <c r="AO3" s="462">
        <f>SUMIFS(Import!$H:$H,Import!$A:$A,AO$1,Import!$B:$B,$A2,Import!$D:$D,"PP Lead")</f>
        <v>0</v>
      </c>
      <c r="AP3" s="462">
        <f>SUMIFS(Import!$H:$H,Import!$A:$A,AP$1,Import!$B:$B,$A2,Import!$D:$D,"PP Lead")</f>
        <v>0</v>
      </c>
      <c r="AQ3" s="462">
        <f>SUMIFS(Import!$H:$H,Import!$A:$A,AQ$1,Import!$B:$B,$A2,Import!$D:$D,"PP Lead")</f>
        <v>0</v>
      </c>
      <c r="AR3" s="462">
        <f>SUMIFS(Import!$H:$H,Import!$A:$A,AR$1,Import!$B:$B,$A2,Import!$D:$D,"PP Lead")</f>
        <v>0</v>
      </c>
      <c r="AS3" s="462">
        <f>SUMIFS(Import!$H:$H,Import!$A:$A,AS$1,Import!$B:$B,$A2,Import!$D:$D,"PP Lead")</f>
        <v>0</v>
      </c>
      <c r="AT3" s="462">
        <f>SUMIFS(Import!$H:$H,Import!$A:$A,AT$1,Import!$B:$B,$A2,Import!$D:$D,"PP Lead")</f>
        <v>0</v>
      </c>
      <c r="AU3" s="462">
        <f>SUMIFS(Import!$H:$H,Import!$A:$A,AU$1,Import!$B:$B,$A2,Import!$D:$D,"PP Lead")</f>
        <v>0</v>
      </c>
      <c r="AV3" s="462">
        <f>SUMIFS(Import!$H:$H,Import!$A:$A,AV$1,Import!$B:$B,$A2,Import!$D:$D,"PP Lead")</f>
        <v>0</v>
      </c>
      <c r="AW3" s="462">
        <f>SUMIFS(Import!$H:$H,Import!$A:$A,AW$1,Import!$B:$B,$A2,Import!$D:$D,"PP Lead")</f>
        <v>0</v>
      </c>
      <c r="AX3" s="462">
        <f>SUMIFS(Import!$H:$H,Import!$A:$A,AX$1,Import!$B:$B,$A2,Import!$D:$D,"PP Lead")</f>
        <v>0</v>
      </c>
      <c r="AY3" s="462">
        <f>SUMIFS(Import!$H:$H,Import!$A:$A,AY$1,Import!$B:$B,$A2,Import!$D:$D,"PP Lead")</f>
        <v>0</v>
      </c>
      <c r="AZ3" s="462">
        <f>SUMIFS(Import!$H:$H,Import!$A:$A,AZ$1,Import!$B:$B,$A2,Import!$D:$D,"PP Lead")</f>
        <v>0</v>
      </c>
      <c r="BA3" s="462">
        <f>SUMIFS(Import!$H:$H,Import!$A:$A,BA$1,Import!$B:$B,$A2,Import!$D:$D,"PP Lead")</f>
        <v>0</v>
      </c>
      <c r="BB3" s="462">
        <f>SUMIFS(Import!$H:$H,Import!$A:$A,BB$1,Import!$B:$B,$A2,Import!$D:$D,"PP Lead")</f>
        <v>0</v>
      </c>
      <c r="BC3" s="462">
        <f>SUMIFS(Import!$H:$H,Import!$A:$A,BC$1,Import!$B:$B,$A2,Import!$D:$D,"PP Lead")</f>
        <v>0</v>
      </c>
      <c r="BD3" s="463">
        <f>SUMIFS(Import!$H:$H,Import!$A:$A,BD$1,Import!$B:$B,$A2,Import!$D:$D,"PP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IF(Import!T8&lt;&gt;"",Import!T8,"")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91"/>
      <c r="B8" s="19" t="s">
        <v>123</v>
      </c>
      <c r="C8" s="464">
        <f>SUM(D8:BD8)</f>
        <v>0</v>
      </c>
      <c r="D8" s="461">
        <f>SUMIFS(Import!$H:$H,Import!$A:$A,D$1,Import!$B:$B,$A7,Import!$D:$D,"PP Lead")</f>
        <v>0</v>
      </c>
      <c r="E8" s="462">
        <f>SUMIFS(Import!$H:$H,Import!$A:$A,E$1,Import!$B:$B,$A7,Import!$D:$D,"PP Lead")</f>
        <v>0</v>
      </c>
      <c r="F8" s="462">
        <f>SUMIFS(Import!$H:$H,Import!$A:$A,F$1,Import!$B:$B,$A7,Import!$D:$D,"PP Lead")</f>
        <v>0</v>
      </c>
      <c r="G8" s="462">
        <f>SUMIFS(Import!$H:$H,Import!$A:$A,G$1,Import!$B:$B,$A7,Import!$D:$D,"PP Lead")</f>
        <v>0</v>
      </c>
      <c r="H8" s="462">
        <f>SUMIFS(Import!$H:$H,Import!$A:$A,H$1,Import!$B:$B,$A7,Import!$D:$D,"PP Lead")</f>
        <v>0</v>
      </c>
      <c r="I8" s="462">
        <f>SUMIFS(Import!$H:$H,Import!$A:$A,I$1,Import!$B:$B,$A7,Import!$D:$D,"PP Lead")</f>
        <v>0</v>
      </c>
      <c r="J8" s="462">
        <f>SUMIFS(Import!$H:$H,Import!$A:$A,J$1,Import!$B:$B,$A7,Import!$D:$D,"PP Lead")</f>
        <v>0</v>
      </c>
      <c r="K8" s="462">
        <f>SUMIFS(Import!$H:$H,Import!$A:$A,K$1,Import!$B:$B,$A7,Import!$D:$D,"PP Lead")</f>
        <v>0</v>
      </c>
      <c r="L8" s="462">
        <f>SUMIFS(Import!$H:$H,Import!$A:$A,L$1,Import!$B:$B,$A7,Import!$D:$D,"PP Lead")</f>
        <v>0</v>
      </c>
      <c r="M8" s="462">
        <f>SUMIFS(Import!$H:$H,Import!$A:$A,M$1,Import!$B:$B,$A7,Import!$D:$D,"PP Lead")</f>
        <v>0</v>
      </c>
      <c r="N8" s="462">
        <f>SUMIFS(Import!$H:$H,Import!$A:$A,N$1,Import!$B:$B,$A7,Import!$D:$D,"PP Lead")</f>
        <v>0</v>
      </c>
      <c r="O8" s="462">
        <f>SUMIFS(Import!$H:$H,Import!$A:$A,O$1,Import!$B:$B,$A7,Import!$D:$D,"PP Lead")</f>
        <v>0</v>
      </c>
      <c r="P8" s="462">
        <f>SUMIFS(Import!$H:$H,Import!$A:$A,P$1,Import!$B:$B,$A7,Import!$D:$D,"PP Lead")</f>
        <v>0</v>
      </c>
      <c r="Q8" s="462">
        <f>SUMIFS(Import!$H:$H,Import!$A:$A,Q$1,Import!$B:$B,$A7,Import!$D:$D,"PP Lead")</f>
        <v>0</v>
      </c>
      <c r="R8" s="462">
        <f>SUMIFS(Import!$H:$H,Import!$A:$A,R$1,Import!$B:$B,$A7,Import!$D:$D,"PP Lead")</f>
        <v>0</v>
      </c>
      <c r="S8" s="462">
        <f>SUMIFS(Import!$H:$H,Import!$A:$A,S$1,Import!$B:$B,$A7,Import!$D:$D,"PP Lead")</f>
        <v>0</v>
      </c>
      <c r="T8" s="462">
        <f>SUMIFS(Import!$H:$H,Import!$A:$A,T$1,Import!$B:$B,$A7,Import!$D:$D,"PP Lead")</f>
        <v>0</v>
      </c>
      <c r="U8" s="462">
        <f>SUMIFS(Import!$H:$H,Import!$A:$A,U$1,Import!$B:$B,$A7,Import!$D:$D,"PP Lead")</f>
        <v>0</v>
      </c>
      <c r="V8" s="462">
        <f>SUMIFS(Import!$H:$H,Import!$A:$A,V$1,Import!$B:$B,$A7,Import!$D:$D,"PP Lead")</f>
        <v>0</v>
      </c>
      <c r="W8" s="462">
        <f>SUMIFS(Import!$H:$H,Import!$A:$A,W$1,Import!$B:$B,$A7,Import!$D:$D,"PP Lead")</f>
        <v>0</v>
      </c>
      <c r="X8" s="462">
        <f>SUMIFS(Import!$H:$H,Import!$A:$A,X$1,Import!$B:$B,$A7,Import!$D:$D,"PP Lead")</f>
        <v>0</v>
      </c>
      <c r="Y8" s="462">
        <f>SUMIFS(Import!$H:$H,Import!$A:$A,Y$1,Import!$B:$B,$A7,Import!$D:$D,"PP Lead")</f>
        <v>0</v>
      </c>
      <c r="Z8" s="462">
        <f>SUMIFS(Import!$H:$H,Import!$A:$A,Z$1,Import!$B:$B,$A7,Import!$D:$D,"PP Lead")</f>
        <v>0</v>
      </c>
      <c r="AA8" s="462">
        <f>SUMIFS(Import!$H:$H,Import!$A:$A,AA$1,Import!$B:$B,$A7,Import!$D:$D,"PP Lead")</f>
        <v>0</v>
      </c>
      <c r="AB8" s="462">
        <f>SUMIFS(Import!$H:$H,Import!$A:$A,AB$1,Import!$B:$B,$A7,Import!$D:$D,"PP Lead")</f>
        <v>0</v>
      </c>
      <c r="AC8" s="462">
        <f>SUMIFS(Import!$H:$H,Import!$A:$A,AC$1,Import!$B:$B,$A7,Import!$D:$D,"PP Lead")</f>
        <v>0</v>
      </c>
      <c r="AD8" s="462">
        <f>SUMIFS(Import!$H:$H,Import!$A:$A,AD$1,Import!$B:$B,$A7,Import!$D:$D,"PP Lead")</f>
        <v>0</v>
      </c>
      <c r="AE8" s="462">
        <f>SUMIFS(Import!$H:$H,Import!$A:$A,AE$1,Import!$B:$B,$A7,Import!$D:$D,"PP Lead")</f>
        <v>0</v>
      </c>
      <c r="AF8" s="462">
        <f>SUMIFS(Import!$H:$H,Import!$A:$A,AF$1,Import!$B:$B,$A7,Import!$D:$D,"PP Lead")</f>
        <v>0</v>
      </c>
      <c r="AG8" s="462">
        <f>SUMIFS(Import!$H:$H,Import!$A:$A,AG$1,Import!$B:$B,$A7,Import!$D:$D,"PP Lead")</f>
        <v>0</v>
      </c>
      <c r="AH8" s="462">
        <f>SUMIFS(Import!$H:$H,Import!$A:$A,AH$1,Import!$B:$B,$A7,Import!$D:$D,"PP Lead")</f>
        <v>0</v>
      </c>
      <c r="AI8" s="462">
        <f>SUMIFS(Import!$H:$H,Import!$A:$A,AI$1,Import!$B:$B,$A7,Import!$D:$D,"PP Lead")</f>
        <v>0</v>
      </c>
      <c r="AJ8" s="462">
        <f>SUMIFS(Import!$H:$H,Import!$A:$A,AJ$1,Import!$B:$B,$A7,Import!$D:$D,"PP Lead")</f>
        <v>0</v>
      </c>
      <c r="AK8" s="462">
        <f>SUMIFS(Import!$H:$H,Import!$A:$A,AK$1,Import!$B:$B,$A7,Import!$D:$D,"PP Lead")</f>
        <v>0</v>
      </c>
      <c r="AL8" s="462">
        <f>SUMIFS(Import!$H:$H,Import!$A:$A,AL$1,Import!$B:$B,$A7,Import!$D:$D,"PP Lead")</f>
        <v>0</v>
      </c>
      <c r="AM8" s="462">
        <f>SUMIFS(Import!$H:$H,Import!$A:$A,AM$1,Import!$B:$B,$A7,Import!$D:$D,"PP Lead")</f>
        <v>0</v>
      </c>
      <c r="AN8" s="462">
        <f>SUMIFS(Import!$H:$H,Import!$A:$A,AN$1,Import!$B:$B,$A7,Import!$D:$D,"PP Lead")</f>
        <v>0</v>
      </c>
      <c r="AO8" s="462">
        <f>SUMIFS(Import!$H:$H,Import!$A:$A,AO$1,Import!$B:$B,$A7,Import!$D:$D,"PP Lead")</f>
        <v>0</v>
      </c>
      <c r="AP8" s="462">
        <f>SUMIFS(Import!$H:$H,Import!$A:$A,AP$1,Import!$B:$B,$A7,Import!$D:$D,"PP Lead")</f>
        <v>0</v>
      </c>
      <c r="AQ8" s="462">
        <f>SUMIFS(Import!$H:$H,Import!$A:$A,AQ$1,Import!$B:$B,$A7,Import!$D:$D,"PP Lead")</f>
        <v>0</v>
      </c>
      <c r="AR8" s="462">
        <f>SUMIFS(Import!$H:$H,Import!$A:$A,AR$1,Import!$B:$B,$A7,Import!$D:$D,"PP Lead")</f>
        <v>0</v>
      </c>
      <c r="AS8" s="462">
        <f>SUMIFS(Import!$H:$H,Import!$A:$A,AS$1,Import!$B:$B,$A7,Import!$D:$D,"PP Lead")</f>
        <v>0</v>
      </c>
      <c r="AT8" s="462">
        <f>SUMIFS(Import!$H:$H,Import!$A:$A,AT$1,Import!$B:$B,$A7,Import!$D:$D,"PP Lead")</f>
        <v>0</v>
      </c>
      <c r="AU8" s="462">
        <f>SUMIFS(Import!$H:$H,Import!$A:$A,AU$1,Import!$B:$B,$A7,Import!$D:$D,"PP Lead")</f>
        <v>0</v>
      </c>
      <c r="AV8" s="462">
        <f>SUMIFS(Import!$H:$H,Import!$A:$A,AV$1,Import!$B:$B,$A7,Import!$D:$D,"PP Lead")</f>
        <v>0</v>
      </c>
      <c r="AW8" s="462">
        <f>SUMIFS(Import!$H:$H,Import!$A:$A,AW$1,Import!$B:$B,$A7,Import!$D:$D,"PP Lead")</f>
        <v>0</v>
      </c>
      <c r="AX8" s="462">
        <f>SUMIFS(Import!$H:$H,Import!$A:$A,AX$1,Import!$B:$B,$A7,Import!$D:$D,"PP Lead")</f>
        <v>0</v>
      </c>
      <c r="AY8" s="462">
        <f>SUMIFS(Import!$H:$H,Import!$A:$A,AY$1,Import!$B:$B,$A7,Import!$D:$D,"PP Lead")</f>
        <v>0</v>
      </c>
      <c r="AZ8" s="462">
        <f>SUMIFS(Import!$H:$H,Import!$A:$A,AZ$1,Import!$B:$B,$A7,Import!$D:$D,"PP Lead")</f>
        <v>0</v>
      </c>
      <c r="BA8" s="462">
        <f>SUMIFS(Import!$H:$H,Import!$A:$A,BA$1,Import!$B:$B,$A7,Import!$D:$D,"PP Lead")</f>
        <v>0</v>
      </c>
      <c r="BB8" s="462">
        <f>SUMIFS(Import!$H:$H,Import!$A:$A,BB$1,Import!$B:$B,$A7,Import!$D:$D,"PP Lead")</f>
        <v>0</v>
      </c>
      <c r="BC8" s="462">
        <f>SUMIFS(Import!$H:$H,Import!$A:$A,BC$1,Import!$B:$B,$A7,Import!$D:$D,"PP Lead")</f>
        <v>0</v>
      </c>
      <c r="BD8" s="463">
        <f>SUMIFS(Import!$H:$H,Import!$A:$A,BD$1,Import!$B:$B,$A7,Import!$D:$D,"PP Lead")</f>
        <v>0</v>
      </c>
    </row>
    <row r="9" spans="1:56" s="36" customFormat="1" x14ac:dyDescent="0.2">
      <c r="A9" s="592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93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IF(Import!T9&lt;&gt;"",Import!T9,"")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91"/>
      <c r="B13" s="19" t="s">
        <v>123</v>
      </c>
      <c r="C13" s="464">
        <f>SUM(D13:BD13)</f>
        <v>0</v>
      </c>
      <c r="D13" s="461">
        <f>SUMIFS(Import!$H:$H,Import!$A:$A,D$1,Import!$B:$B,$A12,Import!$D:$D,"PP Lead")</f>
        <v>0</v>
      </c>
      <c r="E13" s="462">
        <f>SUMIFS(Import!$H:$H,Import!$A:$A,E$1,Import!$B:$B,$A12,Import!$D:$D,"PP Lead")</f>
        <v>0</v>
      </c>
      <c r="F13" s="462">
        <f>SUMIFS(Import!$H:$H,Import!$A:$A,F$1,Import!$B:$B,$A12,Import!$D:$D,"PP Lead")</f>
        <v>0</v>
      </c>
      <c r="G13" s="462">
        <f>SUMIFS(Import!$H:$H,Import!$A:$A,G$1,Import!$B:$B,$A12,Import!$D:$D,"PP Lead")</f>
        <v>0</v>
      </c>
      <c r="H13" s="462">
        <f>SUMIFS(Import!$H:$H,Import!$A:$A,H$1,Import!$B:$B,$A12,Import!$D:$D,"PP Lead")</f>
        <v>0</v>
      </c>
      <c r="I13" s="462">
        <f>SUMIFS(Import!$H:$H,Import!$A:$A,I$1,Import!$B:$B,$A12,Import!$D:$D,"PP Lead")</f>
        <v>0</v>
      </c>
      <c r="J13" s="462">
        <f>SUMIFS(Import!$H:$H,Import!$A:$A,J$1,Import!$B:$B,$A12,Import!$D:$D,"PP Lead")</f>
        <v>0</v>
      </c>
      <c r="K13" s="462">
        <f>SUMIFS(Import!$H:$H,Import!$A:$A,K$1,Import!$B:$B,$A12,Import!$D:$D,"PP Lead")</f>
        <v>0</v>
      </c>
      <c r="L13" s="462">
        <f>SUMIFS(Import!$H:$H,Import!$A:$A,L$1,Import!$B:$B,$A12,Import!$D:$D,"PP Lead")</f>
        <v>0</v>
      </c>
      <c r="M13" s="462">
        <f>SUMIFS(Import!$H:$H,Import!$A:$A,M$1,Import!$B:$B,$A12,Import!$D:$D,"PP Lead")</f>
        <v>0</v>
      </c>
      <c r="N13" s="462">
        <f>SUMIFS(Import!$H:$H,Import!$A:$A,N$1,Import!$B:$B,$A12,Import!$D:$D,"PP Lead")</f>
        <v>0</v>
      </c>
      <c r="O13" s="462">
        <f>SUMIFS(Import!$H:$H,Import!$A:$A,O$1,Import!$B:$B,$A12,Import!$D:$D,"PP Lead")</f>
        <v>0</v>
      </c>
      <c r="P13" s="462">
        <f>SUMIFS(Import!$H:$H,Import!$A:$A,P$1,Import!$B:$B,$A12,Import!$D:$D,"PP Lead")</f>
        <v>0</v>
      </c>
      <c r="Q13" s="462">
        <f>SUMIFS(Import!$H:$H,Import!$A:$A,Q$1,Import!$B:$B,$A12,Import!$D:$D,"PP Lead")</f>
        <v>0</v>
      </c>
      <c r="R13" s="462">
        <f>SUMIFS(Import!$H:$H,Import!$A:$A,R$1,Import!$B:$B,$A12,Import!$D:$D,"PP Lead")</f>
        <v>0</v>
      </c>
      <c r="S13" s="462">
        <f>SUMIFS(Import!$H:$H,Import!$A:$A,S$1,Import!$B:$B,$A12,Import!$D:$D,"PP Lead")</f>
        <v>0</v>
      </c>
      <c r="T13" s="462">
        <f>SUMIFS(Import!$H:$H,Import!$A:$A,T$1,Import!$B:$B,$A12,Import!$D:$D,"PP Lead")</f>
        <v>0</v>
      </c>
      <c r="U13" s="462">
        <f>SUMIFS(Import!$H:$H,Import!$A:$A,U$1,Import!$B:$B,$A12,Import!$D:$D,"PP Lead")</f>
        <v>0</v>
      </c>
      <c r="V13" s="462">
        <f>SUMIFS(Import!$H:$H,Import!$A:$A,V$1,Import!$B:$B,$A12,Import!$D:$D,"PP Lead")</f>
        <v>0</v>
      </c>
      <c r="W13" s="462">
        <f>SUMIFS(Import!$H:$H,Import!$A:$A,W$1,Import!$B:$B,$A12,Import!$D:$D,"PP Lead")</f>
        <v>0</v>
      </c>
      <c r="X13" s="462">
        <f>SUMIFS(Import!$H:$H,Import!$A:$A,X$1,Import!$B:$B,$A12,Import!$D:$D,"PP Lead")</f>
        <v>0</v>
      </c>
      <c r="Y13" s="462">
        <f>SUMIFS(Import!$H:$H,Import!$A:$A,Y$1,Import!$B:$B,$A12,Import!$D:$D,"PP Lead")</f>
        <v>0</v>
      </c>
      <c r="Z13" s="462">
        <f>SUMIFS(Import!$H:$H,Import!$A:$A,Z$1,Import!$B:$B,$A12,Import!$D:$D,"PP Lead")</f>
        <v>0</v>
      </c>
      <c r="AA13" s="462">
        <f>SUMIFS(Import!$H:$H,Import!$A:$A,AA$1,Import!$B:$B,$A12,Import!$D:$D,"PP Lead")</f>
        <v>0</v>
      </c>
      <c r="AB13" s="462">
        <f>SUMIFS(Import!$H:$H,Import!$A:$A,AB$1,Import!$B:$B,$A12,Import!$D:$D,"PP Lead")</f>
        <v>0</v>
      </c>
      <c r="AC13" s="462">
        <f>SUMIFS(Import!$H:$H,Import!$A:$A,AC$1,Import!$B:$B,$A12,Import!$D:$D,"PP Lead")</f>
        <v>0</v>
      </c>
      <c r="AD13" s="462">
        <f>SUMIFS(Import!$H:$H,Import!$A:$A,AD$1,Import!$B:$B,$A12,Import!$D:$D,"PP Lead")</f>
        <v>0</v>
      </c>
      <c r="AE13" s="462">
        <f>SUMIFS(Import!$H:$H,Import!$A:$A,AE$1,Import!$B:$B,$A12,Import!$D:$D,"PP Lead")</f>
        <v>0</v>
      </c>
      <c r="AF13" s="462">
        <f>SUMIFS(Import!$H:$H,Import!$A:$A,AF$1,Import!$B:$B,$A12,Import!$D:$D,"PP Lead")</f>
        <v>0</v>
      </c>
      <c r="AG13" s="462">
        <f>SUMIFS(Import!$H:$H,Import!$A:$A,AG$1,Import!$B:$B,$A12,Import!$D:$D,"PP Lead")</f>
        <v>0</v>
      </c>
      <c r="AH13" s="462">
        <f>SUMIFS(Import!$H:$H,Import!$A:$A,AH$1,Import!$B:$B,$A12,Import!$D:$D,"PP Lead")</f>
        <v>0</v>
      </c>
      <c r="AI13" s="462">
        <f>SUMIFS(Import!$H:$H,Import!$A:$A,AI$1,Import!$B:$B,$A12,Import!$D:$D,"PP Lead")</f>
        <v>0</v>
      </c>
      <c r="AJ13" s="462">
        <f>SUMIFS(Import!$H:$H,Import!$A:$A,AJ$1,Import!$B:$B,$A12,Import!$D:$D,"PP Lead")</f>
        <v>0</v>
      </c>
      <c r="AK13" s="462">
        <f>SUMIFS(Import!$H:$H,Import!$A:$A,AK$1,Import!$B:$B,$A12,Import!$D:$D,"PP Lead")</f>
        <v>0</v>
      </c>
      <c r="AL13" s="462">
        <f>SUMIFS(Import!$H:$H,Import!$A:$A,AL$1,Import!$B:$B,$A12,Import!$D:$D,"PP Lead")</f>
        <v>0</v>
      </c>
      <c r="AM13" s="462">
        <f>SUMIFS(Import!$H:$H,Import!$A:$A,AM$1,Import!$B:$B,$A12,Import!$D:$D,"PP Lead")</f>
        <v>0</v>
      </c>
      <c r="AN13" s="462">
        <f>SUMIFS(Import!$H:$H,Import!$A:$A,AN$1,Import!$B:$B,$A12,Import!$D:$D,"PP Lead")</f>
        <v>0</v>
      </c>
      <c r="AO13" s="462">
        <f>SUMIFS(Import!$H:$H,Import!$A:$A,AO$1,Import!$B:$B,$A12,Import!$D:$D,"PP Lead")</f>
        <v>0</v>
      </c>
      <c r="AP13" s="462">
        <f>SUMIFS(Import!$H:$H,Import!$A:$A,AP$1,Import!$B:$B,$A12,Import!$D:$D,"PP Lead")</f>
        <v>0</v>
      </c>
      <c r="AQ13" s="462">
        <f>SUMIFS(Import!$H:$H,Import!$A:$A,AQ$1,Import!$B:$B,$A12,Import!$D:$D,"PP Lead")</f>
        <v>0</v>
      </c>
      <c r="AR13" s="462">
        <f>SUMIFS(Import!$H:$H,Import!$A:$A,AR$1,Import!$B:$B,$A12,Import!$D:$D,"PP Lead")</f>
        <v>0</v>
      </c>
      <c r="AS13" s="462">
        <f>SUMIFS(Import!$H:$H,Import!$A:$A,AS$1,Import!$B:$B,$A12,Import!$D:$D,"PP Lead")</f>
        <v>0</v>
      </c>
      <c r="AT13" s="462">
        <f>SUMIFS(Import!$H:$H,Import!$A:$A,AT$1,Import!$B:$B,$A12,Import!$D:$D,"PP Lead")</f>
        <v>0</v>
      </c>
      <c r="AU13" s="462">
        <f>SUMIFS(Import!$H:$H,Import!$A:$A,AU$1,Import!$B:$B,$A12,Import!$D:$D,"PP Lead")</f>
        <v>0</v>
      </c>
      <c r="AV13" s="462">
        <f>SUMIFS(Import!$H:$H,Import!$A:$A,AV$1,Import!$B:$B,$A12,Import!$D:$D,"PP Lead")</f>
        <v>0</v>
      </c>
      <c r="AW13" s="462">
        <f>SUMIFS(Import!$H:$H,Import!$A:$A,AW$1,Import!$B:$B,$A12,Import!$D:$D,"PP Lead")</f>
        <v>0</v>
      </c>
      <c r="AX13" s="462">
        <f>SUMIFS(Import!$H:$H,Import!$A:$A,AX$1,Import!$B:$B,$A12,Import!$D:$D,"PP Lead")</f>
        <v>0</v>
      </c>
      <c r="AY13" s="462">
        <f>SUMIFS(Import!$H:$H,Import!$A:$A,AY$1,Import!$B:$B,$A12,Import!$D:$D,"PP Lead")</f>
        <v>0</v>
      </c>
      <c r="AZ13" s="462">
        <f>SUMIFS(Import!$H:$H,Import!$A:$A,AZ$1,Import!$B:$B,$A12,Import!$D:$D,"PP Lead")</f>
        <v>0</v>
      </c>
      <c r="BA13" s="462">
        <f>SUMIFS(Import!$H:$H,Import!$A:$A,BA$1,Import!$B:$B,$A12,Import!$D:$D,"PP Lead")</f>
        <v>0</v>
      </c>
      <c r="BB13" s="462">
        <f>SUMIFS(Import!$H:$H,Import!$A:$A,BB$1,Import!$B:$B,$A12,Import!$D:$D,"PP Lead")</f>
        <v>0</v>
      </c>
      <c r="BC13" s="462">
        <f>SUMIFS(Import!$H:$H,Import!$A:$A,BC$1,Import!$B:$B,$A12,Import!$D:$D,"PP Lead")</f>
        <v>0</v>
      </c>
      <c r="BD13" s="463">
        <f>SUMIFS(Import!$H:$H,Import!$A:$A,BD$1,Import!$B:$B,$A12,Import!$D:$D,"PP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IF(Import!T10&lt;&gt;"",Import!T10,"")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91"/>
      <c r="B18" s="19" t="s">
        <v>123</v>
      </c>
      <c r="C18" s="464">
        <f>SUM(D18:BD18)</f>
        <v>0</v>
      </c>
      <c r="D18" s="461">
        <f>SUMIFS(Import!$H:$H,Import!$A:$A,D$1,Import!$B:$B,$A17,Import!$D:$D,"PP Lead")</f>
        <v>0</v>
      </c>
      <c r="E18" s="462">
        <f>SUMIFS(Import!$H:$H,Import!$A:$A,E$1,Import!$B:$B,$A17,Import!$D:$D,"PP Lead")</f>
        <v>0</v>
      </c>
      <c r="F18" s="462">
        <f>SUMIFS(Import!$H:$H,Import!$A:$A,F$1,Import!$B:$B,$A17,Import!$D:$D,"PP Lead")</f>
        <v>0</v>
      </c>
      <c r="G18" s="462">
        <f>SUMIFS(Import!$H:$H,Import!$A:$A,G$1,Import!$B:$B,$A17,Import!$D:$D,"PP Lead")</f>
        <v>0</v>
      </c>
      <c r="H18" s="462">
        <f>SUMIFS(Import!$H:$H,Import!$A:$A,H$1,Import!$B:$B,$A17,Import!$D:$D,"PP Lead")</f>
        <v>0</v>
      </c>
      <c r="I18" s="462">
        <f>SUMIFS(Import!$H:$H,Import!$A:$A,I$1,Import!$B:$B,$A17,Import!$D:$D,"PP Lead")</f>
        <v>0</v>
      </c>
      <c r="J18" s="462">
        <f>SUMIFS(Import!$H:$H,Import!$A:$A,J$1,Import!$B:$B,$A17,Import!$D:$D,"PP Lead")</f>
        <v>0</v>
      </c>
      <c r="K18" s="462">
        <f>SUMIFS(Import!$H:$H,Import!$A:$A,K$1,Import!$B:$B,$A17,Import!$D:$D,"PP Lead")</f>
        <v>0</v>
      </c>
      <c r="L18" s="462">
        <f>SUMIFS(Import!$H:$H,Import!$A:$A,L$1,Import!$B:$B,$A17,Import!$D:$D,"PP Lead")</f>
        <v>0</v>
      </c>
      <c r="M18" s="462">
        <f>SUMIFS(Import!$H:$H,Import!$A:$A,M$1,Import!$B:$B,$A17,Import!$D:$D,"PP Lead")</f>
        <v>0</v>
      </c>
      <c r="N18" s="462">
        <f>SUMIFS(Import!$H:$H,Import!$A:$A,N$1,Import!$B:$B,$A17,Import!$D:$D,"PP Lead")</f>
        <v>0</v>
      </c>
      <c r="O18" s="462">
        <f>SUMIFS(Import!$H:$H,Import!$A:$A,O$1,Import!$B:$B,$A17,Import!$D:$D,"PP Lead")</f>
        <v>0</v>
      </c>
      <c r="P18" s="462">
        <f>SUMIFS(Import!$H:$H,Import!$A:$A,P$1,Import!$B:$B,$A17,Import!$D:$D,"PP Lead")</f>
        <v>0</v>
      </c>
      <c r="Q18" s="462">
        <f>SUMIFS(Import!$H:$H,Import!$A:$A,Q$1,Import!$B:$B,$A17,Import!$D:$D,"PP Lead")</f>
        <v>0</v>
      </c>
      <c r="R18" s="462">
        <f>SUMIFS(Import!$H:$H,Import!$A:$A,R$1,Import!$B:$B,$A17,Import!$D:$D,"PP Lead")</f>
        <v>0</v>
      </c>
      <c r="S18" s="462">
        <f>SUMIFS(Import!$H:$H,Import!$A:$A,S$1,Import!$B:$B,$A17,Import!$D:$D,"PP Lead")</f>
        <v>0</v>
      </c>
      <c r="T18" s="462">
        <f>SUMIFS(Import!$H:$H,Import!$A:$A,T$1,Import!$B:$B,$A17,Import!$D:$D,"PP Lead")</f>
        <v>0</v>
      </c>
      <c r="U18" s="462">
        <f>SUMIFS(Import!$H:$H,Import!$A:$A,U$1,Import!$B:$B,$A17,Import!$D:$D,"PP Lead")</f>
        <v>0</v>
      </c>
      <c r="V18" s="462">
        <f>SUMIFS(Import!$H:$H,Import!$A:$A,V$1,Import!$B:$B,$A17,Import!$D:$D,"PP Lead")</f>
        <v>0</v>
      </c>
      <c r="W18" s="462">
        <f>SUMIFS(Import!$H:$H,Import!$A:$A,W$1,Import!$B:$B,$A17,Import!$D:$D,"PP Lead")</f>
        <v>0</v>
      </c>
      <c r="X18" s="462">
        <f>SUMIFS(Import!$H:$H,Import!$A:$A,X$1,Import!$B:$B,$A17,Import!$D:$D,"PP Lead")</f>
        <v>0</v>
      </c>
      <c r="Y18" s="462">
        <f>SUMIFS(Import!$H:$H,Import!$A:$A,Y$1,Import!$B:$B,$A17,Import!$D:$D,"PP Lead")</f>
        <v>0</v>
      </c>
      <c r="Z18" s="462">
        <f>SUMIFS(Import!$H:$H,Import!$A:$A,Z$1,Import!$B:$B,$A17,Import!$D:$D,"PP Lead")</f>
        <v>0</v>
      </c>
      <c r="AA18" s="462">
        <f>SUMIFS(Import!$H:$H,Import!$A:$A,AA$1,Import!$B:$B,$A17,Import!$D:$D,"PP Lead")</f>
        <v>0</v>
      </c>
      <c r="AB18" s="462">
        <f>SUMIFS(Import!$H:$H,Import!$A:$A,AB$1,Import!$B:$B,$A17,Import!$D:$D,"PP Lead")</f>
        <v>0</v>
      </c>
      <c r="AC18" s="462">
        <f>SUMIFS(Import!$H:$H,Import!$A:$A,AC$1,Import!$B:$B,$A17,Import!$D:$D,"PP Lead")</f>
        <v>0</v>
      </c>
      <c r="AD18" s="462">
        <f>SUMIFS(Import!$H:$H,Import!$A:$A,AD$1,Import!$B:$B,$A17,Import!$D:$D,"PP Lead")</f>
        <v>0</v>
      </c>
      <c r="AE18" s="462">
        <f>SUMIFS(Import!$H:$H,Import!$A:$A,AE$1,Import!$B:$B,$A17,Import!$D:$D,"PP Lead")</f>
        <v>0</v>
      </c>
      <c r="AF18" s="462">
        <f>SUMIFS(Import!$H:$H,Import!$A:$A,AF$1,Import!$B:$B,$A17,Import!$D:$D,"PP Lead")</f>
        <v>0</v>
      </c>
      <c r="AG18" s="462">
        <f>SUMIFS(Import!$H:$H,Import!$A:$A,AG$1,Import!$B:$B,$A17,Import!$D:$D,"PP Lead")</f>
        <v>0</v>
      </c>
      <c r="AH18" s="462">
        <f>SUMIFS(Import!$H:$H,Import!$A:$A,AH$1,Import!$B:$B,$A17,Import!$D:$D,"PP Lead")</f>
        <v>0</v>
      </c>
      <c r="AI18" s="462">
        <f>SUMIFS(Import!$H:$H,Import!$A:$A,AI$1,Import!$B:$B,$A17,Import!$D:$D,"PP Lead")</f>
        <v>0</v>
      </c>
      <c r="AJ18" s="462">
        <f>SUMIFS(Import!$H:$H,Import!$A:$A,AJ$1,Import!$B:$B,$A17,Import!$D:$D,"PP Lead")</f>
        <v>0</v>
      </c>
      <c r="AK18" s="462">
        <f>SUMIFS(Import!$H:$H,Import!$A:$A,AK$1,Import!$B:$B,$A17,Import!$D:$D,"PP Lead")</f>
        <v>0</v>
      </c>
      <c r="AL18" s="462">
        <f>SUMIFS(Import!$H:$H,Import!$A:$A,AL$1,Import!$B:$B,$A17,Import!$D:$D,"PP Lead")</f>
        <v>0</v>
      </c>
      <c r="AM18" s="462">
        <f>SUMIFS(Import!$H:$H,Import!$A:$A,AM$1,Import!$B:$B,$A17,Import!$D:$D,"PP Lead")</f>
        <v>0</v>
      </c>
      <c r="AN18" s="462">
        <f>SUMIFS(Import!$H:$H,Import!$A:$A,AN$1,Import!$B:$B,$A17,Import!$D:$D,"PP Lead")</f>
        <v>0</v>
      </c>
      <c r="AO18" s="462">
        <f>SUMIFS(Import!$H:$H,Import!$A:$A,AO$1,Import!$B:$B,$A17,Import!$D:$D,"PP Lead")</f>
        <v>0</v>
      </c>
      <c r="AP18" s="462">
        <f>SUMIFS(Import!$H:$H,Import!$A:$A,AP$1,Import!$B:$B,$A17,Import!$D:$D,"PP Lead")</f>
        <v>0</v>
      </c>
      <c r="AQ18" s="462">
        <f>SUMIFS(Import!$H:$H,Import!$A:$A,AQ$1,Import!$B:$B,$A17,Import!$D:$D,"PP Lead")</f>
        <v>0</v>
      </c>
      <c r="AR18" s="462">
        <f>SUMIFS(Import!$H:$H,Import!$A:$A,AR$1,Import!$B:$B,$A17,Import!$D:$D,"PP Lead")</f>
        <v>0</v>
      </c>
      <c r="AS18" s="462">
        <f>SUMIFS(Import!$H:$H,Import!$A:$A,AS$1,Import!$B:$B,$A17,Import!$D:$D,"PP Lead")</f>
        <v>0</v>
      </c>
      <c r="AT18" s="462">
        <f>SUMIFS(Import!$H:$H,Import!$A:$A,AT$1,Import!$B:$B,$A17,Import!$D:$D,"PP Lead")</f>
        <v>0</v>
      </c>
      <c r="AU18" s="462">
        <f>SUMIFS(Import!$H:$H,Import!$A:$A,AU$1,Import!$B:$B,$A17,Import!$D:$D,"PP Lead")</f>
        <v>0</v>
      </c>
      <c r="AV18" s="462">
        <f>SUMIFS(Import!$H:$H,Import!$A:$A,AV$1,Import!$B:$B,$A17,Import!$D:$D,"PP Lead")</f>
        <v>0</v>
      </c>
      <c r="AW18" s="462">
        <f>SUMIFS(Import!$H:$H,Import!$A:$A,AW$1,Import!$B:$B,$A17,Import!$D:$D,"PP Lead")</f>
        <v>0</v>
      </c>
      <c r="AX18" s="462">
        <f>SUMIFS(Import!$H:$H,Import!$A:$A,AX$1,Import!$B:$B,$A17,Import!$D:$D,"PP Lead")</f>
        <v>0</v>
      </c>
      <c r="AY18" s="462">
        <f>SUMIFS(Import!$H:$H,Import!$A:$A,AY$1,Import!$B:$B,$A17,Import!$D:$D,"PP Lead")</f>
        <v>0</v>
      </c>
      <c r="AZ18" s="462">
        <f>SUMIFS(Import!$H:$H,Import!$A:$A,AZ$1,Import!$B:$B,$A17,Import!$D:$D,"PP Lead")</f>
        <v>0</v>
      </c>
      <c r="BA18" s="462">
        <f>SUMIFS(Import!$H:$H,Import!$A:$A,BA$1,Import!$B:$B,$A17,Import!$D:$D,"PP Lead")</f>
        <v>0</v>
      </c>
      <c r="BB18" s="462">
        <f>SUMIFS(Import!$H:$H,Import!$A:$A,BB$1,Import!$B:$B,$A17,Import!$D:$D,"PP Lead")</f>
        <v>0</v>
      </c>
      <c r="BC18" s="462">
        <f>SUMIFS(Import!$H:$H,Import!$A:$A,BC$1,Import!$B:$B,$A17,Import!$D:$D,"PP Lead")</f>
        <v>0</v>
      </c>
      <c r="BD18" s="463">
        <f>SUMIFS(Import!$H:$H,Import!$A:$A,BD$1,Import!$B:$B,$A17,Import!$D:$D,"PP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IF(Import!T11&lt;&gt;"",Import!T11,"")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91"/>
      <c r="B23" s="19" t="s">
        <v>123</v>
      </c>
      <c r="C23" s="464">
        <f>SUM(D23:BD23)</f>
        <v>0</v>
      </c>
      <c r="D23" s="461">
        <f>SUMIFS(Import!$H:$H,Import!$A:$A,D$1,Import!$B:$B,$A22,Import!$D:$D,"PP Lead")</f>
        <v>0</v>
      </c>
      <c r="E23" s="462">
        <f>SUMIFS(Import!$H:$H,Import!$A:$A,E$1,Import!$B:$B,$A22,Import!$D:$D,"PP Lead")</f>
        <v>0</v>
      </c>
      <c r="F23" s="462">
        <f>SUMIFS(Import!$H:$H,Import!$A:$A,F$1,Import!$B:$B,$A22,Import!$D:$D,"PP Lead")</f>
        <v>0</v>
      </c>
      <c r="G23" s="462">
        <f>SUMIFS(Import!$H:$H,Import!$A:$A,G$1,Import!$B:$B,$A22,Import!$D:$D,"PP Lead")</f>
        <v>0</v>
      </c>
      <c r="H23" s="462">
        <f>SUMIFS(Import!$H:$H,Import!$A:$A,H$1,Import!$B:$B,$A22,Import!$D:$D,"PP Lead")</f>
        <v>0</v>
      </c>
      <c r="I23" s="462">
        <f>SUMIFS(Import!$H:$H,Import!$A:$A,I$1,Import!$B:$B,$A22,Import!$D:$D,"PP Lead")</f>
        <v>0</v>
      </c>
      <c r="J23" s="462">
        <f>SUMIFS(Import!$H:$H,Import!$A:$A,J$1,Import!$B:$B,$A22,Import!$D:$D,"PP Lead")</f>
        <v>0</v>
      </c>
      <c r="K23" s="462">
        <f>SUMIFS(Import!$H:$H,Import!$A:$A,K$1,Import!$B:$B,$A22,Import!$D:$D,"PP Lead")</f>
        <v>0</v>
      </c>
      <c r="L23" s="462">
        <f>SUMIFS(Import!$H:$H,Import!$A:$A,L$1,Import!$B:$B,$A22,Import!$D:$D,"PP Lead")</f>
        <v>0</v>
      </c>
      <c r="M23" s="462">
        <f>SUMIFS(Import!$H:$H,Import!$A:$A,M$1,Import!$B:$B,$A22,Import!$D:$D,"PP Lead")</f>
        <v>0</v>
      </c>
      <c r="N23" s="462">
        <f>SUMIFS(Import!$H:$H,Import!$A:$A,N$1,Import!$B:$B,$A22,Import!$D:$D,"PP Lead")</f>
        <v>0</v>
      </c>
      <c r="O23" s="462">
        <f>SUMIFS(Import!$H:$H,Import!$A:$A,O$1,Import!$B:$B,$A22,Import!$D:$D,"PP Lead")</f>
        <v>0</v>
      </c>
      <c r="P23" s="462">
        <f>SUMIFS(Import!$H:$H,Import!$A:$A,P$1,Import!$B:$B,$A22,Import!$D:$D,"PP Lead")</f>
        <v>0</v>
      </c>
      <c r="Q23" s="462">
        <f>SUMIFS(Import!$H:$H,Import!$A:$A,Q$1,Import!$B:$B,$A22,Import!$D:$D,"PP Lead")</f>
        <v>0</v>
      </c>
      <c r="R23" s="462">
        <f>SUMIFS(Import!$H:$H,Import!$A:$A,R$1,Import!$B:$B,$A22,Import!$D:$D,"PP Lead")</f>
        <v>0</v>
      </c>
      <c r="S23" s="462">
        <f>SUMIFS(Import!$H:$H,Import!$A:$A,S$1,Import!$B:$B,$A22,Import!$D:$D,"PP Lead")</f>
        <v>0</v>
      </c>
      <c r="T23" s="462">
        <f>SUMIFS(Import!$H:$H,Import!$A:$A,T$1,Import!$B:$B,$A22,Import!$D:$D,"PP Lead")</f>
        <v>0</v>
      </c>
      <c r="U23" s="462">
        <f>SUMIFS(Import!$H:$H,Import!$A:$A,U$1,Import!$B:$B,$A22,Import!$D:$D,"PP Lead")</f>
        <v>0</v>
      </c>
      <c r="V23" s="462">
        <f>SUMIFS(Import!$H:$H,Import!$A:$A,V$1,Import!$B:$B,$A22,Import!$D:$D,"PP Lead")</f>
        <v>0</v>
      </c>
      <c r="W23" s="462">
        <f>SUMIFS(Import!$H:$H,Import!$A:$A,W$1,Import!$B:$B,$A22,Import!$D:$D,"PP Lead")</f>
        <v>0</v>
      </c>
      <c r="X23" s="462">
        <f>SUMIFS(Import!$H:$H,Import!$A:$A,X$1,Import!$B:$B,$A22,Import!$D:$D,"PP Lead")</f>
        <v>0</v>
      </c>
      <c r="Y23" s="462">
        <f>SUMIFS(Import!$H:$H,Import!$A:$A,Y$1,Import!$B:$B,$A22,Import!$D:$D,"PP Lead")</f>
        <v>0</v>
      </c>
      <c r="Z23" s="462">
        <f>SUMIFS(Import!$H:$H,Import!$A:$A,Z$1,Import!$B:$B,$A22,Import!$D:$D,"PP Lead")</f>
        <v>0</v>
      </c>
      <c r="AA23" s="462">
        <f>SUMIFS(Import!$H:$H,Import!$A:$A,AA$1,Import!$B:$B,$A22,Import!$D:$D,"PP Lead")</f>
        <v>0</v>
      </c>
      <c r="AB23" s="462">
        <f>SUMIFS(Import!$H:$H,Import!$A:$A,AB$1,Import!$B:$B,$A22,Import!$D:$D,"PP Lead")</f>
        <v>0</v>
      </c>
      <c r="AC23" s="462">
        <f>SUMIFS(Import!$H:$H,Import!$A:$A,AC$1,Import!$B:$B,$A22,Import!$D:$D,"PP Lead")</f>
        <v>0</v>
      </c>
      <c r="AD23" s="462">
        <f>SUMIFS(Import!$H:$H,Import!$A:$A,AD$1,Import!$B:$B,$A22,Import!$D:$D,"PP Lead")</f>
        <v>0</v>
      </c>
      <c r="AE23" s="462">
        <f>SUMIFS(Import!$H:$H,Import!$A:$A,AE$1,Import!$B:$B,$A22,Import!$D:$D,"PP Lead")</f>
        <v>0</v>
      </c>
      <c r="AF23" s="462">
        <f>SUMIFS(Import!$H:$H,Import!$A:$A,AF$1,Import!$B:$B,$A22,Import!$D:$D,"PP Lead")</f>
        <v>0</v>
      </c>
      <c r="AG23" s="462">
        <f>SUMIFS(Import!$H:$H,Import!$A:$A,AG$1,Import!$B:$B,$A22,Import!$D:$D,"PP Lead")</f>
        <v>0</v>
      </c>
      <c r="AH23" s="462">
        <f>SUMIFS(Import!$H:$H,Import!$A:$A,AH$1,Import!$B:$B,$A22,Import!$D:$D,"PP Lead")</f>
        <v>0</v>
      </c>
      <c r="AI23" s="462">
        <f>SUMIFS(Import!$H:$H,Import!$A:$A,AI$1,Import!$B:$B,$A22,Import!$D:$D,"PP Lead")</f>
        <v>0</v>
      </c>
      <c r="AJ23" s="462">
        <f>SUMIFS(Import!$H:$H,Import!$A:$A,AJ$1,Import!$B:$B,$A22,Import!$D:$D,"PP Lead")</f>
        <v>0</v>
      </c>
      <c r="AK23" s="462">
        <f>SUMIFS(Import!$H:$H,Import!$A:$A,AK$1,Import!$B:$B,$A22,Import!$D:$D,"PP Lead")</f>
        <v>0</v>
      </c>
      <c r="AL23" s="462">
        <f>SUMIFS(Import!$H:$H,Import!$A:$A,AL$1,Import!$B:$B,$A22,Import!$D:$D,"PP Lead")</f>
        <v>0</v>
      </c>
      <c r="AM23" s="462">
        <f>SUMIFS(Import!$H:$H,Import!$A:$A,AM$1,Import!$B:$B,$A22,Import!$D:$D,"PP Lead")</f>
        <v>0</v>
      </c>
      <c r="AN23" s="462">
        <f>SUMIFS(Import!$H:$H,Import!$A:$A,AN$1,Import!$B:$B,$A22,Import!$D:$D,"PP Lead")</f>
        <v>0</v>
      </c>
      <c r="AO23" s="462">
        <f>SUMIFS(Import!$H:$H,Import!$A:$A,AO$1,Import!$B:$B,$A22,Import!$D:$D,"PP Lead")</f>
        <v>0</v>
      </c>
      <c r="AP23" s="462">
        <f>SUMIFS(Import!$H:$H,Import!$A:$A,AP$1,Import!$B:$B,$A22,Import!$D:$D,"PP Lead")</f>
        <v>0</v>
      </c>
      <c r="AQ23" s="462">
        <f>SUMIFS(Import!$H:$H,Import!$A:$A,AQ$1,Import!$B:$B,$A22,Import!$D:$D,"PP Lead")</f>
        <v>0</v>
      </c>
      <c r="AR23" s="462">
        <f>SUMIFS(Import!$H:$H,Import!$A:$A,AR$1,Import!$B:$B,$A22,Import!$D:$D,"PP Lead")</f>
        <v>0</v>
      </c>
      <c r="AS23" s="462">
        <f>SUMIFS(Import!$H:$H,Import!$A:$A,AS$1,Import!$B:$B,$A22,Import!$D:$D,"PP Lead")</f>
        <v>0</v>
      </c>
      <c r="AT23" s="462">
        <f>SUMIFS(Import!$H:$H,Import!$A:$A,AT$1,Import!$B:$B,$A22,Import!$D:$D,"PP Lead")</f>
        <v>0</v>
      </c>
      <c r="AU23" s="462">
        <f>SUMIFS(Import!$H:$H,Import!$A:$A,AU$1,Import!$B:$B,$A22,Import!$D:$D,"PP Lead")</f>
        <v>0</v>
      </c>
      <c r="AV23" s="462">
        <f>SUMIFS(Import!$H:$H,Import!$A:$A,AV$1,Import!$B:$B,$A22,Import!$D:$D,"PP Lead")</f>
        <v>0</v>
      </c>
      <c r="AW23" s="462">
        <f>SUMIFS(Import!$H:$H,Import!$A:$A,AW$1,Import!$B:$B,$A22,Import!$D:$D,"PP Lead")</f>
        <v>0</v>
      </c>
      <c r="AX23" s="462">
        <f>SUMIFS(Import!$H:$H,Import!$A:$A,AX$1,Import!$B:$B,$A22,Import!$D:$D,"PP Lead")</f>
        <v>0</v>
      </c>
      <c r="AY23" s="462">
        <f>SUMIFS(Import!$H:$H,Import!$A:$A,AY$1,Import!$B:$B,$A22,Import!$D:$D,"PP Lead")</f>
        <v>0</v>
      </c>
      <c r="AZ23" s="462">
        <f>SUMIFS(Import!$H:$H,Import!$A:$A,AZ$1,Import!$B:$B,$A22,Import!$D:$D,"PP Lead")</f>
        <v>0</v>
      </c>
      <c r="BA23" s="462">
        <f>SUMIFS(Import!$H:$H,Import!$A:$A,BA$1,Import!$B:$B,$A22,Import!$D:$D,"PP Lead")</f>
        <v>0</v>
      </c>
      <c r="BB23" s="462">
        <f>SUMIFS(Import!$H:$H,Import!$A:$A,BB$1,Import!$B:$B,$A22,Import!$D:$D,"PP Lead")</f>
        <v>0</v>
      </c>
      <c r="BC23" s="462">
        <f>SUMIFS(Import!$H:$H,Import!$A:$A,BC$1,Import!$B:$B,$A22,Import!$D:$D,"PP Lead")</f>
        <v>0</v>
      </c>
      <c r="BD23" s="463">
        <f>SUMIFS(Import!$H:$H,Import!$A:$A,BD$1,Import!$B:$B,$A22,Import!$D:$D,"PP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2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IF(Import!T12&lt;&gt;"",Import!T12,"")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5"/>
      <c r="B28" s="19" t="s">
        <v>123</v>
      </c>
      <c r="C28" s="464">
        <f>SUM(D28:BD28)</f>
        <v>0</v>
      </c>
      <c r="D28" s="461">
        <f>SUMIFS(Import!$H:$H,Import!$A:$A,D$1,Import!$B:$B,$A27,Import!$D:$D,"PP Lead")</f>
        <v>0</v>
      </c>
      <c r="E28" s="462">
        <f>SUMIFS(Import!$H:$H,Import!$A:$A,E$1,Import!$B:$B,$A27,Import!$D:$D,"PP Lead")</f>
        <v>0</v>
      </c>
      <c r="F28" s="462">
        <f>SUMIFS(Import!$H:$H,Import!$A:$A,F$1,Import!$B:$B,$A27,Import!$D:$D,"PP Lead")</f>
        <v>0</v>
      </c>
      <c r="G28" s="462">
        <f>SUMIFS(Import!$H:$H,Import!$A:$A,G$1,Import!$B:$B,$A27,Import!$D:$D,"PP Lead")</f>
        <v>0</v>
      </c>
      <c r="H28" s="462">
        <f>SUMIFS(Import!$H:$H,Import!$A:$A,H$1,Import!$B:$B,$A27,Import!$D:$D,"PP Lead")</f>
        <v>0</v>
      </c>
      <c r="I28" s="462">
        <f>SUMIFS(Import!$H:$H,Import!$A:$A,I$1,Import!$B:$B,$A27,Import!$D:$D,"PP Lead")</f>
        <v>0</v>
      </c>
      <c r="J28" s="462">
        <f>SUMIFS(Import!$H:$H,Import!$A:$A,J$1,Import!$B:$B,$A27,Import!$D:$D,"PP Lead")</f>
        <v>0</v>
      </c>
      <c r="K28" s="462">
        <f>SUMIFS(Import!$H:$H,Import!$A:$A,K$1,Import!$B:$B,$A27,Import!$D:$D,"PP Lead")</f>
        <v>0</v>
      </c>
      <c r="L28" s="462">
        <f>SUMIFS(Import!$H:$H,Import!$A:$A,L$1,Import!$B:$B,$A27,Import!$D:$D,"PP Lead")</f>
        <v>0</v>
      </c>
      <c r="M28" s="462">
        <f>SUMIFS(Import!$H:$H,Import!$A:$A,M$1,Import!$B:$B,$A27,Import!$D:$D,"PP Lead")</f>
        <v>0</v>
      </c>
      <c r="N28" s="462">
        <f>SUMIFS(Import!$H:$H,Import!$A:$A,N$1,Import!$B:$B,$A27,Import!$D:$D,"PP Lead")</f>
        <v>0</v>
      </c>
      <c r="O28" s="462">
        <f>SUMIFS(Import!$H:$H,Import!$A:$A,O$1,Import!$B:$B,$A27,Import!$D:$D,"PP Lead")</f>
        <v>0</v>
      </c>
      <c r="P28" s="462">
        <f>SUMIFS(Import!$H:$H,Import!$A:$A,P$1,Import!$B:$B,$A27,Import!$D:$D,"PP Lead")</f>
        <v>0</v>
      </c>
      <c r="Q28" s="462">
        <f>SUMIFS(Import!$H:$H,Import!$A:$A,Q$1,Import!$B:$B,$A27,Import!$D:$D,"PP Lead")</f>
        <v>0</v>
      </c>
      <c r="R28" s="462">
        <f>SUMIFS(Import!$H:$H,Import!$A:$A,R$1,Import!$B:$B,$A27,Import!$D:$D,"PP Lead")</f>
        <v>0</v>
      </c>
      <c r="S28" s="462">
        <f>SUMIFS(Import!$H:$H,Import!$A:$A,S$1,Import!$B:$B,$A27,Import!$D:$D,"PP Lead")</f>
        <v>0</v>
      </c>
      <c r="T28" s="462">
        <f>SUMIFS(Import!$H:$H,Import!$A:$A,T$1,Import!$B:$B,$A27,Import!$D:$D,"PP Lead")</f>
        <v>0</v>
      </c>
      <c r="U28" s="462">
        <f>SUMIFS(Import!$H:$H,Import!$A:$A,U$1,Import!$B:$B,$A27,Import!$D:$D,"PP Lead")</f>
        <v>0</v>
      </c>
      <c r="V28" s="462">
        <f>SUMIFS(Import!$H:$H,Import!$A:$A,V$1,Import!$B:$B,$A27,Import!$D:$D,"PP Lead")</f>
        <v>0</v>
      </c>
      <c r="W28" s="462">
        <f>SUMIFS(Import!$H:$H,Import!$A:$A,W$1,Import!$B:$B,$A27,Import!$D:$D,"PP Lead")</f>
        <v>0</v>
      </c>
      <c r="X28" s="462">
        <f>SUMIFS(Import!$H:$H,Import!$A:$A,X$1,Import!$B:$B,$A27,Import!$D:$D,"PP Lead")</f>
        <v>0</v>
      </c>
      <c r="Y28" s="462">
        <f>SUMIFS(Import!$H:$H,Import!$A:$A,Y$1,Import!$B:$B,$A27,Import!$D:$D,"PP Lead")</f>
        <v>0</v>
      </c>
      <c r="Z28" s="462">
        <f>SUMIFS(Import!$H:$H,Import!$A:$A,Z$1,Import!$B:$B,$A27,Import!$D:$D,"PP Lead")</f>
        <v>0</v>
      </c>
      <c r="AA28" s="462">
        <f>SUMIFS(Import!$H:$H,Import!$A:$A,AA$1,Import!$B:$B,$A27,Import!$D:$D,"PP Lead")</f>
        <v>0</v>
      </c>
      <c r="AB28" s="462">
        <f>SUMIFS(Import!$H:$H,Import!$A:$A,AB$1,Import!$B:$B,$A27,Import!$D:$D,"PP Lead")</f>
        <v>0</v>
      </c>
      <c r="AC28" s="462">
        <f>SUMIFS(Import!$H:$H,Import!$A:$A,AC$1,Import!$B:$B,$A27,Import!$D:$D,"PP Lead")</f>
        <v>0</v>
      </c>
      <c r="AD28" s="462">
        <f>SUMIFS(Import!$H:$H,Import!$A:$A,AD$1,Import!$B:$B,$A27,Import!$D:$D,"PP Lead")</f>
        <v>0</v>
      </c>
      <c r="AE28" s="462">
        <f>SUMIFS(Import!$H:$H,Import!$A:$A,AE$1,Import!$B:$B,$A27,Import!$D:$D,"PP Lead")</f>
        <v>0</v>
      </c>
      <c r="AF28" s="462">
        <f>SUMIFS(Import!$H:$H,Import!$A:$A,AF$1,Import!$B:$B,$A27,Import!$D:$D,"PP Lead")</f>
        <v>0</v>
      </c>
      <c r="AG28" s="462">
        <f>SUMIFS(Import!$H:$H,Import!$A:$A,AG$1,Import!$B:$B,$A27,Import!$D:$D,"PP Lead")</f>
        <v>0</v>
      </c>
      <c r="AH28" s="462">
        <f>SUMIFS(Import!$H:$H,Import!$A:$A,AH$1,Import!$B:$B,$A27,Import!$D:$D,"PP Lead")</f>
        <v>0</v>
      </c>
      <c r="AI28" s="462">
        <f>SUMIFS(Import!$H:$H,Import!$A:$A,AI$1,Import!$B:$B,$A27,Import!$D:$D,"PP Lead")</f>
        <v>0</v>
      </c>
      <c r="AJ28" s="462">
        <f>SUMIFS(Import!$H:$H,Import!$A:$A,AJ$1,Import!$B:$B,$A27,Import!$D:$D,"PP Lead")</f>
        <v>0</v>
      </c>
      <c r="AK28" s="462">
        <f>SUMIFS(Import!$H:$H,Import!$A:$A,AK$1,Import!$B:$B,$A27,Import!$D:$D,"PP Lead")</f>
        <v>0</v>
      </c>
      <c r="AL28" s="462">
        <f>SUMIFS(Import!$H:$H,Import!$A:$A,AL$1,Import!$B:$B,$A27,Import!$D:$D,"PP Lead")</f>
        <v>0</v>
      </c>
      <c r="AM28" s="462">
        <f>SUMIFS(Import!$H:$H,Import!$A:$A,AM$1,Import!$B:$B,$A27,Import!$D:$D,"PP Lead")</f>
        <v>0</v>
      </c>
      <c r="AN28" s="462">
        <f>SUMIFS(Import!$H:$H,Import!$A:$A,AN$1,Import!$B:$B,$A27,Import!$D:$D,"PP Lead")</f>
        <v>0</v>
      </c>
      <c r="AO28" s="462">
        <f>SUMIFS(Import!$H:$H,Import!$A:$A,AO$1,Import!$B:$B,$A27,Import!$D:$D,"PP Lead")</f>
        <v>0</v>
      </c>
      <c r="AP28" s="462">
        <f>SUMIFS(Import!$H:$H,Import!$A:$A,AP$1,Import!$B:$B,$A27,Import!$D:$D,"PP Lead")</f>
        <v>0</v>
      </c>
      <c r="AQ28" s="462">
        <f>SUMIFS(Import!$H:$H,Import!$A:$A,AQ$1,Import!$B:$B,$A27,Import!$D:$D,"PP Lead")</f>
        <v>0</v>
      </c>
      <c r="AR28" s="462">
        <f>SUMIFS(Import!$H:$H,Import!$A:$A,AR$1,Import!$B:$B,$A27,Import!$D:$D,"PP Lead")</f>
        <v>0</v>
      </c>
      <c r="AS28" s="462">
        <f>SUMIFS(Import!$H:$H,Import!$A:$A,AS$1,Import!$B:$B,$A27,Import!$D:$D,"PP Lead")</f>
        <v>0</v>
      </c>
      <c r="AT28" s="462">
        <f>SUMIFS(Import!$H:$H,Import!$A:$A,AT$1,Import!$B:$B,$A27,Import!$D:$D,"PP Lead")</f>
        <v>0</v>
      </c>
      <c r="AU28" s="462">
        <f>SUMIFS(Import!$H:$H,Import!$A:$A,AU$1,Import!$B:$B,$A27,Import!$D:$D,"PP Lead")</f>
        <v>0</v>
      </c>
      <c r="AV28" s="462">
        <f>SUMIFS(Import!$H:$H,Import!$A:$A,AV$1,Import!$B:$B,$A27,Import!$D:$D,"PP Lead")</f>
        <v>0</v>
      </c>
      <c r="AW28" s="462">
        <f>SUMIFS(Import!$H:$H,Import!$A:$A,AW$1,Import!$B:$B,$A27,Import!$D:$D,"PP Lead")</f>
        <v>0</v>
      </c>
      <c r="AX28" s="462">
        <f>SUMIFS(Import!$H:$H,Import!$A:$A,AX$1,Import!$B:$B,$A27,Import!$D:$D,"PP Lead")</f>
        <v>0</v>
      </c>
      <c r="AY28" s="462">
        <f>SUMIFS(Import!$H:$H,Import!$A:$A,AY$1,Import!$B:$B,$A27,Import!$D:$D,"PP Lead")</f>
        <v>0</v>
      </c>
      <c r="AZ28" s="462">
        <f>SUMIFS(Import!$H:$H,Import!$A:$A,AZ$1,Import!$B:$B,$A27,Import!$D:$D,"PP Lead")</f>
        <v>0</v>
      </c>
      <c r="BA28" s="462">
        <f>SUMIFS(Import!$H:$H,Import!$A:$A,BA$1,Import!$B:$B,$A27,Import!$D:$D,"PP Lead")</f>
        <v>0</v>
      </c>
      <c r="BB28" s="462">
        <f>SUMIFS(Import!$H:$H,Import!$A:$A,BB$1,Import!$B:$B,$A27,Import!$D:$D,"PP Lead")</f>
        <v>0</v>
      </c>
      <c r="BC28" s="462">
        <f>SUMIFS(Import!$H:$H,Import!$A:$A,BC$1,Import!$B:$B,$A27,Import!$D:$D,"PP Lead")</f>
        <v>0</v>
      </c>
      <c r="BD28" s="463">
        <f>SUMIFS(Import!$H:$H,Import!$A:$A,BD$1,Import!$B:$B,$A27,Import!$D:$D,"PP Lead")</f>
        <v>0</v>
      </c>
    </row>
    <row r="29" spans="1:56" s="36" customFormat="1" x14ac:dyDescent="0.2">
      <c r="A29" s="586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IF(Import!T13&lt;&gt;"",Import!T13,"")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SUMIFS(Import!$H:$H,Import!$A:$A,D$1,Import!$B:$B,$A32,Import!$D:$D,"PP Lead")</f>
        <v>0</v>
      </c>
      <c r="E33" s="462">
        <f>SUMIFS(Import!$H:$H,Import!$A:$A,E$1,Import!$B:$B,$A32,Import!$D:$D,"PP Lead")</f>
        <v>0</v>
      </c>
      <c r="F33" s="462">
        <f>SUMIFS(Import!$H:$H,Import!$A:$A,F$1,Import!$B:$B,$A32,Import!$D:$D,"PP Lead")</f>
        <v>0</v>
      </c>
      <c r="G33" s="462">
        <f>SUMIFS(Import!$H:$H,Import!$A:$A,G$1,Import!$B:$B,$A32,Import!$D:$D,"PP Lead")</f>
        <v>0</v>
      </c>
      <c r="H33" s="462">
        <f>SUMIFS(Import!$H:$H,Import!$A:$A,H$1,Import!$B:$B,$A32,Import!$D:$D,"PP Lead")</f>
        <v>0</v>
      </c>
      <c r="I33" s="462">
        <f>SUMIFS(Import!$H:$H,Import!$A:$A,I$1,Import!$B:$B,$A32,Import!$D:$D,"PP Lead")</f>
        <v>0</v>
      </c>
      <c r="J33" s="462">
        <f>SUMIFS(Import!$H:$H,Import!$A:$A,J$1,Import!$B:$B,$A32,Import!$D:$D,"PP Lead")</f>
        <v>0</v>
      </c>
      <c r="K33" s="462">
        <f>SUMIFS(Import!$H:$H,Import!$A:$A,K$1,Import!$B:$B,$A32,Import!$D:$D,"PP Lead")</f>
        <v>0</v>
      </c>
      <c r="L33" s="462">
        <f>SUMIFS(Import!$H:$H,Import!$A:$A,L$1,Import!$B:$B,$A32,Import!$D:$D,"PP Lead")</f>
        <v>0</v>
      </c>
      <c r="M33" s="462">
        <f>SUMIFS(Import!$H:$H,Import!$A:$A,M$1,Import!$B:$B,$A32,Import!$D:$D,"PP Lead")</f>
        <v>0</v>
      </c>
      <c r="N33" s="462">
        <f>SUMIFS(Import!$H:$H,Import!$A:$A,N$1,Import!$B:$B,$A32,Import!$D:$D,"PP Lead")</f>
        <v>0</v>
      </c>
      <c r="O33" s="462">
        <f>SUMIFS(Import!$H:$H,Import!$A:$A,O$1,Import!$B:$B,$A32,Import!$D:$D,"PP Lead")</f>
        <v>0</v>
      </c>
      <c r="P33" s="462">
        <f>SUMIFS(Import!$H:$H,Import!$A:$A,P$1,Import!$B:$B,$A32,Import!$D:$D,"PP Lead")</f>
        <v>0</v>
      </c>
      <c r="Q33" s="462">
        <f>SUMIFS(Import!$H:$H,Import!$A:$A,Q$1,Import!$B:$B,$A32,Import!$D:$D,"PP Lead")</f>
        <v>0</v>
      </c>
      <c r="R33" s="462">
        <f>SUMIFS(Import!$H:$H,Import!$A:$A,R$1,Import!$B:$B,$A32,Import!$D:$D,"PP Lead")</f>
        <v>0</v>
      </c>
      <c r="S33" s="462">
        <f>SUMIFS(Import!$H:$H,Import!$A:$A,S$1,Import!$B:$B,$A32,Import!$D:$D,"PP Lead")</f>
        <v>0</v>
      </c>
      <c r="T33" s="462">
        <f>SUMIFS(Import!$H:$H,Import!$A:$A,T$1,Import!$B:$B,$A32,Import!$D:$D,"PP Lead")</f>
        <v>0</v>
      </c>
      <c r="U33" s="462">
        <f>SUMIFS(Import!$H:$H,Import!$A:$A,U$1,Import!$B:$B,$A32,Import!$D:$D,"PP Lead")</f>
        <v>0</v>
      </c>
      <c r="V33" s="462">
        <f>SUMIFS(Import!$H:$H,Import!$A:$A,V$1,Import!$B:$B,$A32,Import!$D:$D,"PP Lead")</f>
        <v>0</v>
      </c>
      <c r="W33" s="462">
        <f>SUMIFS(Import!$H:$H,Import!$A:$A,W$1,Import!$B:$B,$A32,Import!$D:$D,"PP Lead")</f>
        <v>0</v>
      </c>
      <c r="X33" s="462">
        <f>SUMIFS(Import!$H:$H,Import!$A:$A,X$1,Import!$B:$B,$A32,Import!$D:$D,"PP Lead")</f>
        <v>0</v>
      </c>
      <c r="Y33" s="462">
        <f>SUMIFS(Import!$H:$H,Import!$A:$A,Y$1,Import!$B:$B,$A32,Import!$D:$D,"PP Lead")</f>
        <v>0</v>
      </c>
      <c r="Z33" s="462">
        <f>SUMIFS(Import!$H:$H,Import!$A:$A,Z$1,Import!$B:$B,$A32,Import!$D:$D,"PP Lead")</f>
        <v>0</v>
      </c>
      <c r="AA33" s="462">
        <f>SUMIFS(Import!$H:$H,Import!$A:$A,AA$1,Import!$B:$B,$A32,Import!$D:$D,"PP Lead")</f>
        <v>0</v>
      </c>
      <c r="AB33" s="462">
        <f>SUMIFS(Import!$H:$H,Import!$A:$A,AB$1,Import!$B:$B,$A32,Import!$D:$D,"PP Lead")</f>
        <v>0</v>
      </c>
      <c r="AC33" s="462">
        <f>SUMIFS(Import!$H:$H,Import!$A:$A,AC$1,Import!$B:$B,$A32,Import!$D:$D,"PP Lead")</f>
        <v>0</v>
      </c>
      <c r="AD33" s="462">
        <f>SUMIFS(Import!$H:$H,Import!$A:$A,AD$1,Import!$B:$B,$A32,Import!$D:$D,"PP Lead")</f>
        <v>0</v>
      </c>
      <c r="AE33" s="462">
        <f>SUMIFS(Import!$H:$H,Import!$A:$A,AE$1,Import!$B:$B,$A32,Import!$D:$D,"PP Lead")</f>
        <v>0</v>
      </c>
      <c r="AF33" s="462">
        <f>SUMIFS(Import!$H:$H,Import!$A:$A,AF$1,Import!$B:$B,$A32,Import!$D:$D,"PP Lead")</f>
        <v>0</v>
      </c>
      <c r="AG33" s="462">
        <f>SUMIFS(Import!$H:$H,Import!$A:$A,AG$1,Import!$B:$B,$A32,Import!$D:$D,"PP Lead")</f>
        <v>0</v>
      </c>
      <c r="AH33" s="462">
        <f>SUMIFS(Import!$H:$H,Import!$A:$A,AH$1,Import!$B:$B,$A32,Import!$D:$D,"PP Lead")</f>
        <v>0</v>
      </c>
      <c r="AI33" s="462">
        <f>SUMIFS(Import!$H:$H,Import!$A:$A,AI$1,Import!$B:$B,$A32,Import!$D:$D,"PP Lead")</f>
        <v>0</v>
      </c>
      <c r="AJ33" s="462">
        <f>SUMIFS(Import!$H:$H,Import!$A:$A,AJ$1,Import!$B:$B,$A32,Import!$D:$D,"PP Lead")</f>
        <v>0</v>
      </c>
      <c r="AK33" s="462">
        <f>SUMIFS(Import!$H:$H,Import!$A:$A,AK$1,Import!$B:$B,$A32,Import!$D:$D,"PP Lead")</f>
        <v>0</v>
      </c>
      <c r="AL33" s="462">
        <f>SUMIFS(Import!$H:$H,Import!$A:$A,AL$1,Import!$B:$B,$A32,Import!$D:$D,"PP Lead")</f>
        <v>0</v>
      </c>
      <c r="AM33" s="462">
        <f>SUMIFS(Import!$H:$H,Import!$A:$A,AM$1,Import!$B:$B,$A32,Import!$D:$D,"PP Lead")</f>
        <v>0</v>
      </c>
      <c r="AN33" s="462">
        <f>SUMIFS(Import!$H:$H,Import!$A:$A,AN$1,Import!$B:$B,$A32,Import!$D:$D,"PP Lead")</f>
        <v>0</v>
      </c>
      <c r="AO33" s="462">
        <f>SUMIFS(Import!$H:$H,Import!$A:$A,AO$1,Import!$B:$B,$A32,Import!$D:$D,"PP Lead")</f>
        <v>0</v>
      </c>
      <c r="AP33" s="462">
        <f>SUMIFS(Import!$H:$H,Import!$A:$A,AP$1,Import!$B:$B,$A32,Import!$D:$D,"PP Lead")</f>
        <v>0</v>
      </c>
      <c r="AQ33" s="462">
        <f>SUMIFS(Import!$H:$H,Import!$A:$A,AQ$1,Import!$B:$B,$A32,Import!$D:$D,"PP Lead")</f>
        <v>0</v>
      </c>
      <c r="AR33" s="462">
        <f>SUMIFS(Import!$H:$H,Import!$A:$A,AR$1,Import!$B:$B,$A32,Import!$D:$D,"PP Lead")</f>
        <v>0</v>
      </c>
      <c r="AS33" s="462">
        <f>SUMIFS(Import!$H:$H,Import!$A:$A,AS$1,Import!$B:$B,$A32,Import!$D:$D,"PP Lead")</f>
        <v>0</v>
      </c>
      <c r="AT33" s="462">
        <f>SUMIFS(Import!$H:$H,Import!$A:$A,AT$1,Import!$B:$B,$A32,Import!$D:$D,"PP Lead")</f>
        <v>0</v>
      </c>
      <c r="AU33" s="462">
        <f>SUMIFS(Import!$H:$H,Import!$A:$A,AU$1,Import!$B:$B,$A32,Import!$D:$D,"PP Lead")</f>
        <v>0</v>
      </c>
      <c r="AV33" s="462">
        <f>SUMIFS(Import!$H:$H,Import!$A:$A,AV$1,Import!$B:$B,$A32,Import!$D:$D,"PP Lead")</f>
        <v>0</v>
      </c>
      <c r="AW33" s="462">
        <f>SUMIFS(Import!$H:$H,Import!$A:$A,AW$1,Import!$B:$B,$A32,Import!$D:$D,"PP Lead")</f>
        <v>0</v>
      </c>
      <c r="AX33" s="462">
        <f>SUMIFS(Import!$H:$H,Import!$A:$A,AX$1,Import!$B:$B,$A32,Import!$D:$D,"PP Lead")</f>
        <v>0</v>
      </c>
      <c r="AY33" s="462">
        <f>SUMIFS(Import!$H:$H,Import!$A:$A,AY$1,Import!$B:$B,$A32,Import!$D:$D,"PP Lead")</f>
        <v>0</v>
      </c>
      <c r="AZ33" s="462">
        <f>SUMIFS(Import!$H:$H,Import!$A:$A,AZ$1,Import!$B:$B,$A32,Import!$D:$D,"PP Lead")</f>
        <v>0</v>
      </c>
      <c r="BA33" s="462">
        <f>SUMIFS(Import!$H:$H,Import!$A:$A,BA$1,Import!$B:$B,$A32,Import!$D:$D,"PP Lead")</f>
        <v>0</v>
      </c>
      <c r="BB33" s="462">
        <f>SUMIFS(Import!$H:$H,Import!$A:$A,BB$1,Import!$B:$B,$A32,Import!$D:$D,"PP Lead")</f>
        <v>0</v>
      </c>
      <c r="BC33" s="462">
        <f>SUMIFS(Import!$H:$H,Import!$A:$A,BC$1,Import!$B:$B,$A32,Import!$D:$D,"PP Lead")</f>
        <v>0</v>
      </c>
      <c r="BD33" s="463">
        <f>SUMIFS(Import!$H:$H,Import!$A:$A,BD$1,Import!$B:$B,$A32,Import!$D:$D,"PP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IF(Import!T14&lt;&gt;"",Import!T14,"")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SUMIFS(Import!$H:$H,Import!$A:$A,D$1,Import!$B:$B,$A37,Import!$D:$D,"PP Lead")</f>
        <v>0</v>
      </c>
      <c r="E38" s="462">
        <f>SUMIFS(Import!$H:$H,Import!$A:$A,E$1,Import!$B:$B,$A37,Import!$D:$D,"PP Lead")</f>
        <v>0</v>
      </c>
      <c r="F38" s="462">
        <f>SUMIFS(Import!$H:$H,Import!$A:$A,F$1,Import!$B:$B,$A37,Import!$D:$D,"PP Lead")</f>
        <v>0</v>
      </c>
      <c r="G38" s="462">
        <f>SUMIFS(Import!$H:$H,Import!$A:$A,G$1,Import!$B:$B,$A37,Import!$D:$D,"PP Lead")</f>
        <v>0</v>
      </c>
      <c r="H38" s="462">
        <f>SUMIFS(Import!$H:$H,Import!$A:$A,H$1,Import!$B:$B,$A37,Import!$D:$D,"PP Lead")</f>
        <v>0</v>
      </c>
      <c r="I38" s="462">
        <f>SUMIFS(Import!$H:$H,Import!$A:$A,I$1,Import!$B:$B,$A37,Import!$D:$D,"PP Lead")</f>
        <v>0</v>
      </c>
      <c r="J38" s="462">
        <f>SUMIFS(Import!$H:$H,Import!$A:$A,J$1,Import!$B:$B,$A37,Import!$D:$D,"PP Lead")</f>
        <v>0</v>
      </c>
      <c r="K38" s="462">
        <f>SUMIFS(Import!$H:$H,Import!$A:$A,K$1,Import!$B:$B,$A37,Import!$D:$D,"PP Lead")</f>
        <v>0</v>
      </c>
      <c r="L38" s="462">
        <f>SUMIFS(Import!$H:$H,Import!$A:$A,L$1,Import!$B:$B,$A37,Import!$D:$D,"PP Lead")</f>
        <v>0</v>
      </c>
      <c r="M38" s="462">
        <f>SUMIFS(Import!$H:$H,Import!$A:$A,M$1,Import!$B:$B,$A37,Import!$D:$D,"PP Lead")</f>
        <v>0</v>
      </c>
      <c r="N38" s="462">
        <f>SUMIFS(Import!$H:$H,Import!$A:$A,N$1,Import!$B:$B,$A37,Import!$D:$D,"PP Lead")</f>
        <v>0</v>
      </c>
      <c r="O38" s="462">
        <f>SUMIFS(Import!$H:$H,Import!$A:$A,O$1,Import!$B:$B,$A37,Import!$D:$D,"PP Lead")</f>
        <v>0</v>
      </c>
      <c r="P38" s="462">
        <f>SUMIFS(Import!$H:$H,Import!$A:$A,P$1,Import!$B:$B,$A37,Import!$D:$D,"PP Lead")</f>
        <v>0</v>
      </c>
      <c r="Q38" s="462">
        <f>SUMIFS(Import!$H:$H,Import!$A:$A,Q$1,Import!$B:$B,$A37,Import!$D:$D,"PP Lead")</f>
        <v>0</v>
      </c>
      <c r="R38" s="462">
        <f>SUMIFS(Import!$H:$H,Import!$A:$A,R$1,Import!$B:$B,$A37,Import!$D:$D,"PP Lead")</f>
        <v>0</v>
      </c>
      <c r="S38" s="462">
        <f>SUMIFS(Import!$H:$H,Import!$A:$A,S$1,Import!$B:$B,$A37,Import!$D:$D,"PP Lead")</f>
        <v>0</v>
      </c>
      <c r="T38" s="462">
        <f>SUMIFS(Import!$H:$H,Import!$A:$A,T$1,Import!$B:$B,$A37,Import!$D:$D,"PP Lead")</f>
        <v>0</v>
      </c>
      <c r="U38" s="462">
        <f>SUMIFS(Import!$H:$H,Import!$A:$A,U$1,Import!$B:$B,$A37,Import!$D:$D,"PP Lead")</f>
        <v>0</v>
      </c>
      <c r="V38" s="462">
        <f>SUMIFS(Import!$H:$H,Import!$A:$A,V$1,Import!$B:$B,$A37,Import!$D:$D,"PP Lead")</f>
        <v>0</v>
      </c>
      <c r="W38" s="462">
        <f>SUMIFS(Import!$H:$H,Import!$A:$A,W$1,Import!$B:$B,$A37,Import!$D:$D,"PP Lead")</f>
        <v>0</v>
      </c>
      <c r="X38" s="462">
        <f>SUMIFS(Import!$H:$H,Import!$A:$A,X$1,Import!$B:$B,$A37,Import!$D:$D,"PP Lead")</f>
        <v>0</v>
      </c>
      <c r="Y38" s="462">
        <f>SUMIFS(Import!$H:$H,Import!$A:$A,Y$1,Import!$B:$B,$A37,Import!$D:$D,"PP Lead")</f>
        <v>0</v>
      </c>
      <c r="Z38" s="462">
        <f>SUMIFS(Import!$H:$H,Import!$A:$A,Z$1,Import!$B:$B,$A37,Import!$D:$D,"PP Lead")</f>
        <v>0</v>
      </c>
      <c r="AA38" s="462">
        <f>SUMIFS(Import!$H:$H,Import!$A:$A,AA$1,Import!$B:$B,$A37,Import!$D:$D,"PP Lead")</f>
        <v>0</v>
      </c>
      <c r="AB38" s="462">
        <f>SUMIFS(Import!$H:$H,Import!$A:$A,AB$1,Import!$B:$B,$A37,Import!$D:$D,"PP Lead")</f>
        <v>0</v>
      </c>
      <c r="AC38" s="462">
        <f>SUMIFS(Import!$H:$H,Import!$A:$A,AC$1,Import!$B:$B,$A37,Import!$D:$D,"PP Lead")</f>
        <v>0</v>
      </c>
      <c r="AD38" s="462">
        <f>SUMIFS(Import!$H:$H,Import!$A:$A,AD$1,Import!$B:$B,$A37,Import!$D:$D,"PP Lead")</f>
        <v>0</v>
      </c>
      <c r="AE38" s="462">
        <f>SUMIFS(Import!$H:$H,Import!$A:$A,AE$1,Import!$B:$B,$A37,Import!$D:$D,"PP Lead")</f>
        <v>0</v>
      </c>
      <c r="AF38" s="462">
        <f>SUMIFS(Import!$H:$H,Import!$A:$A,AF$1,Import!$B:$B,$A37,Import!$D:$D,"PP Lead")</f>
        <v>0</v>
      </c>
      <c r="AG38" s="462">
        <f>SUMIFS(Import!$H:$H,Import!$A:$A,AG$1,Import!$B:$B,$A37,Import!$D:$D,"PP Lead")</f>
        <v>0</v>
      </c>
      <c r="AH38" s="462">
        <f>SUMIFS(Import!$H:$H,Import!$A:$A,AH$1,Import!$B:$B,$A37,Import!$D:$D,"PP Lead")</f>
        <v>0</v>
      </c>
      <c r="AI38" s="462">
        <f>SUMIFS(Import!$H:$H,Import!$A:$A,AI$1,Import!$B:$B,$A37,Import!$D:$D,"PP Lead")</f>
        <v>0</v>
      </c>
      <c r="AJ38" s="462">
        <f>SUMIFS(Import!$H:$H,Import!$A:$A,AJ$1,Import!$B:$B,$A37,Import!$D:$D,"PP Lead")</f>
        <v>0</v>
      </c>
      <c r="AK38" s="462">
        <f>SUMIFS(Import!$H:$H,Import!$A:$A,AK$1,Import!$B:$B,$A37,Import!$D:$D,"PP Lead")</f>
        <v>0</v>
      </c>
      <c r="AL38" s="462">
        <f>SUMIFS(Import!$H:$H,Import!$A:$A,AL$1,Import!$B:$B,$A37,Import!$D:$D,"PP Lead")</f>
        <v>0</v>
      </c>
      <c r="AM38" s="462">
        <f>SUMIFS(Import!$H:$H,Import!$A:$A,AM$1,Import!$B:$B,$A37,Import!$D:$D,"PP Lead")</f>
        <v>0</v>
      </c>
      <c r="AN38" s="462">
        <f>SUMIFS(Import!$H:$H,Import!$A:$A,AN$1,Import!$B:$B,$A37,Import!$D:$D,"PP Lead")</f>
        <v>0</v>
      </c>
      <c r="AO38" s="462">
        <f>SUMIFS(Import!$H:$H,Import!$A:$A,AO$1,Import!$B:$B,$A37,Import!$D:$D,"PP Lead")</f>
        <v>0</v>
      </c>
      <c r="AP38" s="462">
        <f>SUMIFS(Import!$H:$H,Import!$A:$A,AP$1,Import!$B:$B,$A37,Import!$D:$D,"PP Lead")</f>
        <v>0</v>
      </c>
      <c r="AQ38" s="462">
        <f>SUMIFS(Import!$H:$H,Import!$A:$A,AQ$1,Import!$B:$B,$A37,Import!$D:$D,"PP Lead")</f>
        <v>0</v>
      </c>
      <c r="AR38" s="462">
        <f>SUMIFS(Import!$H:$H,Import!$A:$A,AR$1,Import!$B:$B,$A37,Import!$D:$D,"PP Lead")</f>
        <v>0</v>
      </c>
      <c r="AS38" s="462">
        <f>SUMIFS(Import!$H:$H,Import!$A:$A,AS$1,Import!$B:$B,$A37,Import!$D:$D,"PP Lead")</f>
        <v>0</v>
      </c>
      <c r="AT38" s="462">
        <f>SUMIFS(Import!$H:$H,Import!$A:$A,AT$1,Import!$B:$B,$A37,Import!$D:$D,"PP Lead")</f>
        <v>0</v>
      </c>
      <c r="AU38" s="462">
        <f>SUMIFS(Import!$H:$H,Import!$A:$A,AU$1,Import!$B:$B,$A37,Import!$D:$D,"PP Lead")</f>
        <v>0</v>
      </c>
      <c r="AV38" s="462">
        <f>SUMIFS(Import!$H:$H,Import!$A:$A,AV$1,Import!$B:$B,$A37,Import!$D:$D,"PP Lead")</f>
        <v>0</v>
      </c>
      <c r="AW38" s="462">
        <f>SUMIFS(Import!$H:$H,Import!$A:$A,AW$1,Import!$B:$B,$A37,Import!$D:$D,"PP Lead")</f>
        <v>0</v>
      </c>
      <c r="AX38" s="462">
        <f>SUMIFS(Import!$H:$H,Import!$A:$A,AX$1,Import!$B:$B,$A37,Import!$D:$D,"PP Lead")</f>
        <v>0</v>
      </c>
      <c r="AY38" s="462">
        <f>SUMIFS(Import!$H:$H,Import!$A:$A,AY$1,Import!$B:$B,$A37,Import!$D:$D,"PP Lead")</f>
        <v>0</v>
      </c>
      <c r="AZ38" s="462">
        <f>SUMIFS(Import!$H:$H,Import!$A:$A,AZ$1,Import!$B:$B,$A37,Import!$D:$D,"PP Lead")</f>
        <v>0</v>
      </c>
      <c r="BA38" s="462">
        <f>SUMIFS(Import!$H:$H,Import!$A:$A,BA$1,Import!$B:$B,$A37,Import!$D:$D,"PP Lead")</f>
        <v>0</v>
      </c>
      <c r="BB38" s="462">
        <f>SUMIFS(Import!$H:$H,Import!$A:$A,BB$1,Import!$B:$B,$A37,Import!$D:$D,"PP Lead")</f>
        <v>0</v>
      </c>
      <c r="BC38" s="462">
        <f>SUMIFS(Import!$H:$H,Import!$A:$A,BC$1,Import!$B:$B,$A37,Import!$D:$D,"PP Lead")</f>
        <v>0</v>
      </c>
      <c r="BD38" s="463">
        <f>SUMIFS(Import!$H:$H,Import!$A:$A,BD$1,Import!$B:$B,$A37,Import!$D:$D,"PP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IF(Import!T15&lt;&gt;"",Import!T15,"")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SUMIFS(Import!$H:$H,Import!$A:$A,D$1,Import!$B:$B,$A42,Import!$D:$D,"PP Lead")</f>
        <v>0</v>
      </c>
      <c r="E43" s="462">
        <f>SUMIFS(Import!$H:$H,Import!$A:$A,E$1,Import!$B:$B,$A42,Import!$D:$D,"PP Lead")</f>
        <v>0</v>
      </c>
      <c r="F43" s="462">
        <f>SUMIFS(Import!$H:$H,Import!$A:$A,F$1,Import!$B:$B,$A42,Import!$D:$D,"PP Lead")</f>
        <v>0</v>
      </c>
      <c r="G43" s="462">
        <f>SUMIFS(Import!$H:$H,Import!$A:$A,G$1,Import!$B:$B,$A42,Import!$D:$D,"PP Lead")</f>
        <v>0</v>
      </c>
      <c r="H43" s="462">
        <f>SUMIFS(Import!$H:$H,Import!$A:$A,H$1,Import!$B:$B,$A42,Import!$D:$D,"PP Lead")</f>
        <v>0</v>
      </c>
      <c r="I43" s="462">
        <f>SUMIFS(Import!$H:$H,Import!$A:$A,I$1,Import!$B:$B,$A42,Import!$D:$D,"PP Lead")</f>
        <v>0</v>
      </c>
      <c r="J43" s="462">
        <f>SUMIFS(Import!$H:$H,Import!$A:$A,J$1,Import!$B:$B,$A42,Import!$D:$D,"PP Lead")</f>
        <v>0</v>
      </c>
      <c r="K43" s="462">
        <f>SUMIFS(Import!$H:$H,Import!$A:$A,K$1,Import!$B:$B,$A42,Import!$D:$D,"PP Lead")</f>
        <v>0</v>
      </c>
      <c r="L43" s="462">
        <f>SUMIFS(Import!$H:$H,Import!$A:$A,L$1,Import!$B:$B,$A42,Import!$D:$D,"PP Lead")</f>
        <v>0</v>
      </c>
      <c r="M43" s="462">
        <f>SUMIFS(Import!$H:$H,Import!$A:$A,M$1,Import!$B:$B,$A42,Import!$D:$D,"PP Lead")</f>
        <v>0</v>
      </c>
      <c r="N43" s="462">
        <f>SUMIFS(Import!$H:$H,Import!$A:$A,N$1,Import!$B:$B,$A42,Import!$D:$D,"PP Lead")</f>
        <v>0</v>
      </c>
      <c r="O43" s="462">
        <f>SUMIFS(Import!$H:$H,Import!$A:$A,O$1,Import!$B:$B,$A42,Import!$D:$D,"PP Lead")</f>
        <v>0</v>
      </c>
      <c r="P43" s="462">
        <f>SUMIFS(Import!$H:$H,Import!$A:$A,P$1,Import!$B:$B,$A42,Import!$D:$D,"PP Lead")</f>
        <v>0</v>
      </c>
      <c r="Q43" s="462">
        <f>SUMIFS(Import!$H:$H,Import!$A:$A,Q$1,Import!$B:$B,$A42,Import!$D:$D,"PP Lead")</f>
        <v>0</v>
      </c>
      <c r="R43" s="462">
        <f>SUMIFS(Import!$H:$H,Import!$A:$A,R$1,Import!$B:$B,$A42,Import!$D:$D,"PP Lead")</f>
        <v>0</v>
      </c>
      <c r="S43" s="462">
        <f>SUMIFS(Import!$H:$H,Import!$A:$A,S$1,Import!$B:$B,$A42,Import!$D:$D,"PP Lead")</f>
        <v>0</v>
      </c>
      <c r="T43" s="462">
        <f>SUMIFS(Import!$H:$H,Import!$A:$A,T$1,Import!$B:$B,$A42,Import!$D:$D,"PP Lead")</f>
        <v>0</v>
      </c>
      <c r="U43" s="462">
        <f>SUMIFS(Import!$H:$H,Import!$A:$A,U$1,Import!$B:$B,$A42,Import!$D:$D,"PP Lead")</f>
        <v>0</v>
      </c>
      <c r="V43" s="462">
        <f>SUMIFS(Import!$H:$H,Import!$A:$A,V$1,Import!$B:$B,$A42,Import!$D:$D,"PP Lead")</f>
        <v>0</v>
      </c>
      <c r="W43" s="462">
        <f>SUMIFS(Import!$H:$H,Import!$A:$A,W$1,Import!$B:$B,$A42,Import!$D:$D,"PP Lead")</f>
        <v>0</v>
      </c>
      <c r="X43" s="462">
        <f>SUMIFS(Import!$H:$H,Import!$A:$A,X$1,Import!$B:$B,$A42,Import!$D:$D,"PP Lead")</f>
        <v>0</v>
      </c>
      <c r="Y43" s="462">
        <f>SUMIFS(Import!$H:$H,Import!$A:$A,Y$1,Import!$B:$B,$A42,Import!$D:$D,"PP Lead")</f>
        <v>0</v>
      </c>
      <c r="Z43" s="462">
        <f>SUMIFS(Import!$H:$H,Import!$A:$A,Z$1,Import!$B:$B,$A42,Import!$D:$D,"PP Lead")</f>
        <v>0</v>
      </c>
      <c r="AA43" s="462">
        <f>SUMIFS(Import!$H:$H,Import!$A:$A,AA$1,Import!$B:$B,$A42,Import!$D:$D,"PP Lead")</f>
        <v>0</v>
      </c>
      <c r="AB43" s="462">
        <f>SUMIFS(Import!$H:$H,Import!$A:$A,AB$1,Import!$B:$B,$A42,Import!$D:$D,"PP Lead")</f>
        <v>0</v>
      </c>
      <c r="AC43" s="462">
        <f>SUMIFS(Import!$H:$H,Import!$A:$A,AC$1,Import!$B:$B,$A42,Import!$D:$D,"PP Lead")</f>
        <v>0</v>
      </c>
      <c r="AD43" s="462">
        <f>SUMIFS(Import!$H:$H,Import!$A:$A,AD$1,Import!$B:$B,$A42,Import!$D:$D,"PP Lead")</f>
        <v>0</v>
      </c>
      <c r="AE43" s="462">
        <f>SUMIFS(Import!$H:$H,Import!$A:$A,AE$1,Import!$B:$B,$A42,Import!$D:$D,"PP Lead")</f>
        <v>0</v>
      </c>
      <c r="AF43" s="462">
        <f>SUMIFS(Import!$H:$H,Import!$A:$A,AF$1,Import!$B:$B,$A42,Import!$D:$D,"PP Lead")</f>
        <v>0</v>
      </c>
      <c r="AG43" s="462">
        <f>SUMIFS(Import!$H:$H,Import!$A:$A,AG$1,Import!$B:$B,$A42,Import!$D:$D,"PP Lead")</f>
        <v>0</v>
      </c>
      <c r="AH43" s="462">
        <f>SUMIFS(Import!$H:$H,Import!$A:$A,AH$1,Import!$B:$B,$A42,Import!$D:$D,"PP Lead")</f>
        <v>0</v>
      </c>
      <c r="AI43" s="462">
        <f>SUMIFS(Import!$H:$H,Import!$A:$A,AI$1,Import!$B:$B,$A42,Import!$D:$D,"PP Lead")</f>
        <v>0</v>
      </c>
      <c r="AJ43" s="462">
        <f>SUMIFS(Import!$H:$H,Import!$A:$A,AJ$1,Import!$B:$B,$A42,Import!$D:$D,"PP Lead")</f>
        <v>0</v>
      </c>
      <c r="AK43" s="462">
        <f>SUMIFS(Import!$H:$H,Import!$A:$A,AK$1,Import!$B:$B,$A42,Import!$D:$D,"PP Lead")</f>
        <v>0</v>
      </c>
      <c r="AL43" s="462">
        <f>SUMIFS(Import!$H:$H,Import!$A:$A,AL$1,Import!$B:$B,$A42,Import!$D:$D,"PP Lead")</f>
        <v>0</v>
      </c>
      <c r="AM43" s="462">
        <f>SUMIFS(Import!$H:$H,Import!$A:$A,AM$1,Import!$B:$B,$A42,Import!$D:$D,"PP Lead")</f>
        <v>0</v>
      </c>
      <c r="AN43" s="462">
        <f>SUMIFS(Import!$H:$H,Import!$A:$A,AN$1,Import!$B:$B,$A42,Import!$D:$D,"PP Lead")</f>
        <v>0</v>
      </c>
      <c r="AO43" s="462">
        <f>SUMIFS(Import!$H:$H,Import!$A:$A,AO$1,Import!$B:$B,$A42,Import!$D:$D,"PP Lead")</f>
        <v>0</v>
      </c>
      <c r="AP43" s="462">
        <f>SUMIFS(Import!$H:$H,Import!$A:$A,AP$1,Import!$B:$B,$A42,Import!$D:$D,"PP Lead")</f>
        <v>0</v>
      </c>
      <c r="AQ43" s="462">
        <f>SUMIFS(Import!$H:$H,Import!$A:$A,AQ$1,Import!$B:$B,$A42,Import!$D:$D,"PP Lead")</f>
        <v>0</v>
      </c>
      <c r="AR43" s="462">
        <f>SUMIFS(Import!$H:$H,Import!$A:$A,AR$1,Import!$B:$B,$A42,Import!$D:$D,"PP Lead")</f>
        <v>0</v>
      </c>
      <c r="AS43" s="462">
        <f>SUMIFS(Import!$H:$H,Import!$A:$A,AS$1,Import!$B:$B,$A42,Import!$D:$D,"PP Lead")</f>
        <v>0</v>
      </c>
      <c r="AT43" s="462">
        <f>SUMIFS(Import!$H:$H,Import!$A:$A,AT$1,Import!$B:$B,$A42,Import!$D:$D,"PP Lead")</f>
        <v>0</v>
      </c>
      <c r="AU43" s="462">
        <f>SUMIFS(Import!$H:$H,Import!$A:$A,AU$1,Import!$B:$B,$A42,Import!$D:$D,"PP Lead")</f>
        <v>0</v>
      </c>
      <c r="AV43" s="462">
        <f>SUMIFS(Import!$H:$H,Import!$A:$A,AV$1,Import!$B:$B,$A42,Import!$D:$D,"PP Lead")</f>
        <v>0</v>
      </c>
      <c r="AW43" s="462">
        <f>SUMIFS(Import!$H:$H,Import!$A:$A,AW$1,Import!$B:$B,$A42,Import!$D:$D,"PP Lead")</f>
        <v>0</v>
      </c>
      <c r="AX43" s="462">
        <f>SUMIFS(Import!$H:$H,Import!$A:$A,AX$1,Import!$B:$B,$A42,Import!$D:$D,"PP Lead")</f>
        <v>0</v>
      </c>
      <c r="AY43" s="462">
        <f>SUMIFS(Import!$H:$H,Import!$A:$A,AY$1,Import!$B:$B,$A42,Import!$D:$D,"PP Lead")</f>
        <v>0</v>
      </c>
      <c r="AZ43" s="462">
        <f>SUMIFS(Import!$H:$H,Import!$A:$A,AZ$1,Import!$B:$B,$A42,Import!$D:$D,"PP Lead")</f>
        <v>0</v>
      </c>
      <c r="BA43" s="462">
        <f>SUMIFS(Import!$H:$H,Import!$A:$A,BA$1,Import!$B:$B,$A42,Import!$D:$D,"PP Lead")</f>
        <v>0</v>
      </c>
      <c r="BB43" s="462">
        <f>SUMIFS(Import!$H:$H,Import!$A:$A,BB$1,Import!$B:$B,$A42,Import!$D:$D,"PP Lead")</f>
        <v>0</v>
      </c>
      <c r="BC43" s="462">
        <f>SUMIFS(Import!$H:$H,Import!$A:$A,BC$1,Import!$B:$B,$A42,Import!$D:$D,"PP Lead")</f>
        <v>0</v>
      </c>
      <c r="BD43" s="463">
        <f>SUMIFS(Import!$H:$H,Import!$A:$A,BD$1,Import!$B:$B,$A42,Import!$D:$D,"PP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IF(Import!T16&lt;&gt;"",Import!T16,"")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SUMIFS(Import!$H:$H,Import!$A:$A,D$1,Import!$B:$B,$A47,Import!$D:$D,"PP Lead")</f>
        <v>0</v>
      </c>
      <c r="E48" s="462">
        <f>SUMIFS(Import!$H:$H,Import!$A:$A,E$1,Import!$B:$B,$A47,Import!$D:$D,"PP Lead")</f>
        <v>0</v>
      </c>
      <c r="F48" s="462">
        <f>SUMIFS(Import!$H:$H,Import!$A:$A,F$1,Import!$B:$B,$A47,Import!$D:$D,"PP Lead")</f>
        <v>0</v>
      </c>
      <c r="G48" s="462">
        <f>SUMIFS(Import!$H:$H,Import!$A:$A,G$1,Import!$B:$B,$A47,Import!$D:$D,"PP Lead")</f>
        <v>0</v>
      </c>
      <c r="H48" s="462">
        <f>SUMIFS(Import!$H:$H,Import!$A:$A,H$1,Import!$B:$B,$A47,Import!$D:$D,"PP Lead")</f>
        <v>0</v>
      </c>
      <c r="I48" s="462">
        <f>SUMIFS(Import!$H:$H,Import!$A:$A,I$1,Import!$B:$B,$A47,Import!$D:$D,"PP Lead")</f>
        <v>0</v>
      </c>
      <c r="J48" s="462">
        <f>SUMIFS(Import!$H:$H,Import!$A:$A,J$1,Import!$B:$B,$A47,Import!$D:$D,"PP Lead")</f>
        <v>0</v>
      </c>
      <c r="K48" s="462">
        <f>SUMIFS(Import!$H:$H,Import!$A:$A,K$1,Import!$B:$B,$A47,Import!$D:$D,"PP Lead")</f>
        <v>0</v>
      </c>
      <c r="L48" s="462">
        <f>SUMIFS(Import!$H:$H,Import!$A:$A,L$1,Import!$B:$B,$A47,Import!$D:$D,"PP Lead")</f>
        <v>0</v>
      </c>
      <c r="M48" s="462">
        <f>SUMIFS(Import!$H:$H,Import!$A:$A,M$1,Import!$B:$B,$A47,Import!$D:$D,"PP Lead")</f>
        <v>0</v>
      </c>
      <c r="N48" s="462">
        <f>SUMIFS(Import!$H:$H,Import!$A:$A,N$1,Import!$B:$B,$A47,Import!$D:$D,"PP Lead")</f>
        <v>0</v>
      </c>
      <c r="O48" s="462">
        <f>SUMIFS(Import!$H:$H,Import!$A:$A,O$1,Import!$B:$B,$A47,Import!$D:$D,"PP Lead")</f>
        <v>0</v>
      </c>
      <c r="P48" s="462">
        <f>SUMIFS(Import!$H:$H,Import!$A:$A,P$1,Import!$B:$B,$A47,Import!$D:$D,"PP Lead")</f>
        <v>0</v>
      </c>
      <c r="Q48" s="462">
        <f>SUMIFS(Import!$H:$H,Import!$A:$A,Q$1,Import!$B:$B,$A47,Import!$D:$D,"PP Lead")</f>
        <v>0</v>
      </c>
      <c r="R48" s="462">
        <f>SUMIFS(Import!$H:$H,Import!$A:$A,R$1,Import!$B:$B,$A47,Import!$D:$D,"PP Lead")</f>
        <v>0</v>
      </c>
      <c r="S48" s="462">
        <f>SUMIFS(Import!$H:$H,Import!$A:$A,S$1,Import!$B:$B,$A47,Import!$D:$D,"PP Lead")</f>
        <v>0</v>
      </c>
      <c r="T48" s="462">
        <f>SUMIFS(Import!$H:$H,Import!$A:$A,T$1,Import!$B:$B,$A47,Import!$D:$D,"PP Lead")</f>
        <v>0</v>
      </c>
      <c r="U48" s="462">
        <f>SUMIFS(Import!$H:$H,Import!$A:$A,U$1,Import!$B:$B,$A47,Import!$D:$D,"PP Lead")</f>
        <v>0</v>
      </c>
      <c r="V48" s="462">
        <f>SUMIFS(Import!$H:$H,Import!$A:$A,V$1,Import!$B:$B,$A47,Import!$D:$D,"PP Lead")</f>
        <v>0</v>
      </c>
      <c r="W48" s="462">
        <f>SUMIFS(Import!$H:$H,Import!$A:$A,W$1,Import!$B:$B,$A47,Import!$D:$D,"PP Lead")</f>
        <v>0</v>
      </c>
      <c r="X48" s="462">
        <f>SUMIFS(Import!$H:$H,Import!$A:$A,X$1,Import!$B:$B,$A47,Import!$D:$D,"PP Lead")</f>
        <v>0</v>
      </c>
      <c r="Y48" s="462">
        <f>SUMIFS(Import!$H:$H,Import!$A:$A,Y$1,Import!$B:$B,$A47,Import!$D:$D,"PP Lead")</f>
        <v>0</v>
      </c>
      <c r="Z48" s="462">
        <f>SUMIFS(Import!$H:$H,Import!$A:$A,Z$1,Import!$B:$B,$A47,Import!$D:$D,"PP Lead")</f>
        <v>0</v>
      </c>
      <c r="AA48" s="462">
        <f>SUMIFS(Import!$H:$H,Import!$A:$A,AA$1,Import!$B:$B,$A47,Import!$D:$D,"PP Lead")</f>
        <v>0</v>
      </c>
      <c r="AB48" s="462">
        <f>SUMIFS(Import!$H:$H,Import!$A:$A,AB$1,Import!$B:$B,$A47,Import!$D:$D,"PP Lead")</f>
        <v>0</v>
      </c>
      <c r="AC48" s="462">
        <f>SUMIFS(Import!$H:$H,Import!$A:$A,AC$1,Import!$B:$B,$A47,Import!$D:$D,"PP Lead")</f>
        <v>0</v>
      </c>
      <c r="AD48" s="462">
        <f>SUMIFS(Import!$H:$H,Import!$A:$A,AD$1,Import!$B:$B,$A47,Import!$D:$D,"PP Lead")</f>
        <v>0</v>
      </c>
      <c r="AE48" s="462">
        <f>SUMIFS(Import!$H:$H,Import!$A:$A,AE$1,Import!$B:$B,$A47,Import!$D:$D,"PP Lead")</f>
        <v>0</v>
      </c>
      <c r="AF48" s="462">
        <f>SUMIFS(Import!$H:$H,Import!$A:$A,AF$1,Import!$B:$B,$A47,Import!$D:$D,"PP Lead")</f>
        <v>0</v>
      </c>
      <c r="AG48" s="462">
        <f>SUMIFS(Import!$H:$H,Import!$A:$A,AG$1,Import!$B:$B,$A47,Import!$D:$D,"PP Lead")</f>
        <v>0</v>
      </c>
      <c r="AH48" s="462">
        <f>SUMIFS(Import!$H:$H,Import!$A:$A,AH$1,Import!$B:$B,$A47,Import!$D:$D,"PP Lead")</f>
        <v>0</v>
      </c>
      <c r="AI48" s="462">
        <f>SUMIFS(Import!$H:$H,Import!$A:$A,AI$1,Import!$B:$B,$A47,Import!$D:$D,"PP Lead")</f>
        <v>0</v>
      </c>
      <c r="AJ48" s="462">
        <f>SUMIFS(Import!$H:$H,Import!$A:$A,AJ$1,Import!$B:$B,$A47,Import!$D:$D,"PP Lead")</f>
        <v>0</v>
      </c>
      <c r="AK48" s="462">
        <f>SUMIFS(Import!$H:$H,Import!$A:$A,AK$1,Import!$B:$B,$A47,Import!$D:$D,"PP Lead")</f>
        <v>0</v>
      </c>
      <c r="AL48" s="462">
        <f>SUMIFS(Import!$H:$H,Import!$A:$A,AL$1,Import!$B:$B,$A47,Import!$D:$D,"PP Lead")</f>
        <v>0</v>
      </c>
      <c r="AM48" s="462">
        <f>SUMIFS(Import!$H:$H,Import!$A:$A,AM$1,Import!$B:$B,$A47,Import!$D:$D,"PP Lead")</f>
        <v>0</v>
      </c>
      <c r="AN48" s="462">
        <f>SUMIFS(Import!$H:$H,Import!$A:$A,AN$1,Import!$B:$B,$A47,Import!$D:$D,"PP Lead")</f>
        <v>0</v>
      </c>
      <c r="AO48" s="462">
        <f>SUMIFS(Import!$H:$H,Import!$A:$A,AO$1,Import!$B:$B,$A47,Import!$D:$D,"PP Lead")</f>
        <v>0</v>
      </c>
      <c r="AP48" s="462">
        <f>SUMIFS(Import!$H:$H,Import!$A:$A,AP$1,Import!$B:$B,$A47,Import!$D:$D,"PP Lead")</f>
        <v>0</v>
      </c>
      <c r="AQ48" s="462">
        <f>SUMIFS(Import!$H:$H,Import!$A:$A,AQ$1,Import!$B:$B,$A47,Import!$D:$D,"PP Lead")</f>
        <v>0</v>
      </c>
      <c r="AR48" s="462">
        <f>SUMIFS(Import!$H:$H,Import!$A:$A,AR$1,Import!$B:$B,$A47,Import!$D:$D,"PP Lead")</f>
        <v>0</v>
      </c>
      <c r="AS48" s="462">
        <f>SUMIFS(Import!$H:$H,Import!$A:$A,AS$1,Import!$B:$B,$A47,Import!$D:$D,"PP Lead")</f>
        <v>0</v>
      </c>
      <c r="AT48" s="462">
        <f>SUMIFS(Import!$H:$H,Import!$A:$A,AT$1,Import!$B:$B,$A47,Import!$D:$D,"PP Lead")</f>
        <v>0</v>
      </c>
      <c r="AU48" s="462">
        <f>SUMIFS(Import!$H:$H,Import!$A:$A,AU$1,Import!$B:$B,$A47,Import!$D:$D,"PP Lead")</f>
        <v>0</v>
      </c>
      <c r="AV48" s="462">
        <f>SUMIFS(Import!$H:$H,Import!$A:$A,AV$1,Import!$B:$B,$A47,Import!$D:$D,"PP Lead")</f>
        <v>0</v>
      </c>
      <c r="AW48" s="462">
        <f>SUMIFS(Import!$H:$H,Import!$A:$A,AW$1,Import!$B:$B,$A47,Import!$D:$D,"PP Lead")</f>
        <v>0</v>
      </c>
      <c r="AX48" s="462">
        <f>SUMIFS(Import!$H:$H,Import!$A:$A,AX$1,Import!$B:$B,$A47,Import!$D:$D,"PP Lead")</f>
        <v>0</v>
      </c>
      <c r="AY48" s="462">
        <f>SUMIFS(Import!$H:$H,Import!$A:$A,AY$1,Import!$B:$B,$A47,Import!$D:$D,"PP Lead")</f>
        <v>0</v>
      </c>
      <c r="AZ48" s="462">
        <f>SUMIFS(Import!$H:$H,Import!$A:$A,AZ$1,Import!$B:$B,$A47,Import!$D:$D,"PP Lead")</f>
        <v>0</v>
      </c>
      <c r="BA48" s="462">
        <f>SUMIFS(Import!$H:$H,Import!$A:$A,BA$1,Import!$B:$B,$A47,Import!$D:$D,"PP Lead")</f>
        <v>0</v>
      </c>
      <c r="BB48" s="462">
        <f>SUMIFS(Import!$H:$H,Import!$A:$A,BB$1,Import!$B:$B,$A47,Import!$D:$D,"PP Lead")</f>
        <v>0</v>
      </c>
      <c r="BC48" s="462">
        <f>SUMIFS(Import!$H:$H,Import!$A:$A,BC$1,Import!$B:$B,$A47,Import!$D:$D,"PP Lead")</f>
        <v>0</v>
      </c>
      <c r="BD48" s="463">
        <f>SUMIFS(Import!$H:$H,Import!$A:$A,BD$1,Import!$B:$B,$A47,Import!$D:$D,"PP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IF(Import!T17&lt;&gt;"",Import!T17,"")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SUMIFS(Import!$H:$H,Import!$A:$A,D$1,Import!$B:$B,$A52,Import!$D:$D,"PP Lead")</f>
        <v>0</v>
      </c>
      <c r="E53" s="462">
        <f>SUMIFS(Import!$H:$H,Import!$A:$A,E$1,Import!$B:$B,$A52,Import!$D:$D,"PP Lead")</f>
        <v>0</v>
      </c>
      <c r="F53" s="462">
        <f>SUMIFS(Import!$H:$H,Import!$A:$A,F$1,Import!$B:$B,$A52,Import!$D:$D,"PP Lead")</f>
        <v>0</v>
      </c>
      <c r="G53" s="462">
        <f>SUMIFS(Import!$H:$H,Import!$A:$A,G$1,Import!$B:$B,$A52,Import!$D:$D,"PP Lead")</f>
        <v>0</v>
      </c>
      <c r="H53" s="462">
        <f>SUMIFS(Import!$H:$H,Import!$A:$A,H$1,Import!$B:$B,$A52,Import!$D:$D,"PP Lead")</f>
        <v>0</v>
      </c>
      <c r="I53" s="462">
        <f>SUMIFS(Import!$H:$H,Import!$A:$A,I$1,Import!$B:$B,$A52,Import!$D:$D,"PP Lead")</f>
        <v>0</v>
      </c>
      <c r="J53" s="462">
        <f>SUMIFS(Import!$H:$H,Import!$A:$A,J$1,Import!$B:$B,$A52,Import!$D:$D,"PP Lead")</f>
        <v>0</v>
      </c>
      <c r="K53" s="462">
        <f>SUMIFS(Import!$H:$H,Import!$A:$A,K$1,Import!$B:$B,$A52,Import!$D:$D,"PP Lead")</f>
        <v>0</v>
      </c>
      <c r="L53" s="462">
        <f>SUMIFS(Import!$H:$H,Import!$A:$A,L$1,Import!$B:$B,$A52,Import!$D:$D,"PP Lead")</f>
        <v>0</v>
      </c>
      <c r="M53" s="462">
        <f>SUMIFS(Import!$H:$H,Import!$A:$A,M$1,Import!$B:$B,$A52,Import!$D:$D,"PP Lead")</f>
        <v>0</v>
      </c>
      <c r="N53" s="462">
        <f>SUMIFS(Import!$H:$H,Import!$A:$A,N$1,Import!$B:$B,$A52,Import!$D:$D,"PP Lead")</f>
        <v>0</v>
      </c>
      <c r="O53" s="462">
        <f>SUMIFS(Import!$H:$H,Import!$A:$A,O$1,Import!$B:$B,$A52,Import!$D:$D,"PP Lead")</f>
        <v>0</v>
      </c>
      <c r="P53" s="462">
        <f>SUMIFS(Import!$H:$H,Import!$A:$A,P$1,Import!$B:$B,$A52,Import!$D:$D,"PP Lead")</f>
        <v>0</v>
      </c>
      <c r="Q53" s="462">
        <f>SUMIFS(Import!$H:$H,Import!$A:$A,Q$1,Import!$B:$B,$A52,Import!$D:$D,"PP Lead")</f>
        <v>0</v>
      </c>
      <c r="R53" s="462">
        <f>SUMIFS(Import!$H:$H,Import!$A:$A,R$1,Import!$B:$B,$A52,Import!$D:$D,"PP Lead")</f>
        <v>0</v>
      </c>
      <c r="S53" s="462">
        <f>SUMIFS(Import!$H:$H,Import!$A:$A,S$1,Import!$B:$B,$A52,Import!$D:$D,"PP Lead")</f>
        <v>0</v>
      </c>
      <c r="T53" s="462">
        <f>SUMIFS(Import!$H:$H,Import!$A:$A,T$1,Import!$B:$B,$A52,Import!$D:$D,"PP Lead")</f>
        <v>0</v>
      </c>
      <c r="U53" s="462">
        <f>SUMIFS(Import!$H:$H,Import!$A:$A,U$1,Import!$B:$B,$A52,Import!$D:$D,"PP Lead")</f>
        <v>0</v>
      </c>
      <c r="V53" s="462">
        <f>SUMIFS(Import!$H:$H,Import!$A:$A,V$1,Import!$B:$B,$A52,Import!$D:$D,"PP Lead")</f>
        <v>0</v>
      </c>
      <c r="W53" s="462">
        <f>SUMIFS(Import!$H:$H,Import!$A:$A,W$1,Import!$B:$B,$A52,Import!$D:$D,"PP Lead")</f>
        <v>0</v>
      </c>
      <c r="X53" s="462">
        <f>SUMIFS(Import!$H:$H,Import!$A:$A,X$1,Import!$B:$B,$A52,Import!$D:$D,"PP Lead")</f>
        <v>0</v>
      </c>
      <c r="Y53" s="462">
        <f>SUMIFS(Import!$H:$H,Import!$A:$A,Y$1,Import!$B:$B,$A52,Import!$D:$D,"PP Lead")</f>
        <v>0</v>
      </c>
      <c r="Z53" s="462">
        <f>SUMIFS(Import!$H:$H,Import!$A:$A,Z$1,Import!$B:$B,$A52,Import!$D:$D,"PP Lead")</f>
        <v>0</v>
      </c>
      <c r="AA53" s="462">
        <f>SUMIFS(Import!$H:$H,Import!$A:$A,AA$1,Import!$B:$B,$A52,Import!$D:$D,"PP Lead")</f>
        <v>0</v>
      </c>
      <c r="AB53" s="462">
        <f>SUMIFS(Import!$H:$H,Import!$A:$A,AB$1,Import!$B:$B,$A52,Import!$D:$D,"PP Lead")</f>
        <v>0</v>
      </c>
      <c r="AC53" s="462">
        <f>SUMIFS(Import!$H:$H,Import!$A:$A,AC$1,Import!$B:$B,$A52,Import!$D:$D,"PP Lead")</f>
        <v>0</v>
      </c>
      <c r="AD53" s="462">
        <f>SUMIFS(Import!$H:$H,Import!$A:$A,AD$1,Import!$B:$B,$A52,Import!$D:$D,"PP Lead")</f>
        <v>0</v>
      </c>
      <c r="AE53" s="462">
        <f>SUMIFS(Import!$H:$H,Import!$A:$A,AE$1,Import!$B:$B,$A52,Import!$D:$D,"PP Lead")</f>
        <v>0</v>
      </c>
      <c r="AF53" s="462">
        <f>SUMIFS(Import!$H:$H,Import!$A:$A,AF$1,Import!$B:$B,$A52,Import!$D:$D,"PP Lead")</f>
        <v>0</v>
      </c>
      <c r="AG53" s="462">
        <f>SUMIFS(Import!$H:$H,Import!$A:$A,AG$1,Import!$B:$B,$A52,Import!$D:$D,"PP Lead")</f>
        <v>0</v>
      </c>
      <c r="AH53" s="462">
        <f>SUMIFS(Import!$H:$H,Import!$A:$A,AH$1,Import!$B:$B,$A52,Import!$D:$D,"PP Lead")</f>
        <v>0</v>
      </c>
      <c r="AI53" s="462">
        <f>SUMIFS(Import!$H:$H,Import!$A:$A,AI$1,Import!$B:$B,$A52,Import!$D:$D,"PP Lead")</f>
        <v>0</v>
      </c>
      <c r="AJ53" s="462">
        <f>SUMIFS(Import!$H:$H,Import!$A:$A,AJ$1,Import!$B:$B,$A52,Import!$D:$D,"PP Lead")</f>
        <v>0</v>
      </c>
      <c r="AK53" s="462">
        <f>SUMIFS(Import!$H:$H,Import!$A:$A,AK$1,Import!$B:$B,$A52,Import!$D:$D,"PP Lead")</f>
        <v>0</v>
      </c>
      <c r="AL53" s="462">
        <f>SUMIFS(Import!$H:$H,Import!$A:$A,AL$1,Import!$B:$B,$A52,Import!$D:$D,"PP Lead")</f>
        <v>0</v>
      </c>
      <c r="AM53" s="462">
        <f>SUMIFS(Import!$H:$H,Import!$A:$A,AM$1,Import!$B:$B,$A52,Import!$D:$D,"PP Lead")</f>
        <v>0</v>
      </c>
      <c r="AN53" s="462">
        <f>SUMIFS(Import!$H:$H,Import!$A:$A,AN$1,Import!$B:$B,$A52,Import!$D:$D,"PP Lead")</f>
        <v>0</v>
      </c>
      <c r="AO53" s="462">
        <f>SUMIFS(Import!$H:$H,Import!$A:$A,AO$1,Import!$B:$B,$A52,Import!$D:$D,"PP Lead")</f>
        <v>0</v>
      </c>
      <c r="AP53" s="462">
        <f>SUMIFS(Import!$H:$H,Import!$A:$A,AP$1,Import!$B:$B,$A52,Import!$D:$D,"PP Lead")</f>
        <v>0</v>
      </c>
      <c r="AQ53" s="462">
        <f>SUMIFS(Import!$H:$H,Import!$A:$A,AQ$1,Import!$B:$B,$A52,Import!$D:$D,"PP Lead")</f>
        <v>0</v>
      </c>
      <c r="AR53" s="462">
        <f>SUMIFS(Import!$H:$H,Import!$A:$A,AR$1,Import!$B:$B,$A52,Import!$D:$D,"PP Lead")</f>
        <v>0</v>
      </c>
      <c r="AS53" s="462">
        <f>SUMIFS(Import!$H:$H,Import!$A:$A,AS$1,Import!$B:$B,$A52,Import!$D:$D,"PP Lead")</f>
        <v>0</v>
      </c>
      <c r="AT53" s="462">
        <f>SUMIFS(Import!$H:$H,Import!$A:$A,AT$1,Import!$B:$B,$A52,Import!$D:$D,"PP Lead")</f>
        <v>0</v>
      </c>
      <c r="AU53" s="462">
        <f>SUMIFS(Import!$H:$H,Import!$A:$A,AU$1,Import!$B:$B,$A52,Import!$D:$D,"PP Lead")</f>
        <v>0</v>
      </c>
      <c r="AV53" s="462">
        <f>SUMIFS(Import!$H:$H,Import!$A:$A,AV$1,Import!$B:$B,$A52,Import!$D:$D,"PP Lead")</f>
        <v>0</v>
      </c>
      <c r="AW53" s="462">
        <f>SUMIFS(Import!$H:$H,Import!$A:$A,AW$1,Import!$B:$B,$A52,Import!$D:$D,"PP Lead")</f>
        <v>0</v>
      </c>
      <c r="AX53" s="462">
        <f>SUMIFS(Import!$H:$H,Import!$A:$A,AX$1,Import!$B:$B,$A52,Import!$D:$D,"PP Lead")</f>
        <v>0</v>
      </c>
      <c r="AY53" s="462">
        <f>SUMIFS(Import!$H:$H,Import!$A:$A,AY$1,Import!$B:$B,$A52,Import!$D:$D,"PP Lead")</f>
        <v>0</v>
      </c>
      <c r="AZ53" s="462">
        <f>SUMIFS(Import!$H:$H,Import!$A:$A,AZ$1,Import!$B:$B,$A52,Import!$D:$D,"PP Lead")</f>
        <v>0</v>
      </c>
      <c r="BA53" s="462">
        <f>SUMIFS(Import!$H:$H,Import!$A:$A,BA$1,Import!$B:$B,$A52,Import!$D:$D,"PP Lead")</f>
        <v>0</v>
      </c>
      <c r="BB53" s="462">
        <f>SUMIFS(Import!$H:$H,Import!$A:$A,BB$1,Import!$B:$B,$A52,Import!$D:$D,"PP Lead")</f>
        <v>0</v>
      </c>
      <c r="BC53" s="462">
        <f>SUMIFS(Import!$H:$H,Import!$A:$A,BC$1,Import!$B:$B,$A52,Import!$D:$D,"PP Lead")</f>
        <v>0</v>
      </c>
      <c r="BD53" s="463">
        <f>SUMIFS(Import!$H:$H,Import!$A:$A,BD$1,Import!$B:$B,$A52,Import!$D:$D,"PP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IF(Import!T18&lt;&gt;"",Import!T18,"")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SUMIFS(Import!$H:$H,Import!$A:$A,D$1,Import!$B:$B,$A57,Import!$D:$D,"PP Lead")</f>
        <v>0</v>
      </c>
      <c r="E58" s="462">
        <f>SUMIFS(Import!$H:$H,Import!$A:$A,E$1,Import!$B:$B,$A57,Import!$D:$D,"PP Lead")</f>
        <v>0</v>
      </c>
      <c r="F58" s="462">
        <f>SUMIFS(Import!$H:$H,Import!$A:$A,F$1,Import!$B:$B,$A57,Import!$D:$D,"PP Lead")</f>
        <v>0</v>
      </c>
      <c r="G58" s="462">
        <f>SUMIFS(Import!$H:$H,Import!$A:$A,G$1,Import!$B:$B,$A57,Import!$D:$D,"PP Lead")</f>
        <v>0</v>
      </c>
      <c r="H58" s="462">
        <f>SUMIFS(Import!$H:$H,Import!$A:$A,H$1,Import!$B:$B,$A57,Import!$D:$D,"PP Lead")</f>
        <v>0</v>
      </c>
      <c r="I58" s="462">
        <f>SUMIFS(Import!$H:$H,Import!$A:$A,I$1,Import!$B:$B,$A57,Import!$D:$D,"PP Lead")</f>
        <v>0</v>
      </c>
      <c r="J58" s="462">
        <f>SUMIFS(Import!$H:$H,Import!$A:$A,J$1,Import!$B:$B,$A57,Import!$D:$D,"PP Lead")</f>
        <v>0</v>
      </c>
      <c r="K58" s="462">
        <f>SUMIFS(Import!$H:$H,Import!$A:$A,K$1,Import!$B:$B,$A57,Import!$D:$D,"PP Lead")</f>
        <v>0</v>
      </c>
      <c r="L58" s="462">
        <f>SUMIFS(Import!$H:$H,Import!$A:$A,L$1,Import!$B:$B,$A57,Import!$D:$D,"PP Lead")</f>
        <v>0</v>
      </c>
      <c r="M58" s="462">
        <f>SUMIFS(Import!$H:$H,Import!$A:$A,M$1,Import!$B:$B,$A57,Import!$D:$D,"PP Lead")</f>
        <v>0</v>
      </c>
      <c r="N58" s="462">
        <f>SUMIFS(Import!$H:$H,Import!$A:$A,N$1,Import!$B:$B,$A57,Import!$D:$D,"PP Lead")</f>
        <v>0</v>
      </c>
      <c r="O58" s="462">
        <f>SUMIFS(Import!$H:$H,Import!$A:$A,O$1,Import!$B:$B,$A57,Import!$D:$D,"PP Lead")</f>
        <v>0</v>
      </c>
      <c r="P58" s="462">
        <f>SUMIFS(Import!$H:$H,Import!$A:$A,P$1,Import!$B:$B,$A57,Import!$D:$D,"PP Lead")</f>
        <v>0</v>
      </c>
      <c r="Q58" s="462">
        <f>SUMIFS(Import!$H:$H,Import!$A:$A,Q$1,Import!$B:$B,$A57,Import!$D:$D,"PP Lead")</f>
        <v>0</v>
      </c>
      <c r="R58" s="462">
        <f>SUMIFS(Import!$H:$H,Import!$A:$A,R$1,Import!$B:$B,$A57,Import!$D:$D,"PP Lead")</f>
        <v>0</v>
      </c>
      <c r="S58" s="462">
        <f>SUMIFS(Import!$H:$H,Import!$A:$A,S$1,Import!$B:$B,$A57,Import!$D:$D,"PP Lead")</f>
        <v>0</v>
      </c>
      <c r="T58" s="462">
        <f>SUMIFS(Import!$H:$H,Import!$A:$A,T$1,Import!$B:$B,$A57,Import!$D:$D,"PP Lead")</f>
        <v>0</v>
      </c>
      <c r="U58" s="462">
        <f>SUMIFS(Import!$H:$H,Import!$A:$A,U$1,Import!$B:$B,$A57,Import!$D:$D,"PP Lead")</f>
        <v>0</v>
      </c>
      <c r="V58" s="462">
        <f>SUMIFS(Import!$H:$H,Import!$A:$A,V$1,Import!$B:$B,$A57,Import!$D:$D,"PP Lead")</f>
        <v>0</v>
      </c>
      <c r="W58" s="462">
        <f>SUMIFS(Import!$H:$H,Import!$A:$A,W$1,Import!$B:$B,$A57,Import!$D:$D,"PP Lead")</f>
        <v>0</v>
      </c>
      <c r="X58" s="462">
        <f>SUMIFS(Import!$H:$H,Import!$A:$A,X$1,Import!$B:$B,$A57,Import!$D:$D,"PP Lead")</f>
        <v>0</v>
      </c>
      <c r="Y58" s="462">
        <f>SUMIFS(Import!$H:$H,Import!$A:$A,Y$1,Import!$B:$B,$A57,Import!$D:$D,"PP Lead")</f>
        <v>0</v>
      </c>
      <c r="Z58" s="462">
        <f>SUMIFS(Import!$H:$H,Import!$A:$A,Z$1,Import!$B:$B,$A57,Import!$D:$D,"PP Lead")</f>
        <v>0</v>
      </c>
      <c r="AA58" s="462">
        <f>SUMIFS(Import!$H:$H,Import!$A:$A,AA$1,Import!$B:$B,$A57,Import!$D:$D,"PP Lead")</f>
        <v>0</v>
      </c>
      <c r="AB58" s="462">
        <f>SUMIFS(Import!$H:$H,Import!$A:$A,AB$1,Import!$B:$B,$A57,Import!$D:$D,"PP Lead")</f>
        <v>0</v>
      </c>
      <c r="AC58" s="462">
        <f>SUMIFS(Import!$H:$H,Import!$A:$A,AC$1,Import!$B:$B,$A57,Import!$D:$D,"PP Lead")</f>
        <v>0</v>
      </c>
      <c r="AD58" s="462">
        <f>SUMIFS(Import!$H:$H,Import!$A:$A,AD$1,Import!$B:$B,$A57,Import!$D:$D,"PP Lead")</f>
        <v>0</v>
      </c>
      <c r="AE58" s="462">
        <f>SUMIFS(Import!$H:$H,Import!$A:$A,AE$1,Import!$B:$B,$A57,Import!$D:$D,"PP Lead")</f>
        <v>0</v>
      </c>
      <c r="AF58" s="462">
        <f>SUMIFS(Import!$H:$H,Import!$A:$A,AF$1,Import!$B:$B,$A57,Import!$D:$D,"PP Lead")</f>
        <v>0</v>
      </c>
      <c r="AG58" s="462">
        <f>SUMIFS(Import!$H:$H,Import!$A:$A,AG$1,Import!$B:$B,$A57,Import!$D:$D,"PP Lead")</f>
        <v>0</v>
      </c>
      <c r="AH58" s="462">
        <f>SUMIFS(Import!$H:$H,Import!$A:$A,AH$1,Import!$B:$B,$A57,Import!$D:$D,"PP Lead")</f>
        <v>0</v>
      </c>
      <c r="AI58" s="462">
        <f>SUMIFS(Import!$H:$H,Import!$A:$A,AI$1,Import!$B:$B,$A57,Import!$D:$D,"PP Lead")</f>
        <v>0</v>
      </c>
      <c r="AJ58" s="462">
        <f>SUMIFS(Import!$H:$H,Import!$A:$A,AJ$1,Import!$B:$B,$A57,Import!$D:$D,"PP Lead")</f>
        <v>0</v>
      </c>
      <c r="AK58" s="462">
        <f>SUMIFS(Import!$H:$H,Import!$A:$A,AK$1,Import!$B:$B,$A57,Import!$D:$D,"PP Lead")</f>
        <v>0</v>
      </c>
      <c r="AL58" s="462">
        <f>SUMIFS(Import!$H:$H,Import!$A:$A,AL$1,Import!$B:$B,$A57,Import!$D:$D,"PP Lead")</f>
        <v>0</v>
      </c>
      <c r="AM58" s="462">
        <f>SUMIFS(Import!$H:$H,Import!$A:$A,AM$1,Import!$B:$B,$A57,Import!$D:$D,"PP Lead")</f>
        <v>0</v>
      </c>
      <c r="AN58" s="462">
        <f>SUMIFS(Import!$H:$H,Import!$A:$A,AN$1,Import!$B:$B,$A57,Import!$D:$D,"PP Lead")</f>
        <v>0</v>
      </c>
      <c r="AO58" s="462">
        <f>SUMIFS(Import!$H:$H,Import!$A:$A,AO$1,Import!$B:$B,$A57,Import!$D:$D,"PP Lead")</f>
        <v>0</v>
      </c>
      <c r="AP58" s="462">
        <f>SUMIFS(Import!$H:$H,Import!$A:$A,AP$1,Import!$B:$B,$A57,Import!$D:$D,"PP Lead")</f>
        <v>0</v>
      </c>
      <c r="AQ58" s="462">
        <f>SUMIFS(Import!$H:$H,Import!$A:$A,AQ$1,Import!$B:$B,$A57,Import!$D:$D,"PP Lead")</f>
        <v>0</v>
      </c>
      <c r="AR58" s="462">
        <f>SUMIFS(Import!$H:$H,Import!$A:$A,AR$1,Import!$B:$B,$A57,Import!$D:$D,"PP Lead")</f>
        <v>0</v>
      </c>
      <c r="AS58" s="462">
        <f>SUMIFS(Import!$H:$H,Import!$A:$A,AS$1,Import!$B:$B,$A57,Import!$D:$D,"PP Lead")</f>
        <v>0</v>
      </c>
      <c r="AT58" s="462">
        <f>SUMIFS(Import!$H:$H,Import!$A:$A,AT$1,Import!$B:$B,$A57,Import!$D:$D,"PP Lead")</f>
        <v>0</v>
      </c>
      <c r="AU58" s="462">
        <f>SUMIFS(Import!$H:$H,Import!$A:$A,AU$1,Import!$B:$B,$A57,Import!$D:$D,"PP Lead")</f>
        <v>0</v>
      </c>
      <c r="AV58" s="462">
        <f>SUMIFS(Import!$H:$H,Import!$A:$A,AV$1,Import!$B:$B,$A57,Import!$D:$D,"PP Lead")</f>
        <v>0</v>
      </c>
      <c r="AW58" s="462">
        <f>SUMIFS(Import!$H:$H,Import!$A:$A,AW$1,Import!$B:$B,$A57,Import!$D:$D,"PP Lead")</f>
        <v>0</v>
      </c>
      <c r="AX58" s="462">
        <f>SUMIFS(Import!$H:$H,Import!$A:$A,AX$1,Import!$B:$B,$A57,Import!$D:$D,"PP Lead")</f>
        <v>0</v>
      </c>
      <c r="AY58" s="462">
        <f>SUMIFS(Import!$H:$H,Import!$A:$A,AY$1,Import!$B:$B,$A57,Import!$D:$D,"PP Lead")</f>
        <v>0</v>
      </c>
      <c r="AZ58" s="462">
        <f>SUMIFS(Import!$H:$H,Import!$A:$A,AZ$1,Import!$B:$B,$A57,Import!$D:$D,"PP Lead")</f>
        <v>0</v>
      </c>
      <c r="BA58" s="462">
        <f>SUMIFS(Import!$H:$H,Import!$A:$A,BA$1,Import!$B:$B,$A57,Import!$D:$D,"PP Lead")</f>
        <v>0</v>
      </c>
      <c r="BB58" s="462">
        <f>SUMIFS(Import!$H:$H,Import!$A:$A,BB$1,Import!$B:$B,$A57,Import!$D:$D,"PP Lead")</f>
        <v>0</v>
      </c>
      <c r="BC58" s="462">
        <f>SUMIFS(Import!$H:$H,Import!$A:$A,BC$1,Import!$B:$B,$A57,Import!$D:$D,"PP Lead")</f>
        <v>0</v>
      </c>
      <c r="BD58" s="463">
        <f>SUMIFS(Import!$H:$H,Import!$A:$A,BD$1,Import!$B:$B,$A57,Import!$D:$D,"PP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IF(Import!T19&lt;&gt;"",Import!T19,"")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SUMIFS(Import!$H:$H,Import!$A:$A,D$1,Import!$B:$B,$A62,Import!$D:$D,"PP Lead")</f>
        <v>0</v>
      </c>
      <c r="E63" s="462">
        <f>SUMIFS(Import!$H:$H,Import!$A:$A,E$1,Import!$B:$B,$A62,Import!$D:$D,"PP Lead")</f>
        <v>0</v>
      </c>
      <c r="F63" s="462">
        <f>SUMIFS(Import!$H:$H,Import!$A:$A,F$1,Import!$B:$B,$A62,Import!$D:$D,"PP Lead")</f>
        <v>0</v>
      </c>
      <c r="G63" s="462">
        <f>SUMIFS(Import!$H:$H,Import!$A:$A,G$1,Import!$B:$B,$A62,Import!$D:$D,"PP Lead")</f>
        <v>0</v>
      </c>
      <c r="H63" s="462">
        <f>SUMIFS(Import!$H:$H,Import!$A:$A,H$1,Import!$B:$B,$A62,Import!$D:$D,"PP Lead")</f>
        <v>0</v>
      </c>
      <c r="I63" s="462">
        <f>SUMIFS(Import!$H:$H,Import!$A:$A,I$1,Import!$B:$B,$A62,Import!$D:$D,"PP Lead")</f>
        <v>0</v>
      </c>
      <c r="J63" s="462">
        <f>SUMIFS(Import!$H:$H,Import!$A:$A,J$1,Import!$B:$B,$A62,Import!$D:$D,"PP Lead")</f>
        <v>0</v>
      </c>
      <c r="K63" s="462">
        <f>SUMIFS(Import!$H:$H,Import!$A:$A,K$1,Import!$B:$B,$A62,Import!$D:$D,"PP Lead")</f>
        <v>0</v>
      </c>
      <c r="L63" s="462">
        <f>SUMIFS(Import!$H:$H,Import!$A:$A,L$1,Import!$B:$B,$A62,Import!$D:$D,"PP Lead")</f>
        <v>0</v>
      </c>
      <c r="M63" s="462">
        <f>SUMIFS(Import!$H:$H,Import!$A:$A,M$1,Import!$B:$B,$A62,Import!$D:$D,"PP Lead")</f>
        <v>0</v>
      </c>
      <c r="N63" s="462">
        <f>SUMIFS(Import!$H:$H,Import!$A:$A,N$1,Import!$B:$B,$A62,Import!$D:$D,"PP Lead")</f>
        <v>0</v>
      </c>
      <c r="O63" s="462">
        <f>SUMIFS(Import!$H:$H,Import!$A:$A,O$1,Import!$B:$B,$A62,Import!$D:$D,"PP Lead")</f>
        <v>0</v>
      </c>
      <c r="P63" s="462">
        <f>SUMIFS(Import!$H:$H,Import!$A:$A,P$1,Import!$B:$B,$A62,Import!$D:$D,"PP Lead")</f>
        <v>0</v>
      </c>
      <c r="Q63" s="462">
        <f>SUMIFS(Import!$H:$H,Import!$A:$A,Q$1,Import!$B:$B,$A62,Import!$D:$D,"PP Lead")</f>
        <v>0</v>
      </c>
      <c r="R63" s="462">
        <f>SUMIFS(Import!$H:$H,Import!$A:$A,R$1,Import!$B:$B,$A62,Import!$D:$D,"PP Lead")</f>
        <v>0</v>
      </c>
      <c r="S63" s="462">
        <f>SUMIFS(Import!$H:$H,Import!$A:$A,S$1,Import!$B:$B,$A62,Import!$D:$D,"PP Lead")</f>
        <v>0</v>
      </c>
      <c r="T63" s="462">
        <f>SUMIFS(Import!$H:$H,Import!$A:$A,T$1,Import!$B:$B,$A62,Import!$D:$D,"PP Lead")</f>
        <v>0</v>
      </c>
      <c r="U63" s="462">
        <f>SUMIFS(Import!$H:$H,Import!$A:$A,U$1,Import!$B:$B,$A62,Import!$D:$D,"PP Lead")</f>
        <v>0</v>
      </c>
      <c r="V63" s="462">
        <f>SUMIFS(Import!$H:$H,Import!$A:$A,V$1,Import!$B:$B,$A62,Import!$D:$D,"PP Lead")</f>
        <v>0</v>
      </c>
      <c r="W63" s="462">
        <f>SUMIFS(Import!$H:$H,Import!$A:$A,W$1,Import!$B:$B,$A62,Import!$D:$D,"PP Lead")</f>
        <v>0</v>
      </c>
      <c r="X63" s="462">
        <f>SUMIFS(Import!$H:$H,Import!$A:$A,X$1,Import!$B:$B,$A62,Import!$D:$D,"PP Lead")</f>
        <v>0</v>
      </c>
      <c r="Y63" s="462">
        <f>SUMIFS(Import!$H:$H,Import!$A:$A,Y$1,Import!$B:$B,$A62,Import!$D:$D,"PP Lead")</f>
        <v>0</v>
      </c>
      <c r="Z63" s="462">
        <f>SUMIFS(Import!$H:$H,Import!$A:$A,Z$1,Import!$B:$B,$A62,Import!$D:$D,"PP Lead")</f>
        <v>0</v>
      </c>
      <c r="AA63" s="462">
        <f>SUMIFS(Import!$H:$H,Import!$A:$A,AA$1,Import!$B:$B,$A62,Import!$D:$D,"PP Lead")</f>
        <v>0</v>
      </c>
      <c r="AB63" s="462">
        <f>SUMIFS(Import!$H:$H,Import!$A:$A,AB$1,Import!$B:$B,$A62,Import!$D:$D,"PP Lead")</f>
        <v>0</v>
      </c>
      <c r="AC63" s="462">
        <f>SUMIFS(Import!$H:$H,Import!$A:$A,AC$1,Import!$B:$B,$A62,Import!$D:$D,"PP Lead")</f>
        <v>0</v>
      </c>
      <c r="AD63" s="462">
        <f>SUMIFS(Import!$H:$H,Import!$A:$A,AD$1,Import!$B:$B,$A62,Import!$D:$D,"PP Lead")</f>
        <v>0</v>
      </c>
      <c r="AE63" s="462">
        <f>SUMIFS(Import!$H:$H,Import!$A:$A,AE$1,Import!$B:$B,$A62,Import!$D:$D,"PP Lead")</f>
        <v>0</v>
      </c>
      <c r="AF63" s="462">
        <f>SUMIFS(Import!$H:$H,Import!$A:$A,AF$1,Import!$B:$B,$A62,Import!$D:$D,"PP Lead")</f>
        <v>0</v>
      </c>
      <c r="AG63" s="462">
        <f>SUMIFS(Import!$H:$H,Import!$A:$A,AG$1,Import!$B:$B,$A62,Import!$D:$D,"PP Lead")</f>
        <v>0</v>
      </c>
      <c r="AH63" s="462">
        <f>SUMIFS(Import!$H:$H,Import!$A:$A,AH$1,Import!$B:$B,$A62,Import!$D:$D,"PP Lead")</f>
        <v>0</v>
      </c>
      <c r="AI63" s="462">
        <f>SUMIFS(Import!$H:$H,Import!$A:$A,AI$1,Import!$B:$B,$A62,Import!$D:$D,"PP Lead")</f>
        <v>0</v>
      </c>
      <c r="AJ63" s="462">
        <f>SUMIFS(Import!$H:$H,Import!$A:$A,AJ$1,Import!$B:$B,$A62,Import!$D:$D,"PP Lead")</f>
        <v>0</v>
      </c>
      <c r="AK63" s="462">
        <f>SUMIFS(Import!$H:$H,Import!$A:$A,AK$1,Import!$B:$B,$A62,Import!$D:$D,"PP Lead")</f>
        <v>0</v>
      </c>
      <c r="AL63" s="462">
        <f>SUMIFS(Import!$H:$H,Import!$A:$A,AL$1,Import!$B:$B,$A62,Import!$D:$D,"PP Lead")</f>
        <v>0</v>
      </c>
      <c r="AM63" s="462">
        <f>SUMIFS(Import!$H:$H,Import!$A:$A,AM$1,Import!$B:$B,$A62,Import!$D:$D,"PP Lead")</f>
        <v>0</v>
      </c>
      <c r="AN63" s="462">
        <f>SUMIFS(Import!$H:$H,Import!$A:$A,AN$1,Import!$B:$B,$A62,Import!$D:$D,"PP Lead")</f>
        <v>0</v>
      </c>
      <c r="AO63" s="462">
        <f>SUMIFS(Import!$H:$H,Import!$A:$A,AO$1,Import!$B:$B,$A62,Import!$D:$D,"PP Lead")</f>
        <v>0</v>
      </c>
      <c r="AP63" s="462">
        <f>SUMIFS(Import!$H:$H,Import!$A:$A,AP$1,Import!$B:$B,$A62,Import!$D:$D,"PP Lead")</f>
        <v>0</v>
      </c>
      <c r="AQ63" s="462">
        <f>SUMIFS(Import!$H:$H,Import!$A:$A,AQ$1,Import!$B:$B,$A62,Import!$D:$D,"PP Lead")</f>
        <v>0</v>
      </c>
      <c r="AR63" s="462">
        <f>SUMIFS(Import!$H:$H,Import!$A:$A,AR$1,Import!$B:$B,$A62,Import!$D:$D,"PP Lead")</f>
        <v>0</v>
      </c>
      <c r="AS63" s="462">
        <f>SUMIFS(Import!$H:$H,Import!$A:$A,AS$1,Import!$B:$B,$A62,Import!$D:$D,"PP Lead")</f>
        <v>0</v>
      </c>
      <c r="AT63" s="462">
        <f>SUMIFS(Import!$H:$H,Import!$A:$A,AT$1,Import!$B:$B,$A62,Import!$D:$D,"PP Lead")</f>
        <v>0</v>
      </c>
      <c r="AU63" s="462">
        <f>SUMIFS(Import!$H:$H,Import!$A:$A,AU$1,Import!$B:$B,$A62,Import!$D:$D,"PP Lead")</f>
        <v>0</v>
      </c>
      <c r="AV63" s="462">
        <f>SUMIFS(Import!$H:$H,Import!$A:$A,AV$1,Import!$B:$B,$A62,Import!$D:$D,"PP Lead")</f>
        <v>0</v>
      </c>
      <c r="AW63" s="462">
        <f>SUMIFS(Import!$H:$H,Import!$A:$A,AW$1,Import!$B:$B,$A62,Import!$D:$D,"PP Lead")</f>
        <v>0</v>
      </c>
      <c r="AX63" s="462">
        <f>SUMIFS(Import!$H:$H,Import!$A:$A,AX$1,Import!$B:$B,$A62,Import!$D:$D,"PP Lead")</f>
        <v>0</v>
      </c>
      <c r="AY63" s="462">
        <f>SUMIFS(Import!$H:$H,Import!$A:$A,AY$1,Import!$B:$B,$A62,Import!$D:$D,"PP Lead")</f>
        <v>0</v>
      </c>
      <c r="AZ63" s="462">
        <f>SUMIFS(Import!$H:$H,Import!$A:$A,AZ$1,Import!$B:$B,$A62,Import!$D:$D,"PP Lead")</f>
        <v>0</v>
      </c>
      <c r="BA63" s="462">
        <f>SUMIFS(Import!$H:$H,Import!$A:$A,BA$1,Import!$B:$B,$A62,Import!$D:$D,"PP Lead")</f>
        <v>0</v>
      </c>
      <c r="BB63" s="462">
        <f>SUMIFS(Import!$H:$H,Import!$A:$A,BB$1,Import!$B:$B,$A62,Import!$D:$D,"PP Lead")</f>
        <v>0</v>
      </c>
      <c r="BC63" s="462">
        <f>SUMIFS(Import!$H:$H,Import!$A:$A,BC$1,Import!$B:$B,$A62,Import!$D:$D,"PP Lead")</f>
        <v>0</v>
      </c>
      <c r="BD63" s="463">
        <f>SUMIFS(Import!$H:$H,Import!$A:$A,BD$1,Import!$B:$B,$A62,Import!$D:$D,"PP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IF(Import!T20&lt;&gt;"",Import!T20,"")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SUMIFS(Import!$H:$H,Import!$A:$A,D$1,Import!$B:$B,$A67,Import!$D:$D,"PP Lead")</f>
        <v>0</v>
      </c>
      <c r="E68" s="462">
        <f>SUMIFS(Import!$H:$H,Import!$A:$A,E$1,Import!$B:$B,$A67,Import!$D:$D,"PP Lead")</f>
        <v>0</v>
      </c>
      <c r="F68" s="462">
        <f>SUMIFS(Import!$H:$H,Import!$A:$A,F$1,Import!$B:$B,$A67,Import!$D:$D,"PP Lead")</f>
        <v>0</v>
      </c>
      <c r="G68" s="462">
        <f>SUMIFS(Import!$H:$H,Import!$A:$A,G$1,Import!$B:$B,$A67,Import!$D:$D,"PP Lead")</f>
        <v>0</v>
      </c>
      <c r="H68" s="462">
        <f>SUMIFS(Import!$H:$H,Import!$A:$A,H$1,Import!$B:$B,$A67,Import!$D:$D,"PP Lead")</f>
        <v>0</v>
      </c>
      <c r="I68" s="462">
        <f>SUMIFS(Import!$H:$H,Import!$A:$A,I$1,Import!$B:$B,$A67,Import!$D:$D,"PP Lead")</f>
        <v>0</v>
      </c>
      <c r="J68" s="462">
        <f>SUMIFS(Import!$H:$H,Import!$A:$A,J$1,Import!$B:$B,$A67,Import!$D:$D,"PP Lead")</f>
        <v>0</v>
      </c>
      <c r="K68" s="462">
        <f>SUMIFS(Import!$H:$H,Import!$A:$A,K$1,Import!$B:$B,$A67,Import!$D:$D,"PP Lead")</f>
        <v>0</v>
      </c>
      <c r="L68" s="462">
        <f>SUMIFS(Import!$H:$H,Import!$A:$A,L$1,Import!$B:$B,$A67,Import!$D:$D,"PP Lead")</f>
        <v>0</v>
      </c>
      <c r="M68" s="462">
        <f>SUMIFS(Import!$H:$H,Import!$A:$A,M$1,Import!$B:$B,$A67,Import!$D:$D,"PP Lead")</f>
        <v>0</v>
      </c>
      <c r="N68" s="462">
        <f>SUMIFS(Import!$H:$H,Import!$A:$A,N$1,Import!$B:$B,$A67,Import!$D:$D,"PP Lead")</f>
        <v>0</v>
      </c>
      <c r="O68" s="462">
        <f>SUMIFS(Import!$H:$H,Import!$A:$A,O$1,Import!$B:$B,$A67,Import!$D:$D,"PP Lead")</f>
        <v>0</v>
      </c>
      <c r="P68" s="462">
        <f>SUMIFS(Import!$H:$H,Import!$A:$A,P$1,Import!$B:$B,$A67,Import!$D:$D,"PP Lead")</f>
        <v>0</v>
      </c>
      <c r="Q68" s="462">
        <f>SUMIFS(Import!$H:$H,Import!$A:$A,Q$1,Import!$B:$B,$A67,Import!$D:$D,"PP Lead")</f>
        <v>0</v>
      </c>
      <c r="R68" s="462">
        <f>SUMIFS(Import!$H:$H,Import!$A:$A,R$1,Import!$B:$B,$A67,Import!$D:$D,"PP Lead")</f>
        <v>0</v>
      </c>
      <c r="S68" s="462">
        <f>SUMIFS(Import!$H:$H,Import!$A:$A,S$1,Import!$B:$B,$A67,Import!$D:$D,"PP Lead")</f>
        <v>0</v>
      </c>
      <c r="T68" s="462">
        <f>SUMIFS(Import!$H:$H,Import!$A:$A,T$1,Import!$B:$B,$A67,Import!$D:$D,"PP Lead")</f>
        <v>0</v>
      </c>
      <c r="U68" s="462">
        <f>SUMIFS(Import!$H:$H,Import!$A:$A,U$1,Import!$B:$B,$A67,Import!$D:$D,"PP Lead")</f>
        <v>0</v>
      </c>
      <c r="V68" s="462">
        <f>SUMIFS(Import!$H:$H,Import!$A:$A,V$1,Import!$B:$B,$A67,Import!$D:$D,"PP Lead")</f>
        <v>0</v>
      </c>
      <c r="W68" s="462">
        <f>SUMIFS(Import!$H:$H,Import!$A:$A,W$1,Import!$B:$B,$A67,Import!$D:$D,"PP Lead")</f>
        <v>0</v>
      </c>
      <c r="X68" s="462">
        <f>SUMIFS(Import!$H:$H,Import!$A:$A,X$1,Import!$B:$B,$A67,Import!$D:$D,"PP Lead")</f>
        <v>0</v>
      </c>
      <c r="Y68" s="462">
        <f>SUMIFS(Import!$H:$H,Import!$A:$A,Y$1,Import!$B:$B,$A67,Import!$D:$D,"PP Lead")</f>
        <v>0</v>
      </c>
      <c r="Z68" s="462">
        <f>SUMIFS(Import!$H:$H,Import!$A:$A,Z$1,Import!$B:$B,$A67,Import!$D:$D,"PP Lead")</f>
        <v>0</v>
      </c>
      <c r="AA68" s="462">
        <f>SUMIFS(Import!$H:$H,Import!$A:$A,AA$1,Import!$B:$B,$A67,Import!$D:$D,"PP Lead")</f>
        <v>0</v>
      </c>
      <c r="AB68" s="462">
        <f>SUMIFS(Import!$H:$H,Import!$A:$A,AB$1,Import!$B:$B,$A67,Import!$D:$D,"PP Lead")</f>
        <v>0</v>
      </c>
      <c r="AC68" s="462">
        <f>SUMIFS(Import!$H:$H,Import!$A:$A,AC$1,Import!$B:$B,$A67,Import!$D:$D,"PP Lead")</f>
        <v>0</v>
      </c>
      <c r="AD68" s="462">
        <f>SUMIFS(Import!$H:$H,Import!$A:$A,AD$1,Import!$B:$B,$A67,Import!$D:$D,"PP Lead")</f>
        <v>0</v>
      </c>
      <c r="AE68" s="462">
        <f>SUMIFS(Import!$H:$H,Import!$A:$A,AE$1,Import!$B:$B,$A67,Import!$D:$D,"PP Lead")</f>
        <v>0</v>
      </c>
      <c r="AF68" s="462">
        <f>SUMIFS(Import!$H:$H,Import!$A:$A,AF$1,Import!$B:$B,$A67,Import!$D:$D,"PP Lead")</f>
        <v>0</v>
      </c>
      <c r="AG68" s="462">
        <f>SUMIFS(Import!$H:$H,Import!$A:$A,AG$1,Import!$B:$B,$A67,Import!$D:$D,"PP Lead")</f>
        <v>0</v>
      </c>
      <c r="AH68" s="462">
        <f>SUMIFS(Import!$H:$H,Import!$A:$A,AH$1,Import!$B:$B,$A67,Import!$D:$D,"PP Lead")</f>
        <v>0</v>
      </c>
      <c r="AI68" s="462">
        <f>SUMIFS(Import!$H:$H,Import!$A:$A,AI$1,Import!$B:$B,$A67,Import!$D:$D,"PP Lead")</f>
        <v>0</v>
      </c>
      <c r="AJ68" s="462">
        <f>SUMIFS(Import!$H:$H,Import!$A:$A,AJ$1,Import!$B:$B,$A67,Import!$D:$D,"PP Lead")</f>
        <v>0</v>
      </c>
      <c r="AK68" s="462">
        <f>SUMIFS(Import!$H:$H,Import!$A:$A,AK$1,Import!$B:$B,$A67,Import!$D:$D,"PP Lead")</f>
        <v>0</v>
      </c>
      <c r="AL68" s="462">
        <f>SUMIFS(Import!$H:$H,Import!$A:$A,AL$1,Import!$B:$B,$A67,Import!$D:$D,"PP Lead")</f>
        <v>0</v>
      </c>
      <c r="AM68" s="462">
        <f>SUMIFS(Import!$H:$H,Import!$A:$A,AM$1,Import!$B:$B,$A67,Import!$D:$D,"PP Lead")</f>
        <v>0</v>
      </c>
      <c r="AN68" s="462">
        <f>SUMIFS(Import!$H:$H,Import!$A:$A,AN$1,Import!$B:$B,$A67,Import!$D:$D,"PP Lead")</f>
        <v>0</v>
      </c>
      <c r="AO68" s="462">
        <f>SUMIFS(Import!$H:$H,Import!$A:$A,AO$1,Import!$B:$B,$A67,Import!$D:$D,"PP Lead")</f>
        <v>0</v>
      </c>
      <c r="AP68" s="462">
        <f>SUMIFS(Import!$H:$H,Import!$A:$A,AP$1,Import!$B:$B,$A67,Import!$D:$D,"PP Lead")</f>
        <v>0</v>
      </c>
      <c r="AQ68" s="462">
        <f>SUMIFS(Import!$H:$H,Import!$A:$A,AQ$1,Import!$B:$B,$A67,Import!$D:$D,"PP Lead")</f>
        <v>0</v>
      </c>
      <c r="AR68" s="462">
        <f>SUMIFS(Import!$H:$H,Import!$A:$A,AR$1,Import!$B:$B,$A67,Import!$D:$D,"PP Lead")</f>
        <v>0</v>
      </c>
      <c r="AS68" s="462">
        <f>SUMIFS(Import!$H:$H,Import!$A:$A,AS$1,Import!$B:$B,$A67,Import!$D:$D,"PP Lead")</f>
        <v>0</v>
      </c>
      <c r="AT68" s="462">
        <f>SUMIFS(Import!$H:$H,Import!$A:$A,AT$1,Import!$B:$B,$A67,Import!$D:$D,"PP Lead")</f>
        <v>0</v>
      </c>
      <c r="AU68" s="462">
        <f>SUMIFS(Import!$H:$H,Import!$A:$A,AU$1,Import!$B:$B,$A67,Import!$D:$D,"PP Lead")</f>
        <v>0</v>
      </c>
      <c r="AV68" s="462">
        <f>SUMIFS(Import!$H:$H,Import!$A:$A,AV$1,Import!$B:$B,$A67,Import!$D:$D,"PP Lead")</f>
        <v>0</v>
      </c>
      <c r="AW68" s="462">
        <f>SUMIFS(Import!$H:$H,Import!$A:$A,AW$1,Import!$B:$B,$A67,Import!$D:$D,"PP Lead")</f>
        <v>0</v>
      </c>
      <c r="AX68" s="462">
        <f>SUMIFS(Import!$H:$H,Import!$A:$A,AX$1,Import!$B:$B,$A67,Import!$D:$D,"PP Lead")</f>
        <v>0</v>
      </c>
      <c r="AY68" s="462">
        <f>SUMIFS(Import!$H:$H,Import!$A:$A,AY$1,Import!$B:$B,$A67,Import!$D:$D,"PP Lead")</f>
        <v>0</v>
      </c>
      <c r="AZ68" s="462">
        <f>SUMIFS(Import!$H:$H,Import!$A:$A,AZ$1,Import!$B:$B,$A67,Import!$D:$D,"PP Lead")</f>
        <v>0</v>
      </c>
      <c r="BA68" s="462">
        <f>SUMIFS(Import!$H:$H,Import!$A:$A,BA$1,Import!$B:$B,$A67,Import!$D:$D,"PP Lead")</f>
        <v>0</v>
      </c>
      <c r="BB68" s="462">
        <f>SUMIFS(Import!$H:$H,Import!$A:$A,BB$1,Import!$B:$B,$A67,Import!$D:$D,"PP Lead")</f>
        <v>0</v>
      </c>
      <c r="BC68" s="462">
        <f>SUMIFS(Import!$H:$H,Import!$A:$A,BC$1,Import!$B:$B,$A67,Import!$D:$D,"PP Lead")</f>
        <v>0</v>
      </c>
      <c r="BD68" s="463">
        <f>SUMIFS(Import!$H:$H,Import!$A:$A,BD$1,Import!$B:$B,$A67,Import!$D:$D,"PP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IF(Import!T21&lt;&gt;"",Import!T21,"")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SUMIFS(Import!$H:$H,Import!$A:$A,D$1,Import!$B:$B,$A72,Import!$D:$D,"PP Lead")</f>
        <v>0</v>
      </c>
      <c r="E73" s="462">
        <f>SUMIFS(Import!$H:$H,Import!$A:$A,E$1,Import!$B:$B,$A72,Import!$D:$D,"PP Lead")</f>
        <v>0</v>
      </c>
      <c r="F73" s="462">
        <f>SUMIFS(Import!$H:$H,Import!$A:$A,F$1,Import!$B:$B,$A72,Import!$D:$D,"PP Lead")</f>
        <v>0</v>
      </c>
      <c r="G73" s="462">
        <f>SUMIFS(Import!$H:$H,Import!$A:$A,G$1,Import!$B:$B,$A72,Import!$D:$D,"PP Lead")</f>
        <v>0</v>
      </c>
      <c r="H73" s="462">
        <f>SUMIFS(Import!$H:$H,Import!$A:$A,H$1,Import!$B:$B,$A72,Import!$D:$D,"PP Lead")</f>
        <v>0</v>
      </c>
      <c r="I73" s="462">
        <f>SUMIFS(Import!$H:$H,Import!$A:$A,I$1,Import!$B:$B,$A72,Import!$D:$D,"PP Lead")</f>
        <v>0</v>
      </c>
      <c r="J73" s="462">
        <f>SUMIFS(Import!$H:$H,Import!$A:$A,J$1,Import!$B:$B,$A72,Import!$D:$D,"PP Lead")</f>
        <v>0</v>
      </c>
      <c r="K73" s="462">
        <f>SUMIFS(Import!$H:$H,Import!$A:$A,K$1,Import!$B:$B,$A72,Import!$D:$D,"PP Lead")</f>
        <v>0</v>
      </c>
      <c r="L73" s="462">
        <f>SUMIFS(Import!$H:$H,Import!$A:$A,L$1,Import!$B:$B,$A72,Import!$D:$D,"PP Lead")</f>
        <v>0</v>
      </c>
      <c r="M73" s="462">
        <f>SUMIFS(Import!$H:$H,Import!$A:$A,M$1,Import!$B:$B,$A72,Import!$D:$D,"PP Lead")</f>
        <v>0</v>
      </c>
      <c r="N73" s="462">
        <f>SUMIFS(Import!$H:$H,Import!$A:$A,N$1,Import!$B:$B,$A72,Import!$D:$D,"PP Lead")</f>
        <v>0</v>
      </c>
      <c r="O73" s="462">
        <f>SUMIFS(Import!$H:$H,Import!$A:$A,O$1,Import!$B:$B,$A72,Import!$D:$D,"PP Lead")</f>
        <v>0</v>
      </c>
      <c r="P73" s="462">
        <f>SUMIFS(Import!$H:$H,Import!$A:$A,P$1,Import!$B:$B,$A72,Import!$D:$D,"PP Lead")</f>
        <v>0</v>
      </c>
      <c r="Q73" s="462">
        <f>SUMIFS(Import!$H:$H,Import!$A:$A,Q$1,Import!$B:$B,$A72,Import!$D:$D,"PP Lead")</f>
        <v>0</v>
      </c>
      <c r="R73" s="462">
        <f>SUMIFS(Import!$H:$H,Import!$A:$A,R$1,Import!$B:$B,$A72,Import!$D:$D,"PP Lead")</f>
        <v>0</v>
      </c>
      <c r="S73" s="462">
        <f>SUMIFS(Import!$H:$H,Import!$A:$A,S$1,Import!$B:$B,$A72,Import!$D:$D,"PP Lead")</f>
        <v>0</v>
      </c>
      <c r="T73" s="462">
        <f>SUMIFS(Import!$H:$H,Import!$A:$A,T$1,Import!$B:$B,$A72,Import!$D:$D,"PP Lead")</f>
        <v>0</v>
      </c>
      <c r="U73" s="462">
        <f>SUMIFS(Import!$H:$H,Import!$A:$A,U$1,Import!$B:$B,$A72,Import!$D:$D,"PP Lead")</f>
        <v>0</v>
      </c>
      <c r="V73" s="462">
        <f>SUMIFS(Import!$H:$H,Import!$A:$A,V$1,Import!$B:$B,$A72,Import!$D:$D,"PP Lead")</f>
        <v>0</v>
      </c>
      <c r="W73" s="462">
        <f>SUMIFS(Import!$H:$H,Import!$A:$A,W$1,Import!$B:$B,$A72,Import!$D:$D,"PP Lead")</f>
        <v>0</v>
      </c>
      <c r="X73" s="462">
        <f>SUMIFS(Import!$H:$H,Import!$A:$A,X$1,Import!$B:$B,$A72,Import!$D:$D,"PP Lead")</f>
        <v>0</v>
      </c>
      <c r="Y73" s="462">
        <f>SUMIFS(Import!$H:$H,Import!$A:$A,Y$1,Import!$B:$B,$A72,Import!$D:$D,"PP Lead")</f>
        <v>0</v>
      </c>
      <c r="Z73" s="462">
        <f>SUMIFS(Import!$H:$H,Import!$A:$A,Z$1,Import!$B:$B,$A72,Import!$D:$D,"PP Lead")</f>
        <v>0</v>
      </c>
      <c r="AA73" s="462">
        <f>SUMIFS(Import!$H:$H,Import!$A:$A,AA$1,Import!$B:$B,$A72,Import!$D:$D,"PP Lead")</f>
        <v>0</v>
      </c>
      <c r="AB73" s="462">
        <f>SUMIFS(Import!$H:$H,Import!$A:$A,AB$1,Import!$B:$B,$A72,Import!$D:$D,"PP Lead")</f>
        <v>0</v>
      </c>
      <c r="AC73" s="462">
        <f>SUMIFS(Import!$H:$H,Import!$A:$A,AC$1,Import!$B:$B,$A72,Import!$D:$D,"PP Lead")</f>
        <v>0</v>
      </c>
      <c r="AD73" s="462">
        <f>SUMIFS(Import!$H:$H,Import!$A:$A,AD$1,Import!$B:$B,$A72,Import!$D:$D,"PP Lead")</f>
        <v>0</v>
      </c>
      <c r="AE73" s="462">
        <f>SUMIFS(Import!$H:$H,Import!$A:$A,AE$1,Import!$B:$B,$A72,Import!$D:$D,"PP Lead")</f>
        <v>0</v>
      </c>
      <c r="AF73" s="462">
        <f>SUMIFS(Import!$H:$H,Import!$A:$A,AF$1,Import!$B:$B,$A72,Import!$D:$D,"PP Lead")</f>
        <v>0</v>
      </c>
      <c r="AG73" s="462">
        <f>SUMIFS(Import!$H:$H,Import!$A:$A,AG$1,Import!$B:$B,$A72,Import!$D:$D,"PP Lead")</f>
        <v>0</v>
      </c>
      <c r="AH73" s="462">
        <f>SUMIFS(Import!$H:$H,Import!$A:$A,AH$1,Import!$B:$B,$A72,Import!$D:$D,"PP Lead")</f>
        <v>0</v>
      </c>
      <c r="AI73" s="462">
        <f>SUMIFS(Import!$H:$H,Import!$A:$A,AI$1,Import!$B:$B,$A72,Import!$D:$D,"PP Lead")</f>
        <v>0</v>
      </c>
      <c r="AJ73" s="462">
        <f>SUMIFS(Import!$H:$H,Import!$A:$A,AJ$1,Import!$B:$B,$A72,Import!$D:$D,"PP Lead")</f>
        <v>0</v>
      </c>
      <c r="AK73" s="462">
        <f>SUMIFS(Import!$H:$H,Import!$A:$A,AK$1,Import!$B:$B,$A72,Import!$D:$D,"PP Lead")</f>
        <v>0</v>
      </c>
      <c r="AL73" s="462">
        <f>SUMIFS(Import!$H:$H,Import!$A:$A,AL$1,Import!$B:$B,$A72,Import!$D:$D,"PP Lead")</f>
        <v>0</v>
      </c>
      <c r="AM73" s="462">
        <f>SUMIFS(Import!$H:$H,Import!$A:$A,AM$1,Import!$B:$B,$A72,Import!$D:$D,"PP Lead")</f>
        <v>0</v>
      </c>
      <c r="AN73" s="462">
        <f>SUMIFS(Import!$H:$H,Import!$A:$A,AN$1,Import!$B:$B,$A72,Import!$D:$D,"PP Lead")</f>
        <v>0</v>
      </c>
      <c r="AO73" s="462">
        <f>SUMIFS(Import!$H:$H,Import!$A:$A,AO$1,Import!$B:$B,$A72,Import!$D:$D,"PP Lead")</f>
        <v>0</v>
      </c>
      <c r="AP73" s="462">
        <f>SUMIFS(Import!$H:$H,Import!$A:$A,AP$1,Import!$B:$B,$A72,Import!$D:$D,"PP Lead")</f>
        <v>0</v>
      </c>
      <c r="AQ73" s="462">
        <f>SUMIFS(Import!$H:$H,Import!$A:$A,AQ$1,Import!$B:$B,$A72,Import!$D:$D,"PP Lead")</f>
        <v>0</v>
      </c>
      <c r="AR73" s="462">
        <f>SUMIFS(Import!$H:$H,Import!$A:$A,AR$1,Import!$B:$B,$A72,Import!$D:$D,"PP Lead")</f>
        <v>0</v>
      </c>
      <c r="AS73" s="462">
        <f>SUMIFS(Import!$H:$H,Import!$A:$A,AS$1,Import!$B:$B,$A72,Import!$D:$D,"PP Lead")</f>
        <v>0</v>
      </c>
      <c r="AT73" s="462">
        <f>SUMIFS(Import!$H:$H,Import!$A:$A,AT$1,Import!$B:$B,$A72,Import!$D:$D,"PP Lead")</f>
        <v>0</v>
      </c>
      <c r="AU73" s="462">
        <f>SUMIFS(Import!$H:$H,Import!$A:$A,AU$1,Import!$B:$B,$A72,Import!$D:$D,"PP Lead")</f>
        <v>0</v>
      </c>
      <c r="AV73" s="462">
        <f>SUMIFS(Import!$H:$H,Import!$A:$A,AV$1,Import!$B:$B,$A72,Import!$D:$D,"PP Lead")</f>
        <v>0</v>
      </c>
      <c r="AW73" s="462">
        <f>SUMIFS(Import!$H:$H,Import!$A:$A,AW$1,Import!$B:$B,$A72,Import!$D:$D,"PP Lead")</f>
        <v>0</v>
      </c>
      <c r="AX73" s="462">
        <f>SUMIFS(Import!$H:$H,Import!$A:$A,AX$1,Import!$B:$B,$A72,Import!$D:$D,"PP Lead")</f>
        <v>0</v>
      </c>
      <c r="AY73" s="462">
        <f>SUMIFS(Import!$H:$H,Import!$A:$A,AY$1,Import!$B:$B,$A72,Import!$D:$D,"PP Lead")</f>
        <v>0</v>
      </c>
      <c r="AZ73" s="462">
        <f>SUMIFS(Import!$H:$H,Import!$A:$A,AZ$1,Import!$B:$B,$A72,Import!$D:$D,"PP Lead")</f>
        <v>0</v>
      </c>
      <c r="BA73" s="462">
        <f>SUMIFS(Import!$H:$H,Import!$A:$A,BA$1,Import!$B:$B,$A72,Import!$D:$D,"PP Lead")</f>
        <v>0</v>
      </c>
      <c r="BB73" s="462">
        <f>SUMIFS(Import!$H:$H,Import!$A:$A,BB$1,Import!$B:$B,$A72,Import!$D:$D,"PP Lead")</f>
        <v>0</v>
      </c>
      <c r="BC73" s="462">
        <f>SUMIFS(Import!$H:$H,Import!$A:$A,BC$1,Import!$B:$B,$A72,Import!$D:$D,"PP Lead")</f>
        <v>0</v>
      </c>
      <c r="BD73" s="463">
        <f>SUMIFS(Import!$H:$H,Import!$A:$A,BD$1,Import!$B:$B,$A72,Import!$D:$D,"PP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IF(Import!T22&lt;&gt;"",Import!T22,"")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SUMIFS(Import!$H:$H,Import!$A:$A,D$1,Import!$B:$B,$A77,Import!$D:$D,"PP Lead")</f>
        <v>0</v>
      </c>
      <c r="E78" s="462">
        <f>SUMIFS(Import!$H:$H,Import!$A:$A,E$1,Import!$B:$B,$A77,Import!$D:$D,"PP Lead")</f>
        <v>0</v>
      </c>
      <c r="F78" s="462">
        <f>SUMIFS(Import!$H:$H,Import!$A:$A,F$1,Import!$B:$B,$A77,Import!$D:$D,"PP Lead")</f>
        <v>0</v>
      </c>
      <c r="G78" s="462">
        <f>SUMIFS(Import!$H:$H,Import!$A:$A,G$1,Import!$B:$B,$A77,Import!$D:$D,"PP Lead")</f>
        <v>0</v>
      </c>
      <c r="H78" s="462">
        <f>SUMIFS(Import!$H:$H,Import!$A:$A,H$1,Import!$B:$B,$A77,Import!$D:$D,"PP Lead")</f>
        <v>0</v>
      </c>
      <c r="I78" s="462">
        <f>SUMIFS(Import!$H:$H,Import!$A:$A,I$1,Import!$B:$B,$A77,Import!$D:$D,"PP Lead")</f>
        <v>0</v>
      </c>
      <c r="J78" s="462">
        <f>SUMIFS(Import!$H:$H,Import!$A:$A,J$1,Import!$B:$B,$A77,Import!$D:$D,"PP Lead")</f>
        <v>0</v>
      </c>
      <c r="K78" s="462">
        <f>SUMIFS(Import!$H:$H,Import!$A:$A,K$1,Import!$B:$B,$A77,Import!$D:$D,"PP Lead")</f>
        <v>0</v>
      </c>
      <c r="L78" s="462">
        <f>SUMIFS(Import!$H:$H,Import!$A:$A,L$1,Import!$B:$B,$A77,Import!$D:$D,"PP Lead")</f>
        <v>0</v>
      </c>
      <c r="M78" s="462">
        <f>SUMIFS(Import!$H:$H,Import!$A:$A,M$1,Import!$B:$B,$A77,Import!$D:$D,"PP Lead")</f>
        <v>0</v>
      </c>
      <c r="N78" s="462">
        <f>SUMIFS(Import!$H:$H,Import!$A:$A,N$1,Import!$B:$B,$A77,Import!$D:$D,"PP Lead")</f>
        <v>0</v>
      </c>
      <c r="O78" s="462">
        <f>SUMIFS(Import!$H:$H,Import!$A:$A,O$1,Import!$B:$B,$A77,Import!$D:$D,"PP Lead")</f>
        <v>0</v>
      </c>
      <c r="P78" s="462">
        <f>SUMIFS(Import!$H:$H,Import!$A:$A,P$1,Import!$B:$B,$A77,Import!$D:$D,"PP Lead")</f>
        <v>0</v>
      </c>
      <c r="Q78" s="462">
        <f>SUMIFS(Import!$H:$H,Import!$A:$A,Q$1,Import!$B:$B,$A77,Import!$D:$D,"PP Lead")</f>
        <v>0</v>
      </c>
      <c r="R78" s="462">
        <f>SUMIFS(Import!$H:$H,Import!$A:$A,R$1,Import!$B:$B,$A77,Import!$D:$D,"PP Lead")</f>
        <v>0</v>
      </c>
      <c r="S78" s="462">
        <f>SUMIFS(Import!$H:$H,Import!$A:$A,S$1,Import!$B:$B,$A77,Import!$D:$D,"PP Lead")</f>
        <v>0</v>
      </c>
      <c r="T78" s="462">
        <f>SUMIFS(Import!$H:$H,Import!$A:$A,T$1,Import!$B:$B,$A77,Import!$D:$D,"PP Lead")</f>
        <v>0</v>
      </c>
      <c r="U78" s="462">
        <f>SUMIFS(Import!$H:$H,Import!$A:$A,U$1,Import!$B:$B,$A77,Import!$D:$D,"PP Lead")</f>
        <v>0</v>
      </c>
      <c r="V78" s="462">
        <f>SUMIFS(Import!$H:$H,Import!$A:$A,V$1,Import!$B:$B,$A77,Import!$D:$D,"PP Lead")</f>
        <v>0</v>
      </c>
      <c r="W78" s="462">
        <f>SUMIFS(Import!$H:$H,Import!$A:$A,W$1,Import!$B:$B,$A77,Import!$D:$D,"PP Lead")</f>
        <v>0</v>
      </c>
      <c r="X78" s="462">
        <f>SUMIFS(Import!$H:$H,Import!$A:$A,X$1,Import!$B:$B,$A77,Import!$D:$D,"PP Lead")</f>
        <v>0</v>
      </c>
      <c r="Y78" s="462">
        <f>SUMIFS(Import!$H:$H,Import!$A:$A,Y$1,Import!$B:$B,$A77,Import!$D:$D,"PP Lead")</f>
        <v>0</v>
      </c>
      <c r="Z78" s="462">
        <f>SUMIFS(Import!$H:$H,Import!$A:$A,Z$1,Import!$B:$B,$A77,Import!$D:$D,"PP Lead")</f>
        <v>0</v>
      </c>
      <c r="AA78" s="462">
        <f>SUMIFS(Import!$H:$H,Import!$A:$A,AA$1,Import!$B:$B,$A77,Import!$D:$D,"PP Lead")</f>
        <v>0</v>
      </c>
      <c r="AB78" s="462">
        <f>SUMIFS(Import!$H:$H,Import!$A:$A,AB$1,Import!$B:$B,$A77,Import!$D:$D,"PP Lead")</f>
        <v>0</v>
      </c>
      <c r="AC78" s="462">
        <f>SUMIFS(Import!$H:$H,Import!$A:$A,AC$1,Import!$B:$B,$A77,Import!$D:$D,"PP Lead")</f>
        <v>0</v>
      </c>
      <c r="AD78" s="462">
        <f>SUMIFS(Import!$H:$H,Import!$A:$A,AD$1,Import!$B:$B,$A77,Import!$D:$D,"PP Lead")</f>
        <v>0</v>
      </c>
      <c r="AE78" s="462">
        <f>SUMIFS(Import!$H:$H,Import!$A:$A,AE$1,Import!$B:$B,$A77,Import!$D:$D,"PP Lead")</f>
        <v>0</v>
      </c>
      <c r="AF78" s="462">
        <f>SUMIFS(Import!$H:$H,Import!$A:$A,AF$1,Import!$B:$B,$A77,Import!$D:$D,"PP Lead")</f>
        <v>0</v>
      </c>
      <c r="AG78" s="462">
        <f>SUMIFS(Import!$H:$H,Import!$A:$A,AG$1,Import!$B:$B,$A77,Import!$D:$D,"PP Lead")</f>
        <v>0</v>
      </c>
      <c r="AH78" s="462">
        <f>SUMIFS(Import!$H:$H,Import!$A:$A,AH$1,Import!$B:$B,$A77,Import!$D:$D,"PP Lead")</f>
        <v>0</v>
      </c>
      <c r="AI78" s="462">
        <f>SUMIFS(Import!$H:$H,Import!$A:$A,AI$1,Import!$B:$B,$A77,Import!$D:$D,"PP Lead")</f>
        <v>0</v>
      </c>
      <c r="AJ78" s="462">
        <f>SUMIFS(Import!$H:$H,Import!$A:$A,AJ$1,Import!$B:$B,$A77,Import!$D:$D,"PP Lead")</f>
        <v>0</v>
      </c>
      <c r="AK78" s="462">
        <f>SUMIFS(Import!$H:$H,Import!$A:$A,AK$1,Import!$B:$B,$A77,Import!$D:$D,"PP Lead")</f>
        <v>0</v>
      </c>
      <c r="AL78" s="462">
        <f>SUMIFS(Import!$H:$H,Import!$A:$A,AL$1,Import!$B:$B,$A77,Import!$D:$D,"PP Lead")</f>
        <v>0</v>
      </c>
      <c r="AM78" s="462">
        <f>SUMIFS(Import!$H:$H,Import!$A:$A,AM$1,Import!$B:$B,$A77,Import!$D:$D,"PP Lead")</f>
        <v>0</v>
      </c>
      <c r="AN78" s="462">
        <f>SUMIFS(Import!$H:$H,Import!$A:$A,AN$1,Import!$B:$B,$A77,Import!$D:$D,"PP Lead")</f>
        <v>0</v>
      </c>
      <c r="AO78" s="462">
        <f>SUMIFS(Import!$H:$H,Import!$A:$A,AO$1,Import!$B:$B,$A77,Import!$D:$D,"PP Lead")</f>
        <v>0</v>
      </c>
      <c r="AP78" s="462">
        <f>SUMIFS(Import!$H:$H,Import!$A:$A,AP$1,Import!$B:$B,$A77,Import!$D:$D,"PP Lead")</f>
        <v>0</v>
      </c>
      <c r="AQ78" s="462">
        <f>SUMIFS(Import!$H:$H,Import!$A:$A,AQ$1,Import!$B:$B,$A77,Import!$D:$D,"PP Lead")</f>
        <v>0</v>
      </c>
      <c r="AR78" s="462">
        <f>SUMIFS(Import!$H:$H,Import!$A:$A,AR$1,Import!$B:$B,$A77,Import!$D:$D,"PP Lead")</f>
        <v>0</v>
      </c>
      <c r="AS78" s="462">
        <f>SUMIFS(Import!$H:$H,Import!$A:$A,AS$1,Import!$B:$B,$A77,Import!$D:$D,"PP Lead")</f>
        <v>0</v>
      </c>
      <c r="AT78" s="462">
        <f>SUMIFS(Import!$H:$H,Import!$A:$A,AT$1,Import!$B:$B,$A77,Import!$D:$D,"PP Lead")</f>
        <v>0</v>
      </c>
      <c r="AU78" s="462">
        <f>SUMIFS(Import!$H:$H,Import!$A:$A,AU$1,Import!$B:$B,$A77,Import!$D:$D,"PP Lead")</f>
        <v>0</v>
      </c>
      <c r="AV78" s="462">
        <f>SUMIFS(Import!$H:$H,Import!$A:$A,AV$1,Import!$B:$B,$A77,Import!$D:$D,"PP Lead")</f>
        <v>0</v>
      </c>
      <c r="AW78" s="462">
        <f>SUMIFS(Import!$H:$H,Import!$A:$A,AW$1,Import!$B:$B,$A77,Import!$D:$D,"PP Lead")</f>
        <v>0</v>
      </c>
      <c r="AX78" s="462">
        <f>SUMIFS(Import!$H:$H,Import!$A:$A,AX$1,Import!$B:$B,$A77,Import!$D:$D,"PP Lead")</f>
        <v>0</v>
      </c>
      <c r="AY78" s="462">
        <f>SUMIFS(Import!$H:$H,Import!$A:$A,AY$1,Import!$B:$B,$A77,Import!$D:$D,"PP Lead")</f>
        <v>0</v>
      </c>
      <c r="AZ78" s="462">
        <f>SUMIFS(Import!$H:$H,Import!$A:$A,AZ$1,Import!$B:$B,$A77,Import!$D:$D,"PP Lead")</f>
        <v>0</v>
      </c>
      <c r="BA78" s="462">
        <f>SUMIFS(Import!$H:$H,Import!$A:$A,BA$1,Import!$B:$B,$A77,Import!$D:$D,"PP Lead")</f>
        <v>0</v>
      </c>
      <c r="BB78" s="462">
        <f>SUMIFS(Import!$H:$H,Import!$A:$A,BB$1,Import!$B:$B,$A77,Import!$D:$D,"PP Lead")</f>
        <v>0</v>
      </c>
      <c r="BC78" s="462">
        <f>SUMIFS(Import!$H:$H,Import!$A:$A,BC$1,Import!$B:$B,$A77,Import!$D:$D,"PP Lead")</f>
        <v>0</v>
      </c>
      <c r="BD78" s="463">
        <f>SUMIFS(Import!$H:$H,Import!$A:$A,BD$1,Import!$B:$B,$A77,Import!$D:$D,"PP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2"/>
      <c r="G83" s="42"/>
      <c r="H83" s="42"/>
      <c r="I83" s="42"/>
      <c r="J83" s="42"/>
      <c r="K83" s="44"/>
      <c r="L83" s="42"/>
      <c r="M83" s="42"/>
      <c r="N83" s="44"/>
      <c r="O83" s="42"/>
      <c r="P83" s="42"/>
      <c r="Q83" s="42"/>
      <c r="R83" s="42"/>
      <c r="S83" s="42"/>
      <c r="T83" s="44"/>
      <c r="U83" s="44"/>
      <c r="V83" s="42"/>
      <c r="W83" s="44"/>
      <c r="X83" s="44"/>
      <c r="Y83" s="44"/>
      <c r="Z83" s="44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0</v>
      </c>
      <c r="D84" s="8">
        <f>SUM(D2,D7,D12,D17,D22,D27,D32,D37,D42,D47,D52,D57,D62,D67,D72,D77)</f>
        <v>0</v>
      </c>
      <c r="E84" s="9">
        <f>SUM(E2,E7,E12,E17,E22,E27,E32,E37,E42,E47,E52,E57,E62,E67,E72,E77)</f>
        <v>0</v>
      </c>
      <c r="F84" s="9">
        <f>SUM(F2,F7,F12,F17,F22,F27,F32,F37,F42,F47,F52,F57,F62,F67,F72,F77)</f>
        <v>0</v>
      </c>
      <c r="G84" s="9">
        <f>SUM(G2,G7,G12,G17,G22,G27,G32,G37,G42,G47,G52,G57,G62,G67,G72,G77)</f>
        <v>0</v>
      </c>
      <c r="H84" s="9">
        <f>SUM(H2,H7,H12,H17,H22,H27,H32,H37,H42,H47,H52,H57,H62,H67,H72,H77)</f>
        <v>0</v>
      </c>
      <c r="I84" s="9">
        <f>SUM(I2,I7,I12,I17,I22,I27,I32,I37,I42,I47,I52,I57,I62,I67,I72,I77)</f>
        <v>0</v>
      </c>
      <c r="J84" s="9">
        <f>SUM(J2,J7,J12,J17,J22,J27,J32,J37,J42,J47,J52,J57,J62,J67,J72,J77)</f>
        <v>0</v>
      </c>
      <c r="K84" s="9">
        <f>SUM(K2,K7,K12,K17,K22,K27,K32,K37,K42,K47,K52,K57,K62,K67,K72,K77)</f>
        <v>0</v>
      </c>
      <c r="L84" s="9">
        <f>SUM(L2,L7,L12,L17,L22,L27,L32,L37,L42,L47,L52,L57,L62,L67,L72,L77)</f>
        <v>0</v>
      </c>
      <c r="M84" s="9">
        <f>SUM(M2,M7,M12,M17,M22,M27,M32,M37,M42,M47,M52,M57,M62,M67,M72,M77)</f>
        <v>0</v>
      </c>
      <c r="N84" s="9">
        <f>SUM(N2,N7,N12,N17,N22,N27,N32,N37,N42,N47,N52,N57,N62,N67,N72,N77)</f>
        <v>0</v>
      </c>
      <c r="O84" s="9">
        <f>SUM(O2,O7,O12,O17,O22,O27,O32,O37,O42,O47,O52,O57,O62,O67,O72,O77)</f>
        <v>0</v>
      </c>
      <c r="P84" s="9">
        <f>SUM(P2,P7,P12,P17,P22,P27,P32,P37,P42,P47,P52,P57,P62,P67,P72,P77)</f>
        <v>0</v>
      </c>
      <c r="Q84" s="9">
        <f>SUM(Q2,Q7,Q12,Q17,Q22,Q27,Q32,Q37,Q42,Q47,Q52,Q57,Q62,Q67,Q72,Q77)</f>
        <v>0</v>
      </c>
      <c r="R84" s="9">
        <f>SUM(R2,R7,R12,R17,R22,R27,R32,R37,R42,R47,R52,R57,R62,R67,R72,R77)</f>
        <v>0</v>
      </c>
      <c r="S84" s="9">
        <f>SUM(S2,S7,S12,S17,S22,S27,S32,S37,S42,S47,S52,S57,S62,S67,S72,S77)</f>
        <v>0</v>
      </c>
      <c r="T84" s="9">
        <f>SUM(T2,T7,T12,T17,T22,T27,T32,T37,T42,T47,T52,T57,T62,T67,T72,T77)</f>
        <v>0</v>
      </c>
      <c r="U84" s="9">
        <f>SUM(U2,U7,U12,U17,U22,U27,U32,U37,U42,U47,U52,U57,U62,U67,U72,U77)</f>
        <v>0</v>
      </c>
      <c r="V84" s="9">
        <f>SUM(V2,V7,V12,V17,V22,V27,V32,V37,V42,V47,V52,V57,V62,V67,V72,V77)</f>
        <v>0</v>
      </c>
      <c r="W84" s="9">
        <f>SUM(W2,W7,W12,W17,W22,W27,W32,W37,W42,W47,W52,W57,W62,W67,W72,W77)</f>
        <v>0</v>
      </c>
      <c r="X84" s="9">
        <f>SUM(X2,X7,X12,X17,X22,X27,X32,X37,X42,X47,X52,X57,X62,X67,X72,X77)</f>
        <v>0</v>
      </c>
      <c r="Y84" s="9">
        <f>SUM(Y2,Y7,Y12,Y17,Y22,Y27,Y32,Y37,Y42,Y47,Y52,Y57,Y62,Y67,Y72,Y77)</f>
        <v>0</v>
      </c>
      <c r="Z84" s="9">
        <f>SUM(Z2,Z7,Z12,Z17,Z22,Z27,Z32,Z37,Z42,Z47,Z52,Z57,Z62,Z67,Z72,Z77)</f>
        <v>0</v>
      </c>
      <c r="AA84" s="9">
        <f>SUM(AA2,AA7,AA12,AA17,AA22,AA27,AA32,AA37,AA42,AA47,AA52,AA57,AA62,AA67,AA72,AA77)</f>
        <v>0</v>
      </c>
      <c r="AB84" s="9">
        <f>SUM(AB2,AB7,AB12,AB17,AB22,AB27,AB32,AB37,AB42,AB47,AB52,AB57,AB62,AB67,AB72,AB77)</f>
        <v>0</v>
      </c>
      <c r="AC84" s="9">
        <f>SUM(AC2,AC7,AC12,AC17,AC22,AC27,AC32,AC37,AC42,AC47,AC52,AC57,AC62,AC67,AC72,AC77)</f>
        <v>0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0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0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>
        <f>IFERROR("Total Cost: $"&amp;ROUND((C87-0.46*C86)*1.26+(0.46*C86),2)&amp;" - "&amp;"Hourly: $"&amp;ROUND(((C87-0.46*C86)*1.26+(0.46*C86))/C84,2),0)</f>
        <v>0</v>
      </c>
      <c r="B87" s="31" t="s">
        <v>28</v>
      </c>
      <c r="C87" s="32">
        <f>SUM(C6,C11,C16,C21,C26,C31,C36,C41,C46,C51,C56,C61,C66,C71,C76,C8)</f>
        <v>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bRQnnmdP36RUc0tcocFLMvEl8iP/+HGY5B/xe6WkgcGEtWgzyLKB2m+WO/hj+JFCdomH6S9vO7PYCz99Zz0RGA==" saltValue="eAluje/noMzYJidAq0UONQ==" spinCount="100000" sheet="1" objects="1" scenarios="1"/>
  <sortState columnSort="1" ref="D1:BD86">
    <sortCondition ref="D1:BD1"/>
  </sortState>
  <dataConsolidate link="1"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70" priority="13">
      <formula>LEN(TRIM(A30))&gt;0</formula>
    </cfRule>
  </conditionalFormatting>
  <conditionalFormatting sqref="D1:H1">
    <cfRule type="duplicateValues" dxfId="69" priority="10"/>
  </conditionalFormatting>
  <conditionalFormatting sqref="A3:A5 A14:A15 A19:A20 A24:A25">
    <cfRule type="notContainsBlanks" dxfId="68" priority="9">
      <formula>LEN(TRIM(A3))&gt;0</formula>
    </cfRule>
  </conditionalFormatting>
  <conditionalFormatting sqref="A38:A40 A43:A45 A48:A50 A53:A55 A58:A60 A63:A65 A68:A70 A73:A75">
    <cfRule type="notContainsBlanks" dxfId="67" priority="8">
      <formula>LEN(TRIM(A38))&gt;0</formula>
    </cfRule>
  </conditionalFormatting>
  <conditionalFormatting sqref="A28:A29">
    <cfRule type="notContainsBlanks" dxfId="66" priority="7">
      <formula>LEN(TRIM(A28))&gt;0</formula>
    </cfRule>
  </conditionalFormatting>
  <conditionalFormatting sqref="I1:BD1">
    <cfRule type="duplicateValues" dxfId="65" priority="2175"/>
  </conditionalFormatting>
  <conditionalFormatting sqref="D5:BD5 D10:BD10 D15:BD15 D20:BD20 D25:BD25 D30:BD30 D35:BD35 D40:BD40 D45:BD45 D50:BD50 D55:BD55 D60:BD60 D65:BD65 D70:BD70 D75:BD75 D80:BD80">
    <cfRule type="notContainsBlanks" dxfId="64" priority="2177">
      <formula>LEN(TRIM(D5))&gt;0</formula>
    </cfRule>
  </conditionalFormatting>
  <conditionalFormatting sqref="D4:BD4 D9:BD9 D14:BD14 D19:BD19 D24:BD24 D29:BD29 D34:BD34 D39:BD39 D44:BD44 D49:BD49 D54:BD54 D59:BD59 D64:BD64 D69:BD69 D74:BD74 D79:BD79">
    <cfRule type="notContainsBlanks" dxfId="63" priority="5">
      <formula>LEN(TRIM(D4))&gt;0</formula>
    </cfRule>
  </conditionalFormatting>
  <conditionalFormatting sqref="A8:A10">
    <cfRule type="notContainsBlanks" dxfId="62" priority="4">
      <formula>LEN(TRIM(A8))&gt;0</formula>
    </cfRule>
  </conditionalFormatting>
  <conditionalFormatting sqref="A13">
    <cfRule type="notContainsBlanks" dxfId="61" priority="3">
      <formula>LEN(TRIM(A13))&gt;0</formula>
    </cfRule>
  </conditionalFormatting>
  <conditionalFormatting sqref="A18">
    <cfRule type="notContainsBlanks" dxfId="60" priority="2">
      <formula>LEN(TRIM(A18))&gt;0</formula>
    </cfRule>
  </conditionalFormatting>
  <conditionalFormatting sqref="A23">
    <cfRule type="notContainsBlanks" dxfId="59" priority="1">
      <formula>LEN(TRIM(A23))&gt;0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47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IF(Import!T7&lt;&gt;"",Import!T7,"")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SUMIFS(Import!$H:$H,Import!$A:$A,D$1,Import!$B:$B,$A2,Import!$D:$D,"PC Lead")</f>
        <v>0</v>
      </c>
      <c r="E3" s="462">
        <f>SUMIFS(Import!$H:$H,Import!$A:$A,E$1,Import!$B:$B,$A2,Import!$D:$D,"PC Lead")</f>
        <v>0</v>
      </c>
      <c r="F3" s="462">
        <f>SUMIFS(Import!$H:$H,Import!$A:$A,F$1,Import!$B:$B,$A2,Import!$D:$D,"PC Lead")</f>
        <v>0</v>
      </c>
      <c r="G3" s="462">
        <f>SUMIFS(Import!$H:$H,Import!$A:$A,G$1,Import!$B:$B,$A2,Import!$D:$D,"PC Lead")</f>
        <v>0</v>
      </c>
      <c r="H3" s="462">
        <f>SUMIFS(Import!$H:$H,Import!$A:$A,H$1,Import!$B:$B,$A2,Import!$D:$D,"PC Lead")</f>
        <v>0</v>
      </c>
      <c r="I3" s="462">
        <f>SUMIFS(Import!$H:$H,Import!$A:$A,I$1,Import!$B:$B,$A2,Import!$D:$D,"PC Lead")</f>
        <v>0</v>
      </c>
      <c r="J3" s="462">
        <f>SUMIFS(Import!$H:$H,Import!$A:$A,J$1,Import!$B:$B,$A2,Import!$D:$D,"PC Lead")</f>
        <v>0</v>
      </c>
      <c r="K3" s="462">
        <f>SUMIFS(Import!$H:$H,Import!$A:$A,K$1,Import!$B:$B,$A2,Import!$D:$D,"PC Lead")</f>
        <v>0</v>
      </c>
      <c r="L3" s="462">
        <f>SUMIFS(Import!$H:$H,Import!$A:$A,L$1,Import!$B:$B,$A2,Import!$D:$D,"PC Lead")</f>
        <v>0</v>
      </c>
      <c r="M3" s="462">
        <f>SUMIFS(Import!$H:$H,Import!$A:$A,M$1,Import!$B:$B,$A2,Import!$D:$D,"PC Lead")</f>
        <v>0</v>
      </c>
      <c r="N3" s="462">
        <f>SUMIFS(Import!$H:$H,Import!$A:$A,N$1,Import!$B:$B,$A2,Import!$D:$D,"PC Lead")</f>
        <v>0</v>
      </c>
      <c r="O3" s="462">
        <f>SUMIFS(Import!$H:$H,Import!$A:$A,O$1,Import!$B:$B,$A2,Import!$D:$D,"PC Lead")</f>
        <v>0</v>
      </c>
      <c r="P3" s="462">
        <f>SUMIFS(Import!$H:$H,Import!$A:$A,P$1,Import!$B:$B,$A2,Import!$D:$D,"PC Lead")</f>
        <v>0</v>
      </c>
      <c r="Q3" s="462">
        <f>SUMIFS(Import!$H:$H,Import!$A:$A,Q$1,Import!$B:$B,$A2,Import!$D:$D,"PC Lead")</f>
        <v>0</v>
      </c>
      <c r="R3" s="462">
        <f>SUMIFS(Import!$H:$H,Import!$A:$A,R$1,Import!$B:$B,$A2,Import!$D:$D,"PC Lead")</f>
        <v>0</v>
      </c>
      <c r="S3" s="462">
        <f>SUMIFS(Import!$H:$H,Import!$A:$A,S$1,Import!$B:$B,$A2,Import!$D:$D,"PC Lead")</f>
        <v>0</v>
      </c>
      <c r="T3" s="462">
        <f>SUMIFS(Import!$H:$H,Import!$A:$A,T$1,Import!$B:$B,$A2,Import!$D:$D,"PC Lead")</f>
        <v>0</v>
      </c>
      <c r="U3" s="462">
        <f>SUMIFS(Import!$H:$H,Import!$A:$A,U$1,Import!$B:$B,$A2,Import!$D:$D,"PC Lead")</f>
        <v>0</v>
      </c>
      <c r="V3" s="462">
        <f>SUMIFS(Import!$H:$H,Import!$A:$A,V$1,Import!$B:$B,$A2,Import!$D:$D,"PC Lead")</f>
        <v>0</v>
      </c>
      <c r="W3" s="462">
        <f>SUMIFS(Import!$H:$H,Import!$A:$A,W$1,Import!$B:$B,$A2,Import!$D:$D,"PC Lead")</f>
        <v>0</v>
      </c>
      <c r="X3" s="462">
        <f>SUMIFS(Import!$H:$H,Import!$A:$A,X$1,Import!$B:$B,$A2,Import!$D:$D,"PC Lead")</f>
        <v>0</v>
      </c>
      <c r="Y3" s="462">
        <f>SUMIFS(Import!$H:$H,Import!$A:$A,Y$1,Import!$B:$B,$A2,Import!$D:$D,"PC Lead")</f>
        <v>0</v>
      </c>
      <c r="Z3" s="462">
        <f>SUMIFS(Import!$H:$H,Import!$A:$A,Z$1,Import!$B:$B,$A2,Import!$D:$D,"PC Lead")</f>
        <v>0</v>
      </c>
      <c r="AA3" s="462">
        <f>SUMIFS(Import!$H:$H,Import!$A:$A,AA$1,Import!$B:$B,$A2,Import!$D:$D,"PC Lead")</f>
        <v>0</v>
      </c>
      <c r="AB3" s="462">
        <f>SUMIFS(Import!$H:$H,Import!$A:$A,AB$1,Import!$B:$B,$A2,Import!$D:$D,"PC Lead")</f>
        <v>0</v>
      </c>
      <c r="AC3" s="462">
        <f>SUMIFS(Import!$H:$H,Import!$A:$A,AC$1,Import!$B:$B,$A2,Import!$D:$D,"PC Lead")</f>
        <v>0</v>
      </c>
      <c r="AD3" s="462">
        <f>SUMIFS(Import!$H:$H,Import!$A:$A,AD$1,Import!$B:$B,$A2,Import!$D:$D,"PC Lead")</f>
        <v>0</v>
      </c>
      <c r="AE3" s="462">
        <f>SUMIFS(Import!$H:$H,Import!$A:$A,AE$1,Import!$B:$B,$A2,Import!$D:$D,"PC Lead")</f>
        <v>0</v>
      </c>
      <c r="AF3" s="462">
        <f>SUMIFS(Import!$H:$H,Import!$A:$A,AF$1,Import!$B:$B,$A2,Import!$D:$D,"PC Lead")</f>
        <v>0</v>
      </c>
      <c r="AG3" s="462">
        <f>SUMIFS(Import!$H:$H,Import!$A:$A,AG$1,Import!$B:$B,$A2,Import!$D:$D,"PC Lead")</f>
        <v>0</v>
      </c>
      <c r="AH3" s="462">
        <f>SUMIFS(Import!$H:$H,Import!$A:$A,AH$1,Import!$B:$B,$A2,Import!$D:$D,"PC Lead")</f>
        <v>0</v>
      </c>
      <c r="AI3" s="462">
        <f>SUMIFS(Import!$H:$H,Import!$A:$A,AI$1,Import!$B:$B,$A2,Import!$D:$D,"PC Lead")</f>
        <v>0</v>
      </c>
      <c r="AJ3" s="462">
        <f>SUMIFS(Import!$H:$H,Import!$A:$A,AJ$1,Import!$B:$B,$A2,Import!$D:$D,"PC Lead")</f>
        <v>0</v>
      </c>
      <c r="AK3" s="462">
        <f>SUMIFS(Import!$H:$H,Import!$A:$A,AK$1,Import!$B:$B,$A2,Import!$D:$D,"PC Lead")</f>
        <v>0</v>
      </c>
      <c r="AL3" s="462">
        <f>SUMIFS(Import!$H:$H,Import!$A:$A,AL$1,Import!$B:$B,$A2,Import!$D:$D,"PC Lead")</f>
        <v>0</v>
      </c>
      <c r="AM3" s="462">
        <f>SUMIFS(Import!$H:$H,Import!$A:$A,AM$1,Import!$B:$B,$A2,Import!$D:$D,"PC Lead")</f>
        <v>0</v>
      </c>
      <c r="AN3" s="462">
        <f>SUMIFS(Import!$H:$H,Import!$A:$A,AN$1,Import!$B:$B,$A2,Import!$D:$D,"PC Lead")</f>
        <v>0</v>
      </c>
      <c r="AO3" s="462">
        <f>SUMIFS(Import!$H:$H,Import!$A:$A,AO$1,Import!$B:$B,$A2,Import!$D:$D,"PC Lead")</f>
        <v>0</v>
      </c>
      <c r="AP3" s="462">
        <f>SUMIFS(Import!$H:$H,Import!$A:$A,AP$1,Import!$B:$B,$A2,Import!$D:$D,"PC Lead")</f>
        <v>0</v>
      </c>
      <c r="AQ3" s="462">
        <f>SUMIFS(Import!$H:$H,Import!$A:$A,AQ$1,Import!$B:$B,$A2,Import!$D:$D,"PC Lead")</f>
        <v>0</v>
      </c>
      <c r="AR3" s="462">
        <f>SUMIFS(Import!$H:$H,Import!$A:$A,AR$1,Import!$B:$B,$A2,Import!$D:$D,"PC Lead")</f>
        <v>0</v>
      </c>
      <c r="AS3" s="462">
        <f>SUMIFS(Import!$H:$H,Import!$A:$A,AS$1,Import!$B:$B,$A2,Import!$D:$D,"PC Lead")</f>
        <v>0</v>
      </c>
      <c r="AT3" s="462">
        <f>SUMIFS(Import!$H:$H,Import!$A:$A,AT$1,Import!$B:$B,$A2,Import!$D:$D,"PC Lead")</f>
        <v>0</v>
      </c>
      <c r="AU3" s="462">
        <f>SUMIFS(Import!$H:$H,Import!$A:$A,AU$1,Import!$B:$B,$A2,Import!$D:$D,"PC Lead")</f>
        <v>0</v>
      </c>
      <c r="AV3" s="462">
        <f>SUMIFS(Import!$H:$H,Import!$A:$A,AV$1,Import!$B:$B,$A2,Import!$D:$D,"PC Lead")</f>
        <v>0</v>
      </c>
      <c r="AW3" s="462">
        <f>SUMIFS(Import!$H:$H,Import!$A:$A,AW$1,Import!$B:$B,$A2,Import!$D:$D,"PC Lead")</f>
        <v>0</v>
      </c>
      <c r="AX3" s="462">
        <f>SUMIFS(Import!$H:$H,Import!$A:$A,AX$1,Import!$B:$B,$A2,Import!$D:$D,"PC Lead")</f>
        <v>0</v>
      </c>
      <c r="AY3" s="462">
        <f>SUMIFS(Import!$H:$H,Import!$A:$A,AY$1,Import!$B:$B,$A2,Import!$D:$D,"PC Lead")</f>
        <v>0</v>
      </c>
      <c r="AZ3" s="462">
        <f>SUMIFS(Import!$H:$H,Import!$A:$A,AZ$1,Import!$B:$B,$A2,Import!$D:$D,"PC Lead")</f>
        <v>0</v>
      </c>
      <c r="BA3" s="462">
        <f>SUMIFS(Import!$H:$H,Import!$A:$A,BA$1,Import!$B:$B,$A2,Import!$D:$D,"PC Lead")</f>
        <v>0</v>
      </c>
      <c r="BB3" s="462">
        <f>SUMIFS(Import!$H:$H,Import!$A:$A,BB$1,Import!$B:$B,$A2,Import!$D:$D,"PC Lead")</f>
        <v>0</v>
      </c>
      <c r="BC3" s="462">
        <f>SUMIFS(Import!$H:$H,Import!$A:$A,BC$1,Import!$B:$B,$A2,Import!$D:$D,"PC Lead")</f>
        <v>0</v>
      </c>
      <c r="BD3" s="463">
        <f>SUMIFS(Import!$H:$H,Import!$A:$A,BD$1,Import!$B:$B,$A2,Import!$D:$D,"PC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IF(Import!T8&lt;&gt;"",Import!T8,"")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82"/>
      <c r="B8" s="19" t="s">
        <v>123</v>
      </c>
      <c r="C8" s="464">
        <f>SUM(D8:BD8)</f>
        <v>0</v>
      </c>
      <c r="D8" s="461">
        <f>SUMIFS(Import!$H:$H,Import!$A:$A,D$1,Import!$B:$B,$A7,Import!$D:$D,"PC Lead")</f>
        <v>0</v>
      </c>
      <c r="E8" s="462">
        <f>SUMIFS(Import!$H:$H,Import!$A:$A,E$1,Import!$B:$B,$A7,Import!$D:$D,"PC Lead")</f>
        <v>0</v>
      </c>
      <c r="F8" s="462">
        <f>SUMIFS(Import!$H:$H,Import!$A:$A,F$1,Import!$B:$B,$A7,Import!$D:$D,"PC Lead")</f>
        <v>0</v>
      </c>
      <c r="G8" s="462">
        <f>SUMIFS(Import!$H:$H,Import!$A:$A,G$1,Import!$B:$B,$A7,Import!$D:$D,"PC Lead")</f>
        <v>0</v>
      </c>
      <c r="H8" s="462">
        <f>SUMIFS(Import!$H:$H,Import!$A:$A,H$1,Import!$B:$B,$A7,Import!$D:$D,"PC Lead")</f>
        <v>0</v>
      </c>
      <c r="I8" s="462">
        <f>SUMIFS(Import!$H:$H,Import!$A:$A,I$1,Import!$B:$B,$A7,Import!$D:$D,"PC Lead")</f>
        <v>0</v>
      </c>
      <c r="J8" s="462">
        <f>SUMIFS(Import!$H:$H,Import!$A:$A,J$1,Import!$B:$B,$A7,Import!$D:$D,"PC Lead")</f>
        <v>0</v>
      </c>
      <c r="K8" s="462">
        <f>SUMIFS(Import!$H:$H,Import!$A:$A,K$1,Import!$B:$B,$A7,Import!$D:$D,"PC Lead")</f>
        <v>0</v>
      </c>
      <c r="L8" s="462">
        <f>SUMIFS(Import!$H:$H,Import!$A:$A,L$1,Import!$B:$B,$A7,Import!$D:$D,"PC Lead")</f>
        <v>0</v>
      </c>
      <c r="M8" s="462">
        <f>SUMIFS(Import!$H:$H,Import!$A:$A,M$1,Import!$B:$B,$A7,Import!$D:$D,"PC Lead")</f>
        <v>0</v>
      </c>
      <c r="N8" s="462">
        <f>SUMIFS(Import!$H:$H,Import!$A:$A,N$1,Import!$B:$B,$A7,Import!$D:$D,"PC Lead")</f>
        <v>0</v>
      </c>
      <c r="O8" s="462">
        <f>SUMIFS(Import!$H:$H,Import!$A:$A,O$1,Import!$B:$B,$A7,Import!$D:$D,"PC Lead")</f>
        <v>0</v>
      </c>
      <c r="P8" s="462">
        <f>SUMIFS(Import!$H:$H,Import!$A:$A,P$1,Import!$B:$B,$A7,Import!$D:$D,"PC Lead")</f>
        <v>0</v>
      </c>
      <c r="Q8" s="462">
        <f>SUMIFS(Import!$H:$H,Import!$A:$A,Q$1,Import!$B:$B,$A7,Import!$D:$D,"PC Lead")</f>
        <v>0</v>
      </c>
      <c r="R8" s="462">
        <f>SUMIFS(Import!$H:$H,Import!$A:$A,R$1,Import!$B:$B,$A7,Import!$D:$D,"PC Lead")</f>
        <v>0</v>
      </c>
      <c r="S8" s="462">
        <f>SUMIFS(Import!$H:$H,Import!$A:$A,S$1,Import!$B:$B,$A7,Import!$D:$D,"PC Lead")</f>
        <v>0</v>
      </c>
      <c r="T8" s="462">
        <f>SUMIFS(Import!$H:$H,Import!$A:$A,T$1,Import!$B:$B,$A7,Import!$D:$D,"PC Lead")</f>
        <v>0</v>
      </c>
      <c r="U8" s="462">
        <f>SUMIFS(Import!$H:$H,Import!$A:$A,U$1,Import!$B:$B,$A7,Import!$D:$D,"PC Lead")</f>
        <v>0</v>
      </c>
      <c r="V8" s="462">
        <f>SUMIFS(Import!$H:$H,Import!$A:$A,V$1,Import!$B:$B,$A7,Import!$D:$D,"PC Lead")</f>
        <v>0</v>
      </c>
      <c r="W8" s="462">
        <f>SUMIFS(Import!$H:$H,Import!$A:$A,W$1,Import!$B:$B,$A7,Import!$D:$D,"PC Lead")</f>
        <v>0</v>
      </c>
      <c r="X8" s="462">
        <f>SUMIFS(Import!$H:$H,Import!$A:$A,X$1,Import!$B:$B,$A7,Import!$D:$D,"PC Lead")</f>
        <v>0</v>
      </c>
      <c r="Y8" s="462">
        <f>SUMIFS(Import!$H:$H,Import!$A:$A,Y$1,Import!$B:$B,$A7,Import!$D:$D,"PC Lead")</f>
        <v>0</v>
      </c>
      <c r="Z8" s="462">
        <f>SUMIFS(Import!$H:$H,Import!$A:$A,Z$1,Import!$B:$B,$A7,Import!$D:$D,"PC Lead")</f>
        <v>0</v>
      </c>
      <c r="AA8" s="462">
        <f>SUMIFS(Import!$H:$H,Import!$A:$A,AA$1,Import!$B:$B,$A7,Import!$D:$D,"PC Lead")</f>
        <v>0</v>
      </c>
      <c r="AB8" s="462">
        <f>SUMIFS(Import!$H:$H,Import!$A:$A,AB$1,Import!$B:$B,$A7,Import!$D:$D,"PC Lead")</f>
        <v>0</v>
      </c>
      <c r="AC8" s="462">
        <f>SUMIFS(Import!$H:$H,Import!$A:$A,AC$1,Import!$B:$B,$A7,Import!$D:$D,"PC Lead")</f>
        <v>0</v>
      </c>
      <c r="AD8" s="462">
        <f>SUMIFS(Import!$H:$H,Import!$A:$A,AD$1,Import!$B:$B,$A7,Import!$D:$D,"PC Lead")</f>
        <v>0</v>
      </c>
      <c r="AE8" s="462">
        <f>SUMIFS(Import!$H:$H,Import!$A:$A,AE$1,Import!$B:$B,$A7,Import!$D:$D,"PC Lead")</f>
        <v>0</v>
      </c>
      <c r="AF8" s="462">
        <f>SUMIFS(Import!$H:$H,Import!$A:$A,AF$1,Import!$B:$B,$A7,Import!$D:$D,"PC Lead")</f>
        <v>0</v>
      </c>
      <c r="AG8" s="462">
        <f>SUMIFS(Import!$H:$H,Import!$A:$A,AG$1,Import!$B:$B,$A7,Import!$D:$D,"PC Lead")</f>
        <v>0</v>
      </c>
      <c r="AH8" s="462">
        <f>SUMIFS(Import!$H:$H,Import!$A:$A,AH$1,Import!$B:$B,$A7,Import!$D:$D,"PC Lead")</f>
        <v>0</v>
      </c>
      <c r="AI8" s="462">
        <f>SUMIFS(Import!$H:$H,Import!$A:$A,AI$1,Import!$B:$B,$A7,Import!$D:$D,"PC Lead")</f>
        <v>0</v>
      </c>
      <c r="AJ8" s="462">
        <f>SUMIFS(Import!$H:$H,Import!$A:$A,AJ$1,Import!$B:$B,$A7,Import!$D:$D,"PC Lead")</f>
        <v>0</v>
      </c>
      <c r="AK8" s="462">
        <f>SUMIFS(Import!$H:$H,Import!$A:$A,AK$1,Import!$B:$B,$A7,Import!$D:$D,"PC Lead")</f>
        <v>0</v>
      </c>
      <c r="AL8" s="462">
        <f>SUMIFS(Import!$H:$H,Import!$A:$A,AL$1,Import!$B:$B,$A7,Import!$D:$D,"PC Lead")</f>
        <v>0</v>
      </c>
      <c r="AM8" s="462">
        <f>SUMIFS(Import!$H:$H,Import!$A:$A,AM$1,Import!$B:$B,$A7,Import!$D:$D,"PC Lead")</f>
        <v>0</v>
      </c>
      <c r="AN8" s="462">
        <f>SUMIFS(Import!$H:$H,Import!$A:$A,AN$1,Import!$B:$B,$A7,Import!$D:$D,"PC Lead")</f>
        <v>0</v>
      </c>
      <c r="AO8" s="462">
        <f>SUMIFS(Import!$H:$H,Import!$A:$A,AO$1,Import!$B:$B,$A7,Import!$D:$D,"PC Lead")</f>
        <v>0</v>
      </c>
      <c r="AP8" s="462">
        <f>SUMIFS(Import!$H:$H,Import!$A:$A,AP$1,Import!$B:$B,$A7,Import!$D:$D,"PC Lead")</f>
        <v>0</v>
      </c>
      <c r="AQ8" s="462">
        <f>SUMIFS(Import!$H:$H,Import!$A:$A,AQ$1,Import!$B:$B,$A7,Import!$D:$D,"PC Lead")</f>
        <v>0</v>
      </c>
      <c r="AR8" s="462">
        <f>SUMIFS(Import!$H:$H,Import!$A:$A,AR$1,Import!$B:$B,$A7,Import!$D:$D,"PC Lead")</f>
        <v>0</v>
      </c>
      <c r="AS8" s="462">
        <f>SUMIFS(Import!$H:$H,Import!$A:$A,AS$1,Import!$B:$B,$A7,Import!$D:$D,"PC Lead")</f>
        <v>0</v>
      </c>
      <c r="AT8" s="462">
        <f>SUMIFS(Import!$H:$H,Import!$A:$A,AT$1,Import!$B:$B,$A7,Import!$D:$D,"PC Lead")</f>
        <v>0</v>
      </c>
      <c r="AU8" s="462">
        <f>SUMIFS(Import!$H:$H,Import!$A:$A,AU$1,Import!$B:$B,$A7,Import!$D:$D,"PC Lead")</f>
        <v>0</v>
      </c>
      <c r="AV8" s="462">
        <f>SUMIFS(Import!$H:$H,Import!$A:$A,AV$1,Import!$B:$B,$A7,Import!$D:$D,"PC Lead")</f>
        <v>0</v>
      </c>
      <c r="AW8" s="462">
        <f>SUMIFS(Import!$H:$H,Import!$A:$A,AW$1,Import!$B:$B,$A7,Import!$D:$D,"PC Lead")</f>
        <v>0</v>
      </c>
      <c r="AX8" s="462">
        <f>SUMIFS(Import!$H:$H,Import!$A:$A,AX$1,Import!$B:$B,$A7,Import!$D:$D,"PC Lead")</f>
        <v>0</v>
      </c>
      <c r="AY8" s="462">
        <f>SUMIFS(Import!$H:$H,Import!$A:$A,AY$1,Import!$B:$B,$A7,Import!$D:$D,"PC Lead")</f>
        <v>0</v>
      </c>
      <c r="AZ8" s="462">
        <f>SUMIFS(Import!$H:$H,Import!$A:$A,AZ$1,Import!$B:$B,$A7,Import!$D:$D,"PC Lead")</f>
        <v>0</v>
      </c>
      <c r="BA8" s="462">
        <f>SUMIFS(Import!$H:$H,Import!$A:$A,BA$1,Import!$B:$B,$A7,Import!$D:$D,"PC Lead")</f>
        <v>0</v>
      </c>
      <c r="BB8" s="462">
        <f>SUMIFS(Import!$H:$H,Import!$A:$A,BB$1,Import!$B:$B,$A7,Import!$D:$D,"PC Lead")</f>
        <v>0</v>
      </c>
      <c r="BC8" s="462">
        <f>SUMIFS(Import!$H:$H,Import!$A:$A,BC$1,Import!$B:$B,$A7,Import!$D:$D,"PC Lead")</f>
        <v>0</v>
      </c>
      <c r="BD8" s="463">
        <f>SUMIFS(Import!$H:$H,Import!$A:$A,BD$1,Import!$B:$B,$A7,Import!$D:$D,"PC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IF(Import!T9&lt;&gt;"",Import!T9,"")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82"/>
      <c r="B13" s="19" t="s">
        <v>123</v>
      </c>
      <c r="C13" s="464">
        <f>SUM(D13:BD13)</f>
        <v>0</v>
      </c>
      <c r="D13" s="461">
        <f>SUMIFS(Import!$H:$H,Import!$A:$A,D$1,Import!$B:$B,$A12,Import!$D:$D,"PC Lead")</f>
        <v>0</v>
      </c>
      <c r="E13" s="462">
        <f>SUMIFS(Import!$H:$H,Import!$A:$A,E$1,Import!$B:$B,$A12,Import!$D:$D,"PC Lead")</f>
        <v>0</v>
      </c>
      <c r="F13" s="462">
        <f>SUMIFS(Import!$H:$H,Import!$A:$A,F$1,Import!$B:$B,$A12,Import!$D:$D,"PC Lead")</f>
        <v>0</v>
      </c>
      <c r="G13" s="462">
        <f>SUMIFS(Import!$H:$H,Import!$A:$A,G$1,Import!$B:$B,$A12,Import!$D:$D,"PC Lead")</f>
        <v>0</v>
      </c>
      <c r="H13" s="462">
        <f>SUMIFS(Import!$H:$H,Import!$A:$A,H$1,Import!$B:$B,$A12,Import!$D:$D,"PC Lead")</f>
        <v>0</v>
      </c>
      <c r="I13" s="462">
        <f>SUMIFS(Import!$H:$H,Import!$A:$A,I$1,Import!$B:$B,$A12,Import!$D:$D,"PC Lead")</f>
        <v>0</v>
      </c>
      <c r="J13" s="462">
        <f>SUMIFS(Import!$H:$H,Import!$A:$A,J$1,Import!$B:$B,$A12,Import!$D:$D,"PC Lead")</f>
        <v>0</v>
      </c>
      <c r="K13" s="462">
        <f>SUMIFS(Import!$H:$H,Import!$A:$A,K$1,Import!$B:$B,$A12,Import!$D:$D,"PC Lead")</f>
        <v>0</v>
      </c>
      <c r="L13" s="462">
        <f>SUMIFS(Import!$H:$H,Import!$A:$A,L$1,Import!$B:$B,$A12,Import!$D:$D,"PC Lead")</f>
        <v>0</v>
      </c>
      <c r="M13" s="462">
        <f>SUMIFS(Import!$H:$H,Import!$A:$A,M$1,Import!$B:$B,$A12,Import!$D:$D,"PC Lead")</f>
        <v>0</v>
      </c>
      <c r="N13" s="462">
        <f>SUMIFS(Import!$H:$H,Import!$A:$A,N$1,Import!$B:$B,$A12,Import!$D:$D,"PC Lead")</f>
        <v>0</v>
      </c>
      <c r="O13" s="462">
        <f>SUMIFS(Import!$H:$H,Import!$A:$A,O$1,Import!$B:$B,$A12,Import!$D:$D,"PC Lead")</f>
        <v>0</v>
      </c>
      <c r="P13" s="462">
        <f>SUMIFS(Import!$H:$H,Import!$A:$A,P$1,Import!$B:$B,$A12,Import!$D:$D,"PC Lead")</f>
        <v>0</v>
      </c>
      <c r="Q13" s="462">
        <f>SUMIFS(Import!$H:$H,Import!$A:$A,Q$1,Import!$B:$B,$A12,Import!$D:$D,"PC Lead")</f>
        <v>0</v>
      </c>
      <c r="R13" s="462">
        <f>SUMIFS(Import!$H:$H,Import!$A:$A,R$1,Import!$B:$B,$A12,Import!$D:$D,"PC Lead")</f>
        <v>0</v>
      </c>
      <c r="S13" s="462">
        <f>SUMIFS(Import!$H:$H,Import!$A:$A,S$1,Import!$B:$B,$A12,Import!$D:$D,"PC Lead")</f>
        <v>0</v>
      </c>
      <c r="T13" s="462">
        <f>SUMIFS(Import!$H:$H,Import!$A:$A,T$1,Import!$B:$B,$A12,Import!$D:$D,"PC Lead")</f>
        <v>0</v>
      </c>
      <c r="U13" s="462">
        <f>SUMIFS(Import!$H:$H,Import!$A:$A,U$1,Import!$B:$B,$A12,Import!$D:$D,"PC Lead")</f>
        <v>0</v>
      </c>
      <c r="V13" s="462">
        <f>SUMIFS(Import!$H:$H,Import!$A:$A,V$1,Import!$B:$B,$A12,Import!$D:$D,"PC Lead")</f>
        <v>0</v>
      </c>
      <c r="W13" s="462">
        <f>SUMIFS(Import!$H:$H,Import!$A:$A,W$1,Import!$B:$B,$A12,Import!$D:$D,"PC Lead")</f>
        <v>0</v>
      </c>
      <c r="X13" s="462">
        <f>SUMIFS(Import!$H:$H,Import!$A:$A,X$1,Import!$B:$B,$A12,Import!$D:$D,"PC Lead")</f>
        <v>0</v>
      </c>
      <c r="Y13" s="462">
        <f>SUMIFS(Import!$H:$H,Import!$A:$A,Y$1,Import!$B:$B,$A12,Import!$D:$D,"PC Lead")</f>
        <v>0</v>
      </c>
      <c r="Z13" s="462">
        <f>SUMIFS(Import!$H:$H,Import!$A:$A,Z$1,Import!$B:$B,$A12,Import!$D:$D,"PC Lead")</f>
        <v>0</v>
      </c>
      <c r="AA13" s="462">
        <f>SUMIFS(Import!$H:$H,Import!$A:$A,AA$1,Import!$B:$B,$A12,Import!$D:$D,"PC Lead")</f>
        <v>0</v>
      </c>
      <c r="AB13" s="462">
        <f>SUMIFS(Import!$H:$H,Import!$A:$A,AB$1,Import!$B:$B,$A12,Import!$D:$D,"PC Lead")</f>
        <v>0</v>
      </c>
      <c r="AC13" s="462">
        <f>SUMIFS(Import!$H:$H,Import!$A:$A,AC$1,Import!$B:$B,$A12,Import!$D:$D,"PC Lead")</f>
        <v>0</v>
      </c>
      <c r="AD13" s="462">
        <f>SUMIFS(Import!$H:$H,Import!$A:$A,AD$1,Import!$B:$B,$A12,Import!$D:$D,"PC Lead")</f>
        <v>0</v>
      </c>
      <c r="AE13" s="462">
        <f>SUMIFS(Import!$H:$H,Import!$A:$A,AE$1,Import!$B:$B,$A12,Import!$D:$D,"PC Lead")</f>
        <v>0</v>
      </c>
      <c r="AF13" s="462">
        <f>SUMIFS(Import!$H:$H,Import!$A:$A,AF$1,Import!$B:$B,$A12,Import!$D:$D,"PC Lead")</f>
        <v>0</v>
      </c>
      <c r="AG13" s="462">
        <f>SUMIFS(Import!$H:$H,Import!$A:$A,AG$1,Import!$B:$B,$A12,Import!$D:$D,"PC Lead")</f>
        <v>0</v>
      </c>
      <c r="AH13" s="462">
        <f>SUMIFS(Import!$H:$H,Import!$A:$A,AH$1,Import!$B:$B,$A12,Import!$D:$D,"PC Lead")</f>
        <v>0</v>
      </c>
      <c r="AI13" s="462">
        <f>SUMIFS(Import!$H:$H,Import!$A:$A,AI$1,Import!$B:$B,$A12,Import!$D:$D,"PC Lead")</f>
        <v>0</v>
      </c>
      <c r="AJ13" s="462">
        <f>SUMIFS(Import!$H:$H,Import!$A:$A,AJ$1,Import!$B:$B,$A12,Import!$D:$D,"PC Lead")</f>
        <v>0</v>
      </c>
      <c r="AK13" s="462">
        <f>SUMIFS(Import!$H:$H,Import!$A:$A,AK$1,Import!$B:$B,$A12,Import!$D:$D,"PC Lead")</f>
        <v>0</v>
      </c>
      <c r="AL13" s="462">
        <f>SUMIFS(Import!$H:$H,Import!$A:$A,AL$1,Import!$B:$B,$A12,Import!$D:$D,"PC Lead")</f>
        <v>0</v>
      </c>
      <c r="AM13" s="462">
        <f>SUMIFS(Import!$H:$H,Import!$A:$A,AM$1,Import!$B:$B,$A12,Import!$D:$D,"PC Lead")</f>
        <v>0</v>
      </c>
      <c r="AN13" s="462">
        <f>SUMIFS(Import!$H:$H,Import!$A:$A,AN$1,Import!$B:$B,$A12,Import!$D:$D,"PC Lead")</f>
        <v>0</v>
      </c>
      <c r="AO13" s="462">
        <f>SUMIFS(Import!$H:$H,Import!$A:$A,AO$1,Import!$B:$B,$A12,Import!$D:$D,"PC Lead")</f>
        <v>0</v>
      </c>
      <c r="AP13" s="462">
        <f>SUMIFS(Import!$H:$H,Import!$A:$A,AP$1,Import!$B:$B,$A12,Import!$D:$D,"PC Lead")</f>
        <v>0</v>
      </c>
      <c r="AQ13" s="462">
        <f>SUMIFS(Import!$H:$H,Import!$A:$A,AQ$1,Import!$B:$B,$A12,Import!$D:$D,"PC Lead")</f>
        <v>0</v>
      </c>
      <c r="AR13" s="462">
        <f>SUMIFS(Import!$H:$H,Import!$A:$A,AR$1,Import!$B:$B,$A12,Import!$D:$D,"PC Lead")</f>
        <v>0</v>
      </c>
      <c r="AS13" s="462">
        <f>SUMIFS(Import!$H:$H,Import!$A:$A,AS$1,Import!$B:$B,$A12,Import!$D:$D,"PC Lead")</f>
        <v>0</v>
      </c>
      <c r="AT13" s="462">
        <f>SUMIFS(Import!$H:$H,Import!$A:$A,AT$1,Import!$B:$B,$A12,Import!$D:$D,"PC Lead")</f>
        <v>0</v>
      </c>
      <c r="AU13" s="462">
        <f>SUMIFS(Import!$H:$H,Import!$A:$A,AU$1,Import!$B:$B,$A12,Import!$D:$D,"PC Lead")</f>
        <v>0</v>
      </c>
      <c r="AV13" s="462">
        <f>SUMIFS(Import!$H:$H,Import!$A:$A,AV$1,Import!$B:$B,$A12,Import!$D:$D,"PC Lead")</f>
        <v>0</v>
      </c>
      <c r="AW13" s="462">
        <f>SUMIFS(Import!$H:$H,Import!$A:$A,AW$1,Import!$B:$B,$A12,Import!$D:$D,"PC Lead")</f>
        <v>0</v>
      </c>
      <c r="AX13" s="462">
        <f>SUMIFS(Import!$H:$H,Import!$A:$A,AX$1,Import!$B:$B,$A12,Import!$D:$D,"PC Lead")</f>
        <v>0</v>
      </c>
      <c r="AY13" s="462">
        <f>SUMIFS(Import!$H:$H,Import!$A:$A,AY$1,Import!$B:$B,$A12,Import!$D:$D,"PC Lead")</f>
        <v>0</v>
      </c>
      <c r="AZ13" s="462">
        <f>SUMIFS(Import!$H:$H,Import!$A:$A,AZ$1,Import!$B:$B,$A12,Import!$D:$D,"PC Lead")</f>
        <v>0</v>
      </c>
      <c r="BA13" s="462">
        <f>SUMIFS(Import!$H:$H,Import!$A:$A,BA$1,Import!$B:$B,$A12,Import!$D:$D,"PC Lead")</f>
        <v>0</v>
      </c>
      <c r="BB13" s="462">
        <f>SUMIFS(Import!$H:$H,Import!$A:$A,BB$1,Import!$B:$B,$A12,Import!$D:$D,"PC Lead")</f>
        <v>0</v>
      </c>
      <c r="BC13" s="462">
        <f>SUMIFS(Import!$H:$H,Import!$A:$A,BC$1,Import!$B:$B,$A12,Import!$D:$D,"PC Lead")</f>
        <v>0</v>
      </c>
      <c r="BD13" s="463">
        <f>SUMIFS(Import!$H:$H,Import!$A:$A,BD$1,Import!$B:$B,$A12,Import!$D:$D,"PC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IF(Import!T10&lt;&gt;"",Import!T10,"")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82"/>
      <c r="B18" s="19" t="s">
        <v>123</v>
      </c>
      <c r="C18" s="464">
        <f>SUM(D18:BD18)</f>
        <v>0</v>
      </c>
      <c r="D18" s="461">
        <f>SUMIFS(Import!$H:$H,Import!$A:$A,D$1,Import!$B:$B,$A17,Import!$D:$D,"PC Lead")</f>
        <v>0</v>
      </c>
      <c r="E18" s="462">
        <f>SUMIFS(Import!$H:$H,Import!$A:$A,E$1,Import!$B:$B,$A17,Import!$D:$D,"PC Lead")</f>
        <v>0</v>
      </c>
      <c r="F18" s="462">
        <f>SUMIFS(Import!$H:$H,Import!$A:$A,F$1,Import!$B:$B,$A17,Import!$D:$D,"PC Lead")</f>
        <v>0</v>
      </c>
      <c r="G18" s="462">
        <f>SUMIFS(Import!$H:$H,Import!$A:$A,G$1,Import!$B:$B,$A17,Import!$D:$D,"PC Lead")</f>
        <v>0</v>
      </c>
      <c r="H18" s="462">
        <f>SUMIFS(Import!$H:$H,Import!$A:$A,H$1,Import!$B:$B,$A17,Import!$D:$D,"PC Lead")</f>
        <v>0</v>
      </c>
      <c r="I18" s="462">
        <f>SUMIFS(Import!$H:$H,Import!$A:$A,I$1,Import!$B:$B,$A17,Import!$D:$D,"PC Lead")</f>
        <v>0</v>
      </c>
      <c r="J18" s="462">
        <f>SUMIFS(Import!$H:$H,Import!$A:$A,J$1,Import!$B:$B,$A17,Import!$D:$D,"PC Lead")</f>
        <v>0</v>
      </c>
      <c r="K18" s="462">
        <f>SUMIFS(Import!$H:$H,Import!$A:$A,K$1,Import!$B:$B,$A17,Import!$D:$D,"PC Lead")</f>
        <v>0</v>
      </c>
      <c r="L18" s="462">
        <f>SUMIFS(Import!$H:$H,Import!$A:$A,L$1,Import!$B:$B,$A17,Import!$D:$D,"PC Lead")</f>
        <v>0</v>
      </c>
      <c r="M18" s="462">
        <f>SUMIFS(Import!$H:$H,Import!$A:$A,M$1,Import!$B:$B,$A17,Import!$D:$D,"PC Lead")</f>
        <v>0</v>
      </c>
      <c r="N18" s="462">
        <f>SUMIFS(Import!$H:$H,Import!$A:$A,N$1,Import!$B:$B,$A17,Import!$D:$D,"PC Lead")</f>
        <v>0</v>
      </c>
      <c r="O18" s="462">
        <f>SUMIFS(Import!$H:$H,Import!$A:$A,O$1,Import!$B:$B,$A17,Import!$D:$D,"PC Lead")</f>
        <v>0</v>
      </c>
      <c r="P18" s="462">
        <f>SUMIFS(Import!$H:$H,Import!$A:$A,P$1,Import!$B:$B,$A17,Import!$D:$D,"PC Lead")</f>
        <v>0</v>
      </c>
      <c r="Q18" s="462">
        <f>SUMIFS(Import!$H:$H,Import!$A:$A,Q$1,Import!$B:$B,$A17,Import!$D:$D,"PC Lead")</f>
        <v>0</v>
      </c>
      <c r="R18" s="462">
        <f>SUMIFS(Import!$H:$H,Import!$A:$A,R$1,Import!$B:$B,$A17,Import!$D:$D,"PC Lead")</f>
        <v>0</v>
      </c>
      <c r="S18" s="462">
        <f>SUMIFS(Import!$H:$H,Import!$A:$A,S$1,Import!$B:$B,$A17,Import!$D:$D,"PC Lead")</f>
        <v>0</v>
      </c>
      <c r="T18" s="462">
        <f>SUMIFS(Import!$H:$H,Import!$A:$A,T$1,Import!$B:$B,$A17,Import!$D:$D,"PC Lead")</f>
        <v>0</v>
      </c>
      <c r="U18" s="462">
        <f>SUMIFS(Import!$H:$H,Import!$A:$A,U$1,Import!$B:$B,$A17,Import!$D:$D,"PC Lead")</f>
        <v>0</v>
      </c>
      <c r="V18" s="462">
        <f>SUMIFS(Import!$H:$H,Import!$A:$A,V$1,Import!$B:$B,$A17,Import!$D:$D,"PC Lead")</f>
        <v>0</v>
      </c>
      <c r="W18" s="462">
        <f>SUMIFS(Import!$H:$H,Import!$A:$A,W$1,Import!$B:$B,$A17,Import!$D:$D,"PC Lead")</f>
        <v>0</v>
      </c>
      <c r="X18" s="462">
        <f>SUMIFS(Import!$H:$H,Import!$A:$A,X$1,Import!$B:$B,$A17,Import!$D:$D,"PC Lead")</f>
        <v>0</v>
      </c>
      <c r="Y18" s="462">
        <f>SUMIFS(Import!$H:$H,Import!$A:$A,Y$1,Import!$B:$B,$A17,Import!$D:$D,"PC Lead")</f>
        <v>0</v>
      </c>
      <c r="Z18" s="462">
        <f>SUMIFS(Import!$H:$H,Import!$A:$A,Z$1,Import!$B:$B,$A17,Import!$D:$D,"PC Lead")</f>
        <v>0</v>
      </c>
      <c r="AA18" s="462">
        <f>SUMIFS(Import!$H:$H,Import!$A:$A,AA$1,Import!$B:$B,$A17,Import!$D:$D,"PC Lead")</f>
        <v>0</v>
      </c>
      <c r="AB18" s="462">
        <f>SUMIFS(Import!$H:$H,Import!$A:$A,AB$1,Import!$B:$B,$A17,Import!$D:$D,"PC Lead")</f>
        <v>0</v>
      </c>
      <c r="AC18" s="462">
        <f>SUMIFS(Import!$H:$H,Import!$A:$A,AC$1,Import!$B:$B,$A17,Import!$D:$D,"PC Lead")</f>
        <v>0</v>
      </c>
      <c r="AD18" s="462">
        <f>SUMIFS(Import!$H:$H,Import!$A:$A,AD$1,Import!$B:$B,$A17,Import!$D:$D,"PC Lead")</f>
        <v>0</v>
      </c>
      <c r="AE18" s="462">
        <f>SUMIFS(Import!$H:$H,Import!$A:$A,AE$1,Import!$B:$B,$A17,Import!$D:$D,"PC Lead")</f>
        <v>0</v>
      </c>
      <c r="AF18" s="462">
        <f>SUMIFS(Import!$H:$H,Import!$A:$A,AF$1,Import!$B:$B,$A17,Import!$D:$D,"PC Lead")</f>
        <v>0</v>
      </c>
      <c r="AG18" s="462">
        <f>SUMIFS(Import!$H:$H,Import!$A:$A,AG$1,Import!$B:$B,$A17,Import!$D:$D,"PC Lead")</f>
        <v>0</v>
      </c>
      <c r="AH18" s="462">
        <f>SUMIFS(Import!$H:$H,Import!$A:$A,AH$1,Import!$B:$B,$A17,Import!$D:$D,"PC Lead")</f>
        <v>0</v>
      </c>
      <c r="AI18" s="462">
        <f>SUMIFS(Import!$H:$H,Import!$A:$A,AI$1,Import!$B:$B,$A17,Import!$D:$D,"PC Lead")</f>
        <v>0</v>
      </c>
      <c r="AJ18" s="462">
        <f>SUMIFS(Import!$H:$H,Import!$A:$A,AJ$1,Import!$B:$B,$A17,Import!$D:$D,"PC Lead")</f>
        <v>0</v>
      </c>
      <c r="AK18" s="462">
        <f>SUMIFS(Import!$H:$H,Import!$A:$A,AK$1,Import!$B:$B,$A17,Import!$D:$D,"PC Lead")</f>
        <v>0</v>
      </c>
      <c r="AL18" s="462">
        <f>SUMIFS(Import!$H:$H,Import!$A:$A,AL$1,Import!$B:$B,$A17,Import!$D:$D,"PC Lead")</f>
        <v>0</v>
      </c>
      <c r="AM18" s="462">
        <f>SUMIFS(Import!$H:$H,Import!$A:$A,AM$1,Import!$B:$B,$A17,Import!$D:$D,"PC Lead")</f>
        <v>0</v>
      </c>
      <c r="AN18" s="462">
        <f>SUMIFS(Import!$H:$H,Import!$A:$A,AN$1,Import!$B:$B,$A17,Import!$D:$D,"PC Lead")</f>
        <v>0</v>
      </c>
      <c r="AO18" s="462">
        <f>SUMIFS(Import!$H:$H,Import!$A:$A,AO$1,Import!$B:$B,$A17,Import!$D:$D,"PC Lead")</f>
        <v>0</v>
      </c>
      <c r="AP18" s="462">
        <f>SUMIFS(Import!$H:$H,Import!$A:$A,AP$1,Import!$B:$B,$A17,Import!$D:$D,"PC Lead")</f>
        <v>0</v>
      </c>
      <c r="AQ18" s="462">
        <f>SUMIFS(Import!$H:$H,Import!$A:$A,AQ$1,Import!$B:$B,$A17,Import!$D:$D,"PC Lead")</f>
        <v>0</v>
      </c>
      <c r="AR18" s="462">
        <f>SUMIFS(Import!$H:$H,Import!$A:$A,AR$1,Import!$B:$B,$A17,Import!$D:$D,"PC Lead")</f>
        <v>0</v>
      </c>
      <c r="AS18" s="462">
        <f>SUMIFS(Import!$H:$H,Import!$A:$A,AS$1,Import!$B:$B,$A17,Import!$D:$D,"PC Lead")</f>
        <v>0</v>
      </c>
      <c r="AT18" s="462">
        <f>SUMIFS(Import!$H:$H,Import!$A:$A,AT$1,Import!$B:$B,$A17,Import!$D:$D,"PC Lead")</f>
        <v>0</v>
      </c>
      <c r="AU18" s="462">
        <f>SUMIFS(Import!$H:$H,Import!$A:$A,AU$1,Import!$B:$B,$A17,Import!$D:$D,"PC Lead")</f>
        <v>0</v>
      </c>
      <c r="AV18" s="462">
        <f>SUMIFS(Import!$H:$H,Import!$A:$A,AV$1,Import!$B:$B,$A17,Import!$D:$D,"PC Lead")</f>
        <v>0</v>
      </c>
      <c r="AW18" s="462">
        <f>SUMIFS(Import!$H:$H,Import!$A:$A,AW$1,Import!$B:$B,$A17,Import!$D:$D,"PC Lead")</f>
        <v>0</v>
      </c>
      <c r="AX18" s="462">
        <f>SUMIFS(Import!$H:$H,Import!$A:$A,AX$1,Import!$B:$B,$A17,Import!$D:$D,"PC Lead")</f>
        <v>0</v>
      </c>
      <c r="AY18" s="462">
        <f>SUMIFS(Import!$H:$H,Import!$A:$A,AY$1,Import!$B:$B,$A17,Import!$D:$D,"PC Lead")</f>
        <v>0</v>
      </c>
      <c r="AZ18" s="462">
        <f>SUMIFS(Import!$H:$H,Import!$A:$A,AZ$1,Import!$B:$B,$A17,Import!$D:$D,"PC Lead")</f>
        <v>0</v>
      </c>
      <c r="BA18" s="462">
        <f>SUMIFS(Import!$H:$H,Import!$A:$A,BA$1,Import!$B:$B,$A17,Import!$D:$D,"PC Lead")</f>
        <v>0</v>
      </c>
      <c r="BB18" s="462">
        <f>SUMIFS(Import!$H:$H,Import!$A:$A,BB$1,Import!$B:$B,$A17,Import!$D:$D,"PC Lead")</f>
        <v>0</v>
      </c>
      <c r="BC18" s="462">
        <f>SUMIFS(Import!$H:$H,Import!$A:$A,BC$1,Import!$B:$B,$A17,Import!$D:$D,"PC Lead")</f>
        <v>0</v>
      </c>
      <c r="BD18" s="463">
        <f>SUMIFS(Import!$H:$H,Import!$A:$A,BD$1,Import!$B:$B,$A17,Import!$D:$D,"PC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IF(Import!T11&lt;&gt;"",Import!T11,"")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82"/>
      <c r="B23" s="19" t="s">
        <v>123</v>
      </c>
      <c r="C23" s="464">
        <f>SUM(D23:BD23)</f>
        <v>0</v>
      </c>
      <c r="D23" s="461">
        <f>SUMIFS(Import!$H:$H,Import!$A:$A,D$1,Import!$B:$B,$A22,Import!$D:$D,"PC Lead")</f>
        <v>0</v>
      </c>
      <c r="E23" s="462">
        <f>SUMIFS(Import!$H:$H,Import!$A:$A,E$1,Import!$B:$B,$A22,Import!$D:$D,"PC Lead")</f>
        <v>0</v>
      </c>
      <c r="F23" s="462">
        <f>SUMIFS(Import!$H:$H,Import!$A:$A,F$1,Import!$B:$B,$A22,Import!$D:$D,"PC Lead")</f>
        <v>0</v>
      </c>
      <c r="G23" s="462">
        <f>SUMIFS(Import!$H:$H,Import!$A:$A,G$1,Import!$B:$B,$A22,Import!$D:$D,"PC Lead")</f>
        <v>0</v>
      </c>
      <c r="H23" s="462">
        <f>SUMIFS(Import!$H:$H,Import!$A:$A,H$1,Import!$B:$B,$A22,Import!$D:$D,"PC Lead")</f>
        <v>0</v>
      </c>
      <c r="I23" s="462">
        <f>SUMIFS(Import!$H:$H,Import!$A:$A,I$1,Import!$B:$B,$A22,Import!$D:$D,"PC Lead")</f>
        <v>0</v>
      </c>
      <c r="J23" s="462">
        <f>SUMIFS(Import!$H:$H,Import!$A:$A,J$1,Import!$B:$B,$A22,Import!$D:$D,"PC Lead")</f>
        <v>0</v>
      </c>
      <c r="K23" s="462">
        <f>SUMIFS(Import!$H:$H,Import!$A:$A,K$1,Import!$B:$B,$A22,Import!$D:$D,"PC Lead")</f>
        <v>0</v>
      </c>
      <c r="L23" s="462">
        <f>SUMIFS(Import!$H:$H,Import!$A:$A,L$1,Import!$B:$B,$A22,Import!$D:$D,"PC Lead")</f>
        <v>0</v>
      </c>
      <c r="M23" s="462">
        <f>SUMIFS(Import!$H:$H,Import!$A:$A,M$1,Import!$B:$B,$A22,Import!$D:$D,"PC Lead")</f>
        <v>0</v>
      </c>
      <c r="N23" s="462">
        <f>SUMIFS(Import!$H:$H,Import!$A:$A,N$1,Import!$B:$B,$A22,Import!$D:$D,"PC Lead")</f>
        <v>0</v>
      </c>
      <c r="O23" s="462">
        <f>SUMIFS(Import!$H:$H,Import!$A:$A,O$1,Import!$B:$B,$A22,Import!$D:$D,"PC Lead")</f>
        <v>0</v>
      </c>
      <c r="P23" s="462">
        <f>SUMIFS(Import!$H:$H,Import!$A:$A,P$1,Import!$B:$B,$A22,Import!$D:$D,"PC Lead")</f>
        <v>0</v>
      </c>
      <c r="Q23" s="462">
        <f>SUMIFS(Import!$H:$H,Import!$A:$A,Q$1,Import!$B:$B,$A22,Import!$D:$D,"PC Lead")</f>
        <v>0</v>
      </c>
      <c r="R23" s="462">
        <f>SUMIFS(Import!$H:$H,Import!$A:$A,R$1,Import!$B:$B,$A22,Import!$D:$D,"PC Lead")</f>
        <v>0</v>
      </c>
      <c r="S23" s="462">
        <f>SUMIFS(Import!$H:$H,Import!$A:$A,S$1,Import!$B:$B,$A22,Import!$D:$D,"PC Lead")</f>
        <v>0</v>
      </c>
      <c r="T23" s="462">
        <f>SUMIFS(Import!$H:$H,Import!$A:$A,T$1,Import!$B:$B,$A22,Import!$D:$D,"PC Lead")</f>
        <v>0</v>
      </c>
      <c r="U23" s="462">
        <f>SUMIFS(Import!$H:$H,Import!$A:$A,U$1,Import!$B:$B,$A22,Import!$D:$D,"PC Lead")</f>
        <v>0</v>
      </c>
      <c r="V23" s="462">
        <f>SUMIFS(Import!$H:$H,Import!$A:$A,V$1,Import!$B:$B,$A22,Import!$D:$D,"PC Lead")</f>
        <v>0</v>
      </c>
      <c r="W23" s="462">
        <f>SUMIFS(Import!$H:$H,Import!$A:$A,W$1,Import!$B:$B,$A22,Import!$D:$D,"PC Lead")</f>
        <v>0</v>
      </c>
      <c r="X23" s="462">
        <f>SUMIFS(Import!$H:$H,Import!$A:$A,X$1,Import!$B:$B,$A22,Import!$D:$D,"PC Lead")</f>
        <v>0</v>
      </c>
      <c r="Y23" s="462">
        <f>SUMIFS(Import!$H:$H,Import!$A:$A,Y$1,Import!$B:$B,$A22,Import!$D:$D,"PC Lead")</f>
        <v>0</v>
      </c>
      <c r="Z23" s="462">
        <f>SUMIFS(Import!$H:$H,Import!$A:$A,Z$1,Import!$B:$B,$A22,Import!$D:$D,"PC Lead")</f>
        <v>0</v>
      </c>
      <c r="AA23" s="462">
        <f>SUMIFS(Import!$H:$H,Import!$A:$A,AA$1,Import!$B:$B,$A22,Import!$D:$D,"PC Lead")</f>
        <v>0</v>
      </c>
      <c r="AB23" s="462">
        <f>SUMIFS(Import!$H:$H,Import!$A:$A,AB$1,Import!$B:$B,$A22,Import!$D:$D,"PC Lead")</f>
        <v>0</v>
      </c>
      <c r="AC23" s="462">
        <f>SUMIFS(Import!$H:$H,Import!$A:$A,AC$1,Import!$B:$B,$A22,Import!$D:$D,"PC Lead")</f>
        <v>0</v>
      </c>
      <c r="AD23" s="462">
        <f>SUMIFS(Import!$H:$H,Import!$A:$A,AD$1,Import!$B:$B,$A22,Import!$D:$D,"PC Lead")</f>
        <v>0</v>
      </c>
      <c r="AE23" s="462">
        <f>SUMIFS(Import!$H:$H,Import!$A:$A,AE$1,Import!$B:$B,$A22,Import!$D:$D,"PC Lead")</f>
        <v>0</v>
      </c>
      <c r="AF23" s="462">
        <f>SUMIFS(Import!$H:$H,Import!$A:$A,AF$1,Import!$B:$B,$A22,Import!$D:$D,"PC Lead")</f>
        <v>0</v>
      </c>
      <c r="AG23" s="462">
        <f>SUMIFS(Import!$H:$H,Import!$A:$A,AG$1,Import!$B:$B,$A22,Import!$D:$D,"PC Lead")</f>
        <v>0</v>
      </c>
      <c r="AH23" s="462">
        <f>SUMIFS(Import!$H:$H,Import!$A:$A,AH$1,Import!$B:$B,$A22,Import!$D:$D,"PC Lead")</f>
        <v>0</v>
      </c>
      <c r="AI23" s="462">
        <f>SUMIFS(Import!$H:$H,Import!$A:$A,AI$1,Import!$B:$B,$A22,Import!$D:$D,"PC Lead")</f>
        <v>0</v>
      </c>
      <c r="AJ23" s="462">
        <f>SUMIFS(Import!$H:$H,Import!$A:$A,AJ$1,Import!$B:$B,$A22,Import!$D:$D,"PC Lead")</f>
        <v>0</v>
      </c>
      <c r="AK23" s="462">
        <f>SUMIFS(Import!$H:$H,Import!$A:$A,AK$1,Import!$B:$B,$A22,Import!$D:$D,"PC Lead")</f>
        <v>0</v>
      </c>
      <c r="AL23" s="462">
        <f>SUMIFS(Import!$H:$H,Import!$A:$A,AL$1,Import!$B:$B,$A22,Import!$D:$D,"PC Lead")</f>
        <v>0</v>
      </c>
      <c r="AM23" s="462">
        <f>SUMIFS(Import!$H:$H,Import!$A:$A,AM$1,Import!$B:$B,$A22,Import!$D:$D,"PC Lead")</f>
        <v>0</v>
      </c>
      <c r="AN23" s="462">
        <f>SUMIFS(Import!$H:$H,Import!$A:$A,AN$1,Import!$B:$B,$A22,Import!$D:$D,"PC Lead")</f>
        <v>0</v>
      </c>
      <c r="AO23" s="462">
        <f>SUMIFS(Import!$H:$H,Import!$A:$A,AO$1,Import!$B:$B,$A22,Import!$D:$D,"PC Lead")</f>
        <v>0</v>
      </c>
      <c r="AP23" s="462">
        <f>SUMIFS(Import!$H:$H,Import!$A:$A,AP$1,Import!$B:$B,$A22,Import!$D:$D,"PC Lead")</f>
        <v>0</v>
      </c>
      <c r="AQ23" s="462">
        <f>SUMIFS(Import!$H:$H,Import!$A:$A,AQ$1,Import!$B:$B,$A22,Import!$D:$D,"PC Lead")</f>
        <v>0</v>
      </c>
      <c r="AR23" s="462">
        <f>SUMIFS(Import!$H:$H,Import!$A:$A,AR$1,Import!$B:$B,$A22,Import!$D:$D,"PC Lead")</f>
        <v>0</v>
      </c>
      <c r="AS23" s="462">
        <f>SUMIFS(Import!$H:$H,Import!$A:$A,AS$1,Import!$B:$B,$A22,Import!$D:$D,"PC Lead")</f>
        <v>0</v>
      </c>
      <c r="AT23" s="462">
        <f>SUMIFS(Import!$H:$H,Import!$A:$A,AT$1,Import!$B:$B,$A22,Import!$D:$D,"PC Lead")</f>
        <v>0</v>
      </c>
      <c r="AU23" s="462">
        <f>SUMIFS(Import!$H:$H,Import!$A:$A,AU$1,Import!$B:$B,$A22,Import!$D:$D,"PC Lead")</f>
        <v>0</v>
      </c>
      <c r="AV23" s="462">
        <f>SUMIFS(Import!$H:$H,Import!$A:$A,AV$1,Import!$B:$B,$A22,Import!$D:$D,"PC Lead")</f>
        <v>0</v>
      </c>
      <c r="AW23" s="462">
        <f>SUMIFS(Import!$H:$H,Import!$A:$A,AW$1,Import!$B:$B,$A22,Import!$D:$D,"PC Lead")</f>
        <v>0</v>
      </c>
      <c r="AX23" s="462">
        <f>SUMIFS(Import!$H:$H,Import!$A:$A,AX$1,Import!$B:$B,$A22,Import!$D:$D,"PC Lead")</f>
        <v>0</v>
      </c>
      <c r="AY23" s="462">
        <f>SUMIFS(Import!$H:$H,Import!$A:$A,AY$1,Import!$B:$B,$A22,Import!$D:$D,"PC Lead")</f>
        <v>0</v>
      </c>
      <c r="AZ23" s="462">
        <f>SUMIFS(Import!$H:$H,Import!$A:$A,AZ$1,Import!$B:$B,$A22,Import!$D:$D,"PC Lead")</f>
        <v>0</v>
      </c>
      <c r="BA23" s="462">
        <f>SUMIFS(Import!$H:$H,Import!$A:$A,BA$1,Import!$B:$B,$A22,Import!$D:$D,"PC Lead")</f>
        <v>0</v>
      </c>
      <c r="BB23" s="462">
        <f>SUMIFS(Import!$H:$H,Import!$A:$A,BB$1,Import!$B:$B,$A22,Import!$D:$D,"PC Lead")</f>
        <v>0</v>
      </c>
      <c r="BC23" s="462">
        <f>SUMIFS(Import!$H:$H,Import!$A:$A,BC$1,Import!$B:$B,$A22,Import!$D:$D,"PC Lead")</f>
        <v>0</v>
      </c>
      <c r="BD23" s="463">
        <f>SUMIFS(Import!$H:$H,Import!$A:$A,BD$1,Import!$B:$B,$A22,Import!$D:$D,"PC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0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IF(Import!T12&lt;&gt;"",Import!T12,"")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2"/>
      <c r="B28" s="19" t="s">
        <v>123</v>
      </c>
      <c r="C28" s="464">
        <f>SUM(D28:BD28)</f>
        <v>0</v>
      </c>
      <c r="D28" s="461">
        <f>SUMIFS(Import!$H:$H,Import!$A:$A,D$1,Import!$B:$B,$A27,Import!$D:$D,"PC Lead")</f>
        <v>0</v>
      </c>
      <c r="E28" s="462">
        <f>SUMIFS(Import!$H:$H,Import!$A:$A,E$1,Import!$B:$B,$A27,Import!$D:$D,"PC Lead")</f>
        <v>0</v>
      </c>
      <c r="F28" s="462">
        <f>SUMIFS(Import!$H:$H,Import!$A:$A,F$1,Import!$B:$B,$A27,Import!$D:$D,"PC Lead")</f>
        <v>0</v>
      </c>
      <c r="G28" s="462">
        <f>SUMIFS(Import!$H:$H,Import!$A:$A,G$1,Import!$B:$B,$A27,Import!$D:$D,"PC Lead")</f>
        <v>0</v>
      </c>
      <c r="H28" s="462">
        <f>SUMIFS(Import!$H:$H,Import!$A:$A,H$1,Import!$B:$B,$A27,Import!$D:$D,"PC Lead")</f>
        <v>0</v>
      </c>
      <c r="I28" s="462">
        <f>SUMIFS(Import!$H:$H,Import!$A:$A,I$1,Import!$B:$B,$A27,Import!$D:$D,"PC Lead")</f>
        <v>0</v>
      </c>
      <c r="J28" s="462">
        <f>SUMIFS(Import!$H:$H,Import!$A:$A,J$1,Import!$B:$B,$A27,Import!$D:$D,"PC Lead")</f>
        <v>0</v>
      </c>
      <c r="K28" s="462">
        <f>SUMIFS(Import!$H:$H,Import!$A:$A,K$1,Import!$B:$B,$A27,Import!$D:$D,"PC Lead")</f>
        <v>0</v>
      </c>
      <c r="L28" s="462">
        <f>SUMIFS(Import!$H:$H,Import!$A:$A,L$1,Import!$B:$B,$A27,Import!$D:$D,"PC Lead")</f>
        <v>0</v>
      </c>
      <c r="M28" s="462">
        <f>SUMIFS(Import!$H:$H,Import!$A:$A,M$1,Import!$B:$B,$A27,Import!$D:$D,"PC Lead")</f>
        <v>0</v>
      </c>
      <c r="N28" s="462">
        <f>SUMIFS(Import!$H:$H,Import!$A:$A,N$1,Import!$B:$B,$A27,Import!$D:$D,"PC Lead")</f>
        <v>0</v>
      </c>
      <c r="O28" s="462">
        <f>SUMIFS(Import!$H:$H,Import!$A:$A,O$1,Import!$B:$B,$A27,Import!$D:$D,"PC Lead")</f>
        <v>0</v>
      </c>
      <c r="P28" s="462">
        <f>SUMIFS(Import!$H:$H,Import!$A:$A,P$1,Import!$B:$B,$A27,Import!$D:$D,"PC Lead")</f>
        <v>0</v>
      </c>
      <c r="Q28" s="462">
        <f>SUMIFS(Import!$H:$H,Import!$A:$A,Q$1,Import!$B:$B,$A27,Import!$D:$D,"PC Lead")</f>
        <v>0</v>
      </c>
      <c r="R28" s="462">
        <f>SUMIFS(Import!$H:$H,Import!$A:$A,R$1,Import!$B:$B,$A27,Import!$D:$D,"PC Lead")</f>
        <v>0</v>
      </c>
      <c r="S28" s="462">
        <f>SUMIFS(Import!$H:$H,Import!$A:$A,S$1,Import!$B:$B,$A27,Import!$D:$D,"PC Lead")</f>
        <v>0</v>
      </c>
      <c r="T28" s="462">
        <f>SUMIFS(Import!$H:$H,Import!$A:$A,T$1,Import!$B:$B,$A27,Import!$D:$D,"PC Lead")</f>
        <v>0</v>
      </c>
      <c r="U28" s="462">
        <f>SUMIFS(Import!$H:$H,Import!$A:$A,U$1,Import!$B:$B,$A27,Import!$D:$D,"PC Lead")</f>
        <v>0</v>
      </c>
      <c r="V28" s="462">
        <f>SUMIFS(Import!$H:$H,Import!$A:$A,V$1,Import!$B:$B,$A27,Import!$D:$D,"PC Lead")</f>
        <v>0</v>
      </c>
      <c r="W28" s="462">
        <f>SUMIFS(Import!$H:$H,Import!$A:$A,W$1,Import!$B:$B,$A27,Import!$D:$D,"PC Lead")</f>
        <v>0</v>
      </c>
      <c r="X28" s="462">
        <f>SUMIFS(Import!$H:$H,Import!$A:$A,X$1,Import!$B:$B,$A27,Import!$D:$D,"PC Lead")</f>
        <v>0</v>
      </c>
      <c r="Y28" s="462">
        <f>SUMIFS(Import!$H:$H,Import!$A:$A,Y$1,Import!$B:$B,$A27,Import!$D:$D,"PC Lead")</f>
        <v>0</v>
      </c>
      <c r="Z28" s="462">
        <f>SUMIFS(Import!$H:$H,Import!$A:$A,Z$1,Import!$B:$B,$A27,Import!$D:$D,"PC Lead")</f>
        <v>0</v>
      </c>
      <c r="AA28" s="462">
        <f>SUMIFS(Import!$H:$H,Import!$A:$A,AA$1,Import!$B:$B,$A27,Import!$D:$D,"PC Lead")</f>
        <v>0</v>
      </c>
      <c r="AB28" s="462">
        <f>SUMIFS(Import!$H:$H,Import!$A:$A,AB$1,Import!$B:$B,$A27,Import!$D:$D,"PC Lead")</f>
        <v>0</v>
      </c>
      <c r="AC28" s="462">
        <f>SUMIFS(Import!$H:$H,Import!$A:$A,AC$1,Import!$B:$B,$A27,Import!$D:$D,"PC Lead")</f>
        <v>0</v>
      </c>
      <c r="AD28" s="462">
        <f>SUMIFS(Import!$H:$H,Import!$A:$A,AD$1,Import!$B:$B,$A27,Import!$D:$D,"PC Lead")</f>
        <v>0</v>
      </c>
      <c r="AE28" s="462">
        <f>SUMIFS(Import!$H:$H,Import!$A:$A,AE$1,Import!$B:$B,$A27,Import!$D:$D,"PC Lead")</f>
        <v>0</v>
      </c>
      <c r="AF28" s="462">
        <f>SUMIFS(Import!$H:$H,Import!$A:$A,AF$1,Import!$B:$B,$A27,Import!$D:$D,"PC Lead")</f>
        <v>0</v>
      </c>
      <c r="AG28" s="462">
        <f>SUMIFS(Import!$H:$H,Import!$A:$A,AG$1,Import!$B:$B,$A27,Import!$D:$D,"PC Lead")</f>
        <v>0</v>
      </c>
      <c r="AH28" s="462">
        <f>SUMIFS(Import!$H:$H,Import!$A:$A,AH$1,Import!$B:$B,$A27,Import!$D:$D,"PC Lead")</f>
        <v>0</v>
      </c>
      <c r="AI28" s="462">
        <f>SUMIFS(Import!$H:$H,Import!$A:$A,AI$1,Import!$B:$B,$A27,Import!$D:$D,"PC Lead")</f>
        <v>0</v>
      </c>
      <c r="AJ28" s="462">
        <f>SUMIFS(Import!$H:$H,Import!$A:$A,AJ$1,Import!$B:$B,$A27,Import!$D:$D,"PC Lead")</f>
        <v>0</v>
      </c>
      <c r="AK28" s="462">
        <f>SUMIFS(Import!$H:$H,Import!$A:$A,AK$1,Import!$B:$B,$A27,Import!$D:$D,"PC Lead")</f>
        <v>0</v>
      </c>
      <c r="AL28" s="462">
        <f>SUMIFS(Import!$H:$H,Import!$A:$A,AL$1,Import!$B:$B,$A27,Import!$D:$D,"PC Lead")</f>
        <v>0</v>
      </c>
      <c r="AM28" s="462">
        <f>SUMIFS(Import!$H:$H,Import!$A:$A,AM$1,Import!$B:$B,$A27,Import!$D:$D,"PC Lead")</f>
        <v>0</v>
      </c>
      <c r="AN28" s="462">
        <f>SUMIFS(Import!$H:$H,Import!$A:$A,AN$1,Import!$B:$B,$A27,Import!$D:$D,"PC Lead")</f>
        <v>0</v>
      </c>
      <c r="AO28" s="462">
        <f>SUMIFS(Import!$H:$H,Import!$A:$A,AO$1,Import!$B:$B,$A27,Import!$D:$D,"PC Lead")</f>
        <v>0</v>
      </c>
      <c r="AP28" s="462">
        <f>SUMIFS(Import!$H:$H,Import!$A:$A,AP$1,Import!$B:$B,$A27,Import!$D:$D,"PC Lead")</f>
        <v>0</v>
      </c>
      <c r="AQ28" s="462">
        <f>SUMIFS(Import!$H:$H,Import!$A:$A,AQ$1,Import!$B:$B,$A27,Import!$D:$D,"PC Lead")</f>
        <v>0</v>
      </c>
      <c r="AR28" s="462">
        <f>SUMIFS(Import!$H:$H,Import!$A:$A,AR$1,Import!$B:$B,$A27,Import!$D:$D,"PC Lead")</f>
        <v>0</v>
      </c>
      <c r="AS28" s="462">
        <f>SUMIFS(Import!$H:$H,Import!$A:$A,AS$1,Import!$B:$B,$A27,Import!$D:$D,"PC Lead")</f>
        <v>0</v>
      </c>
      <c r="AT28" s="462">
        <f>SUMIFS(Import!$H:$H,Import!$A:$A,AT$1,Import!$B:$B,$A27,Import!$D:$D,"PC Lead")</f>
        <v>0</v>
      </c>
      <c r="AU28" s="462">
        <f>SUMIFS(Import!$H:$H,Import!$A:$A,AU$1,Import!$B:$B,$A27,Import!$D:$D,"PC Lead")</f>
        <v>0</v>
      </c>
      <c r="AV28" s="462">
        <f>SUMIFS(Import!$H:$H,Import!$A:$A,AV$1,Import!$B:$B,$A27,Import!$D:$D,"PC Lead")</f>
        <v>0</v>
      </c>
      <c r="AW28" s="462">
        <f>SUMIFS(Import!$H:$H,Import!$A:$A,AW$1,Import!$B:$B,$A27,Import!$D:$D,"PC Lead")</f>
        <v>0</v>
      </c>
      <c r="AX28" s="462">
        <f>SUMIFS(Import!$H:$H,Import!$A:$A,AX$1,Import!$B:$B,$A27,Import!$D:$D,"PC Lead")</f>
        <v>0</v>
      </c>
      <c r="AY28" s="462">
        <f>SUMIFS(Import!$H:$H,Import!$A:$A,AY$1,Import!$B:$B,$A27,Import!$D:$D,"PC Lead")</f>
        <v>0</v>
      </c>
      <c r="AZ28" s="462">
        <f>SUMIFS(Import!$H:$H,Import!$A:$A,AZ$1,Import!$B:$B,$A27,Import!$D:$D,"PC Lead")</f>
        <v>0</v>
      </c>
      <c r="BA28" s="462">
        <f>SUMIFS(Import!$H:$H,Import!$A:$A,BA$1,Import!$B:$B,$A27,Import!$D:$D,"PC Lead")</f>
        <v>0</v>
      </c>
      <c r="BB28" s="462">
        <f>SUMIFS(Import!$H:$H,Import!$A:$A,BB$1,Import!$B:$B,$A27,Import!$D:$D,"PC Lead")</f>
        <v>0</v>
      </c>
      <c r="BC28" s="462">
        <f>SUMIFS(Import!$H:$H,Import!$A:$A,BC$1,Import!$B:$B,$A27,Import!$D:$D,"PC Lead")</f>
        <v>0</v>
      </c>
      <c r="BD28" s="463">
        <f>SUMIFS(Import!$H:$H,Import!$A:$A,BD$1,Import!$B:$B,$A27,Import!$D:$D,"PC Lead")</f>
        <v>0</v>
      </c>
    </row>
    <row r="29" spans="1:56" s="36" customFormat="1" x14ac:dyDescent="0.2">
      <c r="A29" s="583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IF(Import!T13&lt;&gt;"",Import!T13,"")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SUMIFS(Import!$H:$H,Import!$A:$A,D$1,Import!$B:$B,$A32,Import!$D:$D,"PC Lead")</f>
        <v>0</v>
      </c>
      <c r="E33" s="462">
        <f>SUMIFS(Import!$H:$H,Import!$A:$A,E$1,Import!$B:$B,$A32,Import!$D:$D,"PC Lead")</f>
        <v>0</v>
      </c>
      <c r="F33" s="462">
        <f>SUMIFS(Import!$H:$H,Import!$A:$A,F$1,Import!$B:$B,$A32,Import!$D:$D,"PC Lead")</f>
        <v>0</v>
      </c>
      <c r="G33" s="462">
        <f>SUMIFS(Import!$H:$H,Import!$A:$A,G$1,Import!$B:$B,$A32,Import!$D:$D,"PC Lead")</f>
        <v>0</v>
      </c>
      <c r="H33" s="462">
        <f>SUMIFS(Import!$H:$H,Import!$A:$A,H$1,Import!$B:$B,$A32,Import!$D:$D,"PC Lead")</f>
        <v>0</v>
      </c>
      <c r="I33" s="462">
        <f>SUMIFS(Import!$H:$H,Import!$A:$A,I$1,Import!$B:$B,$A32,Import!$D:$D,"PC Lead")</f>
        <v>0</v>
      </c>
      <c r="J33" s="462">
        <f>SUMIFS(Import!$H:$H,Import!$A:$A,J$1,Import!$B:$B,$A32,Import!$D:$D,"PC Lead")</f>
        <v>0</v>
      </c>
      <c r="K33" s="462">
        <f>SUMIFS(Import!$H:$H,Import!$A:$A,K$1,Import!$B:$B,$A32,Import!$D:$D,"PC Lead")</f>
        <v>0</v>
      </c>
      <c r="L33" s="462">
        <f>SUMIFS(Import!$H:$H,Import!$A:$A,L$1,Import!$B:$B,$A32,Import!$D:$D,"PC Lead")</f>
        <v>0</v>
      </c>
      <c r="M33" s="462">
        <f>SUMIFS(Import!$H:$H,Import!$A:$A,M$1,Import!$B:$B,$A32,Import!$D:$D,"PC Lead")</f>
        <v>0</v>
      </c>
      <c r="N33" s="462">
        <f>SUMIFS(Import!$H:$H,Import!$A:$A,N$1,Import!$B:$B,$A32,Import!$D:$D,"PC Lead")</f>
        <v>0</v>
      </c>
      <c r="O33" s="462">
        <f>SUMIFS(Import!$H:$H,Import!$A:$A,O$1,Import!$B:$B,$A32,Import!$D:$D,"PC Lead")</f>
        <v>0</v>
      </c>
      <c r="P33" s="462">
        <f>SUMIFS(Import!$H:$H,Import!$A:$A,P$1,Import!$B:$B,$A32,Import!$D:$D,"PC Lead")</f>
        <v>0</v>
      </c>
      <c r="Q33" s="462">
        <f>SUMIFS(Import!$H:$H,Import!$A:$A,Q$1,Import!$B:$B,$A32,Import!$D:$D,"PC Lead")</f>
        <v>0</v>
      </c>
      <c r="R33" s="462">
        <f>SUMIFS(Import!$H:$H,Import!$A:$A,R$1,Import!$B:$B,$A32,Import!$D:$D,"PC Lead")</f>
        <v>0</v>
      </c>
      <c r="S33" s="462">
        <f>SUMIFS(Import!$H:$H,Import!$A:$A,S$1,Import!$B:$B,$A32,Import!$D:$D,"PC Lead")</f>
        <v>0</v>
      </c>
      <c r="T33" s="462">
        <f>SUMIFS(Import!$H:$H,Import!$A:$A,T$1,Import!$B:$B,$A32,Import!$D:$D,"PC Lead")</f>
        <v>0</v>
      </c>
      <c r="U33" s="462">
        <f>SUMIFS(Import!$H:$H,Import!$A:$A,U$1,Import!$B:$B,$A32,Import!$D:$D,"PC Lead")</f>
        <v>0</v>
      </c>
      <c r="V33" s="462">
        <f>SUMIFS(Import!$H:$H,Import!$A:$A,V$1,Import!$B:$B,$A32,Import!$D:$D,"PC Lead")</f>
        <v>0</v>
      </c>
      <c r="W33" s="462">
        <f>SUMIFS(Import!$H:$H,Import!$A:$A,W$1,Import!$B:$B,$A32,Import!$D:$D,"PC Lead")</f>
        <v>0</v>
      </c>
      <c r="X33" s="462">
        <f>SUMIFS(Import!$H:$H,Import!$A:$A,X$1,Import!$B:$B,$A32,Import!$D:$D,"PC Lead")</f>
        <v>0</v>
      </c>
      <c r="Y33" s="462">
        <f>SUMIFS(Import!$H:$H,Import!$A:$A,Y$1,Import!$B:$B,$A32,Import!$D:$D,"PC Lead")</f>
        <v>0</v>
      </c>
      <c r="Z33" s="462">
        <f>SUMIFS(Import!$H:$H,Import!$A:$A,Z$1,Import!$B:$B,$A32,Import!$D:$D,"PC Lead")</f>
        <v>0</v>
      </c>
      <c r="AA33" s="462">
        <f>SUMIFS(Import!$H:$H,Import!$A:$A,AA$1,Import!$B:$B,$A32,Import!$D:$D,"PC Lead")</f>
        <v>0</v>
      </c>
      <c r="AB33" s="462">
        <f>SUMIFS(Import!$H:$H,Import!$A:$A,AB$1,Import!$B:$B,$A32,Import!$D:$D,"PC Lead")</f>
        <v>0</v>
      </c>
      <c r="AC33" s="462">
        <f>SUMIFS(Import!$H:$H,Import!$A:$A,AC$1,Import!$B:$B,$A32,Import!$D:$D,"PC Lead")</f>
        <v>0</v>
      </c>
      <c r="AD33" s="462">
        <f>SUMIFS(Import!$H:$H,Import!$A:$A,AD$1,Import!$B:$B,$A32,Import!$D:$D,"PC Lead")</f>
        <v>0</v>
      </c>
      <c r="AE33" s="462">
        <f>SUMIFS(Import!$H:$H,Import!$A:$A,AE$1,Import!$B:$B,$A32,Import!$D:$D,"PC Lead")</f>
        <v>0</v>
      </c>
      <c r="AF33" s="462">
        <f>SUMIFS(Import!$H:$H,Import!$A:$A,AF$1,Import!$B:$B,$A32,Import!$D:$D,"PC Lead")</f>
        <v>0</v>
      </c>
      <c r="AG33" s="462">
        <f>SUMIFS(Import!$H:$H,Import!$A:$A,AG$1,Import!$B:$B,$A32,Import!$D:$D,"PC Lead")</f>
        <v>0</v>
      </c>
      <c r="AH33" s="462">
        <f>SUMIFS(Import!$H:$H,Import!$A:$A,AH$1,Import!$B:$B,$A32,Import!$D:$D,"PC Lead")</f>
        <v>0</v>
      </c>
      <c r="AI33" s="462">
        <f>SUMIFS(Import!$H:$H,Import!$A:$A,AI$1,Import!$B:$B,$A32,Import!$D:$D,"PC Lead")</f>
        <v>0</v>
      </c>
      <c r="AJ33" s="462">
        <f>SUMIFS(Import!$H:$H,Import!$A:$A,AJ$1,Import!$B:$B,$A32,Import!$D:$D,"PC Lead")</f>
        <v>0</v>
      </c>
      <c r="AK33" s="462">
        <f>SUMIFS(Import!$H:$H,Import!$A:$A,AK$1,Import!$B:$B,$A32,Import!$D:$D,"PC Lead")</f>
        <v>0</v>
      </c>
      <c r="AL33" s="462">
        <f>SUMIFS(Import!$H:$H,Import!$A:$A,AL$1,Import!$B:$B,$A32,Import!$D:$D,"PC Lead")</f>
        <v>0</v>
      </c>
      <c r="AM33" s="462">
        <f>SUMIFS(Import!$H:$H,Import!$A:$A,AM$1,Import!$B:$B,$A32,Import!$D:$D,"PC Lead")</f>
        <v>0</v>
      </c>
      <c r="AN33" s="462">
        <f>SUMIFS(Import!$H:$H,Import!$A:$A,AN$1,Import!$B:$B,$A32,Import!$D:$D,"PC Lead")</f>
        <v>0</v>
      </c>
      <c r="AO33" s="462">
        <f>SUMIFS(Import!$H:$H,Import!$A:$A,AO$1,Import!$B:$B,$A32,Import!$D:$D,"PC Lead")</f>
        <v>0</v>
      </c>
      <c r="AP33" s="462">
        <f>SUMIFS(Import!$H:$H,Import!$A:$A,AP$1,Import!$B:$B,$A32,Import!$D:$D,"PC Lead")</f>
        <v>0</v>
      </c>
      <c r="AQ33" s="462">
        <f>SUMIFS(Import!$H:$H,Import!$A:$A,AQ$1,Import!$B:$B,$A32,Import!$D:$D,"PC Lead")</f>
        <v>0</v>
      </c>
      <c r="AR33" s="462">
        <f>SUMIFS(Import!$H:$H,Import!$A:$A,AR$1,Import!$B:$B,$A32,Import!$D:$D,"PC Lead")</f>
        <v>0</v>
      </c>
      <c r="AS33" s="462">
        <f>SUMIFS(Import!$H:$H,Import!$A:$A,AS$1,Import!$B:$B,$A32,Import!$D:$D,"PC Lead")</f>
        <v>0</v>
      </c>
      <c r="AT33" s="462">
        <f>SUMIFS(Import!$H:$H,Import!$A:$A,AT$1,Import!$B:$B,$A32,Import!$D:$D,"PC Lead")</f>
        <v>0</v>
      </c>
      <c r="AU33" s="462">
        <f>SUMIFS(Import!$H:$H,Import!$A:$A,AU$1,Import!$B:$B,$A32,Import!$D:$D,"PC Lead")</f>
        <v>0</v>
      </c>
      <c r="AV33" s="462">
        <f>SUMIFS(Import!$H:$H,Import!$A:$A,AV$1,Import!$B:$B,$A32,Import!$D:$D,"PC Lead")</f>
        <v>0</v>
      </c>
      <c r="AW33" s="462">
        <f>SUMIFS(Import!$H:$H,Import!$A:$A,AW$1,Import!$B:$B,$A32,Import!$D:$D,"PC Lead")</f>
        <v>0</v>
      </c>
      <c r="AX33" s="462">
        <f>SUMIFS(Import!$H:$H,Import!$A:$A,AX$1,Import!$B:$B,$A32,Import!$D:$D,"PC Lead")</f>
        <v>0</v>
      </c>
      <c r="AY33" s="462">
        <f>SUMIFS(Import!$H:$H,Import!$A:$A,AY$1,Import!$B:$B,$A32,Import!$D:$D,"PC Lead")</f>
        <v>0</v>
      </c>
      <c r="AZ33" s="462">
        <f>SUMIFS(Import!$H:$H,Import!$A:$A,AZ$1,Import!$B:$B,$A32,Import!$D:$D,"PC Lead")</f>
        <v>0</v>
      </c>
      <c r="BA33" s="462">
        <f>SUMIFS(Import!$H:$H,Import!$A:$A,BA$1,Import!$B:$B,$A32,Import!$D:$D,"PC Lead")</f>
        <v>0</v>
      </c>
      <c r="BB33" s="462">
        <f>SUMIFS(Import!$H:$H,Import!$A:$A,BB$1,Import!$B:$B,$A32,Import!$D:$D,"PC Lead")</f>
        <v>0</v>
      </c>
      <c r="BC33" s="462">
        <f>SUMIFS(Import!$H:$H,Import!$A:$A,BC$1,Import!$B:$B,$A32,Import!$D:$D,"PC Lead")</f>
        <v>0</v>
      </c>
      <c r="BD33" s="463">
        <f>SUMIFS(Import!$H:$H,Import!$A:$A,BD$1,Import!$B:$B,$A32,Import!$D:$D,"PC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IF(Import!T14&lt;&gt;"",Import!T14,"")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SUMIFS(Import!$H:$H,Import!$A:$A,D$1,Import!$B:$B,$A37,Import!$D:$D,"PC Lead")</f>
        <v>0</v>
      </c>
      <c r="E38" s="462">
        <f>SUMIFS(Import!$H:$H,Import!$A:$A,E$1,Import!$B:$B,$A37,Import!$D:$D,"PC Lead")</f>
        <v>0</v>
      </c>
      <c r="F38" s="462">
        <f>SUMIFS(Import!$H:$H,Import!$A:$A,F$1,Import!$B:$B,$A37,Import!$D:$D,"PC Lead")</f>
        <v>0</v>
      </c>
      <c r="G38" s="462">
        <f>SUMIFS(Import!$H:$H,Import!$A:$A,G$1,Import!$B:$B,$A37,Import!$D:$D,"PC Lead")</f>
        <v>0</v>
      </c>
      <c r="H38" s="462">
        <f>SUMIFS(Import!$H:$H,Import!$A:$A,H$1,Import!$B:$B,$A37,Import!$D:$D,"PC Lead")</f>
        <v>0</v>
      </c>
      <c r="I38" s="462">
        <f>SUMIFS(Import!$H:$H,Import!$A:$A,I$1,Import!$B:$B,$A37,Import!$D:$D,"PC Lead")</f>
        <v>0</v>
      </c>
      <c r="J38" s="462">
        <f>SUMIFS(Import!$H:$H,Import!$A:$A,J$1,Import!$B:$B,$A37,Import!$D:$D,"PC Lead")</f>
        <v>0</v>
      </c>
      <c r="K38" s="462">
        <f>SUMIFS(Import!$H:$H,Import!$A:$A,K$1,Import!$B:$B,$A37,Import!$D:$D,"PC Lead")</f>
        <v>0</v>
      </c>
      <c r="L38" s="462">
        <f>SUMIFS(Import!$H:$H,Import!$A:$A,L$1,Import!$B:$B,$A37,Import!$D:$D,"PC Lead")</f>
        <v>0</v>
      </c>
      <c r="M38" s="462">
        <f>SUMIFS(Import!$H:$H,Import!$A:$A,M$1,Import!$B:$B,$A37,Import!$D:$D,"PC Lead")</f>
        <v>0</v>
      </c>
      <c r="N38" s="462">
        <f>SUMIFS(Import!$H:$H,Import!$A:$A,N$1,Import!$B:$B,$A37,Import!$D:$D,"PC Lead")</f>
        <v>0</v>
      </c>
      <c r="O38" s="462">
        <f>SUMIFS(Import!$H:$H,Import!$A:$A,O$1,Import!$B:$B,$A37,Import!$D:$D,"PC Lead")</f>
        <v>0</v>
      </c>
      <c r="P38" s="462">
        <f>SUMIFS(Import!$H:$H,Import!$A:$A,P$1,Import!$B:$B,$A37,Import!$D:$D,"PC Lead")</f>
        <v>0</v>
      </c>
      <c r="Q38" s="462">
        <f>SUMIFS(Import!$H:$H,Import!$A:$A,Q$1,Import!$B:$B,$A37,Import!$D:$D,"PC Lead")</f>
        <v>0</v>
      </c>
      <c r="R38" s="462">
        <f>SUMIFS(Import!$H:$H,Import!$A:$A,R$1,Import!$B:$B,$A37,Import!$D:$D,"PC Lead")</f>
        <v>0</v>
      </c>
      <c r="S38" s="462">
        <f>SUMIFS(Import!$H:$H,Import!$A:$A,S$1,Import!$B:$B,$A37,Import!$D:$D,"PC Lead")</f>
        <v>0</v>
      </c>
      <c r="T38" s="462">
        <f>SUMIFS(Import!$H:$H,Import!$A:$A,T$1,Import!$B:$B,$A37,Import!$D:$D,"PC Lead")</f>
        <v>0</v>
      </c>
      <c r="U38" s="462">
        <f>SUMIFS(Import!$H:$H,Import!$A:$A,U$1,Import!$B:$B,$A37,Import!$D:$D,"PC Lead")</f>
        <v>0</v>
      </c>
      <c r="V38" s="462">
        <f>SUMIFS(Import!$H:$H,Import!$A:$A,V$1,Import!$B:$B,$A37,Import!$D:$D,"PC Lead")</f>
        <v>0</v>
      </c>
      <c r="W38" s="462">
        <f>SUMIFS(Import!$H:$H,Import!$A:$A,W$1,Import!$B:$B,$A37,Import!$D:$D,"PC Lead")</f>
        <v>0</v>
      </c>
      <c r="X38" s="462">
        <f>SUMIFS(Import!$H:$H,Import!$A:$A,X$1,Import!$B:$B,$A37,Import!$D:$D,"PC Lead")</f>
        <v>0</v>
      </c>
      <c r="Y38" s="462">
        <f>SUMIFS(Import!$H:$H,Import!$A:$A,Y$1,Import!$B:$B,$A37,Import!$D:$D,"PC Lead")</f>
        <v>0</v>
      </c>
      <c r="Z38" s="462">
        <f>SUMIFS(Import!$H:$H,Import!$A:$A,Z$1,Import!$B:$B,$A37,Import!$D:$D,"PC Lead")</f>
        <v>0</v>
      </c>
      <c r="AA38" s="462">
        <f>SUMIFS(Import!$H:$H,Import!$A:$A,AA$1,Import!$B:$B,$A37,Import!$D:$D,"PC Lead")</f>
        <v>0</v>
      </c>
      <c r="AB38" s="462">
        <f>SUMIFS(Import!$H:$H,Import!$A:$A,AB$1,Import!$B:$B,$A37,Import!$D:$D,"PC Lead")</f>
        <v>0</v>
      </c>
      <c r="AC38" s="462">
        <f>SUMIFS(Import!$H:$H,Import!$A:$A,AC$1,Import!$B:$B,$A37,Import!$D:$D,"PC Lead")</f>
        <v>0</v>
      </c>
      <c r="AD38" s="462">
        <f>SUMIFS(Import!$H:$H,Import!$A:$A,AD$1,Import!$B:$B,$A37,Import!$D:$D,"PC Lead")</f>
        <v>0</v>
      </c>
      <c r="AE38" s="462">
        <f>SUMIFS(Import!$H:$H,Import!$A:$A,AE$1,Import!$B:$B,$A37,Import!$D:$D,"PC Lead")</f>
        <v>0</v>
      </c>
      <c r="AF38" s="462">
        <f>SUMIFS(Import!$H:$H,Import!$A:$A,AF$1,Import!$B:$B,$A37,Import!$D:$D,"PC Lead")</f>
        <v>0</v>
      </c>
      <c r="AG38" s="462">
        <f>SUMIFS(Import!$H:$H,Import!$A:$A,AG$1,Import!$B:$B,$A37,Import!$D:$D,"PC Lead")</f>
        <v>0</v>
      </c>
      <c r="AH38" s="462">
        <f>SUMIFS(Import!$H:$H,Import!$A:$A,AH$1,Import!$B:$B,$A37,Import!$D:$D,"PC Lead")</f>
        <v>0</v>
      </c>
      <c r="AI38" s="462">
        <f>SUMIFS(Import!$H:$H,Import!$A:$A,AI$1,Import!$B:$B,$A37,Import!$D:$D,"PC Lead")</f>
        <v>0</v>
      </c>
      <c r="AJ38" s="462">
        <f>SUMIFS(Import!$H:$H,Import!$A:$A,AJ$1,Import!$B:$B,$A37,Import!$D:$D,"PC Lead")</f>
        <v>0</v>
      </c>
      <c r="AK38" s="462">
        <f>SUMIFS(Import!$H:$H,Import!$A:$A,AK$1,Import!$B:$B,$A37,Import!$D:$D,"PC Lead")</f>
        <v>0</v>
      </c>
      <c r="AL38" s="462">
        <f>SUMIFS(Import!$H:$H,Import!$A:$A,AL$1,Import!$B:$B,$A37,Import!$D:$D,"PC Lead")</f>
        <v>0</v>
      </c>
      <c r="AM38" s="462">
        <f>SUMIFS(Import!$H:$H,Import!$A:$A,AM$1,Import!$B:$B,$A37,Import!$D:$D,"PC Lead")</f>
        <v>0</v>
      </c>
      <c r="AN38" s="462">
        <f>SUMIFS(Import!$H:$H,Import!$A:$A,AN$1,Import!$B:$B,$A37,Import!$D:$D,"PC Lead")</f>
        <v>0</v>
      </c>
      <c r="AO38" s="462">
        <f>SUMIFS(Import!$H:$H,Import!$A:$A,AO$1,Import!$B:$B,$A37,Import!$D:$D,"PC Lead")</f>
        <v>0</v>
      </c>
      <c r="AP38" s="462">
        <f>SUMIFS(Import!$H:$H,Import!$A:$A,AP$1,Import!$B:$B,$A37,Import!$D:$D,"PC Lead")</f>
        <v>0</v>
      </c>
      <c r="AQ38" s="462">
        <f>SUMIFS(Import!$H:$H,Import!$A:$A,AQ$1,Import!$B:$B,$A37,Import!$D:$D,"PC Lead")</f>
        <v>0</v>
      </c>
      <c r="AR38" s="462">
        <f>SUMIFS(Import!$H:$H,Import!$A:$A,AR$1,Import!$B:$B,$A37,Import!$D:$D,"PC Lead")</f>
        <v>0</v>
      </c>
      <c r="AS38" s="462">
        <f>SUMIFS(Import!$H:$H,Import!$A:$A,AS$1,Import!$B:$B,$A37,Import!$D:$D,"PC Lead")</f>
        <v>0</v>
      </c>
      <c r="AT38" s="462">
        <f>SUMIFS(Import!$H:$H,Import!$A:$A,AT$1,Import!$B:$B,$A37,Import!$D:$D,"PC Lead")</f>
        <v>0</v>
      </c>
      <c r="AU38" s="462">
        <f>SUMIFS(Import!$H:$H,Import!$A:$A,AU$1,Import!$B:$B,$A37,Import!$D:$D,"PC Lead")</f>
        <v>0</v>
      </c>
      <c r="AV38" s="462">
        <f>SUMIFS(Import!$H:$H,Import!$A:$A,AV$1,Import!$B:$B,$A37,Import!$D:$D,"PC Lead")</f>
        <v>0</v>
      </c>
      <c r="AW38" s="462">
        <f>SUMIFS(Import!$H:$H,Import!$A:$A,AW$1,Import!$B:$B,$A37,Import!$D:$D,"PC Lead")</f>
        <v>0</v>
      </c>
      <c r="AX38" s="462">
        <f>SUMIFS(Import!$H:$H,Import!$A:$A,AX$1,Import!$B:$B,$A37,Import!$D:$D,"PC Lead")</f>
        <v>0</v>
      </c>
      <c r="AY38" s="462">
        <f>SUMIFS(Import!$H:$H,Import!$A:$A,AY$1,Import!$B:$B,$A37,Import!$D:$D,"PC Lead")</f>
        <v>0</v>
      </c>
      <c r="AZ38" s="462">
        <f>SUMIFS(Import!$H:$H,Import!$A:$A,AZ$1,Import!$B:$B,$A37,Import!$D:$D,"PC Lead")</f>
        <v>0</v>
      </c>
      <c r="BA38" s="462">
        <f>SUMIFS(Import!$H:$H,Import!$A:$A,BA$1,Import!$B:$B,$A37,Import!$D:$D,"PC Lead")</f>
        <v>0</v>
      </c>
      <c r="BB38" s="462">
        <f>SUMIFS(Import!$H:$H,Import!$A:$A,BB$1,Import!$B:$B,$A37,Import!$D:$D,"PC Lead")</f>
        <v>0</v>
      </c>
      <c r="BC38" s="462">
        <f>SUMIFS(Import!$H:$H,Import!$A:$A,BC$1,Import!$B:$B,$A37,Import!$D:$D,"PC Lead")</f>
        <v>0</v>
      </c>
      <c r="BD38" s="463">
        <f>SUMIFS(Import!$H:$H,Import!$A:$A,BD$1,Import!$B:$B,$A37,Import!$D:$D,"PC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IF(Import!T15&lt;&gt;"",Import!T15,"")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SUMIFS(Import!$H:$H,Import!$A:$A,D$1,Import!$B:$B,$A42,Import!$D:$D,"PC Lead")</f>
        <v>0</v>
      </c>
      <c r="E43" s="462">
        <f>SUMIFS(Import!$H:$H,Import!$A:$A,E$1,Import!$B:$B,$A42,Import!$D:$D,"PC Lead")</f>
        <v>0</v>
      </c>
      <c r="F43" s="462">
        <f>SUMIFS(Import!$H:$H,Import!$A:$A,F$1,Import!$B:$B,$A42,Import!$D:$D,"PC Lead")</f>
        <v>0</v>
      </c>
      <c r="G43" s="462">
        <f>SUMIFS(Import!$H:$H,Import!$A:$A,G$1,Import!$B:$B,$A42,Import!$D:$D,"PC Lead")</f>
        <v>0</v>
      </c>
      <c r="H43" s="462">
        <f>SUMIFS(Import!$H:$H,Import!$A:$A,H$1,Import!$B:$B,$A42,Import!$D:$D,"PC Lead")</f>
        <v>0</v>
      </c>
      <c r="I43" s="462">
        <f>SUMIFS(Import!$H:$H,Import!$A:$A,I$1,Import!$B:$B,$A42,Import!$D:$D,"PC Lead")</f>
        <v>0</v>
      </c>
      <c r="J43" s="462">
        <f>SUMIFS(Import!$H:$H,Import!$A:$A,J$1,Import!$B:$B,$A42,Import!$D:$D,"PC Lead")</f>
        <v>0</v>
      </c>
      <c r="K43" s="462">
        <f>SUMIFS(Import!$H:$H,Import!$A:$A,K$1,Import!$B:$B,$A42,Import!$D:$D,"PC Lead")</f>
        <v>0</v>
      </c>
      <c r="L43" s="462">
        <f>SUMIFS(Import!$H:$H,Import!$A:$A,L$1,Import!$B:$B,$A42,Import!$D:$D,"PC Lead")</f>
        <v>0</v>
      </c>
      <c r="M43" s="462">
        <f>SUMIFS(Import!$H:$H,Import!$A:$A,M$1,Import!$B:$B,$A42,Import!$D:$D,"PC Lead")</f>
        <v>0</v>
      </c>
      <c r="N43" s="462">
        <f>SUMIFS(Import!$H:$H,Import!$A:$A,N$1,Import!$B:$B,$A42,Import!$D:$D,"PC Lead")</f>
        <v>0</v>
      </c>
      <c r="O43" s="462">
        <f>SUMIFS(Import!$H:$H,Import!$A:$A,O$1,Import!$B:$B,$A42,Import!$D:$D,"PC Lead")</f>
        <v>0</v>
      </c>
      <c r="P43" s="462">
        <f>SUMIFS(Import!$H:$H,Import!$A:$A,P$1,Import!$B:$B,$A42,Import!$D:$D,"PC Lead")</f>
        <v>0</v>
      </c>
      <c r="Q43" s="462">
        <f>SUMIFS(Import!$H:$H,Import!$A:$A,Q$1,Import!$B:$B,$A42,Import!$D:$D,"PC Lead")</f>
        <v>0</v>
      </c>
      <c r="R43" s="462">
        <f>SUMIFS(Import!$H:$H,Import!$A:$A,R$1,Import!$B:$B,$A42,Import!$D:$D,"PC Lead")</f>
        <v>0</v>
      </c>
      <c r="S43" s="462">
        <f>SUMIFS(Import!$H:$H,Import!$A:$A,S$1,Import!$B:$B,$A42,Import!$D:$D,"PC Lead")</f>
        <v>0</v>
      </c>
      <c r="T43" s="462">
        <f>SUMIFS(Import!$H:$H,Import!$A:$A,T$1,Import!$B:$B,$A42,Import!$D:$D,"PC Lead")</f>
        <v>0</v>
      </c>
      <c r="U43" s="462">
        <f>SUMIFS(Import!$H:$H,Import!$A:$A,U$1,Import!$B:$B,$A42,Import!$D:$D,"PC Lead")</f>
        <v>0</v>
      </c>
      <c r="V43" s="462">
        <f>SUMIFS(Import!$H:$H,Import!$A:$A,V$1,Import!$B:$B,$A42,Import!$D:$D,"PC Lead")</f>
        <v>0</v>
      </c>
      <c r="W43" s="462">
        <f>SUMIFS(Import!$H:$H,Import!$A:$A,W$1,Import!$B:$B,$A42,Import!$D:$D,"PC Lead")</f>
        <v>0</v>
      </c>
      <c r="X43" s="462">
        <f>SUMIFS(Import!$H:$H,Import!$A:$A,X$1,Import!$B:$B,$A42,Import!$D:$D,"PC Lead")</f>
        <v>0</v>
      </c>
      <c r="Y43" s="462">
        <f>SUMIFS(Import!$H:$H,Import!$A:$A,Y$1,Import!$B:$B,$A42,Import!$D:$D,"PC Lead")</f>
        <v>0</v>
      </c>
      <c r="Z43" s="462">
        <f>SUMIFS(Import!$H:$H,Import!$A:$A,Z$1,Import!$B:$B,$A42,Import!$D:$D,"PC Lead")</f>
        <v>0</v>
      </c>
      <c r="AA43" s="462">
        <f>SUMIFS(Import!$H:$H,Import!$A:$A,AA$1,Import!$B:$B,$A42,Import!$D:$D,"PC Lead")</f>
        <v>0</v>
      </c>
      <c r="AB43" s="462">
        <f>SUMIFS(Import!$H:$H,Import!$A:$A,AB$1,Import!$B:$B,$A42,Import!$D:$D,"PC Lead")</f>
        <v>0</v>
      </c>
      <c r="AC43" s="462">
        <f>SUMIFS(Import!$H:$H,Import!$A:$A,AC$1,Import!$B:$B,$A42,Import!$D:$D,"PC Lead")</f>
        <v>0</v>
      </c>
      <c r="AD43" s="462">
        <f>SUMIFS(Import!$H:$H,Import!$A:$A,AD$1,Import!$B:$B,$A42,Import!$D:$D,"PC Lead")</f>
        <v>0</v>
      </c>
      <c r="AE43" s="462">
        <f>SUMIFS(Import!$H:$H,Import!$A:$A,AE$1,Import!$B:$B,$A42,Import!$D:$D,"PC Lead")</f>
        <v>0</v>
      </c>
      <c r="AF43" s="462">
        <f>SUMIFS(Import!$H:$H,Import!$A:$A,AF$1,Import!$B:$B,$A42,Import!$D:$D,"PC Lead")</f>
        <v>0</v>
      </c>
      <c r="AG43" s="462">
        <f>SUMIFS(Import!$H:$H,Import!$A:$A,AG$1,Import!$B:$B,$A42,Import!$D:$D,"PC Lead")</f>
        <v>0</v>
      </c>
      <c r="AH43" s="462">
        <f>SUMIFS(Import!$H:$H,Import!$A:$A,AH$1,Import!$B:$B,$A42,Import!$D:$D,"PC Lead")</f>
        <v>0</v>
      </c>
      <c r="AI43" s="462">
        <f>SUMIFS(Import!$H:$H,Import!$A:$A,AI$1,Import!$B:$B,$A42,Import!$D:$D,"PC Lead")</f>
        <v>0</v>
      </c>
      <c r="AJ43" s="462">
        <f>SUMIFS(Import!$H:$H,Import!$A:$A,AJ$1,Import!$B:$B,$A42,Import!$D:$D,"PC Lead")</f>
        <v>0</v>
      </c>
      <c r="AK43" s="462">
        <f>SUMIFS(Import!$H:$H,Import!$A:$A,AK$1,Import!$B:$B,$A42,Import!$D:$D,"PC Lead")</f>
        <v>0</v>
      </c>
      <c r="AL43" s="462">
        <f>SUMIFS(Import!$H:$H,Import!$A:$A,AL$1,Import!$B:$B,$A42,Import!$D:$D,"PC Lead")</f>
        <v>0</v>
      </c>
      <c r="AM43" s="462">
        <f>SUMIFS(Import!$H:$H,Import!$A:$A,AM$1,Import!$B:$B,$A42,Import!$D:$D,"PC Lead")</f>
        <v>0</v>
      </c>
      <c r="AN43" s="462">
        <f>SUMIFS(Import!$H:$H,Import!$A:$A,AN$1,Import!$B:$B,$A42,Import!$D:$D,"PC Lead")</f>
        <v>0</v>
      </c>
      <c r="AO43" s="462">
        <f>SUMIFS(Import!$H:$H,Import!$A:$A,AO$1,Import!$B:$B,$A42,Import!$D:$D,"PC Lead")</f>
        <v>0</v>
      </c>
      <c r="AP43" s="462">
        <f>SUMIFS(Import!$H:$H,Import!$A:$A,AP$1,Import!$B:$B,$A42,Import!$D:$D,"PC Lead")</f>
        <v>0</v>
      </c>
      <c r="AQ43" s="462">
        <f>SUMIFS(Import!$H:$H,Import!$A:$A,AQ$1,Import!$B:$B,$A42,Import!$D:$D,"PC Lead")</f>
        <v>0</v>
      </c>
      <c r="AR43" s="462">
        <f>SUMIFS(Import!$H:$H,Import!$A:$A,AR$1,Import!$B:$B,$A42,Import!$D:$D,"PC Lead")</f>
        <v>0</v>
      </c>
      <c r="AS43" s="462">
        <f>SUMIFS(Import!$H:$H,Import!$A:$A,AS$1,Import!$B:$B,$A42,Import!$D:$D,"PC Lead")</f>
        <v>0</v>
      </c>
      <c r="AT43" s="462">
        <f>SUMIFS(Import!$H:$H,Import!$A:$A,AT$1,Import!$B:$B,$A42,Import!$D:$D,"PC Lead")</f>
        <v>0</v>
      </c>
      <c r="AU43" s="462">
        <f>SUMIFS(Import!$H:$H,Import!$A:$A,AU$1,Import!$B:$B,$A42,Import!$D:$D,"PC Lead")</f>
        <v>0</v>
      </c>
      <c r="AV43" s="462">
        <f>SUMIFS(Import!$H:$H,Import!$A:$A,AV$1,Import!$B:$B,$A42,Import!$D:$D,"PC Lead")</f>
        <v>0</v>
      </c>
      <c r="AW43" s="462">
        <f>SUMIFS(Import!$H:$H,Import!$A:$A,AW$1,Import!$B:$B,$A42,Import!$D:$D,"PC Lead")</f>
        <v>0</v>
      </c>
      <c r="AX43" s="462">
        <f>SUMIFS(Import!$H:$H,Import!$A:$A,AX$1,Import!$B:$B,$A42,Import!$D:$D,"PC Lead")</f>
        <v>0</v>
      </c>
      <c r="AY43" s="462">
        <f>SUMIFS(Import!$H:$H,Import!$A:$A,AY$1,Import!$B:$B,$A42,Import!$D:$D,"PC Lead")</f>
        <v>0</v>
      </c>
      <c r="AZ43" s="462">
        <f>SUMIFS(Import!$H:$H,Import!$A:$A,AZ$1,Import!$B:$B,$A42,Import!$D:$D,"PC Lead")</f>
        <v>0</v>
      </c>
      <c r="BA43" s="462">
        <f>SUMIFS(Import!$H:$H,Import!$A:$A,BA$1,Import!$B:$B,$A42,Import!$D:$D,"PC Lead")</f>
        <v>0</v>
      </c>
      <c r="BB43" s="462">
        <f>SUMIFS(Import!$H:$H,Import!$A:$A,BB$1,Import!$B:$B,$A42,Import!$D:$D,"PC Lead")</f>
        <v>0</v>
      </c>
      <c r="BC43" s="462">
        <f>SUMIFS(Import!$H:$H,Import!$A:$A,BC$1,Import!$B:$B,$A42,Import!$D:$D,"PC Lead")</f>
        <v>0</v>
      </c>
      <c r="BD43" s="463">
        <f>SUMIFS(Import!$H:$H,Import!$A:$A,BD$1,Import!$B:$B,$A42,Import!$D:$D,"PC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IF(Import!T16&lt;&gt;"",Import!T16,"")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SUMIFS(Import!$H:$H,Import!$A:$A,D$1,Import!$B:$B,$A47,Import!$D:$D,"PC Lead")</f>
        <v>0</v>
      </c>
      <c r="E48" s="462">
        <f>SUMIFS(Import!$H:$H,Import!$A:$A,E$1,Import!$B:$B,$A47,Import!$D:$D,"PC Lead")</f>
        <v>0</v>
      </c>
      <c r="F48" s="462">
        <f>SUMIFS(Import!$H:$H,Import!$A:$A,F$1,Import!$B:$B,$A47,Import!$D:$D,"PC Lead")</f>
        <v>0</v>
      </c>
      <c r="G48" s="462">
        <f>SUMIFS(Import!$H:$H,Import!$A:$A,G$1,Import!$B:$B,$A47,Import!$D:$D,"PC Lead")</f>
        <v>0</v>
      </c>
      <c r="H48" s="462">
        <f>SUMIFS(Import!$H:$H,Import!$A:$A,H$1,Import!$B:$B,$A47,Import!$D:$D,"PC Lead")</f>
        <v>0</v>
      </c>
      <c r="I48" s="462">
        <f>SUMIFS(Import!$H:$H,Import!$A:$A,I$1,Import!$B:$B,$A47,Import!$D:$D,"PC Lead")</f>
        <v>0</v>
      </c>
      <c r="J48" s="462">
        <f>SUMIFS(Import!$H:$H,Import!$A:$A,J$1,Import!$B:$B,$A47,Import!$D:$D,"PC Lead")</f>
        <v>0</v>
      </c>
      <c r="K48" s="462">
        <f>SUMIFS(Import!$H:$H,Import!$A:$A,K$1,Import!$B:$B,$A47,Import!$D:$D,"PC Lead")</f>
        <v>0</v>
      </c>
      <c r="L48" s="462">
        <f>SUMIFS(Import!$H:$H,Import!$A:$A,L$1,Import!$B:$B,$A47,Import!$D:$D,"PC Lead")</f>
        <v>0</v>
      </c>
      <c r="M48" s="462">
        <f>SUMIFS(Import!$H:$H,Import!$A:$A,M$1,Import!$B:$B,$A47,Import!$D:$D,"PC Lead")</f>
        <v>0</v>
      </c>
      <c r="N48" s="462">
        <f>SUMIFS(Import!$H:$H,Import!$A:$A,N$1,Import!$B:$B,$A47,Import!$D:$D,"PC Lead")</f>
        <v>0</v>
      </c>
      <c r="O48" s="462">
        <f>SUMIFS(Import!$H:$H,Import!$A:$A,O$1,Import!$B:$B,$A47,Import!$D:$D,"PC Lead")</f>
        <v>0</v>
      </c>
      <c r="P48" s="462">
        <f>SUMIFS(Import!$H:$H,Import!$A:$A,P$1,Import!$B:$B,$A47,Import!$D:$D,"PC Lead")</f>
        <v>0</v>
      </c>
      <c r="Q48" s="462">
        <f>SUMIFS(Import!$H:$H,Import!$A:$A,Q$1,Import!$B:$B,$A47,Import!$D:$D,"PC Lead")</f>
        <v>0</v>
      </c>
      <c r="R48" s="462">
        <f>SUMIFS(Import!$H:$H,Import!$A:$A,R$1,Import!$B:$B,$A47,Import!$D:$D,"PC Lead")</f>
        <v>0</v>
      </c>
      <c r="S48" s="462">
        <f>SUMIFS(Import!$H:$H,Import!$A:$A,S$1,Import!$B:$B,$A47,Import!$D:$D,"PC Lead")</f>
        <v>0</v>
      </c>
      <c r="T48" s="462">
        <f>SUMIFS(Import!$H:$H,Import!$A:$A,T$1,Import!$B:$B,$A47,Import!$D:$D,"PC Lead")</f>
        <v>0</v>
      </c>
      <c r="U48" s="462">
        <f>SUMIFS(Import!$H:$H,Import!$A:$A,U$1,Import!$B:$B,$A47,Import!$D:$D,"PC Lead")</f>
        <v>0</v>
      </c>
      <c r="V48" s="462">
        <f>SUMIFS(Import!$H:$H,Import!$A:$A,V$1,Import!$B:$B,$A47,Import!$D:$D,"PC Lead")</f>
        <v>0</v>
      </c>
      <c r="W48" s="462">
        <f>SUMIFS(Import!$H:$H,Import!$A:$A,W$1,Import!$B:$B,$A47,Import!$D:$D,"PC Lead")</f>
        <v>0</v>
      </c>
      <c r="X48" s="462">
        <f>SUMIFS(Import!$H:$H,Import!$A:$A,X$1,Import!$B:$B,$A47,Import!$D:$D,"PC Lead")</f>
        <v>0</v>
      </c>
      <c r="Y48" s="462">
        <f>SUMIFS(Import!$H:$H,Import!$A:$A,Y$1,Import!$B:$B,$A47,Import!$D:$D,"PC Lead")</f>
        <v>0</v>
      </c>
      <c r="Z48" s="462">
        <f>SUMIFS(Import!$H:$H,Import!$A:$A,Z$1,Import!$B:$B,$A47,Import!$D:$D,"PC Lead")</f>
        <v>0</v>
      </c>
      <c r="AA48" s="462">
        <f>SUMIFS(Import!$H:$H,Import!$A:$A,AA$1,Import!$B:$B,$A47,Import!$D:$D,"PC Lead")</f>
        <v>0</v>
      </c>
      <c r="AB48" s="462">
        <f>SUMIFS(Import!$H:$H,Import!$A:$A,AB$1,Import!$B:$B,$A47,Import!$D:$D,"PC Lead")</f>
        <v>0</v>
      </c>
      <c r="AC48" s="462">
        <f>SUMIFS(Import!$H:$H,Import!$A:$A,AC$1,Import!$B:$B,$A47,Import!$D:$D,"PC Lead")</f>
        <v>0</v>
      </c>
      <c r="AD48" s="462">
        <f>SUMIFS(Import!$H:$H,Import!$A:$A,AD$1,Import!$B:$B,$A47,Import!$D:$D,"PC Lead")</f>
        <v>0</v>
      </c>
      <c r="AE48" s="462">
        <f>SUMIFS(Import!$H:$H,Import!$A:$A,AE$1,Import!$B:$B,$A47,Import!$D:$D,"PC Lead")</f>
        <v>0</v>
      </c>
      <c r="AF48" s="462">
        <f>SUMIFS(Import!$H:$H,Import!$A:$A,AF$1,Import!$B:$B,$A47,Import!$D:$D,"PC Lead")</f>
        <v>0</v>
      </c>
      <c r="AG48" s="462">
        <f>SUMIFS(Import!$H:$H,Import!$A:$A,AG$1,Import!$B:$B,$A47,Import!$D:$D,"PC Lead")</f>
        <v>0</v>
      </c>
      <c r="AH48" s="462">
        <f>SUMIFS(Import!$H:$H,Import!$A:$A,AH$1,Import!$B:$B,$A47,Import!$D:$D,"PC Lead")</f>
        <v>0</v>
      </c>
      <c r="AI48" s="462">
        <f>SUMIFS(Import!$H:$H,Import!$A:$A,AI$1,Import!$B:$B,$A47,Import!$D:$D,"PC Lead")</f>
        <v>0</v>
      </c>
      <c r="AJ48" s="462">
        <f>SUMIFS(Import!$H:$H,Import!$A:$A,AJ$1,Import!$B:$B,$A47,Import!$D:$D,"PC Lead")</f>
        <v>0</v>
      </c>
      <c r="AK48" s="462">
        <f>SUMIFS(Import!$H:$H,Import!$A:$A,AK$1,Import!$B:$B,$A47,Import!$D:$D,"PC Lead")</f>
        <v>0</v>
      </c>
      <c r="AL48" s="462">
        <f>SUMIFS(Import!$H:$H,Import!$A:$A,AL$1,Import!$B:$B,$A47,Import!$D:$D,"PC Lead")</f>
        <v>0</v>
      </c>
      <c r="AM48" s="462">
        <f>SUMIFS(Import!$H:$H,Import!$A:$A,AM$1,Import!$B:$B,$A47,Import!$D:$D,"PC Lead")</f>
        <v>0</v>
      </c>
      <c r="AN48" s="462">
        <f>SUMIFS(Import!$H:$H,Import!$A:$A,AN$1,Import!$B:$B,$A47,Import!$D:$D,"PC Lead")</f>
        <v>0</v>
      </c>
      <c r="AO48" s="462">
        <f>SUMIFS(Import!$H:$H,Import!$A:$A,AO$1,Import!$B:$B,$A47,Import!$D:$D,"PC Lead")</f>
        <v>0</v>
      </c>
      <c r="AP48" s="462">
        <f>SUMIFS(Import!$H:$H,Import!$A:$A,AP$1,Import!$B:$B,$A47,Import!$D:$D,"PC Lead")</f>
        <v>0</v>
      </c>
      <c r="AQ48" s="462">
        <f>SUMIFS(Import!$H:$H,Import!$A:$A,AQ$1,Import!$B:$B,$A47,Import!$D:$D,"PC Lead")</f>
        <v>0</v>
      </c>
      <c r="AR48" s="462">
        <f>SUMIFS(Import!$H:$H,Import!$A:$A,AR$1,Import!$B:$B,$A47,Import!$D:$D,"PC Lead")</f>
        <v>0</v>
      </c>
      <c r="AS48" s="462">
        <f>SUMIFS(Import!$H:$H,Import!$A:$A,AS$1,Import!$B:$B,$A47,Import!$D:$D,"PC Lead")</f>
        <v>0</v>
      </c>
      <c r="AT48" s="462">
        <f>SUMIFS(Import!$H:$H,Import!$A:$A,AT$1,Import!$B:$B,$A47,Import!$D:$D,"PC Lead")</f>
        <v>0</v>
      </c>
      <c r="AU48" s="462">
        <f>SUMIFS(Import!$H:$H,Import!$A:$A,AU$1,Import!$B:$B,$A47,Import!$D:$D,"PC Lead")</f>
        <v>0</v>
      </c>
      <c r="AV48" s="462">
        <f>SUMIFS(Import!$H:$H,Import!$A:$A,AV$1,Import!$B:$B,$A47,Import!$D:$D,"PC Lead")</f>
        <v>0</v>
      </c>
      <c r="AW48" s="462">
        <f>SUMIFS(Import!$H:$H,Import!$A:$A,AW$1,Import!$B:$B,$A47,Import!$D:$D,"PC Lead")</f>
        <v>0</v>
      </c>
      <c r="AX48" s="462">
        <f>SUMIFS(Import!$H:$H,Import!$A:$A,AX$1,Import!$B:$B,$A47,Import!$D:$D,"PC Lead")</f>
        <v>0</v>
      </c>
      <c r="AY48" s="462">
        <f>SUMIFS(Import!$H:$H,Import!$A:$A,AY$1,Import!$B:$B,$A47,Import!$D:$D,"PC Lead")</f>
        <v>0</v>
      </c>
      <c r="AZ48" s="462">
        <f>SUMIFS(Import!$H:$H,Import!$A:$A,AZ$1,Import!$B:$B,$A47,Import!$D:$D,"PC Lead")</f>
        <v>0</v>
      </c>
      <c r="BA48" s="462">
        <f>SUMIFS(Import!$H:$H,Import!$A:$A,BA$1,Import!$B:$B,$A47,Import!$D:$D,"PC Lead")</f>
        <v>0</v>
      </c>
      <c r="BB48" s="462">
        <f>SUMIFS(Import!$H:$H,Import!$A:$A,BB$1,Import!$B:$B,$A47,Import!$D:$D,"PC Lead")</f>
        <v>0</v>
      </c>
      <c r="BC48" s="462">
        <f>SUMIFS(Import!$H:$H,Import!$A:$A,BC$1,Import!$B:$B,$A47,Import!$D:$D,"PC Lead")</f>
        <v>0</v>
      </c>
      <c r="BD48" s="463">
        <f>SUMIFS(Import!$H:$H,Import!$A:$A,BD$1,Import!$B:$B,$A47,Import!$D:$D,"PC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IF(Import!T17&lt;&gt;"",Import!T17,"")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SUMIFS(Import!$H:$H,Import!$A:$A,D$1,Import!$B:$B,$A52,Import!$D:$D,"PC Lead")</f>
        <v>0</v>
      </c>
      <c r="E53" s="462">
        <f>SUMIFS(Import!$H:$H,Import!$A:$A,E$1,Import!$B:$B,$A52,Import!$D:$D,"PC Lead")</f>
        <v>0</v>
      </c>
      <c r="F53" s="462">
        <f>SUMIFS(Import!$H:$H,Import!$A:$A,F$1,Import!$B:$B,$A52,Import!$D:$D,"PC Lead")</f>
        <v>0</v>
      </c>
      <c r="G53" s="462">
        <f>SUMIFS(Import!$H:$H,Import!$A:$A,G$1,Import!$B:$B,$A52,Import!$D:$D,"PC Lead")</f>
        <v>0</v>
      </c>
      <c r="H53" s="462">
        <f>SUMIFS(Import!$H:$H,Import!$A:$A,H$1,Import!$B:$B,$A52,Import!$D:$D,"PC Lead")</f>
        <v>0</v>
      </c>
      <c r="I53" s="462">
        <f>SUMIFS(Import!$H:$H,Import!$A:$A,I$1,Import!$B:$B,$A52,Import!$D:$D,"PC Lead")</f>
        <v>0</v>
      </c>
      <c r="J53" s="462">
        <f>SUMIFS(Import!$H:$H,Import!$A:$A,J$1,Import!$B:$B,$A52,Import!$D:$D,"PC Lead")</f>
        <v>0</v>
      </c>
      <c r="K53" s="462">
        <f>SUMIFS(Import!$H:$H,Import!$A:$A,K$1,Import!$B:$B,$A52,Import!$D:$D,"PC Lead")</f>
        <v>0</v>
      </c>
      <c r="L53" s="462">
        <f>SUMIFS(Import!$H:$H,Import!$A:$A,L$1,Import!$B:$B,$A52,Import!$D:$D,"PC Lead")</f>
        <v>0</v>
      </c>
      <c r="M53" s="462">
        <f>SUMIFS(Import!$H:$H,Import!$A:$A,M$1,Import!$B:$B,$A52,Import!$D:$D,"PC Lead")</f>
        <v>0</v>
      </c>
      <c r="N53" s="462">
        <f>SUMIFS(Import!$H:$H,Import!$A:$A,N$1,Import!$B:$B,$A52,Import!$D:$D,"PC Lead")</f>
        <v>0</v>
      </c>
      <c r="O53" s="462">
        <f>SUMIFS(Import!$H:$H,Import!$A:$A,O$1,Import!$B:$B,$A52,Import!$D:$D,"PC Lead")</f>
        <v>0</v>
      </c>
      <c r="P53" s="462">
        <f>SUMIFS(Import!$H:$H,Import!$A:$A,P$1,Import!$B:$B,$A52,Import!$D:$D,"PC Lead")</f>
        <v>0</v>
      </c>
      <c r="Q53" s="462">
        <f>SUMIFS(Import!$H:$H,Import!$A:$A,Q$1,Import!$B:$B,$A52,Import!$D:$D,"PC Lead")</f>
        <v>0</v>
      </c>
      <c r="R53" s="462">
        <f>SUMIFS(Import!$H:$H,Import!$A:$A,R$1,Import!$B:$B,$A52,Import!$D:$D,"PC Lead")</f>
        <v>0</v>
      </c>
      <c r="S53" s="462">
        <f>SUMIFS(Import!$H:$H,Import!$A:$A,S$1,Import!$B:$B,$A52,Import!$D:$D,"PC Lead")</f>
        <v>0</v>
      </c>
      <c r="T53" s="462">
        <f>SUMIFS(Import!$H:$H,Import!$A:$A,T$1,Import!$B:$B,$A52,Import!$D:$D,"PC Lead")</f>
        <v>0</v>
      </c>
      <c r="U53" s="462">
        <f>SUMIFS(Import!$H:$H,Import!$A:$A,U$1,Import!$B:$B,$A52,Import!$D:$D,"PC Lead")</f>
        <v>0</v>
      </c>
      <c r="V53" s="462">
        <f>SUMIFS(Import!$H:$H,Import!$A:$A,V$1,Import!$B:$B,$A52,Import!$D:$D,"PC Lead")</f>
        <v>0</v>
      </c>
      <c r="W53" s="462">
        <f>SUMIFS(Import!$H:$H,Import!$A:$A,W$1,Import!$B:$B,$A52,Import!$D:$D,"PC Lead")</f>
        <v>0</v>
      </c>
      <c r="X53" s="462">
        <f>SUMIFS(Import!$H:$H,Import!$A:$A,X$1,Import!$B:$B,$A52,Import!$D:$D,"PC Lead")</f>
        <v>0</v>
      </c>
      <c r="Y53" s="462">
        <f>SUMIFS(Import!$H:$H,Import!$A:$A,Y$1,Import!$B:$B,$A52,Import!$D:$D,"PC Lead")</f>
        <v>0</v>
      </c>
      <c r="Z53" s="462">
        <f>SUMIFS(Import!$H:$H,Import!$A:$A,Z$1,Import!$B:$B,$A52,Import!$D:$D,"PC Lead")</f>
        <v>0</v>
      </c>
      <c r="AA53" s="462">
        <f>SUMIFS(Import!$H:$H,Import!$A:$A,AA$1,Import!$B:$B,$A52,Import!$D:$D,"PC Lead")</f>
        <v>0</v>
      </c>
      <c r="AB53" s="462">
        <f>SUMIFS(Import!$H:$H,Import!$A:$A,AB$1,Import!$B:$B,$A52,Import!$D:$D,"PC Lead")</f>
        <v>0</v>
      </c>
      <c r="AC53" s="462">
        <f>SUMIFS(Import!$H:$H,Import!$A:$A,AC$1,Import!$B:$B,$A52,Import!$D:$D,"PC Lead")</f>
        <v>0</v>
      </c>
      <c r="AD53" s="462">
        <f>SUMIFS(Import!$H:$H,Import!$A:$A,AD$1,Import!$B:$B,$A52,Import!$D:$D,"PC Lead")</f>
        <v>0</v>
      </c>
      <c r="AE53" s="462">
        <f>SUMIFS(Import!$H:$H,Import!$A:$A,AE$1,Import!$B:$B,$A52,Import!$D:$D,"PC Lead")</f>
        <v>0</v>
      </c>
      <c r="AF53" s="462">
        <f>SUMIFS(Import!$H:$H,Import!$A:$A,AF$1,Import!$B:$B,$A52,Import!$D:$D,"PC Lead")</f>
        <v>0</v>
      </c>
      <c r="AG53" s="462">
        <f>SUMIFS(Import!$H:$H,Import!$A:$A,AG$1,Import!$B:$B,$A52,Import!$D:$D,"PC Lead")</f>
        <v>0</v>
      </c>
      <c r="AH53" s="462">
        <f>SUMIFS(Import!$H:$H,Import!$A:$A,AH$1,Import!$B:$B,$A52,Import!$D:$D,"PC Lead")</f>
        <v>0</v>
      </c>
      <c r="AI53" s="462">
        <f>SUMIFS(Import!$H:$H,Import!$A:$A,AI$1,Import!$B:$B,$A52,Import!$D:$D,"PC Lead")</f>
        <v>0</v>
      </c>
      <c r="AJ53" s="462">
        <f>SUMIFS(Import!$H:$H,Import!$A:$A,AJ$1,Import!$B:$B,$A52,Import!$D:$D,"PC Lead")</f>
        <v>0</v>
      </c>
      <c r="AK53" s="462">
        <f>SUMIFS(Import!$H:$H,Import!$A:$A,AK$1,Import!$B:$B,$A52,Import!$D:$D,"PC Lead")</f>
        <v>0</v>
      </c>
      <c r="AL53" s="462">
        <f>SUMIFS(Import!$H:$H,Import!$A:$A,AL$1,Import!$B:$B,$A52,Import!$D:$D,"PC Lead")</f>
        <v>0</v>
      </c>
      <c r="AM53" s="462">
        <f>SUMIFS(Import!$H:$H,Import!$A:$A,AM$1,Import!$B:$B,$A52,Import!$D:$D,"PC Lead")</f>
        <v>0</v>
      </c>
      <c r="AN53" s="462">
        <f>SUMIFS(Import!$H:$H,Import!$A:$A,AN$1,Import!$B:$B,$A52,Import!$D:$D,"PC Lead")</f>
        <v>0</v>
      </c>
      <c r="AO53" s="462">
        <f>SUMIFS(Import!$H:$H,Import!$A:$A,AO$1,Import!$B:$B,$A52,Import!$D:$D,"PC Lead")</f>
        <v>0</v>
      </c>
      <c r="AP53" s="462">
        <f>SUMIFS(Import!$H:$H,Import!$A:$A,AP$1,Import!$B:$B,$A52,Import!$D:$D,"PC Lead")</f>
        <v>0</v>
      </c>
      <c r="AQ53" s="462">
        <f>SUMIFS(Import!$H:$H,Import!$A:$A,AQ$1,Import!$B:$B,$A52,Import!$D:$D,"PC Lead")</f>
        <v>0</v>
      </c>
      <c r="AR53" s="462">
        <f>SUMIFS(Import!$H:$H,Import!$A:$A,AR$1,Import!$B:$B,$A52,Import!$D:$D,"PC Lead")</f>
        <v>0</v>
      </c>
      <c r="AS53" s="462">
        <f>SUMIFS(Import!$H:$H,Import!$A:$A,AS$1,Import!$B:$B,$A52,Import!$D:$D,"PC Lead")</f>
        <v>0</v>
      </c>
      <c r="AT53" s="462">
        <f>SUMIFS(Import!$H:$H,Import!$A:$A,AT$1,Import!$B:$B,$A52,Import!$D:$D,"PC Lead")</f>
        <v>0</v>
      </c>
      <c r="AU53" s="462">
        <f>SUMIFS(Import!$H:$H,Import!$A:$A,AU$1,Import!$B:$B,$A52,Import!$D:$D,"PC Lead")</f>
        <v>0</v>
      </c>
      <c r="AV53" s="462">
        <f>SUMIFS(Import!$H:$H,Import!$A:$A,AV$1,Import!$B:$B,$A52,Import!$D:$D,"PC Lead")</f>
        <v>0</v>
      </c>
      <c r="AW53" s="462">
        <f>SUMIFS(Import!$H:$H,Import!$A:$A,AW$1,Import!$B:$B,$A52,Import!$D:$D,"PC Lead")</f>
        <v>0</v>
      </c>
      <c r="AX53" s="462">
        <f>SUMIFS(Import!$H:$H,Import!$A:$A,AX$1,Import!$B:$B,$A52,Import!$D:$D,"PC Lead")</f>
        <v>0</v>
      </c>
      <c r="AY53" s="462">
        <f>SUMIFS(Import!$H:$H,Import!$A:$A,AY$1,Import!$B:$B,$A52,Import!$D:$D,"PC Lead")</f>
        <v>0</v>
      </c>
      <c r="AZ53" s="462">
        <f>SUMIFS(Import!$H:$H,Import!$A:$A,AZ$1,Import!$B:$B,$A52,Import!$D:$D,"PC Lead")</f>
        <v>0</v>
      </c>
      <c r="BA53" s="462">
        <f>SUMIFS(Import!$H:$H,Import!$A:$A,BA$1,Import!$B:$B,$A52,Import!$D:$D,"PC Lead")</f>
        <v>0</v>
      </c>
      <c r="BB53" s="462">
        <f>SUMIFS(Import!$H:$H,Import!$A:$A,BB$1,Import!$B:$B,$A52,Import!$D:$D,"PC Lead")</f>
        <v>0</v>
      </c>
      <c r="BC53" s="462">
        <f>SUMIFS(Import!$H:$H,Import!$A:$A,BC$1,Import!$B:$B,$A52,Import!$D:$D,"PC Lead")</f>
        <v>0</v>
      </c>
      <c r="BD53" s="463">
        <f>SUMIFS(Import!$H:$H,Import!$A:$A,BD$1,Import!$B:$B,$A52,Import!$D:$D,"PC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IF(Import!T18&lt;&gt;"",Import!T18,"")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SUMIFS(Import!$H:$H,Import!$A:$A,D$1,Import!$B:$B,$A57,Import!$D:$D,"PC Lead")</f>
        <v>0</v>
      </c>
      <c r="E58" s="462">
        <f>SUMIFS(Import!$H:$H,Import!$A:$A,E$1,Import!$B:$B,$A57,Import!$D:$D,"PC Lead")</f>
        <v>0</v>
      </c>
      <c r="F58" s="462">
        <f>SUMIFS(Import!$H:$H,Import!$A:$A,F$1,Import!$B:$B,$A57,Import!$D:$D,"PC Lead")</f>
        <v>0</v>
      </c>
      <c r="G58" s="462">
        <f>SUMIFS(Import!$H:$H,Import!$A:$A,G$1,Import!$B:$B,$A57,Import!$D:$D,"PC Lead")</f>
        <v>0</v>
      </c>
      <c r="H58" s="462">
        <f>SUMIFS(Import!$H:$H,Import!$A:$A,H$1,Import!$B:$B,$A57,Import!$D:$D,"PC Lead")</f>
        <v>0</v>
      </c>
      <c r="I58" s="462">
        <f>SUMIFS(Import!$H:$H,Import!$A:$A,I$1,Import!$B:$B,$A57,Import!$D:$D,"PC Lead")</f>
        <v>0</v>
      </c>
      <c r="J58" s="462">
        <f>SUMIFS(Import!$H:$H,Import!$A:$A,J$1,Import!$B:$B,$A57,Import!$D:$D,"PC Lead")</f>
        <v>0</v>
      </c>
      <c r="K58" s="462">
        <f>SUMIFS(Import!$H:$H,Import!$A:$A,K$1,Import!$B:$B,$A57,Import!$D:$D,"PC Lead")</f>
        <v>0</v>
      </c>
      <c r="L58" s="462">
        <f>SUMIFS(Import!$H:$H,Import!$A:$A,L$1,Import!$B:$B,$A57,Import!$D:$D,"PC Lead")</f>
        <v>0</v>
      </c>
      <c r="M58" s="462">
        <f>SUMIFS(Import!$H:$H,Import!$A:$A,M$1,Import!$B:$B,$A57,Import!$D:$D,"PC Lead")</f>
        <v>0</v>
      </c>
      <c r="N58" s="462">
        <f>SUMIFS(Import!$H:$H,Import!$A:$A,N$1,Import!$B:$B,$A57,Import!$D:$D,"PC Lead")</f>
        <v>0</v>
      </c>
      <c r="O58" s="462">
        <f>SUMIFS(Import!$H:$H,Import!$A:$A,O$1,Import!$B:$B,$A57,Import!$D:$D,"PC Lead")</f>
        <v>0</v>
      </c>
      <c r="P58" s="462">
        <f>SUMIFS(Import!$H:$H,Import!$A:$A,P$1,Import!$B:$B,$A57,Import!$D:$D,"PC Lead")</f>
        <v>0</v>
      </c>
      <c r="Q58" s="462">
        <f>SUMIFS(Import!$H:$H,Import!$A:$A,Q$1,Import!$B:$B,$A57,Import!$D:$D,"PC Lead")</f>
        <v>0</v>
      </c>
      <c r="R58" s="462">
        <f>SUMIFS(Import!$H:$H,Import!$A:$A,R$1,Import!$B:$B,$A57,Import!$D:$D,"PC Lead")</f>
        <v>0</v>
      </c>
      <c r="S58" s="462">
        <f>SUMIFS(Import!$H:$H,Import!$A:$A,S$1,Import!$B:$B,$A57,Import!$D:$D,"PC Lead")</f>
        <v>0</v>
      </c>
      <c r="T58" s="462">
        <f>SUMIFS(Import!$H:$H,Import!$A:$A,T$1,Import!$B:$B,$A57,Import!$D:$D,"PC Lead")</f>
        <v>0</v>
      </c>
      <c r="U58" s="462">
        <f>SUMIFS(Import!$H:$H,Import!$A:$A,U$1,Import!$B:$B,$A57,Import!$D:$D,"PC Lead")</f>
        <v>0</v>
      </c>
      <c r="V58" s="462">
        <f>SUMIFS(Import!$H:$H,Import!$A:$A,V$1,Import!$B:$B,$A57,Import!$D:$D,"PC Lead")</f>
        <v>0</v>
      </c>
      <c r="W58" s="462">
        <f>SUMIFS(Import!$H:$H,Import!$A:$A,W$1,Import!$B:$B,$A57,Import!$D:$D,"PC Lead")</f>
        <v>0</v>
      </c>
      <c r="X58" s="462">
        <f>SUMIFS(Import!$H:$H,Import!$A:$A,X$1,Import!$B:$B,$A57,Import!$D:$D,"PC Lead")</f>
        <v>0</v>
      </c>
      <c r="Y58" s="462">
        <f>SUMIFS(Import!$H:$H,Import!$A:$A,Y$1,Import!$B:$B,$A57,Import!$D:$D,"PC Lead")</f>
        <v>0</v>
      </c>
      <c r="Z58" s="462">
        <f>SUMIFS(Import!$H:$H,Import!$A:$A,Z$1,Import!$B:$B,$A57,Import!$D:$D,"PC Lead")</f>
        <v>0</v>
      </c>
      <c r="AA58" s="462">
        <f>SUMIFS(Import!$H:$H,Import!$A:$A,AA$1,Import!$B:$B,$A57,Import!$D:$D,"PC Lead")</f>
        <v>0</v>
      </c>
      <c r="AB58" s="462">
        <f>SUMIFS(Import!$H:$H,Import!$A:$A,AB$1,Import!$B:$B,$A57,Import!$D:$D,"PC Lead")</f>
        <v>0</v>
      </c>
      <c r="AC58" s="462">
        <f>SUMIFS(Import!$H:$H,Import!$A:$A,AC$1,Import!$B:$B,$A57,Import!$D:$D,"PC Lead")</f>
        <v>0</v>
      </c>
      <c r="AD58" s="462">
        <f>SUMIFS(Import!$H:$H,Import!$A:$A,AD$1,Import!$B:$B,$A57,Import!$D:$D,"PC Lead")</f>
        <v>0</v>
      </c>
      <c r="AE58" s="462">
        <f>SUMIFS(Import!$H:$H,Import!$A:$A,AE$1,Import!$B:$B,$A57,Import!$D:$D,"PC Lead")</f>
        <v>0</v>
      </c>
      <c r="AF58" s="462">
        <f>SUMIFS(Import!$H:$H,Import!$A:$A,AF$1,Import!$B:$B,$A57,Import!$D:$D,"PC Lead")</f>
        <v>0</v>
      </c>
      <c r="AG58" s="462">
        <f>SUMIFS(Import!$H:$H,Import!$A:$A,AG$1,Import!$B:$B,$A57,Import!$D:$D,"PC Lead")</f>
        <v>0</v>
      </c>
      <c r="AH58" s="462">
        <f>SUMIFS(Import!$H:$H,Import!$A:$A,AH$1,Import!$B:$B,$A57,Import!$D:$D,"PC Lead")</f>
        <v>0</v>
      </c>
      <c r="AI58" s="462">
        <f>SUMIFS(Import!$H:$H,Import!$A:$A,AI$1,Import!$B:$B,$A57,Import!$D:$D,"PC Lead")</f>
        <v>0</v>
      </c>
      <c r="AJ58" s="462">
        <f>SUMIFS(Import!$H:$H,Import!$A:$A,AJ$1,Import!$B:$B,$A57,Import!$D:$D,"PC Lead")</f>
        <v>0</v>
      </c>
      <c r="AK58" s="462">
        <f>SUMIFS(Import!$H:$H,Import!$A:$A,AK$1,Import!$B:$B,$A57,Import!$D:$D,"PC Lead")</f>
        <v>0</v>
      </c>
      <c r="AL58" s="462">
        <f>SUMIFS(Import!$H:$H,Import!$A:$A,AL$1,Import!$B:$B,$A57,Import!$D:$D,"PC Lead")</f>
        <v>0</v>
      </c>
      <c r="AM58" s="462">
        <f>SUMIFS(Import!$H:$H,Import!$A:$A,AM$1,Import!$B:$B,$A57,Import!$D:$D,"PC Lead")</f>
        <v>0</v>
      </c>
      <c r="AN58" s="462">
        <f>SUMIFS(Import!$H:$H,Import!$A:$A,AN$1,Import!$B:$B,$A57,Import!$D:$D,"PC Lead")</f>
        <v>0</v>
      </c>
      <c r="AO58" s="462">
        <f>SUMIFS(Import!$H:$H,Import!$A:$A,AO$1,Import!$B:$B,$A57,Import!$D:$D,"PC Lead")</f>
        <v>0</v>
      </c>
      <c r="AP58" s="462">
        <f>SUMIFS(Import!$H:$H,Import!$A:$A,AP$1,Import!$B:$B,$A57,Import!$D:$D,"PC Lead")</f>
        <v>0</v>
      </c>
      <c r="AQ58" s="462">
        <f>SUMIFS(Import!$H:$H,Import!$A:$A,AQ$1,Import!$B:$B,$A57,Import!$D:$D,"PC Lead")</f>
        <v>0</v>
      </c>
      <c r="AR58" s="462">
        <f>SUMIFS(Import!$H:$H,Import!$A:$A,AR$1,Import!$B:$B,$A57,Import!$D:$D,"PC Lead")</f>
        <v>0</v>
      </c>
      <c r="AS58" s="462">
        <f>SUMIFS(Import!$H:$H,Import!$A:$A,AS$1,Import!$B:$B,$A57,Import!$D:$D,"PC Lead")</f>
        <v>0</v>
      </c>
      <c r="AT58" s="462">
        <f>SUMIFS(Import!$H:$H,Import!$A:$A,AT$1,Import!$B:$B,$A57,Import!$D:$D,"PC Lead")</f>
        <v>0</v>
      </c>
      <c r="AU58" s="462">
        <f>SUMIFS(Import!$H:$H,Import!$A:$A,AU$1,Import!$B:$B,$A57,Import!$D:$D,"PC Lead")</f>
        <v>0</v>
      </c>
      <c r="AV58" s="462">
        <f>SUMIFS(Import!$H:$H,Import!$A:$A,AV$1,Import!$B:$B,$A57,Import!$D:$D,"PC Lead")</f>
        <v>0</v>
      </c>
      <c r="AW58" s="462">
        <f>SUMIFS(Import!$H:$H,Import!$A:$A,AW$1,Import!$B:$B,$A57,Import!$D:$D,"PC Lead")</f>
        <v>0</v>
      </c>
      <c r="AX58" s="462">
        <f>SUMIFS(Import!$H:$H,Import!$A:$A,AX$1,Import!$B:$B,$A57,Import!$D:$D,"PC Lead")</f>
        <v>0</v>
      </c>
      <c r="AY58" s="462">
        <f>SUMIFS(Import!$H:$H,Import!$A:$A,AY$1,Import!$B:$B,$A57,Import!$D:$D,"PC Lead")</f>
        <v>0</v>
      </c>
      <c r="AZ58" s="462">
        <f>SUMIFS(Import!$H:$H,Import!$A:$A,AZ$1,Import!$B:$B,$A57,Import!$D:$D,"PC Lead")</f>
        <v>0</v>
      </c>
      <c r="BA58" s="462">
        <f>SUMIFS(Import!$H:$H,Import!$A:$A,BA$1,Import!$B:$B,$A57,Import!$D:$D,"PC Lead")</f>
        <v>0</v>
      </c>
      <c r="BB58" s="462">
        <f>SUMIFS(Import!$H:$H,Import!$A:$A,BB$1,Import!$B:$B,$A57,Import!$D:$D,"PC Lead")</f>
        <v>0</v>
      </c>
      <c r="BC58" s="462">
        <f>SUMIFS(Import!$H:$H,Import!$A:$A,BC$1,Import!$B:$B,$A57,Import!$D:$D,"PC Lead")</f>
        <v>0</v>
      </c>
      <c r="BD58" s="463">
        <f>SUMIFS(Import!$H:$H,Import!$A:$A,BD$1,Import!$B:$B,$A57,Import!$D:$D,"PC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IF(Import!T19&lt;&gt;"",Import!T19,"")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SUMIFS(Import!$H:$H,Import!$A:$A,D$1,Import!$B:$B,$A62,Import!$D:$D,"PC Lead")</f>
        <v>0</v>
      </c>
      <c r="E63" s="462">
        <f>SUMIFS(Import!$H:$H,Import!$A:$A,E$1,Import!$B:$B,$A62,Import!$D:$D,"PC Lead")</f>
        <v>0</v>
      </c>
      <c r="F63" s="462">
        <f>SUMIFS(Import!$H:$H,Import!$A:$A,F$1,Import!$B:$B,$A62,Import!$D:$D,"PC Lead")</f>
        <v>0</v>
      </c>
      <c r="G63" s="462">
        <f>SUMIFS(Import!$H:$H,Import!$A:$A,G$1,Import!$B:$B,$A62,Import!$D:$D,"PC Lead")</f>
        <v>0</v>
      </c>
      <c r="H63" s="462">
        <f>SUMIFS(Import!$H:$H,Import!$A:$A,H$1,Import!$B:$B,$A62,Import!$D:$D,"PC Lead")</f>
        <v>0</v>
      </c>
      <c r="I63" s="462">
        <f>SUMIFS(Import!$H:$H,Import!$A:$A,I$1,Import!$B:$B,$A62,Import!$D:$D,"PC Lead")</f>
        <v>0</v>
      </c>
      <c r="J63" s="462">
        <f>SUMIFS(Import!$H:$H,Import!$A:$A,J$1,Import!$B:$B,$A62,Import!$D:$D,"PC Lead")</f>
        <v>0</v>
      </c>
      <c r="K63" s="462">
        <f>SUMIFS(Import!$H:$H,Import!$A:$A,K$1,Import!$B:$B,$A62,Import!$D:$D,"PC Lead")</f>
        <v>0</v>
      </c>
      <c r="L63" s="462">
        <f>SUMIFS(Import!$H:$H,Import!$A:$A,L$1,Import!$B:$B,$A62,Import!$D:$D,"PC Lead")</f>
        <v>0</v>
      </c>
      <c r="M63" s="462">
        <f>SUMIFS(Import!$H:$H,Import!$A:$A,M$1,Import!$B:$B,$A62,Import!$D:$D,"PC Lead")</f>
        <v>0</v>
      </c>
      <c r="N63" s="462">
        <f>SUMIFS(Import!$H:$H,Import!$A:$A,N$1,Import!$B:$B,$A62,Import!$D:$D,"PC Lead")</f>
        <v>0</v>
      </c>
      <c r="O63" s="462">
        <f>SUMIFS(Import!$H:$H,Import!$A:$A,O$1,Import!$B:$B,$A62,Import!$D:$D,"PC Lead")</f>
        <v>0</v>
      </c>
      <c r="P63" s="462">
        <f>SUMIFS(Import!$H:$H,Import!$A:$A,P$1,Import!$B:$B,$A62,Import!$D:$D,"PC Lead")</f>
        <v>0</v>
      </c>
      <c r="Q63" s="462">
        <f>SUMIFS(Import!$H:$H,Import!$A:$A,Q$1,Import!$B:$B,$A62,Import!$D:$D,"PC Lead")</f>
        <v>0</v>
      </c>
      <c r="R63" s="462">
        <f>SUMIFS(Import!$H:$H,Import!$A:$A,R$1,Import!$B:$B,$A62,Import!$D:$D,"PC Lead")</f>
        <v>0</v>
      </c>
      <c r="S63" s="462">
        <f>SUMIFS(Import!$H:$H,Import!$A:$A,S$1,Import!$B:$B,$A62,Import!$D:$D,"PC Lead")</f>
        <v>0</v>
      </c>
      <c r="T63" s="462">
        <f>SUMIFS(Import!$H:$H,Import!$A:$A,T$1,Import!$B:$B,$A62,Import!$D:$D,"PC Lead")</f>
        <v>0</v>
      </c>
      <c r="U63" s="462">
        <f>SUMIFS(Import!$H:$H,Import!$A:$A,U$1,Import!$B:$B,$A62,Import!$D:$D,"PC Lead")</f>
        <v>0</v>
      </c>
      <c r="V63" s="462">
        <f>SUMIFS(Import!$H:$H,Import!$A:$A,V$1,Import!$B:$B,$A62,Import!$D:$D,"PC Lead")</f>
        <v>0</v>
      </c>
      <c r="W63" s="462">
        <f>SUMIFS(Import!$H:$H,Import!$A:$A,W$1,Import!$B:$B,$A62,Import!$D:$D,"PC Lead")</f>
        <v>0</v>
      </c>
      <c r="X63" s="462">
        <f>SUMIFS(Import!$H:$H,Import!$A:$A,X$1,Import!$B:$B,$A62,Import!$D:$D,"PC Lead")</f>
        <v>0</v>
      </c>
      <c r="Y63" s="462">
        <f>SUMIFS(Import!$H:$H,Import!$A:$A,Y$1,Import!$B:$B,$A62,Import!$D:$D,"PC Lead")</f>
        <v>0</v>
      </c>
      <c r="Z63" s="462">
        <f>SUMIFS(Import!$H:$H,Import!$A:$A,Z$1,Import!$B:$B,$A62,Import!$D:$D,"PC Lead")</f>
        <v>0</v>
      </c>
      <c r="AA63" s="462">
        <f>SUMIFS(Import!$H:$H,Import!$A:$A,AA$1,Import!$B:$B,$A62,Import!$D:$D,"PC Lead")</f>
        <v>0</v>
      </c>
      <c r="AB63" s="462">
        <f>SUMIFS(Import!$H:$H,Import!$A:$A,AB$1,Import!$B:$B,$A62,Import!$D:$D,"PC Lead")</f>
        <v>0</v>
      </c>
      <c r="AC63" s="462">
        <f>SUMIFS(Import!$H:$H,Import!$A:$A,AC$1,Import!$B:$B,$A62,Import!$D:$D,"PC Lead")</f>
        <v>0</v>
      </c>
      <c r="AD63" s="462">
        <f>SUMIFS(Import!$H:$H,Import!$A:$A,AD$1,Import!$B:$B,$A62,Import!$D:$D,"PC Lead")</f>
        <v>0</v>
      </c>
      <c r="AE63" s="462">
        <f>SUMIFS(Import!$H:$H,Import!$A:$A,AE$1,Import!$B:$B,$A62,Import!$D:$D,"PC Lead")</f>
        <v>0</v>
      </c>
      <c r="AF63" s="462">
        <f>SUMIFS(Import!$H:$H,Import!$A:$A,AF$1,Import!$B:$B,$A62,Import!$D:$D,"PC Lead")</f>
        <v>0</v>
      </c>
      <c r="AG63" s="462">
        <f>SUMIFS(Import!$H:$H,Import!$A:$A,AG$1,Import!$B:$B,$A62,Import!$D:$D,"PC Lead")</f>
        <v>0</v>
      </c>
      <c r="AH63" s="462">
        <f>SUMIFS(Import!$H:$H,Import!$A:$A,AH$1,Import!$B:$B,$A62,Import!$D:$D,"PC Lead")</f>
        <v>0</v>
      </c>
      <c r="AI63" s="462">
        <f>SUMIFS(Import!$H:$H,Import!$A:$A,AI$1,Import!$B:$B,$A62,Import!$D:$D,"PC Lead")</f>
        <v>0</v>
      </c>
      <c r="AJ63" s="462">
        <f>SUMIFS(Import!$H:$H,Import!$A:$A,AJ$1,Import!$B:$B,$A62,Import!$D:$D,"PC Lead")</f>
        <v>0</v>
      </c>
      <c r="AK63" s="462">
        <f>SUMIFS(Import!$H:$H,Import!$A:$A,AK$1,Import!$B:$B,$A62,Import!$D:$D,"PC Lead")</f>
        <v>0</v>
      </c>
      <c r="AL63" s="462">
        <f>SUMIFS(Import!$H:$H,Import!$A:$A,AL$1,Import!$B:$B,$A62,Import!$D:$D,"PC Lead")</f>
        <v>0</v>
      </c>
      <c r="AM63" s="462">
        <f>SUMIFS(Import!$H:$H,Import!$A:$A,AM$1,Import!$B:$B,$A62,Import!$D:$D,"PC Lead")</f>
        <v>0</v>
      </c>
      <c r="AN63" s="462">
        <f>SUMIFS(Import!$H:$H,Import!$A:$A,AN$1,Import!$B:$B,$A62,Import!$D:$D,"PC Lead")</f>
        <v>0</v>
      </c>
      <c r="AO63" s="462">
        <f>SUMIFS(Import!$H:$H,Import!$A:$A,AO$1,Import!$B:$B,$A62,Import!$D:$D,"PC Lead")</f>
        <v>0</v>
      </c>
      <c r="AP63" s="462">
        <f>SUMIFS(Import!$H:$H,Import!$A:$A,AP$1,Import!$B:$B,$A62,Import!$D:$D,"PC Lead")</f>
        <v>0</v>
      </c>
      <c r="AQ63" s="462">
        <f>SUMIFS(Import!$H:$H,Import!$A:$A,AQ$1,Import!$B:$B,$A62,Import!$D:$D,"PC Lead")</f>
        <v>0</v>
      </c>
      <c r="AR63" s="462">
        <f>SUMIFS(Import!$H:$H,Import!$A:$A,AR$1,Import!$B:$B,$A62,Import!$D:$D,"PC Lead")</f>
        <v>0</v>
      </c>
      <c r="AS63" s="462">
        <f>SUMIFS(Import!$H:$H,Import!$A:$A,AS$1,Import!$B:$B,$A62,Import!$D:$D,"PC Lead")</f>
        <v>0</v>
      </c>
      <c r="AT63" s="462">
        <f>SUMIFS(Import!$H:$H,Import!$A:$A,AT$1,Import!$B:$B,$A62,Import!$D:$D,"PC Lead")</f>
        <v>0</v>
      </c>
      <c r="AU63" s="462">
        <f>SUMIFS(Import!$H:$H,Import!$A:$A,AU$1,Import!$B:$B,$A62,Import!$D:$D,"PC Lead")</f>
        <v>0</v>
      </c>
      <c r="AV63" s="462">
        <f>SUMIFS(Import!$H:$H,Import!$A:$A,AV$1,Import!$B:$B,$A62,Import!$D:$D,"PC Lead")</f>
        <v>0</v>
      </c>
      <c r="AW63" s="462">
        <f>SUMIFS(Import!$H:$H,Import!$A:$A,AW$1,Import!$B:$B,$A62,Import!$D:$D,"PC Lead")</f>
        <v>0</v>
      </c>
      <c r="AX63" s="462">
        <f>SUMIFS(Import!$H:$H,Import!$A:$A,AX$1,Import!$B:$B,$A62,Import!$D:$D,"PC Lead")</f>
        <v>0</v>
      </c>
      <c r="AY63" s="462">
        <f>SUMIFS(Import!$H:$H,Import!$A:$A,AY$1,Import!$B:$B,$A62,Import!$D:$D,"PC Lead")</f>
        <v>0</v>
      </c>
      <c r="AZ63" s="462">
        <f>SUMIFS(Import!$H:$H,Import!$A:$A,AZ$1,Import!$B:$B,$A62,Import!$D:$D,"PC Lead")</f>
        <v>0</v>
      </c>
      <c r="BA63" s="462">
        <f>SUMIFS(Import!$H:$H,Import!$A:$A,BA$1,Import!$B:$B,$A62,Import!$D:$D,"PC Lead")</f>
        <v>0</v>
      </c>
      <c r="BB63" s="462">
        <f>SUMIFS(Import!$H:$H,Import!$A:$A,BB$1,Import!$B:$B,$A62,Import!$D:$D,"PC Lead")</f>
        <v>0</v>
      </c>
      <c r="BC63" s="462">
        <f>SUMIFS(Import!$H:$H,Import!$A:$A,BC$1,Import!$B:$B,$A62,Import!$D:$D,"PC Lead")</f>
        <v>0</v>
      </c>
      <c r="BD63" s="463">
        <f>SUMIFS(Import!$H:$H,Import!$A:$A,BD$1,Import!$B:$B,$A62,Import!$D:$D,"PC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IF(Import!T20&lt;&gt;"",Import!T20,"")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SUMIFS(Import!$H:$H,Import!$A:$A,D$1,Import!$B:$B,$A67,Import!$D:$D,"PC Lead")</f>
        <v>0</v>
      </c>
      <c r="E68" s="462">
        <f>SUMIFS(Import!$H:$H,Import!$A:$A,E$1,Import!$B:$B,$A67,Import!$D:$D,"PC Lead")</f>
        <v>0</v>
      </c>
      <c r="F68" s="462">
        <f>SUMIFS(Import!$H:$H,Import!$A:$A,F$1,Import!$B:$B,$A67,Import!$D:$D,"PC Lead")</f>
        <v>0</v>
      </c>
      <c r="G68" s="462">
        <f>SUMIFS(Import!$H:$H,Import!$A:$A,G$1,Import!$B:$B,$A67,Import!$D:$D,"PC Lead")</f>
        <v>0</v>
      </c>
      <c r="H68" s="462">
        <f>SUMIFS(Import!$H:$H,Import!$A:$A,H$1,Import!$B:$B,$A67,Import!$D:$D,"PC Lead")</f>
        <v>0</v>
      </c>
      <c r="I68" s="462">
        <f>SUMIFS(Import!$H:$H,Import!$A:$A,I$1,Import!$B:$B,$A67,Import!$D:$D,"PC Lead")</f>
        <v>0</v>
      </c>
      <c r="J68" s="462">
        <f>SUMIFS(Import!$H:$H,Import!$A:$A,J$1,Import!$B:$B,$A67,Import!$D:$D,"PC Lead")</f>
        <v>0</v>
      </c>
      <c r="K68" s="462">
        <f>SUMIFS(Import!$H:$H,Import!$A:$A,K$1,Import!$B:$B,$A67,Import!$D:$D,"PC Lead")</f>
        <v>0</v>
      </c>
      <c r="L68" s="462">
        <f>SUMIFS(Import!$H:$H,Import!$A:$A,L$1,Import!$B:$B,$A67,Import!$D:$D,"PC Lead")</f>
        <v>0</v>
      </c>
      <c r="M68" s="462">
        <f>SUMIFS(Import!$H:$H,Import!$A:$A,M$1,Import!$B:$B,$A67,Import!$D:$D,"PC Lead")</f>
        <v>0</v>
      </c>
      <c r="N68" s="462">
        <f>SUMIFS(Import!$H:$H,Import!$A:$A,N$1,Import!$B:$B,$A67,Import!$D:$D,"PC Lead")</f>
        <v>0</v>
      </c>
      <c r="O68" s="462">
        <f>SUMIFS(Import!$H:$H,Import!$A:$A,O$1,Import!$B:$B,$A67,Import!$D:$D,"PC Lead")</f>
        <v>0</v>
      </c>
      <c r="P68" s="462">
        <f>SUMIFS(Import!$H:$H,Import!$A:$A,P$1,Import!$B:$B,$A67,Import!$D:$D,"PC Lead")</f>
        <v>0</v>
      </c>
      <c r="Q68" s="462">
        <f>SUMIFS(Import!$H:$H,Import!$A:$A,Q$1,Import!$B:$B,$A67,Import!$D:$D,"PC Lead")</f>
        <v>0</v>
      </c>
      <c r="R68" s="462">
        <f>SUMIFS(Import!$H:$H,Import!$A:$A,R$1,Import!$B:$B,$A67,Import!$D:$D,"PC Lead")</f>
        <v>0</v>
      </c>
      <c r="S68" s="462">
        <f>SUMIFS(Import!$H:$H,Import!$A:$A,S$1,Import!$B:$B,$A67,Import!$D:$D,"PC Lead")</f>
        <v>0</v>
      </c>
      <c r="T68" s="462">
        <f>SUMIFS(Import!$H:$H,Import!$A:$A,T$1,Import!$B:$B,$A67,Import!$D:$D,"PC Lead")</f>
        <v>0</v>
      </c>
      <c r="U68" s="462">
        <f>SUMIFS(Import!$H:$H,Import!$A:$A,U$1,Import!$B:$B,$A67,Import!$D:$D,"PC Lead")</f>
        <v>0</v>
      </c>
      <c r="V68" s="462">
        <f>SUMIFS(Import!$H:$H,Import!$A:$A,V$1,Import!$B:$B,$A67,Import!$D:$D,"PC Lead")</f>
        <v>0</v>
      </c>
      <c r="W68" s="462">
        <f>SUMIFS(Import!$H:$H,Import!$A:$A,W$1,Import!$B:$B,$A67,Import!$D:$D,"PC Lead")</f>
        <v>0</v>
      </c>
      <c r="X68" s="462">
        <f>SUMIFS(Import!$H:$H,Import!$A:$A,X$1,Import!$B:$B,$A67,Import!$D:$D,"PC Lead")</f>
        <v>0</v>
      </c>
      <c r="Y68" s="462">
        <f>SUMIFS(Import!$H:$H,Import!$A:$A,Y$1,Import!$B:$B,$A67,Import!$D:$D,"PC Lead")</f>
        <v>0</v>
      </c>
      <c r="Z68" s="462">
        <f>SUMIFS(Import!$H:$H,Import!$A:$A,Z$1,Import!$B:$B,$A67,Import!$D:$D,"PC Lead")</f>
        <v>0</v>
      </c>
      <c r="AA68" s="462">
        <f>SUMIFS(Import!$H:$H,Import!$A:$A,AA$1,Import!$B:$B,$A67,Import!$D:$D,"PC Lead")</f>
        <v>0</v>
      </c>
      <c r="AB68" s="462">
        <f>SUMIFS(Import!$H:$H,Import!$A:$A,AB$1,Import!$B:$B,$A67,Import!$D:$D,"PC Lead")</f>
        <v>0</v>
      </c>
      <c r="AC68" s="462">
        <f>SUMIFS(Import!$H:$H,Import!$A:$A,AC$1,Import!$B:$B,$A67,Import!$D:$D,"PC Lead")</f>
        <v>0</v>
      </c>
      <c r="AD68" s="462">
        <f>SUMIFS(Import!$H:$H,Import!$A:$A,AD$1,Import!$B:$B,$A67,Import!$D:$D,"PC Lead")</f>
        <v>0</v>
      </c>
      <c r="AE68" s="462">
        <f>SUMIFS(Import!$H:$H,Import!$A:$A,AE$1,Import!$B:$B,$A67,Import!$D:$D,"PC Lead")</f>
        <v>0</v>
      </c>
      <c r="AF68" s="462">
        <f>SUMIFS(Import!$H:$H,Import!$A:$A,AF$1,Import!$B:$B,$A67,Import!$D:$D,"PC Lead")</f>
        <v>0</v>
      </c>
      <c r="AG68" s="462">
        <f>SUMIFS(Import!$H:$H,Import!$A:$A,AG$1,Import!$B:$B,$A67,Import!$D:$D,"PC Lead")</f>
        <v>0</v>
      </c>
      <c r="AH68" s="462">
        <f>SUMIFS(Import!$H:$H,Import!$A:$A,AH$1,Import!$B:$B,$A67,Import!$D:$D,"PC Lead")</f>
        <v>0</v>
      </c>
      <c r="AI68" s="462">
        <f>SUMIFS(Import!$H:$H,Import!$A:$A,AI$1,Import!$B:$B,$A67,Import!$D:$D,"PC Lead")</f>
        <v>0</v>
      </c>
      <c r="AJ68" s="462">
        <f>SUMIFS(Import!$H:$H,Import!$A:$A,AJ$1,Import!$B:$B,$A67,Import!$D:$D,"PC Lead")</f>
        <v>0</v>
      </c>
      <c r="AK68" s="462">
        <f>SUMIFS(Import!$H:$H,Import!$A:$A,AK$1,Import!$B:$B,$A67,Import!$D:$D,"PC Lead")</f>
        <v>0</v>
      </c>
      <c r="AL68" s="462">
        <f>SUMIFS(Import!$H:$H,Import!$A:$A,AL$1,Import!$B:$B,$A67,Import!$D:$D,"PC Lead")</f>
        <v>0</v>
      </c>
      <c r="AM68" s="462">
        <f>SUMIFS(Import!$H:$H,Import!$A:$A,AM$1,Import!$B:$B,$A67,Import!$D:$D,"PC Lead")</f>
        <v>0</v>
      </c>
      <c r="AN68" s="462">
        <f>SUMIFS(Import!$H:$H,Import!$A:$A,AN$1,Import!$B:$B,$A67,Import!$D:$D,"PC Lead")</f>
        <v>0</v>
      </c>
      <c r="AO68" s="462">
        <f>SUMIFS(Import!$H:$H,Import!$A:$A,AO$1,Import!$B:$B,$A67,Import!$D:$D,"PC Lead")</f>
        <v>0</v>
      </c>
      <c r="AP68" s="462">
        <f>SUMIFS(Import!$H:$H,Import!$A:$A,AP$1,Import!$B:$B,$A67,Import!$D:$D,"PC Lead")</f>
        <v>0</v>
      </c>
      <c r="AQ68" s="462">
        <f>SUMIFS(Import!$H:$H,Import!$A:$A,AQ$1,Import!$B:$B,$A67,Import!$D:$D,"PC Lead")</f>
        <v>0</v>
      </c>
      <c r="AR68" s="462">
        <f>SUMIFS(Import!$H:$H,Import!$A:$A,AR$1,Import!$B:$B,$A67,Import!$D:$D,"PC Lead")</f>
        <v>0</v>
      </c>
      <c r="AS68" s="462">
        <f>SUMIFS(Import!$H:$H,Import!$A:$A,AS$1,Import!$B:$B,$A67,Import!$D:$D,"PC Lead")</f>
        <v>0</v>
      </c>
      <c r="AT68" s="462">
        <f>SUMIFS(Import!$H:$H,Import!$A:$A,AT$1,Import!$B:$B,$A67,Import!$D:$D,"PC Lead")</f>
        <v>0</v>
      </c>
      <c r="AU68" s="462">
        <f>SUMIFS(Import!$H:$H,Import!$A:$A,AU$1,Import!$B:$B,$A67,Import!$D:$D,"PC Lead")</f>
        <v>0</v>
      </c>
      <c r="AV68" s="462">
        <f>SUMIFS(Import!$H:$H,Import!$A:$A,AV$1,Import!$B:$B,$A67,Import!$D:$D,"PC Lead")</f>
        <v>0</v>
      </c>
      <c r="AW68" s="462">
        <f>SUMIFS(Import!$H:$H,Import!$A:$A,AW$1,Import!$B:$B,$A67,Import!$D:$D,"PC Lead")</f>
        <v>0</v>
      </c>
      <c r="AX68" s="462">
        <f>SUMIFS(Import!$H:$H,Import!$A:$A,AX$1,Import!$B:$B,$A67,Import!$D:$D,"PC Lead")</f>
        <v>0</v>
      </c>
      <c r="AY68" s="462">
        <f>SUMIFS(Import!$H:$H,Import!$A:$A,AY$1,Import!$B:$B,$A67,Import!$D:$D,"PC Lead")</f>
        <v>0</v>
      </c>
      <c r="AZ68" s="462">
        <f>SUMIFS(Import!$H:$H,Import!$A:$A,AZ$1,Import!$B:$B,$A67,Import!$D:$D,"PC Lead")</f>
        <v>0</v>
      </c>
      <c r="BA68" s="462">
        <f>SUMIFS(Import!$H:$H,Import!$A:$A,BA$1,Import!$B:$B,$A67,Import!$D:$D,"PC Lead")</f>
        <v>0</v>
      </c>
      <c r="BB68" s="462">
        <f>SUMIFS(Import!$H:$H,Import!$A:$A,BB$1,Import!$B:$B,$A67,Import!$D:$D,"PC Lead")</f>
        <v>0</v>
      </c>
      <c r="BC68" s="462">
        <f>SUMIFS(Import!$H:$H,Import!$A:$A,BC$1,Import!$B:$B,$A67,Import!$D:$D,"PC Lead")</f>
        <v>0</v>
      </c>
      <c r="BD68" s="463">
        <f>SUMIFS(Import!$H:$H,Import!$A:$A,BD$1,Import!$B:$B,$A67,Import!$D:$D,"PC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IF(Import!T21&lt;&gt;"",Import!T21,"")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SUMIFS(Import!$H:$H,Import!$A:$A,D$1,Import!$B:$B,$A72,Import!$D:$D,"PC Lead")</f>
        <v>0</v>
      </c>
      <c r="E73" s="462">
        <f>SUMIFS(Import!$H:$H,Import!$A:$A,E$1,Import!$B:$B,$A72,Import!$D:$D,"PC Lead")</f>
        <v>0</v>
      </c>
      <c r="F73" s="462">
        <f>SUMIFS(Import!$H:$H,Import!$A:$A,F$1,Import!$B:$B,$A72,Import!$D:$D,"PC Lead")</f>
        <v>0</v>
      </c>
      <c r="G73" s="462">
        <f>SUMIFS(Import!$H:$H,Import!$A:$A,G$1,Import!$B:$B,$A72,Import!$D:$D,"PC Lead")</f>
        <v>0</v>
      </c>
      <c r="H73" s="462">
        <f>SUMIFS(Import!$H:$H,Import!$A:$A,H$1,Import!$B:$B,$A72,Import!$D:$D,"PC Lead")</f>
        <v>0</v>
      </c>
      <c r="I73" s="462">
        <f>SUMIFS(Import!$H:$H,Import!$A:$A,I$1,Import!$B:$B,$A72,Import!$D:$D,"PC Lead")</f>
        <v>0</v>
      </c>
      <c r="J73" s="462">
        <f>SUMIFS(Import!$H:$H,Import!$A:$A,J$1,Import!$B:$B,$A72,Import!$D:$D,"PC Lead")</f>
        <v>0</v>
      </c>
      <c r="K73" s="462">
        <f>SUMIFS(Import!$H:$H,Import!$A:$A,K$1,Import!$B:$B,$A72,Import!$D:$D,"PC Lead")</f>
        <v>0</v>
      </c>
      <c r="L73" s="462">
        <f>SUMIFS(Import!$H:$H,Import!$A:$A,L$1,Import!$B:$B,$A72,Import!$D:$D,"PC Lead")</f>
        <v>0</v>
      </c>
      <c r="M73" s="462">
        <f>SUMIFS(Import!$H:$H,Import!$A:$A,M$1,Import!$B:$B,$A72,Import!$D:$D,"PC Lead")</f>
        <v>0</v>
      </c>
      <c r="N73" s="462">
        <f>SUMIFS(Import!$H:$H,Import!$A:$A,N$1,Import!$B:$B,$A72,Import!$D:$D,"PC Lead")</f>
        <v>0</v>
      </c>
      <c r="O73" s="462">
        <f>SUMIFS(Import!$H:$H,Import!$A:$A,O$1,Import!$B:$B,$A72,Import!$D:$D,"PC Lead")</f>
        <v>0</v>
      </c>
      <c r="P73" s="462">
        <f>SUMIFS(Import!$H:$H,Import!$A:$A,P$1,Import!$B:$B,$A72,Import!$D:$D,"PC Lead")</f>
        <v>0</v>
      </c>
      <c r="Q73" s="462">
        <f>SUMIFS(Import!$H:$H,Import!$A:$A,Q$1,Import!$B:$B,$A72,Import!$D:$D,"PC Lead")</f>
        <v>0</v>
      </c>
      <c r="R73" s="462">
        <f>SUMIFS(Import!$H:$H,Import!$A:$A,R$1,Import!$B:$B,$A72,Import!$D:$D,"PC Lead")</f>
        <v>0</v>
      </c>
      <c r="S73" s="462">
        <f>SUMIFS(Import!$H:$H,Import!$A:$A,S$1,Import!$B:$B,$A72,Import!$D:$D,"PC Lead")</f>
        <v>0</v>
      </c>
      <c r="T73" s="462">
        <f>SUMIFS(Import!$H:$H,Import!$A:$A,T$1,Import!$B:$B,$A72,Import!$D:$D,"PC Lead")</f>
        <v>0</v>
      </c>
      <c r="U73" s="462">
        <f>SUMIFS(Import!$H:$H,Import!$A:$A,U$1,Import!$B:$B,$A72,Import!$D:$D,"PC Lead")</f>
        <v>0</v>
      </c>
      <c r="V73" s="462">
        <f>SUMIFS(Import!$H:$H,Import!$A:$A,V$1,Import!$B:$B,$A72,Import!$D:$D,"PC Lead")</f>
        <v>0</v>
      </c>
      <c r="W73" s="462">
        <f>SUMIFS(Import!$H:$H,Import!$A:$A,W$1,Import!$B:$B,$A72,Import!$D:$D,"PC Lead")</f>
        <v>0</v>
      </c>
      <c r="X73" s="462">
        <f>SUMIFS(Import!$H:$H,Import!$A:$A,X$1,Import!$B:$B,$A72,Import!$D:$D,"PC Lead")</f>
        <v>0</v>
      </c>
      <c r="Y73" s="462">
        <f>SUMIFS(Import!$H:$H,Import!$A:$A,Y$1,Import!$B:$B,$A72,Import!$D:$D,"PC Lead")</f>
        <v>0</v>
      </c>
      <c r="Z73" s="462">
        <f>SUMIFS(Import!$H:$H,Import!$A:$A,Z$1,Import!$B:$B,$A72,Import!$D:$D,"PC Lead")</f>
        <v>0</v>
      </c>
      <c r="AA73" s="462">
        <f>SUMIFS(Import!$H:$H,Import!$A:$A,AA$1,Import!$B:$B,$A72,Import!$D:$D,"PC Lead")</f>
        <v>0</v>
      </c>
      <c r="AB73" s="462">
        <f>SUMIFS(Import!$H:$H,Import!$A:$A,AB$1,Import!$B:$B,$A72,Import!$D:$D,"PC Lead")</f>
        <v>0</v>
      </c>
      <c r="AC73" s="462">
        <f>SUMIFS(Import!$H:$H,Import!$A:$A,AC$1,Import!$B:$B,$A72,Import!$D:$D,"PC Lead")</f>
        <v>0</v>
      </c>
      <c r="AD73" s="462">
        <f>SUMIFS(Import!$H:$H,Import!$A:$A,AD$1,Import!$B:$B,$A72,Import!$D:$D,"PC Lead")</f>
        <v>0</v>
      </c>
      <c r="AE73" s="462">
        <f>SUMIFS(Import!$H:$H,Import!$A:$A,AE$1,Import!$B:$B,$A72,Import!$D:$D,"PC Lead")</f>
        <v>0</v>
      </c>
      <c r="AF73" s="462">
        <f>SUMIFS(Import!$H:$H,Import!$A:$A,AF$1,Import!$B:$B,$A72,Import!$D:$D,"PC Lead")</f>
        <v>0</v>
      </c>
      <c r="AG73" s="462">
        <f>SUMIFS(Import!$H:$H,Import!$A:$A,AG$1,Import!$B:$B,$A72,Import!$D:$D,"PC Lead")</f>
        <v>0</v>
      </c>
      <c r="AH73" s="462">
        <f>SUMIFS(Import!$H:$H,Import!$A:$A,AH$1,Import!$B:$B,$A72,Import!$D:$D,"PC Lead")</f>
        <v>0</v>
      </c>
      <c r="AI73" s="462">
        <f>SUMIFS(Import!$H:$H,Import!$A:$A,AI$1,Import!$B:$B,$A72,Import!$D:$D,"PC Lead")</f>
        <v>0</v>
      </c>
      <c r="AJ73" s="462">
        <f>SUMIFS(Import!$H:$H,Import!$A:$A,AJ$1,Import!$B:$B,$A72,Import!$D:$D,"PC Lead")</f>
        <v>0</v>
      </c>
      <c r="AK73" s="462">
        <f>SUMIFS(Import!$H:$H,Import!$A:$A,AK$1,Import!$B:$B,$A72,Import!$D:$D,"PC Lead")</f>
        <v>0</v>
      </c>
      <c r="AL73" s="462">
        <f>SUMIFS(Import!$H:$H,Import!$A:$A,AL$1,Import!$B:$B,$A72,Import!$D:$D,"PC Lead")</f>
        <v>0</v>
      </c>
      <c r="AM73" s="462">
        <f>SUMIFS(Import!$H:$H,Import!$A:$A,AM$1,Import!$B:$B,$A72,Import!$D:$D,"PC Lead")</f>
        <v>0</v>
      </c>
      <c r="AN73" s="462">
        <f>SUMIFS(Import!$H:$H,Import!$A:$A,AN$1,Import!$B:$B,$A72,Import!$D:$D,"PC Lead")</f>
        <v>0</v>
      </c>
      <c r="AO73" s="462">
        <f>SUMIFS(Import!$H:$H,Import!$A:$A,AO$1,Import!$B:$B,$A72,Import!$D:$D,"PC Lead")</f>
        <v>0</v>
      </c>
      <c r="AP73" s="462">
        <f>SUMIFS(Import!$H:$H,Import!$A:$A,AP$1,Import!$B:$B,$A72,Import!$D:$D,"PC Lead")</f>
        <v>0</v>
      </c>
      <c r="AQ73" s="462">
        <f>SUMIFS(Import!$H:$H,Import!$A:$A,AQ$1,Import!$B:$B,$A72,Import!$D:$D,"PC Lead")</f>
        <v>0</v>
      </c>
      <c r="AR73" s="462">
        <f>SUMIFS(Import!$H:$H,Import!$A:$A,AR$1,Import!$B:$B,$A72,Import!$D:$D,"PC Lead")</f>
        <v>0</v>
      </c>
      <c r="AS73" s="462">
        <f>SUMIFS(Import!$H:$H,Import!$A:$A,AS$1,Import!$B:$B,$A72,Import!$D:$D,"PC Lead")</f>
        <v>0</v>
      </c>
      <c r="AT73" s="462">
        <f>SUMIFS(Import!$H:$H,Import!$A:$A,AT$1,Import!$B:$B,$A72,Import!$D:$D,"PC Lead")</f>
        <v>0</v>
      </c>
      <c r="AU73" s="462">
        <f>SUMIFS(Import!$H:$H,Import!$A:$A,AU$1,Import!$B:$B,$A72,Import!$D:$D,"PC Lead")</f>
        <v>0</v>
      </c>
      <c r="AV73" s="462">
        <f>SUMIFS(Import!$H:$H,Import!$A:$A,AV$1,Import!$B:$B,$A72,Import!$D:$D,"PC Lead")</f>
        <v>0</v>
      </c>
      <c r="AW73" s="462">
        <f>SUMIFS(Import!$H:$H,Import!$A:$A,AW$1,Import!$B:$B,$A72,Import!$D:$D,"PC Lead")</f>
        <v>0</v>
      </c>
      <c r="AX73" s="462">
        <f>SUMIFS(Import!$H:$H,Import!$A:$A,AX$1,Import!$B:$B,$A72,Import!$D:$D,"PC Lead")</f>
        <v>0</v>
      </c>
      <c r="AY73" s="462">
        <f>SUMIFS(Import!$H:$H,Import!$A:$A,AY$1,Import!$B:$B,$A72,Import!$D:$D,"PC Lead")</f>
        <v>0</v>
      </c>
      <c r="AZ73" s="462">
        <f>SUMIFS(Import!$H:$H,Import!$A:$A,AZ$1,Import!$B:$B,$A72,Import!$D:$D,"PC Lead")</f>
        <v>0</v>
      </c>
      <c r="BA73" s="462">
        <f>SUMIFS(Import!$H:$H,Import!$A:$A,BA$1,Import!$B:$B,$A72,Import!$D:$D,"PC Lead")</f>
        <v>0</v>
      </c>
      <c r="BB73" s="462">
        <f>SUMIFS(Import!$H:$H,Import!$A:$A,BB$1,Import!$B:$B,$A72,Import!$D:$D,"PC Lead")</f>
        <v>0</v>
      </c>
      <c r="BC73" s="462">
        <f>SUMIFS(Import!$H:$H,Import!$A:$A,BC$1,Import!$B:$B,$A72,Import!$D:$D,"PC Lead")</f>
        <v>0</v>
      </c>
      <c r="BD73" s="463">
        <f>SUMIFS(Import!$H:$H,Import!$A:$A,BD$1,Import!$B:$B,$A72,Import!$D:$D,"PC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IF(Import!T22&lt;&gt;"",Import!T22,"")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SUMIFS(Import!$H:$H,Import!$A:$A,D$1,Import!$B:$B,$A77,Import!$D:$D,"PC Lead")</f>
        <v>0</v>
      </c>
      <c r="E78" s="462">
        <f>SUMIFS(Import!$H:$H,Import!$A:$A,E$1,Import!$B:$B,$A77,Import!$D:$D,"PC Lead")</f>
        <v>0</v>
      </c>
      <c r="F78" s="462">
        <f>SUMIFS(Import!$H:$H,Import!$A:$A,F$1,Import!$B:$B,$A77,Import!$D:$D,"PC Lead")</f>
        <v>0</v>
      </c>
      <c r="G78" s="462">
        <f>SUMIFS(Import!$H:$H,Import!$A:$A,G$1,Import!$B:$B,$A77,Import!$D:$D,"PC Lead")</f>
        <v>0</v>
      </c>
      <c r="H78" s="462">
        <f>SUMIFS(Import!$H:$H,Import!$A:$A,H$1,Import!$B:$B,$A77,Import!$D:$D,"PC Lead")</f>
        <v>0</v>
      </c>
      <c r="I78" s="462">
        <f>SUMIFS(Import!$H:$H,Import!$A:$A,I$1,Import!$B:$B,$A77,Import!$D:$D,"PC Lead")</f>
        <v>0</v>
      </c>
      <c r="J78" s="462">
        <f>SUMIFS(Import!$H:$H,Import!$A:$A,J$1,Import!$B:$B,$A77,Import!$D:$D,"PC Lead")</f>
        <v>0</v>
      </c>
      <c r="K78" s="462">
        <f>SUMIFS(Import!$H:$H,Import!$A:$A,K$1,Import!$B:$B,$A77,Import!$D:$D,"PC Lead")</f>
        <v>0</v>
      </c>
      <c r="L78" s="462">
        <f>SUMIFS(Import!$H:$H,Import!$A:$A,L$1,Import!$B:$B,$A77,Import!$D:$D,"PC Lead")</f>
        <v>0</v>
      </c>
      <c r="M78" s="462">
        <f>SUMIFS(Import!$H:$H,Import!$A:$A,M$1,Import!$B:$B,$A77,Import!$D:$D,"PC Lead")</f>
        <v>0</v>
      </c>
      <c r="N78" s="462">
        <f>SUMIFS(Import!$H:$H,Import!$A:$A,N$1,Import!$B:$B,$A77,Import!$D:$D,"PC Lead")</f>
        <v>0</v>
      </c>
      <c r="O78" s="462">
        <f>SUMIFS(Import!$H:$H,Import!$A:$A,O$1,Import!$B:$B,$A77,Import!$D:$D,"PC Lead")</f>
        <v>0</v>
      </c>
      <c r="P78" s="462">
        <f>SUMIFS(Import!$H:$H,Import!$A:$A,P$1,Import!$B:$B,$A77,Import!$D:$D,"PC Lead")</f>
        <v>0</v>
      </c>
      <c r="Q78" s="462">
        <f>SUMIFS(Import!$H:$H,Import!$A:$A,Q$1,Import!$B:$B,$A77,Import!$D:$D,"PC Lead")</f>
        <v>0</v>
      </c>
      <c r="R78" s="462">
        <f>SUMIFS(Import!$H:$H,Import!$A:$A,R$1,Import!$B:$B,$A77,Import!$D:$D,"PC Lead")</f>
        <v>0</v>
      </c>
      <c r="S78" s="462">
        <f>SUMIFS(Import!$H:$H,Import!$A:$A,S$1,Import!$B:$B,$A77,Import!$D:$D,"PC Lead")</f>
        <v>0</v>
      </c>
      <c r="T78" s="462">
        <f>SUMIFS(Import!$H:$H,Import!$A:$A,T$1,Import!$B:$B,$A77,Import!$D:$D,"PC Lead")</f>
        <v>0</v>
      </c>
      <c r="U78" s="462">
        <f>SUMIFS(Import!$H:$H,Import!$A:$A,U$1,Import!$B:$B,$A77,Import!$D:$D,"PC Lead")</f>
        <v>0</v>
      </c>
      <c r="V78" s="462">
        <f>SUMIFS(Import!$H:$H,Import!$A:$A,V$1,Import!$B:$B,$A77,Import!$D:$D,"PC Lead")</f>
        <v>0</v>
      </c>
      <c r="W78" s="462">
        <f>SUMIFS(Import!$H:$H,Import!$A:$A,W$1,Import!$B:$B,$A77,Import!$D:$D,"PC Lead")</f>
        <v>0</v>
      </c>
      <c r="X78" s="462">
        <f>SUMIFS(Import!$H:$H,Import!$A:$A,X$1,Import!$B:$B,$A77,Import!$D:$D,"PC Lead")</f>
        <v>0</v>
      </c>
      <c r="Y78" s="462">
        <f>SUMIFS(Import!$H:$H,Import!$A:$A,Y$1,Import!$B:$B,$A77,Import!$D:$D,"PC Lead")</f>
        <v>0</v>
      </c>
      <c r="Z78" s="462">
        <f>SUMIFS(Import!$H:$H,Import!$A:$A,Z$1,Import!$B:$B,$A77,Import!$D:$D,"PC Lead")</f>
        <v>0</v>
      </c>
      <c r="AA78" s="462">
        <f>SUMIFS(Import!$H:$H,Import!$A:$A,AA$1,Import!$B:$B,$A77,Import!$D:$D,"PC Lead")</f>
        <v>0</v>
      </c>
      <c r="AB78" s="462">
        <f>SUMIFS(Import!$H:$H,Import!$A:$A,AB$1,Import!$B:$B,$A77,Import!$D:$D,"PC Lead")</f>
        <v>0</v>
      </c>
      <c r="AC78" s="462">
        <f>SUMIFS(Import!$H:$H,Import!$A:$A,AC$1,Import!$B:$B,$A77,Import!$D:$D,"PC Lead")</f>
        <v>0</v>
      </c>
      <c r="AD78" s="462">
        <f>SUMIFS(Import!$H:$H,Import!$A:$A,AD$1,Import!$B:$B,$A77,Import!$D:$D,"PC Lead")</f>
        <v>0</v>
      </c>
      <c r="AE78" s="462">
        <f>SUMIFS(Import!$H:$H,Import!$A:$A,AE$1,Import!$B:$B,$A77,Import!$D:$D,"PC Lead")</f>
        <v>0</v>
      </c>
      <c r="AF78" s="462">
        <f>SUMIFS(Import!$H:$H,Import!$A:$A,AF$1,Import!$B:$B,$A77,Import!$D:$D,"PC Lead")</f>
        <v>0</v>
      </c>
      <c r="AG78" s="462">
        <f>SUMIFS(Import!$H:$H,Import!$A:$A,AG$1,Import!$B:$B,$A77,Import!$D:$D,"PC Lead")</f>
        <v>0</v>
      </c>
      <c r="AH78" s="462">
        <f>SUMIFS(Import!$H:$H,Import!$A:$A,AH$1,Import!$B:$B,$A77,Import!$D:$D,"PC Lead")</f>
        <v>0</v>
      </c>
      <c r="AI78" s="462">
        <f>SUMIFS(Import!$H:$H,Import!$A:$A,AI$1,Import!$B:$B,$A77,Import!$D:$D,"PC Lead")</f>
        <v>0</v>
      </c>
      <c r="AJ78" s="462">
        <f>SUMIFS(Import!$H:$H,Import!$A:$A,AJ$1,Import!$B:$B,$A77,Import!$D:$D,"PC Lead")</f>
        <v>0</v>
      </c>
      <c r="AK78" s="462">
        <f>SUMIFS(Import!$H:$H,Import!$A:$A,AK$1,Import!$B:$B,$A77,Import!$D:$D,"PC Lead")</f>
        <v>0</v>
      </c>
      <c r="AL78" s="462">
        <f>SUMIFS(Import!$H:$H,Import!$A:$A,AL$1,Import!$B:$B,$A77,Import!$D:$D,"PC Lead")</f>
        <v>0</v>
      </c>
      <c r="AM78" s="462">
        <f>SUMIFS(Import!$H:$H,Import!$A:$A,AM$1,Import!$B:$B,$A77,Import!$D:$D,"PC Lead")</f>
        <v>0</v>
      </c>
      <c r="AN78" s="462">
        <f>SUMIFS(Import!$H:$H,Import!$A:$A,AN$1,Import!$B:$B,$A77,Import!$D:$D,"PC Lead")</f>
        <v>0</v>
      </c>
      <c r="AO78" s="462">
        <f>SUMIFS(Import!$H:$H,Import!$A:$A,AO$1,Import!$B:$B,$A77,Import!$D:$D,"PC Lead")</f>
        <v>0</v>
      </c>
      <c r="AP78" s="462">
        <f>SUMIFS(Import!$H:$H,Import!$A:$A,AP$1,Import!$B:$B,$A77,Import!$D:$D,"PC Lead")</f>
        <v>0</v>
      </c>
      <c r="AQ78" s="462">
        <f>SUMIFS(Import!$H:$H,Import!$A:$A,AQ$1,Import!$B:$B,$A77,Import!$D:$D,"PC Lead")</f>
        <v>0</v>
      </c>
      <c r="AR78" s="462">
        <f>SUMIFS(Import!$H:$H,Import!$A:$A,AR$1,Import!$B:$B,$A77,Import!$D:$D,"PC Lead")</f>
        <v>0</v>
      </c>
      <c r="AS78" s="462">
        <f>SUMIFS(Import!$H:$H,Import!$A:$A,AS$1,Import!$B:$B,$A77,Import!$D:$D,"PC Lead")</f>
        <v>0</v>
      </c>
      <c r="AT78" s="462">
        <f>SUMIFS(Import!$H:$H,Import!$A:$A,AT$1,Import!$B:$B,$A77,Import!$D:$D,"PC Lead")</f>
        <v>0</v>
      </c>
      <c r="AU78" s="462">
        <f>SUMIFS(Import!$H:$H,Import!$A:$A,AU$1,Import!$B:$B,$A77,Import!$D:$D,"PC Lead")</f>
        <v>0</v>
      </c>
      <c r="AV78" s="462">
        <f>SUMIFS(Import!$H:$H,Import!$A:$A,AV$1,Import!$B:$B,$A77,Import!$D:$D,"PC Lead")</f>
        <v>0</v>
      </c>
      <c r="AW78" s="462">
        <f>SUMIFS(Import!$H:$H,Import!$A:$A,AW$1,Import!$B:$B,$A77,Import!$D:$D,"PC Lead")</f>
        <v>0</v>
      </c>
      <c r="AX78" s="462">
        <f>SUMIFS(Import!$H:$H,Import!$A:$A,AX$1,Import!$B:$B,$A77,Import!$D:$D,"PC Lead")</f>
        <v>0</v>
      </c>
      <c r="AY78" s="462">
        <f>SUMIFS(Import!$H:$H,Import!$A:$A,AY$1,Import!$B:$B,$A77,Import!$D:$D,"PC Lead")</f>
        <v>0</v>
      </c>
      <c r="AZ78" s="462">
        <f>SUMIFS(Import!$H:$H,Import!$A:$A,AZ$1,Import!$B:$B,$A77,Import!$D:$D,"PC Lead")</f>
        <v>0</v>
      </c>
      <c r="BA78" s="462">
        <f>SUMIFS(Import!$H:$H,Import!$A:$A,BA$1,Import!$B:$B,$A77,Import!$D:$D,"PC Lead")</f>
        <v>0</v>
      </c>
      <c r="BB78" s="462">
        <f>SUMIFS(Import!$H:$H,Import!$A:$A,BB$1,Import!$B:$B,$A77,Import!$D:$D,"PC Lead")</f>
        <v>0</v>
      </c>
      <c r="BC78" s="462">
        <f>SUMIFS(Import!$H:$H,Import!$A:$A,BC$1,Import!$B:$B,$A77,Import!$D:$D,"PC Lead")</f>
        <v>0</v>
      </c>
      <c r="BD78" s="463">
        <f>SUMIFS(Import!$H:$H,Import!$A:$A,BD$1,Import!$B:$B,$A77,Import!$D:$D,"PC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73"/>
      <c r="B83" s="41"/>
      <c r="C83" s="17" t="s">
        <v>80</v>
      </c>
      <c r="D83" s="474">
        <f>SUMIF(EmployeeList,D$1,TotalSecWage)</f>
        <v>0</v>
      </c>
      <c r="E83" s="475">
        <f>SUMIF(EmployeeList,E$1,TotalSecWage)</f>
        <v>0</v>
      </c>
      <c r="F83" s="475">
        <f>SUMIF(EmployeeList,F$1,TotalSecWage)</f>
        <v>0</v>
      </c>
      <c r="G83" s="475">
        <f>SUMIF(EmployeeList,G$1,TotalSecWage)</f>
        <v>0</v>
      </c>
      <c r="H83" s="475">
        <f>SUMIF(EmployeeList,H$1,TotalSecWage)</f>
        <v>0</v>
      </c>
      <c r="I83" s="475">
        <f>SUMIF(EmployeeList,I$1,TotalSecWage)</f>
        <v>0</v>
      </c>
      <c r="J83" s="475">
        <f>SUMIF(EmployeeList,J$1,TotalSecWage)</f>
        <v>0</v>
      </c>
      <c r="K83" s="475">
        <f>SUMIF(EmployeeList,K$1,TotalSecWage)</f>
        <v>0</v>
      </c>
      <c r="L83" s="475">
        <f>SUMIF(EmployeeList,L$1,TotalSecWage)</f>
        <v>0</v>
      </c>
      <c r="M83" s="475">
        <f>SUMIF(EmployeeList,M$1,TotalSecWage)</f>
        <v>0</v>
      </c>
      <c r="N83" s="475">
        <f>SUMIF(EmployeeList,N$1,TotalSecWage)</f>
        <v>0</v>
      </c>
      <c r="O83" s="475">
        <f>SUMIF(EmployeeList,O$1,TotalSecWage)</f>
        <v>0</v>
      </c>
      <c r="P83" s="475">
        <f>SUMIF(EmployeeList,P$1,TotalSecWage)</f>
        <v>0</v>
      </c>
      <c r="Q83" s="475">
        <f>SUMIF(EmployeeList,Q$1,TotalSecWage)</f>
        <v>0</v>
      </c>
      <c r="R83" s="475">
        <f>SUMIF(EmployeeList,R$1,TotalSecWage)</f>
        <v>0</v>
      </c>
      <c r="S83" s="475">
        <f>SUMIF(EmployeeList,S$1,TotalSecWage)</f>
        <v>0</v>
      </c>
      <c r="T83" s="475">
        <f>SUMIF(EmployeeList,T$1,TotalSecWage)</f>
        <v>0</v>
      </c>
      <c r="U83" s="475">
        <f>SUMIF(EmployeeList,U$1,TotalSecWage)</f>
        <v>0</v>
      </c>
      <c r="V83" s="475">
        <f>SUMIF(EmployeeList,V$1,TotalSecWage)</f>
        <v>0</v>
      </c>
      <c r="W83" s="475">
        <f>SUMIF(EmployeeList,W$1,TotalSecWage)</f>
        <v>0</v>
      </c>
      <c r="X83" s="475">
        <f>SUMIF(EmployeeList,X$1,TotalSecWage)</f>
        <v>0</v>
      </c>
      <c r="Y83" s="475">
        <f>SUMIF(EmployeeList,Y$1,TotalSecWage)</f>
        <v>0</v>
      </c>
      <c r="Z83" s="475">
        <f>SUMIF(EmployeeList,Z$1,TotalSecWage)</f>
        <v>0</v>
      </c>
      <c r="AA83" s="475">
        <f>SUMIF(EmployeeList,AA$1,TotalSecWage)</f>
        <v>0</v>
      </c>
      <c r="AB83" s="475">
        <f>SUMIF(EmployeeList,AB$1,TotalSecWage)</f>
        <v>0</v>
      </c>
      <c r="AC83" s="475">
        <f>SUMIF(EmployeeList,AC$1,TotalSecWage)</f>
        <v>0</v>
      </c>
      <c r="AD83" s="475">
        <f>SUMIF(EmployeeList,AD$1,TotalSecWage)</f>
        <v>0</v>
      </c>
      <c r="AE83" s="475">
        <f>SUMIF(EmployeeList,AE$1,TotalSecWage)</f>
        <v>0</v>
      </c>
      <c r="AF83" s="475">
        <f>SUMIF(EmployeeList,AF$1,TotalSecWage)</f>
        <v>0</v>
      </c>
      <c r="AG83" s="475">
        <f>SUMIF(EmployeeList,AG$1,TotalSecWage)</f>
        <v>0</v>
      </c>
      <c r="AH83" s="475">
        <f>SUMIF(EmployeeList,AH$1,TotalSecWage)</f>
        <v>0</v>
      </c>
      <c r="AI83" s="476">
        <f>SUMIF(EmployeeList,AI$1,TotalSecWage)</f>
        <v>0</v>
      </c>
      <c r="AJ83" s="475">
        <f>SUMIF(EmployeeList,AJ$1,TotalSecWage)</f>
        <v>0</v>
      </c>
      <c r="AK83" s="475">
        <f>SUMIF(EmployeeList,AK$1,TotalSecWage)</f>
        <v>0</v>
      </c>
      <c r="AL83" s="475">
        <f>SUMIF(EmployeeList,AL$1,TotalSecWage)</f>
        <v>0</v>
      </c>
      <c r="AM83" s="475">
        <f>SUMIF(EmployeeList,AM$1,TotalSecWage)</f>
        <v>0</v>
      </c>
      <c r="AN83" s="475">
        <f>SUMIF(EmployeeList,AN$1,TotalSecWage)</f>
        <v>0</v>
      </c>
      <c r="AO83" s="475">
        <f>SUMIF(EmployeeList,AO$1,TotalSecWage)</f>
        <v>0</v>
      </c>
      <c r="AP83" s="475">
        <f>SUMIF(EmployeeList,AP$1,TotalSecWage)</f>
        <v>0</v>
      </c>
      <c r="AQ83" s="475">
        <f>SUMIF(EmployeeList,AQ$1,TotalSecWage)</f>
        <v>0</v>
      </c>
      <c r="AR83" s="475">
        <f>SUMIF(EmployeeList,AR$1,TotalSecWage)</f>
        <v>0</v>
      </c>
      <c r="AS83" s="475">
        <f>SUMIF(EmployeeList,AS$1,TotalSecWage)</f>
        <v>0</v>
      </c>
      <c r="AT83" s="475">
        <f>SUMIF(EmployeeList,AT$1,TotalSecWage)</f>
        <v>0</v>
      </c>
      <c r="AU83" s="475">
        <f>SUMIF(EmployeeList,AU$1,TotalSecWage)</f>
        <v>0</v>
      </c>
      <c r="AV83" s="475">
        <f>SUMIF(EmployeeList,AV$1,TotalSecWage)</f>
        <v>0</v>
      </c>
      <c r="AW83" s="475">
        <f>SUMIF(EmployeeList,AW$1,TotalSecWage)</f>
        <v>0</v>
      </c>
      <c r="AX83" s="475">
        <f>SUMIF(EmployeeList,AX$1,TotalSecWage)</f>
        <v>0</v>
      </c>
      <c r="AY83" s="475">
        <f>SUMIF(EmployeeList,AY$1,TotalSecWage)</f>
        <v>0</v>
      </c>
      <c r="AZ83" s="475">
        <f>SUMIF(EmployeeList,AZ$1,TotalSecWage)</f>
        <v>0</v>
      </c>
      <c r="BA83" s="475">
        <f>SUMIF(EmployeeList,BA$1,TotalSecWage)</f>
        <v>0</v>
      </c>
      <c r="BB83" s="475">
        <f>SUMIF(EmployeeList,BB$1,TotalSecWage)</f>
        <v>0</v>
      </c>
      <c r="BC83" s="475">
        <f>SUMIF(EmployeeList,BC$1,TotalSecWage)</f>
        <v>0</v>
      </c>
      <c r="BD83" s="477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78">
        <f>SUM(D6,D11,D16,D21,D26,D31,D36,D41,D46,D51,D56,D61,D66,D71,D76,D81,)-(D82*D85)+((D83-D82)*D85)-D87</f>
        <v>0</v>
      </c>
      <c r="E86" s="479">
        <f>SUM(E6,E11,E16,E21,E26,E31,E36,E41,E46,E51,E56,E61,E66,E71,E76,E81,)-(E82*E85)+((E83-E82)*E85)-E87</f>
        <v>0</v>
      </c>
      <c r="F86" s="479">
        <f>SUM(F6,F11,F16,F21,F26,F31,F36,F41,F46,F51,F56,F61,F66,F71,F76,F81,)-(F82*F85)+((F83-F82)*F85)-F87</f>
        <v>0</v>
      </c>
      <c r="G86" s="479">
        <f>SUM(G6,G11,G16,G21,G26,G31,G36,G41,G46,G51,G56,G61,G66,G71,G76,G81,)-(G82*G85)+((G83-G82)*G85)-G87</f>
        <v>0</v>
      </c>
      <c r="H86" s="479">
        <f>SUM(H6,H11,H16,H21,H26,H31,H36,H41,H46,H51,H56,H61,H66,H71,H76,H81,)-(H82*H85)+((H83-H82)*H85)-H87</f>
        <v>0</v>
      </c>
      <c r="I86" s="479">
        <f>SUM(I6,I11,I16,I21,I26,I31,I36,I41,I46,I51,I56,I61,I66,I71,I76,I81,)-(I82*I85)+((I83-I82)*I85)-I87</f>
        <v>0</v>
      </c>
      <c r="J86" s="479">
        <f>SUM(J6,J11,J16,J21,J26,J31,J36,J41,J46,J51,J56,J61,J66,J71,J76,J81,)-(J82*J85)+((J83-J82)*J85)-J87</f>
        <v>0</v>
      </c>
      <c r="K86" s="479">
        <f>SUM(K6,K11,K16,K21,K26,K31,K36,K41,K46,K51,K56,K61,K66,K71,K76,K81,)-(K82*K85)+((K83-K82)*K85)-K87</f>
        <v>0</v>
      </c>
      <c r="L86" s="479">
        <f>SUM(L6,L11,L16,L21,L26,L31,L36,L41,L46,L51,L56,L61,L66,L71,L76,L81,)-(L82*L85)+((L83-L82)*L85)-L87</f>
        <v>0</v>
      </c>
      <c r="M86" s="479">
        <f>SUM(M6,M11,M16,M21,M26,M31,M36,M41,M46,M51,M56,M61,M66,M71,M76,M81,)-(M82*M85)+((M83-M82)*M85)-M87</f>
        <v>0</v>
      </c>
      <c r="N86" s="479">
        <f>SUM(N6,N11,N16,N21,N26,N31,N36,N41,N46,N51,N56,N61,N66,N71,N76,N81,)-(N82*N85)+((N83-N82)*N85)-N87</f>
        <v>0</v>
      </c>
      <c r="O86" s="479">
        <f>SUM(O6,O11,O16,O21,O26,O31,O36,O41,O46,O51,O56,O61,O66,O71,O76,O81,)-(O82*O85)+((O83-O82)*O85)-O87</f>
        <v>0</v>
      </c>
      <c r="P86" s="479">
        <f>SUM(P6,P11,P16,P21,P26,P31,P36,P41,P46,P51,P56,P61,P66,P71,P76,P81,)-(P82*P85)+((P83-P82)*P85)-P87</f>
        <v>0</v>
      </c>
      <c r="Q86" s="479">
        <f>SUM(Q6,Q11,Q16,Q21,Q26,Q31,Q36,Q41,Q46,Q51,Q56,Q61,Q66,Q71,Q76,Q81,)-(Q82*Q85)+((Q83-Q82)*Q85)-Q87</f>
        <v>0</v>
      </c>
      <c r="R86" s="479">
        <f>SUM(R6,R11,R16,R21,R26,R31,R36,R41,R46,R51,R56,R61,R66,R71,R76,R81,)-(R82*R85)+((R83-R82)*R85)-R87</f>
        <v>0</v>
      </c>
      <c r="S86" s="479">
        <f>SUM(S6,S11,S16,S21,S26,S31,S36,S41,S46,S51,S56,S61,S66,S71,S76,S81,)-(S82*S85)+((S83-S82)*S85)-S87</f>
        <v>0</v>
      </c>
      <c r="T86" s="479">
        <f>SUM(T6,T11,T16,T21,T26,T31,T36,T41,T46,T51,T56,T61,T66,T71,T76,T81,)-(T82*T85)+((T83-T82)*T85)-T87</f>
        <v>0</v>
      </c>
      <c r="U86" s="479">
        <f>SUM(U6,U11,U16,U21,U26,U31,U36,U41,U46,U51,U56,U61,U66,U71,U76,U81,)-(U82*U85)+((U83-U82)*U85)-U87</f>
        <v>0</v>
      </c>
      <c r="V86" s="479">
        <f>SUM(V6,V11,V16,V21,V26,V31,V36,V41,V46,V51,V56,V61,V66,V71,V76,V81,)-(V82*V85)+((V83-V82)*V85)-V87</f>
        <v>0</v>
      </c>
      <c r="W86" s="479">
        <f>SUM(W6,W11,W16,W21,W26,W31,W36,W41,W46,W51,W56,W61,W66,W71,W76,W81,)-(W82*W85)+((W83-W82)*W85)-W87</f>
        <v>0</v>
      </c>
      <c r="X86" s="479">
        <f>SUM(X6,X11,X16,X21,X26,X31,X36,X41,X46,X51,X56,X61,X66,X71,X76,X81,)-(X82*X85)+((X83-X82)*X85)-X87</f>
        <v>0</v>
      </c>
      <c r="Y86" s="479">
        <f>SUM(Y6,Y11,Y16,Y21,Y26,Y31,Y36,Y41,Y46,Y51,Y56,Y61,Y66,Y71,Y76,Y81,)-(Y82*Y85)+((Y83-Y82)*Y85)-Y87</f>
        <v>0</v>
      </c>
      <c r="Z86" s="479">
        <f>SUM(Z6,Z11,Z16,Z21,Z26,Z31,Z36,Z41,Z46,Z51,Z56,Z61,Z66,Z71,Z76,Z81,)-(Z82*Z85)+((Z83-Z82)*Z85)-Z87</f>
        <v>0</v>
      </c>
      <c r="AA86" s="479">
        <f>SUM(AA6,AA11,AA16,AA21,AA26,AA31,AA36,AA41,AA46,AA51,AA56,AA61,AA66,AA71,AA76,AA81,)-(AA82*AA85)+((AA83-AA82)*AA85)-AA87</f>
        <v>0</v>
      </c>
      <c r="AB86" s="479">
        <f>SUM(AB6,AB11,AB16,AB21,AB26,AB31,AB36,AB41,AB46,AB51,AB56,AB61,AB66,AB71,AB76,AB81,)-(AB82*AB85)+((AB83-AB82)*AB85)-AB87</f>
        <v>0</v>
      </c>
      <c r="AC86" s="479">
        <f>SUM(AC6,AC11,AC16,AC21,AC26,AC31,AC36,AC41,AC46,AC51,AC56,AC61,AC66,AC71,AC76,AC81,)-(AC82*AC85)+((AC83-AC82)*AC85)-AC87</f>
        <v>0</v>
      </c>
      <c r="AD86" s="479">
        <f>SUM(AD6,AD11,AD16,AD21,AD26,AD31,AD36,AD41,AD46,AD51,AD56,AD61,AD66,AD71,AD76,AD81,)-(AD82*AD85)+((AD83-AD82)*AD85)-AD87</f>
        <v>0</v>
      </c>
      <c r="AE86" s="479">
        <f>SUM(AE6,AE11,AE16,AE21,AE26,AE31,AE36,AE41,AE46,AE51,AE56,AE61,AE66,AE71,AE76,AE81,)-(AE82*AE85)+((AE83-AE82)*AE85)-AE87</f>
        <v>0</v>
      </c>
      <c r="AF86" s="479">
        <f>SUM(AF6,AF11,AF16,AF21,AF26,AF31,AF36,AF41,AF46,AF51,AF56,AF61,AF66,AF71,AF76,AF81,)-(AF82*AF85)+((AF83-AF82)*AF85)-AF87</f>
        <v>0</v>
      </c>
      <c r="AG86" s="479">
        <f>SUM(AG6,AG11,AG16,AG21,AG26,AG31,AG36,AG41,AG46,AG51,AG56,AG61,AG66,AG71,AG76,AG81,)-(AG82*AG85)+((AG83-AG82)*AG85)-AG87</f>
        <v>0</v>
      </c>
      <c r="AH86" s="479">
        <f>SUM(AH6,AH11,AH16,AH21,AH26,AH31,AH36,AH41,AH46,AH51,AH56,AH61,AH66,AH71,AH76,AH81,)-(AH82*AH85)+((AH83-AH82)*AH85)-AH87</f>
        <v>0</v>
      </c>
      <c r="AI86" s="479">
        <f>SUM(AI6,AI11,AI16,AI21,AI26,AI31,AI36,AI41,AI46,AI51,AI56,AI61,AI66,AI71,AI76,AI81,)-(AI82*AI85)+((AI83-AI82)*AI85)-AI87</f>
        <v>0</v>
      </c>
      <c r="AJ86" s="479">
        <f>SUM(AJ6,AJ11,AJ16,AJ21,AJ26,AJ31,AJ36,AJ41,AJ46,AJ51,AJ56,AJ61,AJ66,AJ71,AJ76,AJ81,)-(AJ82*AJ85)+((AJ83-AJ82)*AJ85)-AJ87</f>
        <v>0</v>
      </c>
      <c r="AK86" s="479">
        <f>SUM(AK6,AK11,AK16,AK21,AK26,AK31,AK36,AK41,AK46,AK51,AK56,AK61,AK66,AK71,AK76,AK81,)-(AK82*AK85)+((AK83-AK82)*AK85)-AK87</f>
        <v>0</v>
      </c>
      <c r="AL86" s="479">
        <f>SUM(AL6,AL11,AL16,AL21,AL26,AL31,AL36,AL41,AL46,AL51,AL56,AL61,AL66,AL71,AL76,AL81,)-(AL82*AL85)+((AL83-AL82)*AL85)-AL87</f>
        <v>0</v>
      </c>
      <c r="AM86" s="479">
        <f>SUM(AM6,AM11,AM16,AM21,AM26,AM31,AM36,AM41,AM46,AM51,AM56,AM61,AM66,AM71,AM76,AM81,)-(AM82*AM85)+((AM83-AM82)*AM85)-AM87</f>
        <v>0</v>
      </c>
      <c r="AN86" s="479">
        <f>SUM(AN6,AN11,AN16,AN21,AN26,AN31,AN36,AN41,AN46,AN51,AN56,AN61,AN66,AN71,AN76,AN81,)-(AN82*AN85)+((AN83-AN82)*AN85)-AN87</f>
        <v>0</v>
      </c>
      <c r="AO86" s="479">
        <f>SUM(AO6,AO11,AO16,AO21,AO26,AO31,AO36,AO41,AO46,AO51,AO56,AO61,AO66,AO71,AO76,AO81,)-(AO82*AO85)+((AO83-AO82)*AO85)-AO87</f>
        <v>0</v>
      </c>
      <c r="AP86" s="479">
        <f>SUM(AP6,AP11,AP16,AP21,AP26,AP31,AP36,AP41,AP46,AP51,AP56,AP61,AP66,AP71,AP76,AP81,)-(AP82*AP85)+((AP83-AP82)*AP85)-AP87</f>
        <v>0</v>
      </c>
      <c r="AQ86" s="479">
        <f>SUM(AQ6,AQ11,AQ16,AQ21,AQ26,AQ31,AQ36,AQ41,AQ46,AQ51,AQ56,AQ61,AQ66,AQ71,AQ76,AQ81,)-(AQ82*AQ85)+((AQ83-AQ82)*AQ85)-AQ87</f>
        <v>0</v>
      </c>
      <c r="AR86" s="479">
        <f>SUM(AR6,AR11,AR16,AR21,AR26,AR31,AR36,AR41,AR46,AR51,AR56,AR61,AR66,AR71,AR76,AR81,)-(AR82*AR85)+((AR83-AR82)*AR85)-AR87</f>
        <v>0</v>
      </c>
      <c r="AS86" s="479">
        <f>SUM(AS6,AS11,AS16,AS21,AS26,AS31,AS36,AS41,AS46,AS51,AS56,AS61,AS66,AS71,AS76,AS81,)-(AS82*AS85)+((AS83-AS82)*AS85)-AS87</f>
        <v>0</v>
      </c>
      <c r="AT86" s="479">
        <f>SUM(AT6,AT11,AT16,AT21,AT26,AT31,AT36,AT41,AT46,AT51,AT56,AT61,AT66,AT71,AT76,AT81,)-(AT82*AT85)+((AT83-AT82)*AT85)-AT87</f>
        <v>0</v>
      </c>
      <c r="AU86" s="479">
        <f>SUM(AU6,AU11,AU16,AU21,AU26,AU31,AU36,AU41,AU46,AU51,AU56,AU61,AU66,AU71,AU76,AU81,)-(AU82*AU85)+((AU83-AU82)*AU85)-AU87</f>
        <v>0</v>
      </c>
      <c r="AV86" s="479">
        <f>SUM(AV6,AV11,AV16,AV21,AV26,AV31,AV36,AV41,AV46,AV51,AV56,AV61,AV66,AV71,AV76,AV81,)-(AV82*AV85)+((AV83-AV82)*AV85)-AV87</f>
        <v>0</v>
      </c>
      <c r="AW86" s="479">
        <f>SUM(AW6,AW11,AW16,AW21,AW26,AW31,AW36,AW41,AW46,AW51,AW56,AW61,AW66,AW71,AW76,AW81,)-(AW82*AW85)+((AW83-AW82)*AW85)-AW87</f>
        <v>0</v>
      </c>
      <c r="AX86" s="479">
        <f>SUM(AX6,AX11,AX16,AX21,AX26,AX31,AX36,AX41,AX46,AX51,AX56,AX61,AX66,AX71,AX76,AX81,)-(AX82*AX85)+((AX83-AX82)*AX85)-AX87</f>
        <v>0</v>
      </c>
      <c r="AY86" s="479">
        <f>SUM(AY6,AY11,AY16,AY21,AY26,AY31,AY36,AY41,AY46,AY51,AY56,AY61,AY66,AY71,AY76,AY81,)-(AY82*AY85)+((AY83-AY82)*AY85)-AY87</f>
        <v>0</v>
      </c>
      <c r="AZ86" s="479">
        <f>SUM(AZ6,AZ11,AZ16,AZ21,AZ26,AZ31,AZ36,AZ41,AZ46,AZ51,AZ56,AZ61,AZ66,AZ71,AZ76,AZ81,)-(AZ82*AZ85)+((AZ83-AZ82)*AZ85)-AZ87</f>
        <v>0</v>
      </c>
      <c r="BA86" s="479">
        <f>SUM(BA6,BA11,BA16,BA21,BA26,BA31,BA36,BA41,BA46,BA51,BA56,BA61,BA66,BA71,BA76,BA81,)-(BA82*BA85)+((BA83-BA82)*BA85)-BA87</f>
        <v>0</v>
      </c>
      <c r="BB86" s="479">
        <f>SUM(BB6,BB11,BB16,BB21,BB26,BB31,BB36,BB41,BB46,BB51,BB56,BB61,BB66,BB71,BB76,BB81,)-(BB82*BB85)+((BB83-BB82)*BB85)-BB87</f>
        <v>0</v>
      </c>
      <c r="BC86" s="479">
        <f>SUM(BC6,BC11,BC16,BC21,BC26,BC31,BC36,BC41,BC46,BC51,BC56,BC61,BC66,BC71,BC76,BC81,)-(BC82*BC85)+((BC83-BC82)*BC85)-BC87</f>
        <v>0</v>
      </c>
      <c r="BD86" s="480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G8PiNL5wTsop+5K4KdDwRTVx28/QRvl977E68+2uji2PJDPoeDbvv1e5A2SXHLr30EqyPb3+2usnfLvc91ORsA==" saltValue="ChY6ReHapTxG7OWFSU3ox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58" priority="7"/>
  </conditionalFormatting>
  <conditionalFormatting sqref="A33:A35 A28:A30 A78:A80">
    <cfRule type="notContainsBlanks" dxfId="57" priority="8">
      <formula>LEN(TRIM(A28))&gt;0</formula>
    </cfRule>
  </conditionalFormatting>
  <conditionalFormatting sqref="D1:H1">
    <cfRule type="duplicateValues" dxfId="56" priority="6"/>
  </conditionalFormatting>
  <conditionalFormatting sqref="A3:A5 A8:A10 A13:A15 A18:A20 A23:A25">
    <cfRule type="notContainsBlanks" dxfId="55" priority="5">
      <formula>LEN(TRIM(A3))&gt;0</formula>
    </cfRule>
  </conditionalFormatting>
  <conditionalFormatting sqref="A38:A40 A43:A45 A48:A50 A53:A55 A58:A60 A63:A65 A68:A70 A73:A75">
    <cfRule type="notContainsBlanks" dxfId="54" priority="4">
      <formula>LEN(TRIM(A38))&gt;0</formula>
    </cfRule>
  </conditionalFormatting>
  <conditionalFormatting sqref="D80:BD80 D75:BD75 D70:BD70 D65:BD65 D60:BD60 D55:BD55 D50:BD50 D45:BD45 D40:BD40 D35:BD35 D30:BD30 D25:BD25 D20:BD20 D15:BD15 D9:BD10 D5:BD5">
    <cfRule type="notContainsBlanks" dxfId="53" priority="3">
      <formula>LEN(TRIM(D5))&gt;0</formula>
    </cfRule>
  </conditionalFormatting>
  <conditionalFormatting sqref="D5:BD5 D10:BD10 D15:BD15 D20:BD20 D25:BD25 D30:BD30 D35:BD35 D40:BD40 D45:BD45 D50:BD50 D55:BD55 D60:BD60 D65:BD65 D70:BD70 D75:BD75 D80:BD80">
    <cfRule type="notContainsBlanks" dxfId="52" priority="2">
      <formula>LEN(TRIM(D5))&gt;0</formula>
    </cfRule>
  </conditionalFormatting>
  <conditionalFormatting sqref="D79:BD79 D74:BD74 D69:BD69 D64:BD64 D59:BD59 D54:BD54 D49:BD49 D44:BD44 D39:BD39 D34:BD34 D29:BD29 D24:BD24 D19:BD19 D14:BD14 D9:BD9 D4:BD4">
    <cfRule type="notContainsBlanks" dxfId="51" priority="1">
      <formula>LEN(TRIM(D4))&gt;0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E58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425781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59"/>
      <c r="O1" s="59"/>
      <c r="P1" s="59"/>
      <c r="Q1" s="59"/>
      <c r="R1" s="60"/>
      <c r="S1" s="59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8"/>
      <c r="H2" s="68"/>
      <c r="I2" s="68"/>
      <c r="J2" s="68"/>
      <c r="K2" s="69"/>
      <c r="L2" s="68"/>
      <c r="M2" s="69"/>
      <c r="N2" s="68"/>
      <c r="O2" s="68"/>
      <c r="P2" s="69"/>
      <c r="Q2" s="68"/>
      <c r="R2" s="69"/>
      <c r="S2" s="68"/>
      <c r="T2" s="68"/>
      <c r="U2" s="68"/>
      <c r="V2" s="68"/>
      <c r="W2" s="68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Friday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6"/>
      <c r="N3" s="75"/>
      <c r="O3" s="75"/>
      <c r="P3" s="76"/>
      <c r="Q3" s="75"/>
      <c r="R3" s="75"/>
      <c r="S3" s="75"/>
      <c r="T3" s="75"/>
      <c r="U3" s="75"/>
      <c r="V3" s="75"/>
      <c r="W3" s="75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42461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8"/>
      <c r="H5" s="68"/>
      <c r="I5" s="68"/>
      <c r="J5" s="68"/>
      <c r="K5" s="69"/>
      <c r="L5" s="68"/>
      <c r="M5" s="69"/>
      <c r="N5" s="68"/>
      <c r="O5" s="68"/>
      <c r="P5" s="69"/>
      <c r="Q5" s="68"/>
      <c r="R5" s="69"/>
      <c r="S5" s="68"/>
      <c r="T5" s="68"/>
      <c r="U5" s="68"/>
      <c r="V5" s="68"/>
      <c r="W5" s="68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Friday</v>
      </c>
      <c r="B6" s="64" t="s">
        <v>23</v>
      </c>
      <c r="C6" s="429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6"/>
      <c r="N6" s="75"/>
      <c r="O6" s="75"/>
      <c r="P6" s="76"/>
      <c r="Q6" s="75"/>
      <c r="R6" s="75"/>
      <c r="S6" s="75"/>
      <c r="T6" s="75"/>
      <c r="U6" s="75"/>
      <c r="V6" s="75"/>
      <c r="W6" s="75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28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8"/>
      <c r="H8" s="68"/>
      <c r="I8" s="68"/>
      <c r="J8" s="68"/>
      <c r="K8" s="69"/>
      <c r="L8" s="68"/>
      <c r="M8" s="69"/>
      <c r="N8" s="68"/>
      <c r="O8" s="68"/>
      <c r="P8" s="69"/>
      <c r="Q8" s="68"/>
      <c r="R8" s="69"/>
      <c r="S8" s="68"/>
      <c r="T8" s="68"/>
      <c r="U8" s="68"/>
      <c r="V8" s="68"/>
      <c r="W8" s="68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Saturday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6"/>
      <c r="N9" s="75"/>
      <c r="O9" s="75"/>
      <c r="P9" s="76"/>
      <c r="Q9" s="75"/>
      <c r="R9" s="75"/>
      <c r="S9" s="75"/>
      <c r="T9" s="75"/>
      <c r="U9" s="75"/>
      <c r="V9" s="75"/>
      <c r="W9" s="75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42462</v>
      </c>
      <c r="B10" s="79" t="str">
        <f>IF(OR(A9="Saturday",A9="Sunday"),"(Closed)","Lunch Hours")</f>
        <v>(Closed)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8"/>
      <c r="O11" s="68"/>
      <c r="P11" s="69"/>
      <c r="Q11" s="68"/>
      <c r="R11" s="69"/>
      <c r="S11" s="68"/>
      <c r="T11" s="68"/>
      <c r="U11" s="68"/>
      <c r="V11" s="68"/>
      <c r="W11" s="68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Saturday</v>
      </c>
      <c r="B12" s="64" t="s">
        <v>23</v>
      </c>
      <c r="C12" s="429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5"/>
      <c r="O12" s="75"/>
      <c r="P12" s="76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28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32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8"/>
      <c r="R14" s="69"/>
      <c r="S14" s="68"/>
      <c r="T14" s="68"/>
      <c r="U14" s="68"/>
      <c r="V14" s="68"/>
      <c r="W14" s="68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Sunday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6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42463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8"/>
      <c r="R17" s="69"/>
      <c r="S17" s="68"/>
      <c r="T17" s="68"/>
      <c r="U17" s="68"/>
      <c r="V17" s="68"/>
      <c r="W17" s="68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429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6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28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9"/>
      <c r="I20" s="68"/>
      <c r="J20" s="68"/>
      <c r="K20" s="69"/>
      <c r="L20" s="68"/>
      <c r="M20" s="69"/>
      <c r="N20" s="68"/>
      <c r="O20" s="68"/>
      <c r="P20" s="69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6"/>
      <c r="L21" s="75"/>
      <c r="M21" s="76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42464</v>
      </c>
      <c r="B22" s="79" t="str">
        <f>IF(OR(A21="Saturday",A21="Sunday"),"(Closed)","Lunch Hours")</f>
        <v>Lunch Hours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9"/>
      <c r="I23" s="68"/>
      <c r="J23" s="68"/>
      <c r="K23" s="69"/>
      <c r="L23" s="68"/>
      <c r="M23" s="69"/>
      <c r="N23" s="68"/>
      <c r="O23" s="68"/>
      <c r="P23" s="69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429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6"/>
      <c r="L24" s="75"/>
      <c r="M24" s="76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28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9"/>
      <c r="I26" s="68"/>
      <c r="J26" s="68"/>
      <c r="K26" s="69"/>
      <c r="L26" s="68"/>
      <c r="M26" s="69"/>
      <c r="N26" s="68"/>
      <c r="O26" s="68"/>
      <c r="P26" s="69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6"/>
      <c r="L27" s="75"/>
      <c r="M27" s="76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42465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9"/>
      <c r="I29" s="68"/>
      <c r="J29" s="68"/>
      <c r="K29" s="69"/>
      <c r="L29" s="68"/>
      <c r="M29" s="69"/>
      <c r="N29" s="68"/>
      <c r="O29" s="68"/>
      <c r="P29" s="69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429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6"/>
      <c r="L30" s="75"/>
      <c r="M30" s="76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28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9"/>
      <c r="I32" s="68"/>
      <c r="J32" s="68"/>
      <c r="K32" s="69"/>
      <c r="L32" s="68"/>
      <c r="M32" s="69"/>
      <c r="N32" s="68"/>
      <c r="O32" s="68"/>
      <c r="P32" s="69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Wednesday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6"/>
      <c r="L33" s="75"/>
      <c r="M33" s="76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42466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9"/>
      <c r="I35" s="68"/>
      <c r="J35" s="68"/>
      <c r="K35" s="69"/>
      <c r="L35" s="68"/>
      <c r="M35" s="69"/>
      <c r="N35" s="68"/>
      <c r="O35" s="68"/>
      <c r="P35" s="69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Wednesday</v>
      </c>
      <c r="B36" s="64" t="s">
        <v>23</v>
      </c>
      <c r="C36" s="429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6"/>
      <c r="L36" s="75"/>
      <c r="M36" s="76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28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9"/>
      <c r="I38" s="68"/>
      <c r="J38" s="68"/>
      <c r="K38" s="69"/>
      <c r="L38" s="68"/>
      <c r="M38" s="69"/>
      <c r="N38" s="68"/>
      <c r="O38" s="68"/>
      <c r="P38" s="69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Thursday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6"/>
      <c r="L39" s="75"/>
      <c r="M39" s="76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42467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9"/>
      <c r="I41" s="68"/>
      <c r="J41" s="68"/>
      <c r="K41" s="69"/>
      <c r="L41" s="68"/>
      <c r="M41" s="69"/>
      <c r="N41" s="68"/>
      <c r="O41" s="68"/>
      <c r="P41" s="69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Thursday</v>
      </c>
      <c r="B42" s="64" t="s">
        <v>23</v>
      </c>
      <c r="C42" s="429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6"/>
      <c r="L42" s="75"/>
      <c r="M42" s="76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28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9"/>
      <c r="I44" s="68"/>
      <c r="J44" s="68"/>
      <c r="K44" s="69"/>
      <c r="L44" s="68"/>
      <c r="M44" s="69"/>
      <c r="N44" s="68"/>
      <c r="O44" s="68"/>
      <c r="P44" s="69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Friday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6"/>
      <c r="L45" s="75"/>
      <c r="M45" s="76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42468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9"/>
      <c r="I47" s="68"/>
      <c r="J47" s="68"/>
      <c r="K47" s="69"/>
      <c r="L47" s="68"/>
      <c r="M47" s="69"/>
      <c r="N47" s="68"/>
      <c r="O47" s="68"/>
      <c r="P47" s="69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Friday</v>
      </c>
      <c r="B48" s="64" t="s">
        <v>23</v>
      </c>
      <c r="C48" s="429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6"/>
      <c r="L48" s="75"/>
      <c r="M48" s="76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28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9"/>
      <c r="I50" s="68"/>
      <c r="J50" s="68"/>
      <c r="K50" s="69"/>
      <c r="L50" s="68"/>
      <c r="M50" s="69"/>
      <c r="N50" s="68"/>
      <c r="O50" s="68"/>
      <c r="P50" s="69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6"/>
      <c r="L51" s="75"/>
      <c r="M51" s="76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42469</v>
      </c>
      <c r="B52" s="79" t="str">
        <f>IF(OR(A51="Saturday",A51="Sunday"),"(Closed)","Lunch Hours")</f>
        <v>(Closed)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9"/>
      <c r="I53" s="68"/>
      <c r="J53" s="68"/>
      <c r="K53" s="69"/>
      <c r="L53" s="68"/>
      <c r="M53" s="69"/>
      <c r="N53" s="68"/>
      <c r="O53" s="68"/>
      <c r="P53" s="69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429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6"/>
      <c r="L54" s="75"/>
      <c r="M54" s="76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28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9"/>
      <c r="I56" s="68"/>
      <c r="J56" s="68"/>
      <c r="K56" s="69"/>
      <c r="L56" s="68"/>
      <c r="M56" s="69"/>
      <c r="N56" s="68"/>
      <c r="O56" s="68"/>
      <c r="P56" s="69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6"/>
      <c r="L57" s="75"/>
      <c r="M57" s="76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42470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9"/>
      <c r="I59" s="68"/>
      <c r="J59" s="68"/>
      <c r="K59" s="69"/>
      <c r="L59" s="68"/>
      <c r="M59" s="69"/>
      <c r="N59" s="68"/>
      <c r="O59" s="68"/>
      <c r="P59" s="69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429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6"/>
      <c r="L60" s="75"/>
      <c r="M60" s="76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28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9"/>
      <c r="I62" s="68"/>
      <c r="J62" s="68"/>
      <c r="K62" s="69"/>
      <c r="L62" s="68"/>
      <c r="M62" s="69"/>
      <c r="N62" s="68"/>
      <c r="O62" s="68"/>
      <c r="P62" s="69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6"/>
      <c r="L63" s="75"/>
      <c r="M63" s="76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42471</v>
      </c>
      <c r="B64" s="79" t="str">
        <f>IF(OR(A63="Saturday",A63="Sunday"),"(Closed)","Lunch Hours")</f>
        <v>Lunch Hours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9"/>
      <c r="I65" s="68"/>
      <c r="J65" s="68"/>
      <c r="K65" s="69"/>
      <c r="L65" s="68"/>
      <c r="M65" s="69"/>
      <c r="N65" s="68"/>
      <c r="O65" s="68"/>
      <c r="P65" s="69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Monday</v>
      </c>
      <c r="B66" s="64" t="s">
        <v>23</v>
      </c>
      <c r="C66" s="429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6"/>
      <c r="L66" s="75"/>
      <c r="M66" s="76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28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9"/>
      <c r="I68" s="68"/>
      <c r="J68" s="68"/>
      <c r="K68" s="69"/>
      <c r="L68" s="68"/>
      <c r="M68" s="69"/>
      <c r="N68" s="68"/>
      <c r="O68" s="68"/>
      <c r="P68" s="69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Tuesday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6"/>
      <c r="L69" s="75"/>
      <c r="M69" s="76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42472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9"/>
      <c r="I71" s="68"/>
      <c r="J71" s="68"/>
      <c r="K71" s="69"/>
      <c r="L71" s="68"/>
      <c r="M71" s="69"/>
      <c r="N71" s="68"/>
      <c r="O71" s="68"/>
      <c r="P71" s="69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26"/>
      <c r="BB71" s="426"/>
    </row>
    <row r="72" spans="1:54" x14ac:dyDescent="0.2">
      <c r="A72" s="72" t="str">
        <f>A69</f>
        <v>Tuesday</v>
      </c>
      <c r="B72" s="64" t="s">
        <v>23</v>
      </c>
      <c r="C72" s="429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6"/>
      <c r="L72" s="75"/>
      <c r="M72" s="76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26"/>
      <c r="BB72" s="426"/>
    </row>
    <row r="73" spans="1:54" s="88" customFormat="1" ht="12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28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26"/>
      <c r="BB73" s="426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9"/>
      <c r="I74" s="68"/>
      <c r="J74" s="68"/>
      <c r="K74" s="69"/>
      <c r="L74" s="68"/>
      <c r="M74" s="69"/>
      <c r="N74" s="68"/>
      <c r="O74" s="68"/>
      <c r="P74" s="69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26"/>
      <c r="BB74" s="426"/>
    </row>
    <row r="75" spans="1:54" x14ac:dyDescent="0.2">
      <c r="A75" s="72" t="str">
        <f>TEXT(A76,"dddd")</f>
        <v>Wednesday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6"/>
      <c r="L75" s="75"/>
      <c r="M75" s="76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26"/>
      <c r="BB75" s="426"/>
    </row>
    <row r="76" spans="1:54" s="88" customFormat="1" ht="12" thickBot="1" x14ac:dyDescent="0.25">
      <c r="A76" s="78">
        <f>IF(PayDay13&lt;&gt;"",PayDay13,"")</f>
        <v>42473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26"/>
      <c r="BB76" s="426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9"/>
      <c r="I77" s="68"/>
      <c r="J77" s="68"/>
      <c r="K77" s="69"/>
      <c r="L77" s="68"/>
      <c r="M77" s="69"/>
      <c r="N77" s="68"/>
      <c r="O77" s="68"/>
      <c r="P77" s="69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26"/>
      <c r="BB77" s="426"/>
    </row>
    <row r="78" spans="1:54" x14ac:dyDescent="0.2">
      <c r="A78" s="72" t="str">
        <f>A75</f>
        <v>Wednesday</v>
      </c>
      <c r="B78" s="64" t="s">
        <v>23</v>
      </c>
      <c r="C78" s="429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6"/>
      <c r="L78" s="75"/>
      <c r="M78" s="76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28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9"/>
      <c r="I80" s="68"/>
      <c r="J80" s="68"/>
      <c r="K80" s="69"/>
      <c r="L80" s="68"/>
      <c r="M80" s="69"/>
      <c r="N80" s="68"/>
      <c r="O80" s="68"/>
      <c r="P80" s="69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6"/>
      <c r="L81" s="75"/>
      <c r="M81" s="76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42474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9"/>
      <c r="I83" s="68"/>
      <c r="J83" s="68"/>
      <c r="K83" s="69"/>
      <c r="L83" s="68"/>
      <c r="M83" s="69"/>
      <c r="N83" s="68"/>
      <c r="O83" s="68"/>
      <c r="P83" s="69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429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6"/>
      <c r="L84" s="75"/>
      <c r="M84" s="76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28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9"/>
      <c r="I86" s="68"/>
      <c r="J86" s="68"/>
      <c r="K86" s="69"/>
      <c r="L86" s="68"/>
      <c r="M86" s="69"/>
      <c r="N86" s="68"/>
      <c r="O86" s="68"/>
      <c r="P86" s="69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6"/>
      <c r="L87" s="75"/>
      <c r="M87" s="76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42475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9"/>
      <c r="I89" s="68"/>
      <c r="J89" s="68"/>
      <c r="K89" s="69"/>
      <c r="L89" s="68"/>
      <c r="M89" s="69"/>
      <c r="N89" s="68"/>
      <c r="O89" s="68"/>
      <c r="P89" s="69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429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6"/>
      <c r="L90" s="75"/>
      <c r="M90" s="76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28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9"/>
      <c r="I92" s="68"/>
      <c r="J92" s="68"/>
      <c r="K92" s="69"/>
      <c r="L92" s="68"/>
      <c r="M92" s="69"/>
      <c r="N92" s="68"/>
      <c r="O92" s="68"/>
      <c r="P92" s="69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6"/>
      <c r="L93" s="75"/>
      <c r="M93" s="76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9"/>
      <c r="I95" s="68"/>
      <c r="J95" s="68"/>
      <c r="K95" s="69"/>
      <c r="L95" s="68"/>
      <c r="M95" s="69"/>
      <c r="N95" s="68"/>
      <c r="O95" s="68"/>
      <c r="P95" s="69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9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6"/>
      <c r="L96" s="75"/>
      <c r="M96" s="76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30">
        <f>SHIFT(E95:AZ95,E96:AZ96,C96)</f>
        <v>0</v>
      </c>
      <c r="D97" s="431">
        <f>C97*15+(SUM(E97:AZ97)-C97)*13.5</f>
        <v>0</v>
      </c>
      <c r="E97" s="447">
        <f>HRS(E95,E96)</f>
        <v>0</v>
      </c>
      <c r="F97" s="448">
        <f>HRS(F95,F96)</f>
        <v>0</v>
      </c>
      <c r="G97" s="448">
        <f>HRS(G95,G96)</f>
        <v>0</v>
      </c>
      <c r="H97" s="448">
        <f>HRS(H95,H96)</f>
        <v>0</v>
      </c>
      <c r="I97" s="448">
        <f>HRS(I95,I96)</f>
        <v>0</v>
      </c>
      <c r="J97" s="448">
        <f>HRS(J95,J96)</f>
        <v>0</v>
      </c>
      <c r="K97" s="448">
        <f>HRS(K95,K96)</f>
        <v>0</v>
      </c>
      <c r="L97" s="448">
        <f>HRS(L95,L96)</f>
        <v>0</v>
      </c>
      <c r="M97" s="448">
        <f>HRS(M95,M96)</f>
        <v>0</v>
      </c>
      <c r="N97" s="448">
        <f>HRS(N95,N96)</f>
        <v>0</v>
      </c>
      <c r="O97" s="448">
        <f>HRS(O95,O96)</f>
        <v>0</v>
      </c>
      <c r="P97" s="448">
        <f>HRS(P95,P96)</f>
        <v>0</v>
      </c>
      <c r="Q97" s="448">
        <f>HRS(Q95,Q96)</f>
        <v>0</v>
      </c>
      <c r="R97" s="448">
        <f>HRS(R95,R96)</f>
        <v>0</v>
      </c>
      <c r="S97" s="448">
        <f>HRS(S95,S96)</f>
        <v>0</v>
      </c>
      <c r="T97" s="448">
        <f>HRS(T95,T96)</f>
        <v>0</v>
      </c>
      <c r="U97" s="448">
        <f>HRS(U95,U96)</f>
        <v>0</v>
      </c>
      <c r="V97" s="448">
        <f>HRS(V95,V96)</f>
        <v>0</v>
      </c>
      <c r="W97" s="448">
        <f>HRS(W95,W96)</f>
        <v>0</v>
      </c>
      <c r="X97" s="448">
        <f>HRS(X95,X96)</f>
        <v>0</v>
      </c>
      <c r="Y97" s="448">
        <f>HRS(Y95,Y96)</f>
        <v>0</v>
      </c>
      <c r="Z97" s="448">
        <f>HRS(Z95,Z96)</f>
        <v>0</v>
      </c>
      <c r="AA97" s="448">
        <f>HRS(AA95,AA96)</f>
        <v>0</v>
      </c>
      <c r="AB97" s="448">
        <f>HRS(AB95,AB96)</f>
        <v>0</v>
      </c>
      <c r="AC97" s="448">
        <f>HRS(AC95,AC96)</f>
        <v>0</v>
      </c>
      <c r="AD97" s="448">
        <f>HRS(AD95,AD96)</f>
        <v>0</v>
      </c>
      <c r="AE97" s="448">
        <f>HRS(AE95,AE96)</f>
        <v>0</v>
      </c>
      <c r="AF97" s="448">
        <f>HRS(AF95,AF96)</f>
        <v>0</v>
      </c>
      <c r="AG97" s="448">
        <f>HRS(AG95,AG96)</f>
        <v>0</v>
      </c>
      <c r="AH97" s="448">
        <f>HRS(AH95,AH96)</f>
        <v>0</v>
      </c>
      <c r="AI97" s="448">
        <f>HRS(AI95,AI96)</f>
        <v>0</v>
      </c>
      <c r="AJ97" s="448">
        <f>HRS(AJ95,AJ96)</f>
        <v>0</v>
      </c>
      <c r="AK97" s="448">
        <f>HRS(AK95,AK96)</f>
        <v>0</v>
      </c>
      <c r="AL97" s="448">
        <f>HRS(AL95,AL96)</f>
        <v>0</v>
      </c>
      <c r="AM97" s="448">
        <f>HRS(AM95,AM96)</f>
        <v>0</v>
      </c>
      <c r="AN97" s="448">
        <f>HRS(AN95,AN96)</f>
        <v>0</v>
      </c>
      <c r="AO97" s="448">
        <f>HRS(AO95,AO96)</f>
        <v>0</v>
      </c>
      <c r="AP97" s="448">
        <f>HRS(AP95,AP96)</f>
        <v>0</v>
      </c>
      <c r="AQ97" s="448">
        <f>HRS(AQ95,AQ96)</f>
        <v>0</v>
      </c>
      <c r="AR97" s="448">
        <f>HRS(AR95,AR96)</f>
        <v>0</v>
      </c>
      <c r="AS97" s="448">
        <f>HRS(AS95,AS96)</f>
        <v>0</v>
      </c>
      <c r="AT97" s="448">
        <f>HRS(AT95,AT96)</f>
        <v>0</v>
      </c>
      <c r="AU97" s="448">
        <f>HRS(AU95,AU96)</f>
        <v>0</v>
      </c>
      <c r="AV97" s="448">
        <f>HRS(AV95,AV96)</f>
        <v>0</v>
      </c>
      <c r="AW97" s="448">
        <f>HRS(AW95,AW96)</f>
        <v>0</v>
      </c>
      <c r="AX97" s="448">
        <f>HRS(AX95,AX96)</f>
        <v>0</v>
      </c>
      <c r="AY97" s="448">
        <f>HRS(AY95,AY96)</f>
        <v>0</v>
      </c>
      <c r="AZ97" s="449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MX/xIozGnBmE9zPL9rJ56/VP8Q4EPL0Qi/QDCdvmr5sX8eSf6q6mIvhRF1CsxjUIiSGfaTsTFAlcSWvTyN97Mg==" saltValue="Aoha0ko50sUE821WxxMr3A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50" priority="5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49" priority="5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48" priority="53">
      <formula>Y4&gt;10</formula>
    </cfRule>
  </conditionalFormatting>
  <conditionalFormatting sqref="T97:X97">
    <cfRule type="expression" dxfId="47" priority="44">
      <formula>T97&gt;10</formula>
    </cfRule>
  </conditionalFormatting>
  <conditionalFormatting sqref="Z1:AZ1">
    <cfRule type="duplicateValues" dxfId="46" priority="2198" stopIfTrue="1"/>
    <cfRule type="expression" dxfId="45" priority="2199">
      <formula>OR(AND(Z1="",Z99&lt;&gt;0),AND(Z99=0,Z1&lt;&gt;""))</formula>
    </cfRule>
  </conditionalFormatting>
  <conditionalFormatting sqref="E97:S97">
    <cfRule type="expression" dxfId="44" priority="26">
      <formula>E97&gt;10</formula>
    </cfRule>
  </conditionalFormatting>
  <conditionalFormatting sqref="Y71 Y95 Y92 Y89 Y86 Y83 Y80 Y77 Y74 Y68 Y65 Y62 Y59 Y56 Y53 Y50 Y47 Y44 Y41 Y38 Y35 Y32 Y29 Y26 Y23 Y20 E17:Y17 E14:Y14 I11:Y11 I8:Y8 I5:Y5 I2:Y2">
    <cfRule type="expression" dxfId="43" priority="16">
      <formula>AND(E2="",E3&lt;&gt;"")</formula>
    </cfRule>
  </conditionalFormatting>
  <conditionalFormatting sqref="Y72 Y96 Y93 Y90 Y87 Y84 Y81 Y78 Y75 Y69 Y66 Y63 Y60 Y57 Y54 Y51 Y48 Y45 Y42 Y39 Y36 Y33 Y30 Y27 Y24 Y21 E18:Y18 E15:Y15 I12:Y12 I9:Y9 I6:Y6 I3:Y3">
    <cfRule type="expression" dxfId="42" priority="15">
      <formula>AND(E3="",E2&lt;&gt;"")</formula>
    </cfRule>
  </conditionalFormatting>
  <conditionalFormatting sqref="E13:Y13 Y94 Y91 Y88 Y85 Y82 Y79 Y76 Y73 Y70 Y67 Y64 Y61 Y58 Y55 Y52 Y49 Y46 Y43 Y40 Y37 Y34 Y31 Y28 Y25 Y22 E19:Y19 E16:Y16 I10:Y10 I7:Y7 I4:Y4">
    <cfRule type="expression" dxfId="41" priority="14">
      <formula>E4&gt;10</formula>
    </cfRule>
  </conditionalFormatting>
  <conditionalFormatting sqref="E20:X20 E23:X23">
    <cfRule type="expression" dxfId="40" priority="13">
      <formula>AND(E20="",E21&lt;&gt;"")</formula>
    </cfRule>
  </conditionalFormatting>
  <conditionalFormatting sqref="E21:X21 E24:X24">
    <cfRule type="expression" dxfId="39" priority="12">
      <formula>AND(E21="",E20&lt;&gt;"")</formula>
    </cfRule>
  </conditionalFormatting>
  <conditionalFormatting sqref="E22:X22 E25:X25">
    <cfRule type="expression" dxfId="38" priority="11">
      <formula>E22&gt;10</formula>
    </cfRule>
  </conditionalFormatting>
  <conditionalFormatting sqref="E26:X26 E29:X29 E32:X32 E35:X35 E38:X38 E41:X41 E44:X44 E47:X47 E50:X50 E53:X53 E56:X56 E59:X59 E62:X62 E65:X65 E68:X68 E71:F71 E74:X74 E77:X77 E80:X80 E83:X83 E86:X86 E89:X89 E92:X92 E95:X95 H71:X71">
    <cfRule type="expression" dxfId="37" priority="10">
      <formula>AND(E26="",E27&lt;&gt;"")</formula>
    </cfRule>
  </conditionalFormatting>
  <conditionalFormatting sqref="E27:X27 E30:X30 E33:X33 E36:X36 E39:X39 E42:X42 E45:X45 E48:X48 E51:X51 E54:X54 E57:X57 E60:X60 E63:X63 E66:X66 E69:X69 E72:F72 E75:X75 E78:X78 E81:X81 E84:X84 E87:X87 E90:X90 E93:X93 E96:X96 H72:X72">
    <cfRule type="expression" dxfId="36" priority="9">
      <formula>AND(E27="",E26&lt;&gt;"")</formula>
    </cfRule>
  </conditionalFormatting>
  <conditionalFormatting sqref="E28:X28 E31:X31 E34:X34 E37:X37 E40:X40 E43:X43 E46:X46 E49:X49 E52:X52 E55:X55 E58:X58 E61:X61 E64:X64 E67:X67 E70:X70 E73:X73 E76:X76 E79:X79 E82:X82 E85:X85 E88:X88 E91:X91 E94:X94">
    <cfRule type="expression" dxfId="35" priority="8">
      <formula>E28&gt;10</formula>
    </cfRule>
  </conditionalFormatting>
  <conditionalFormatting sqref="G71">
    <cfRule type="expression" dxfId="34" priority="7">
      <formula>AND(G71="",G72&lt;&gt;"")</formula>
    </cfRule>
  </conditionalFormatting>
  <conditionalFormatting sqref="G72">
    <cfRule type="expression" dxfId="33" priority="6">
      <formula>AND(G72="",G71&lt;&gt;"")</formula>
    </cfRule>
  </conditionalFormatting>
  <conditionalFormatting sqref="I1:Y1">
    <cfRule type="duplicateValues" dxfId="32" priority="17" stopIfTrue="1"/>
    <cfRule type="expression" dxfId="31" priority="18">
      <formula>OR(AND(I1="",I99&lt;&gt;0),AND(I99=0,I1&lt;&gt;""))</formula>
    </cfRule>
  </conditionalFormatting>
  <conditionalFormatting sqref="E1:H1">
    <cfRule type="duplicateValues" dxfId="30" priority="1" stopIfTrue="1"/>
    <cfRule type="expression" dxfId="29" priority="3">
      <formula>OR(AND(E1="",E99&lt;&gt;0),AND(E99=0,E1&lt;&gt;""))</formula>
    </cfRule>
  </conditionalFormatting>
  <conditionalFormatting sqref="E2:H2 E5:H5 E8:H8 E11:H11">
    <cfRule type="expression" dxfId="28" priority="5">
      <formula>AND(E2="",E3&lt;&gt;"")</formula>
    </cfRule>
  </conditionalFormatting>
  <conditionalFormatting sqref="E3:H3 E6:H6 E9:H9 E12:H12">
    <cfRule type="expression" dxfId="27" priority="4">
      <formula>AND(E3="",E2&lt;&gt;"")</formula>
    </cfRule>
  </conditionalFormatting>
  <conditionalFormatting sqref="E4:H4 E7:H7 E10:H10">
    <cfRule type="expression" dxfId="26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7:AZ18 E14:AZ15 E8:AZ9 E5:AZ6 E2:AZ3 E11:AZ12 E32:AZ33 E20:AZ21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7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425781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60"/>
      <c r="O1" s="59"/>
      <c r="P1" s="59"/>
      <c r="Q1" s="59"/>
      <c r="R1" s="60"/>
      <c r="S1" s="59"/>
      <c r="T1" s="59"/>
      <c r="U1" s="59"/>
      <c r="V1" s="60"/>
      <c r="W1" s="59"/>
      <c r="X1" s="60"/>
      <c r="Y1" s="59"/>
      <c r="Z1" s="60"/>
      <c r="AA1" s="59"/>
      <c r="AB1" s="59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65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8"/>
      <c r="L2" s="68"/>
      <c r="M2" s="69"/>
      <c r="N2" s="69"/>
      <c r="O2" s="69"/>
      <c r="P2" s="68"/>
      <c r="Q2" s="68"/>
      <c r="R2" s="69"/>
      <c r="S2" s="68"/>
      <c r="T2" s="68"/>
      <c r="U2" s="68"/>
      <c r="V2" s="68"/>
      <c r="W2" s="68"/>
      <c r="X2" s="68"/>
      <c r="Y2" s="69"/>
      <c r="Z2" s="68"/>
      <c r="AA2" s="68"/>
      <c r="AB2" s="69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Friday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5"/>
      <c r="L3" s="75"/>
      <c r="M3" s="76"/>
      <c r="N3" s="76"/>
      <c r="O3" s="75"/>
      <c r="P3" s="75"/>
      <c r="Q3" s="75"/>
      <c r="R3" s="76"/>
      <c r="S3" s="75"/>
      <c r="T3" s="75"/>
      <c r="U3" s="75"/>
      <c r="V3" s="75"/>
      <c r="W3" s="75"/>
      <c r="X3" s="75"/>
      <c r="Y3" s="75"/>
      <c r="Z3" s="75"/>
      <c r="AA3" s="75"/>
      <c r="AB3" s="76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42461</v>
      </c>
      <c r="B4" s="79" t="s">
        <v>47</v>
      </c>
      <c r="C4" s="80">
        <f>SHIFT(E2:AZ2,E3:AZ3,C3)</f>
        <v>0</v>
      </c>
      <c r="D4" s="445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8"/>
      <c r="L5" s="68"/>
      <c r="M5" s="69"/>
      <c r="N5" s="69"/>
      <c r="O5" s="69"/>
      <c r="P5" s="68"/>
      <c r="Q5" s="68"/>
      <c r="R5" s="69"/>
      <c r="S5" s="68"/>
      <c r="T5" s="68"/>
      <c r="U5" s="68"/>
      <c r="V5" s="68"/>
      <c r="W5" s="68"/>
      <c r="X5" s="68"/>
      <c r="Y5" s="69"/>
      <c r="Z5" s="68"/>
      <c r="AA5" s="68"/>
      <c r="AB5" s="69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Friday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5"/>
      <c r="L6" s="75"/>
      <c r="M6" s="76"/>
      <c r="N6" s="76"/>
      <c r="O6" s="75"/>
      <c r="P6" s="75"/>
      <c r="Q6" s="75"/>
      <c r="R6" s="76"/>
      <c r="S6" s="75"/>
      <c r="T6" s="75"/>
      <c r="U6" s="75"/>
      <c r="V6" s="75"/>
      <c r="W6" s="75"/>
      <c r="X6" s="75"/>
      <c r="Y6" s="75"/>
      <c r="Z6" s="75"/>
      <c r="AA6" s="75"/>
      <c r="AB6" s="76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46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8"/>
      <c r="L8" s="68"/>
      <c r="M8" s="69"/>
      <c r="N8" s="69"/>
      <c r="O8" s="69"/>
      <c r="P8" s="68"/>
      <c r="Q8" s="68"/>
      <c r="R8" s="69"/>
      <c r="S8" s="68"/>
      <c r="T8" s="68"/>
      <c r="U8" s="68"/>
      <c r="V8" s="68"/>
      <c r="W8" s="68"/>
      <c r="X8" s="68"/>
      <c r="Y8" s="69"/>
      <c r="Z8" s="68"/>
      <c r="AA8" s="68"/>
      <c r="AB8" s="69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Saturday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5"/>
      <c r="L9" s="75"/>
      <c r="M9" s="76"/>
      <c r="N9" s="76"/>
      <c r="O9" s="75"/>
      <c r="P9" s="75"/>
      <c r="Q9" s="75"/>
      <c r="R9" s="76"/>
      <c r="S9" s="75"/>
      <c r="T9" s="75"/>
      <c r="U9" s="75"/>
      <c r="V9" s="75"/>
      <c r="W9" s="75"/>
      <c r="X9" s="75"/>
      <c r="Y9" s="75"/>
      <c r="Z9" s="75"/>
      <c r="AA9" s="75"/>
      <c r="AB9" s="76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42462</v>
      </c>
      <c r="B10" s="79" t="s">
        <v>47</v>
      </c>
      <c r="C10" s="80">
        <f>SHIFT(E8:AZ8,E9:AZ9,C9)</f>
        <v>0</v>
      </c>
      <c r="D10" s="445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8"/>
      <c r="L11" s="68"/>
      <c r="M11" s="69"/>
      <c r="N11" s="69"/>
      <c r="O11" s="69"/>
      <c r="P11" s="68"/>
      <c r="Q11" s="68"/>
      <c r="R11" s="69"/>
      <c r="S11" s="68"/>
      <c r="T11" s="68"/>
      <c r="U11" s="68"/>
      <c r="V11" s="68"/>
      <c r="W11" s="68"/>
      <c r="X11" s="68"/>
      <c r="Y11" s="69"/>
      <c r="Z11" s="68"/>
      <c r="AA11" s="68"/>
      <c r="AB11" s="69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Saturday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6"/>
      <c r="O12" s="75"/>
      <c r="P12" s="75"/>
      <c r="Q12" s="75"/>
      <c r="R12" s="76"/>
      <c r="S12" s="75"/>
      <c r="T12" s="75"/>
      <c r="U12" s="75"/>
      <c r="V12" s="75"/>
      <c r="W12" s="75"/>
      <c r="X12" s="75"/>
      <c r="Y12" s="75"/>
      <c r="Z12" s="75"/>
      <c r="AA12" s="75"/>
      <c r="AB12" s="76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46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8"/>
      <c r="L14" s="68"/>
      <c r="M14" s="69"/>
      <c r="N14" s="68"/>
      <c r="O14" s="69"/>
      <c r="P14" s="68"/>
      <c r="Q14" s="68"/>
      <c r="R14" s="69"/>
      <c r="S14" s="68"/>
      <c r="T14" s="69"/>
      <c r="U14" s="68"/>
      <c r="V14" s="68"/>
      <c r="W14" s="68"/>
      <c r="X14" s="68"/>
      <c r="Y14" s="69"/>
      <c r="Z14" s="68"/>
      <c r="AA14" s="68"/>
      <c r="AB14" s="69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Sunday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5"/>
      <c r="Q15" s="75"/>
      <c r="R15" s="76"/>
      <c r="S15" s="75"/>
      <c r="T15" s="76"/>
      <c r="U15" s="75"/>
      <c r="V15" s="75"/>
      <c r="W15" s="75"/>
      <c r="X15" s="75"/>
      <c r="Y15" s="75"/>
      <c r="Z15" s="75"/>
      <c r="AA15" s="75"/>
      <c r="AB15" s="76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42463</v>
      </c>
      <c r="B16" s="79" t="s">
        <v>47</v>
      </c>
      <c r="C16" s="80">
        <f>SHIFT(E14:AZ14,E15:AZ15,C15)</f>
        <v>0</v>
      </c>
      <c r="D16" s="445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8"/>
      <c r="L17" s="68"/>
      <c r="M17" s="69"/>
      <c r="N17" s="68"/>
      <c r="O17" s="69"/>
      <c r="P17" s="68"/>
      <c r="Q17" s="68"/>
      <c r="R17" s="69"/>
      <c r="S17" s="68"/>
      <c r="T17" s="69"/>
      <c r="U17" s="68"/>
      <c r="V17" s="68"/>
      <c r="W17" s="68"/>
      <c r="X17" s="68"/>
      <c r="Y17" s="69"/>
      <c r="Z17" s="68"/>
      <c r="AA17" s="68"/>
      <c r="AB17" s="69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5"/>
      <c r="Q18" s="75"/>
      <c r="R18" s="76"/>
      <c r="S18" s="75"/>
      <c r="T18" s="76"/>
      <c r="U18" s="75"/>
      <c r="V18" s="75"/>
      <c r="W18" s="75"/>
      <c r="X18" s="75"/>
      <c r="Y18" s="75"/>
      <c r="Z18" s="75"/>
      <c r="AA18" s="75"/>
      <c r="AB18" s="76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46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9"/>
      <c r="P20" s="68"/>
      <c r="Q20" s="68"/>
      <c r="R20" s="69"/>
      <c r="S20" s="68"/>
      <c r="T20" s="69"/>
      <c r="U20" s="68"/>
      <c r="V20" s="68"/>
      <c r="W20" s="68"/>
      <c r="X20" s="68"/>
      <c r="Y20" s="69"/>
      <c r="Z20" s="68"/>
      <c r="AA20" s="68"/>
      <c r="AB20" s="69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6"/>
      <c r="N21" s="75"/>
      <c r="O21" s="75"/>
      <c r="P21" s="75"/>
      <c r="Q21" s="75"/>
      <c r="R21" s="76"/>
      <c r="S21" s="75"/>
      <c r="T21" s="76"/>
      <c r="U21" s="75"/>
      <c r="V21" s="75"/>
      <c r="W21" s="75"/>
      <c r="X21" s="75"/>
      <c r="Y21" s="75"/>
      <c r="Z21" s="75"/>
      <c r="AA21" s="75"/>
      <c r="AB21" s="76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42464</v>
      </c>
      <c r="B22" s="79" t="s">
        <v>47</v>
      </c>
      <c r="C22" s="80">
        <f>SHIFT(E20:AZ20,E21:AZ21,C21)</f>
        <v>0</v>
      </c>
      <c r="D22" s="445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9"/>
      <c r="P23" s="68"/>
      <c r="Q23" s="68"/>
      <c r="R23" s="69"/>
      <c r="S23" s="68"/>
      <c r="T23" s="69"/>
      <c r="U23" s="68"/>
      <c r="V23" s="68"/>
      <c r="W23" s="68"/>
      <c r="X23" s="68"/>
      <c r="Y23" s="69"/>
      <c r="Z23" s="68"/>
      <c r="AA23" s="68"/>
      <c r="AB23" s="69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6"/>
      <c r="N24" s="75"/>
      <c r="O24" s="75"/>
      <c r="P24" s="75"/>
      <c r="Q24" s="75"/>
      <c r="R24" s="76"/>
      <c r="S24" s="75"/>
      <c r="T24" s="76"/>
      <c r="U24" s="75"/>
      <c r="V24" s="75"/>
      <c r="W24" s="75"/>
      <c r="X24" s="75"/>
      <c r="Y24" s="75"/>
      <c r="Z24" s="75"/>
      <c r="AA24" s="75"/>
      <c r="AB24" s="76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46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9"/>
      <c r="P26" s="68"/>
      <c r="Q26" s="68"/>
      <c r="R26" s="69"/>
      <c r="S26" s="68"/>
      <c r="T26" s="69"/>
      <c r="U26" s="68"/>
      <c r="V26" s="68"/>
      <c r="W26" s="68"/>
      <c r="X26" s="68"/>
      <c r="Y26" s="69"/>
      <c r="Z26" s="68"/>
      <c r="AA26" s="68"/>
      <c r="AB26" s="69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6"/>
      <c r="S27" s="75"/>
      <c r="T27" s="76"/>
      <c r="U27" s="75"/>
      <c r="V27" s="75"/>
      <c r="W27" s="75"/>
      <c r="X27" s="75"/>
      <c r="Y27" s="75"/>
      <c r="Z27" s="75"/>
      <c r="AA27" s="75"/>
      <c r="AB27" s="76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42465</v>
      </c>
      <c r="B28" s="79" t="s">
        <v>47</v>
      </c>
      <c r="C28" s="80">
        <f>SHIFT(E26:AZ26,E27:AZ27,C27)</f>
        <v>0</v>
      </c>
      <c r="D28" s="445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9"/>
      <c r="P29" s="68"/>
      <c r="Q29" s="68"/>
      <c r="R29" s="69"/>
      <c r="S29" s="68"/>
      <c r="T29" s="69"/>
      <c r="U29" s="68"/>
      <c r="V29" s="68"/>
      <c r="W29" s="68"/>
      <c r="X29" s="68"/>
      <c r="Y29" s="69"/>
      <c r="Z29" s="68"/>
      <c r="AA29" s="68"/>
      <c r="AB29" s="69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6"/>
      <c r="N30" s="75"/>
      <c r="O30" s="75"/>
      <c r="P30" s="75"/>
      <c r="Q30" s="75"/>
      <c r="R30" s="76"/>
      <c r="S30" s="75"/>
      <c r="T30" s="76"/>
      <c r="U30" s="75"/>
      <c r="V30" s="75"/>
      <c r="W30" s="75"/>
      <c r="X30" s="75"/>
      <c r="Y30" s="75"/>
      <c r="Z30" s="75"/>
      <c r="AA30" s="75"/>
      <c r="AB30" s="76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46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9"/>
      <c r="P32" s="68"/>
      <c r="Q32" s="68"/>
      <c r="R32" s="69"/>
      <c r="S32" s="68"/>
      <c r="T32" s="69"/>
      <c r="U32" s="68"/>
      <c r="V32" s="68"/>
      <c r="W32" s="68"/>
      <c r="X32" s="68"/>
      <c r="Y32" s="69"/>
      <c r="Z32" s="68"/>
      <c r="AA32" s="68"/>
      <c r="AB32" s="69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Wednesday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6"/>
      <c r="N33" s="75"/>
      <c r="O33" s="75"/>
      <c r="P33" s="75"/>
      <c r="Q33" s="75"/>
      <c r="R33" s="76"/>
      <c r="S33" s="75"/>
      <c r="T33" s="76"/>
      <c r="U33" s="75"/>
      <c r="V33" s="75"/>
      <c r="W33" s="75"/>
      <c r="X33" s="75"/>
      <c r="Y33" s="75"/>
      <c r="Z33" s="75"/>
      <c r="AA33" s="75"/>
      <c r="AB33" s="76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42466</v>
      </c>
      <c r="B34" s="79" t="s">
        <v>47</v>
      </c>
      <c r="C34" s="80">
        <f>SHIFT(E32:AZ32,E33:AZ33,C33)</f>
        <v>0</v>
      </c>
      <c r="D34" s="445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9"/>
      <c r="P35" s="68"/>
      <c r="Q35" s="68"/>
      <c r="R35" s="69"/>
      <c r="S35" s="68"/>
      <c r="T35" s="69"/>
      <c r="U35" s="68"/>
      <c r="V35" s="68"/>
      <c r="W35" s="68"/>
      <c r="X35" s="68"/>
      <c r="Y35" s="69"/>
      <c r="Z35" s="68"/>
      <c r="AA35" s="68"/>
      <c r="AB35" s="69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Wednesday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6"/>
      <c r="N36" s="75"/>
      <c r="O36" s="75"/>
      <c r="P36" s="75"/>
      <c r="Q36" s="75"/>
      <c r="R36" s="76"/>
      <c r="S36" s="75"/>
      <c r="T36" s="76"/>
      <c r="U36" s="75"/>
      <c r="V36" s="75"/>
      <c r="W36" s="75"/>
      <c r="X36" s="75"/>
      <c r="Y36" s="75"/>
      <c r="Z36" s="75"/>
      <c r="AA36" s="75"/>
      <c r="AB36" s="76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46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9"/>
      <c r="P38" s="68"/>
      <c r="Q38" s="68"/>
      <c r="R38" s="69"/>
      <c r="S38" s="68"/>
      <c r="T38" s="69"/>
      <c r="U38" s="68"/>
      <c r="V38" s="68"/>
      <c r="W38" s="68"/>
      <c r="X38" s="68"/>
      <c r="Y38" s="69"/>
      <c r="Z38" s="68"/>
      <c r="AA38" s="68"/>
      <c r="AB38" s="69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Thursday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6"/>
      <c r="N39" s="75"/>
      <c r="O39" s="75"/>
      <c r="P39" s="75"/>
      <c r="Q39" s="75"/>
      <c r="R39" s="76"/>
      <c r="S39" s="75"/>
      <c r="T39" s="76"/>
      <c r="U39" s="75"/>
      <c r="V39" s="75"/>
      <c r="W39" s="75"/>
      <c r="X39" s="75"/>
      <c r="Y39" s="75"/>
      <c r="Z39" s="75"/>
      <c r="AA39" s="75"/>
      <c r="AB39" s="76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42467</v>
      </c>
      <c r="B40" s="79" t="s">
        <v>47</v>
      </c>
      <c r="C40" s="80">
        <f>SHIFT(E38:AZ38,E39:AZ39,C39)</f>
        <v>0</v>
      </c>
      <c r="D40" s="445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9"/>
      <c r="P41" s="68"/>
      <c r="Q41" s="68"/>
      <c r="R41" s="69"/>
      <c r="S41" s="68"/>
      <c r="T41" s="69"/>
      <c r="U41" s="68"/>
      <c r="V41" s="68"/>
      <c r="W41" s="68"/>
      <c r="X41" s="68"/>
      <c r="Y41" s="69"/>
      <c r="Z41" s="68"/>
      <c r="AA41" s="68"/>
      <c r="AB41" s="69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Thursday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6"/>
      <c r="N42" s="75"/>
      <c r="O42" s="75"/>
      <c r="P42" s="75"/>
      <c r="Q42" s="75"/>
      <c r="R42" s="76"/>
      <c r="S42" s="75"/>
      <c r="T42" s="76"/>
      <c r="U42" s="75"/>
      <c r="V42" s="75"/>
      <c r="W42" s="75"/>
      <c r="X42" s="75"/>
      <c r="Y42" s="75"/>
      <c r="Z42" s="75"/>
      <c r="AA42" s="75"/>
      <c r="AB42" s="76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46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9"/>
      <c r="P44" s="68"/>
      <c r="Q44" s="68"/>
      <c r="R44" s="69"/>
      <c r="S44" s="68"/>
      <c r="T44" s="69"/>
      <c r="U44" s="68"/>
      <c r="V44" s="68"/>
      <c r="W44" s="68"/>
      <c r="X44" s="68"/>
      <c r="Y44" s="69"/>
      <c r="Z44" s="68"/>
      <c r="AA44" s="68"/>
      <c r="AB44" s="69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Friday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/>
      <c r="R45" s="76"/>
      <c r="S45" s="75"/>
      <c r="T45" s="76"/>
      <c r="U45" s="75"/>
      <c r="V45" s="75"/>
      <c r="W45" s="75"/>
      <c r="X45" s="75"/>
      <c r="Y45" s="75"/>
      <c r="Z45" s="75"/>
      <c r="AA45" s="75"/>
      <c r="AB45" s="76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42468</v>
      </c>
      <c r="B46" s="79" t="s">
        <v>47</v>
      </c>
      <c r="C46" s="80">
        <f>SHIFT(E44:AZ44,E45:AZ45,C45)</f>
        <v>0</v>
      </c>
      <c r="D46" s="445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9"/>
      <c r="P47" s="68"/>
      <c r="Q47" s="68"/>
      <c r="R47" s="69"/>
      <c r="S47" s="68"/>
      <c r="T47" s="69"/>
      <c r="U47" s="68"/>
      <c r="V47" s="68"/>
      <c r="W47" s="68"/>
      <c r="X47" s="68"/>
      <c r="Y47" s="69"/>
      <c r="Z47" s="68"/>
      <c r="AA47" s="68"/>
      <c r="AB47" s="69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Friday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6"/>
      <c r="N48" s="75"/>
      <c r="O48" s="75"/>
      <c r="P48" s="75"/>
      <c r="Q48" s="75"/>
      <c r="R48" s="76"/>
      <c r="S48" s="75"/>
      <c r="T48" s="76"/>
      <c r="U48" s="75"/>
      <c r="V48" s="75"/>
      <c r="W48" s="75"/>
      <c r="X48" s="75"/>
      <c r="Y48" s="75"/>
      <c r="Z48" s="75"/>
      <c r="AA48" s="75"/>
      <c r="AB48" s="76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46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9"/>
      <c r="P50" s="68"/>
      <c r="Q50" s="68"/>
      <c r="R50" s="69"/>
      <c r="S50" s="68"/>
      <c r="T50" s="69"/>
      <c r="U50" s="68"/>
      <c r="V50" s="68"/>
      <c r="W50" s="68"/>
      <c r="X50" s="68"/>
      <c r="Y50" s="69"/>
      <c r="Z50" s="68"/>
      <c r="AA50" s="68"/>
      <c r="AB50" s="69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6"/>
      <c r="S51" s="75"/>
      <c r="T51" s="76"/>
      <c r="U51" s="75"/>
      <c r="V51" s="75"/>
      <c r="W51" s="75"/>
      <c r="X51" s="75"/>
      <c r="Y51" s="75"/>
      <c r="Z51" s="75"/>
      <c r="AA51" s="75"/>
      <c r="AB51" s="76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42469</v>
      </c>
      <c r="B52" s="79" t="s">
        <v>47</v>
      </c>
      <c r="C52" s="80">
        <f>SHIFT(E50:AZ50,E51:AZ51,C51)</f>
        <v>0</v>
      </c>
      <c r="D52" s="445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9"/>
      <c r="P53" s="68"/>
      <c r="Q53" s="68"/>
      <c r="R53" s="69"/>
      <c r="S53" s="68"/>
      <c r="T53" s="69"/>
      <c r="U53" s="68"/>
      <c r="V53" s="68"/>
      <c r="W53" s="68"/>
      <c r="X53" s="68"/>
      <c r="Y53" s="69"/>
      <c r="Z53" s="68"/>
      <c r="AA53" s="68"/>
      <c r="AB53" s="69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6"/>
      <c r="N54" s="75"/>
      <c r="O54" s="75"/>
      <c r="P54" s="75"/>
      <c r="Q54" s="75"/>
      <c r="R54" s="76"/>
      <c r="S54" s="75"/>
      <c r="T54" s="76"/>
      <c r="U54" s="75"/>
      <c r="V54" s="75"/>
      <c r="W54" s="75"/>
      <c r="X54" s="75"/>
      <c r="Y54" s="75"/>
      <c r="Z54" s="75"/>
      <c r="AA54" s="75"/>
      <c r="AB54" s="76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46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9"/>
      <c r="P56" s="68"/>
      <c r="Q56" s="68"/>
      <c r="R56" s="69"/>
      <c r="S56" s="68"/>
      <c r="T56" s="69"/>
      <c r="U56" s="68"/>
      <c r="V56" s="68"/>
      <c r="W56" s="68"/>
      <c r="X56" s="68"/>
      <c r="Y56" s="69"/>
      <c r="Z56" s="68"/>
      <c r="AA56" s="68"/>
      <c r="AB56" s="69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6"/>
      <c r="N57" s="75"/>
      <c r="O57" s="75"/>
      <c r="P57" s="75"/>
      <c r="Q57" s="75"/>
      <c r="R57" s="76"/>
      <c r="S57" s="75"/>
      <c r="T57" s="76"/>
      <c r="U57" s="75"/>
      <c r="V57" s="75"/>
      <c r="W57" s="75"/>
      <c r="X57" s="75"/>
      <c r="Y57" s="75"/>
      <c r="Z57" s="75"/>
      <c r="AA57" s="75"/>
      <c r="AB57" s="76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42470</v>
      </c>
      <c r="B58" s="79" t="s">
        <v>47</v>
      </c>
      <c r="C58" s="80">
        <f>SHIFT(E56:AZ56,E57:AZ57,C57)</f>
        <v>0</v>
      </c>
      <c r="D58" s="445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9"/>
      <c r="P59" s="68"/>
      <c r="Q59" s="68"/>
      <c r="R59" s="69"/>
      <c r="S59" s="68"/>
      <c r="T59" s="69"/>
      <c r="U59" s="68"/>
      <c r="V59" s="68"/>
      <c r="W59" s="68"/>
      <c r="X59" s="68"/>
      <c r="Y59" s="69"/>
      <c r="Z59" s="68"/>
      <c r="AA59" s="68"/>
      <c r="AB59" s="69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6"/>
      <c r="N60" s="75"/>
      <c r="O60" s="75"/>
      <c r="P60" s="75"/>
      <c r="Q60" s="75"/>
      <c r="R60" s="76"/>
      <c r="S60" s="75"/>
      <c r="T60" s="76"/>
      <c r="U60" s="75"/>
      <c r="V60" s="75"/>
      <c r="W60" s="75"/>
      <c r="X60" s="75"/>
      <c r="Y60" s="75"/>
      <c r="Z60" s="75"/>
      <c r="AA60" s="75"/>
      <c r="AB60" s="76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46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9"/>
      <c r="P62" s="68"/>
      <c r="Q62" s="68"/>
      <c r="R62" s="69"/>
      <c r="S62" s="68"/>
      <c r="T62" s="69"/>
      <c r="U62" s="68"/>
      <c r="V62" s="68"/>
      <c r="W62" s="68"/>
      <c r="X62" s="68"/>
      <c r="Y62" s="69"/>
      <c r="Z62" s="68"/>
      <c r="AA62" s="68"/>
      <c r="AB62" s="69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6"/>
      <c r="N63" s="75"/>
      <c r="O63" s="75"/>
      <c r="P63" s="75"/>
      <c r="Q63" s="75"/>
      <c r="R63" s="76"/>
      <c r="S63" s="75"/>
      <c r="T63" s="76"/>
      <c r="U63" s="75"/>
      <c r="V63" s="75"/>
      <c r="W63" s="75"/>
      <c r="X63" s="75"/>
      <c r="Y63" s="75"/>
      <c r="Z63" s="75"/>
      <c r="AA63" s="75"/>
      <c r="AB63" s="76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42471</v>
      </c>
      <c r="B64" s="79" t="s">
        <v>47</v>
      </c>
      <c r="C64" s="80">
        <f>SHIFT(E62:AZ62,E63:AZ63,C63)</f>
        <v>0</v>
      </c>
      <c r="D64" s="445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9"/>
      <c r="P65" s="68"/>
      <c r="Q65" s="68"/>
      <c r="R65" s="69"/>
      <c r="S65" s="68"/>
      <c r="T65" s="69"/>
      <c r="U65" s="68"/>
      <c r="V65" s="68"/>
      <c r="W65" s="68"/>
      <c r="X65" s="68"/>
      <c r="Y65" s="69"/>
      <c r="Z65" s="68"/>
      <c r="AA65" s="68"/>
      <c r="AB65" s="69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Monday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6"/>
      <c r="N66" s="75"/>
      <c r="O66" s="75"/>
      <c r="P66" s="75"/>
      <c r="Q66" s="75"/>
      <c r="R66" s="76"/>
      <c r="S66" s="75"/>
      <c r="T66" s="76"/>
      <c r="U66" s="75"/>
      <c r="V66" s="75"/>
      <c r="W66" s="75"/>
      <c r="X66" s="75"/>
      <c r="Y66" s="75"/>
      <c r="Z66" s="75"/>
      <c r="AA66" s="75"/>
      <c r="AB66" s="76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46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9"/>
      <c r="P68" s="68"/>
      <c r="Q68" s="68"/>
      <c r="R68" s="69"/>
      <c r="S68" s="68"/>
      <c r="T68" s="69"/>
      <c r="U68" s="68"/>
      <c r="V68" s="68"/>
      <c r="W68" s="68"/>
      <c r="X68" s="68"/>
      <c r="Y68" s="69"/>
      <c r="Z68" s="68"/>
      <c r="AA68" s="68"/>
      <c r="AB68" s="69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Tuesday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6"/>
      <c r="N69" s="75"/>
      <c r="O69" s="75"/>
      <c r="P69" s="75"/>
      <c r="Q69" s="75"/>
      <c r="R69" s="76"/>
      <c r="S69" s="75"/>
      <c r="T69" s="76"/>
      <c r="U69" s="75"/>
      <c r="V69" s="75"/>
      <c r="W69" s="75"/>
      <c r="X69" s="75"/>
      <c r="Y69" s="75"/>
      <c r="Z69" s="75"/>
      <c r="AA69" s="75"/>
      <c r="AB69" s="76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42472</v>
      </c>
      <c r="B70" s="79" t="s">
        <v>47</v>
      </c>
      <c r="C70" s="80">
        <f>SHIFT(E68:AZ68,E69:AZ69,C69)</f>
        <v>0</v>
      </c>
      <c r="D70" s="445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9"/>
      <c r="P71" s="68"/>
      <c r="Q71" s="68"/>
      <c r="R71" s="69"/>
      <c r="S71" s="68"/>
      <c r="T71" s="69"/>
      <c r="U71" s="68"/>
      <c r="V71" s="68"/>
      <c r="W71" s="68"/>
      <c r="X71" s="68"/>
      <c r="Y71" s="69"/>
      <c r="Z71" s="68"/>
      <c r="AA71" s="68"/>
      <c r="AB71" s="69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Tuesday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6"/>
      <c r="N72" s="75"/>
      <c r="O72" s="75"/>
      <c r="P72" s="75"/>
      <c r="Q72" s="75"/>
      <c r="R72" s="76"/>
      <c r="S72" s="75"/>
      <c r="T72" s="76"/>
      <c r="U72" s="75"/>
      <c r="V72" s="75"/>
      <c r="W72" s="75"/>
      <c r="X72" s="75"/>
      <c r="Y72" s="75"/>
      <c r="Z72" s="75"/>
      <c r="AA72" s="75"/>
      <c r="AB72" s="76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46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9"/>
      <c r="P74" s="68"/>
      <c r="Q74" s="68"/>
      <c r="R74" s="69"/>
      <c r="S74" s="68"/>
      <c r="T74" s="69"/>
      <c r="U74" s="68"/>
      <c r="V74" s="68"/>
      <c r="W74" s="68"/>
      <c r="X74" s="68"/>
      <c r="Y74" s="69"/>
      <c r="Z74" s="68"/>
      <c r="AA74" s="68"/>
      <c r="AB74" s="69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Wednesday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6"/>
      <c r="N75" s="75"/>
      <c r="O75" s="75"/>
      <c r="P75" s="75"/>
      <c r="Q75" s="75"/>
      <c r="R75" s="76"/>
      <c r="S75" s="75"/>
      <c r="T75" s="76"/>
      <c r="U75" s="75"/>
      <c r="V75" s="75"/>
      <c r="W75" s="75"/>
      <c r="X75" s="75"/>
      <c r="Y75" s="75"/>
      <c r="Z75" s="75"/>
      <c r="AA75" s="75"/>
      <c r="AB75" s="76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42473</v>
      </c>
      <c r="B76" s="79" t="s">
        <v>47</v>
      </c>
      <c r="C76" s="80">
        <f>SHIFT(E74:AZ74,E75:AZ75,C75)</f>
        <v>0</v>
      </c>
      <c r="D76" s="445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9"/>
      <c r="P77" s="68"/>
      <c r="Q77" s="68"/>
      <c r="R77" s="69"/>
      <c r="S77" s="68"/>
      <c r="T77" s="69"/>
      <c r="U77" s="68"/>
      <c r="V77" s="68"/>
      <c r="W77" s="68"/>
      <c r="X77" s="68"/>
      <c r="Y77" s="69"/>
      <c r="Z77" s="68"/>
      <c r="AA77" s="68"/>
      <c r="AB77" s="69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Wednesday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6"/>
      <c r="N78" s="75"/>
      <c r="O78" s="75"/>
      <c r="P78" s="75"/>
      <c r="Q78" s="75"/>
      <c r="R78" s="76"/>
      <c r="S78" s="75"/>
      <c r="T78" s="76"/>
      <c r="U78" s="75"/>
      <c r="V78" s="75"/>
      <c r="W78" s="75"/>
      <c r="X78" s="75"/>
      <c r="Y78" s="75"/>
      <c r="Z78" s="75"/>
      <c r="AA78" s="75"/>
      <c r="AB78" s="76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46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9"/>
      <c r="P80" s="68"/>
      <c r="Q80" s="68"/>
      <c r="R80" s="69"/>
      <c r="S80" s="68"/>
      <c r="T80" s="69"/>
      <c r="U80" s="68"/>
      <c r="V80" s="68"/>
      <c r="W80" s="68"/>
      <c r="X80" s="68"/>
      <c r="Y80" s="69"/>
      <c r="Z80" s="68"/>
      <c r="AA80" s="68"/>
      <c r="AB80" s="69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6"/>
      <c r="N81" s="75"/>
      <c r="O81" s="75"/>
      <c r="P81" s="75"/>
      <c r="Q81" s="75"/>
      <c r="R81" s="76"/>
      <c r="S81" s="75"/>
      <c r="T81" s="76"/>
      <c r="U81" s="75"/>
      <c r="V81" s="75"/>
      <c r="W81" s="75"/>
      <c r="X81" s="75"/>
      <c r="Y81" s="75"/>
      <c r="Z81" s="75"/>
      <c r="AA81" s="75"/>
      <c r="AB81" s="76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42474</v>
      </c>
      <c r="B82" s="79" t="s">
        <v>47</v>
      </c>
      <c r="C82" s="80">
        <f>SHIFT(E80:AZ80,E81:AZ81,C81)</f>
        <v>0</v>
      </c>
      <c r="D82" s="445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9"/>
      <c r="P83" s="68"/>
      <c r="Q83" s="68"/>
      <c r="R83" s="69"/>
      <c r="S83" s="68"/>
      <c r="T83" s="69"/>
      <c r="U83" s="68"/>
      <c r="V83" s="68"/>
      <c r="W83" s="68"/>
      <c r="X83" s="68"/>
      <c r="Y83" s="69"/>
      <c r="Z83" s="68"/>
      <c r="AA83" s="68"/>
      <c r="AB83" s="69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6"/>
      <c r="N84" s="75"/>
      <c r="O84" s="75"/>
      <c r="P84" s="75"/>
      <c r="Q84" s="75"/>
      <c r="R84" s="76"/>
      <c r="S84" s="75"/>
      <c r="T84" s="76"/>
      <c r="U84" s="75"/>
      <c r="V84" s="75"/>
      <c r="W84" s="75"/>
      <c r="X84" s="75"/>
      <c r="Y84" s="75"/>
      <c r="Z84" s="75"/>
      <c r="AA84" s="75"/>
      <c r="AB84" s="76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46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9"/>
      <c r="P86" s="68"/>
      <c r="Q86" s="68"/>
      <c r="R86" s="69"/>
      <c r="S86" s="68"/>
      <c r="T86" s="69"/>
      <c r="U86" s="68"/>
      <c r="V86" s="68"/>
      <c r="W86" s="68"/>
      <c r="X86" s="68"/>
      <c r="Y86" s="69"/>
      <c r="Z86" s="68"/>
      <c r="AA86" s="68"/>
      <c r="AB86" s="69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6"/>
      <c r="N87" s="75"/>
      <c r="O87" s="75"/>
      <c r="P87" s="75"/>
      <c r="Q87" s="75"/>
      <c r="R87" s="76"/>
      <c r="S87" s="75"/>
      <c r="T87" s="76"/>
      <c r="U87" s="75"/>
      <c r="V87" s="75"/>
      <c r="W87" s="75"/>
      <c r="X87" s="75"/>
      <c r="Y87" s="75"/>
      <c r="Z87" s="75"/>
      <c r="AA87" s="75"/>
      <c r="AB87" s="76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42475</v>
      </c>
      <c r="B88" s="79" t="s">
        <v>47</v>
      </c>
      <c r="C88" s="80">
        <f>SHIFT(E86:AZ86,E87:AZ87,C87)</f>
        <v>0</v>
      </c>
      <c r="D88" s="445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9"/>
      <c r="P89" s="68"/>
      <c r="Q89" s="68"/>
      <c r="R89" s="69"/>
      <c r="S89" s="68"/>
      <c r="T89" s="69"/>
      <c r="U89" s="68"/>
      <c r="V89" s="68"/>
      <c r="W89" s="68"/>
      <c r="X89" s="68"/>
      <c r="Y89" s="69"/>
      <c r="Z89" s="68"/>
      <c r="AA89" s="68"/>
      <c r="AB89" s="69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6"/>
      <c r="N90" s="75"/>
      <c r="O90" s="75"/>
      <c r="P90" s="75"/>
      <c r="Q90" s="75"/>
      <c r="R90" s="76"/>
      <c r="S90" s="75"/>
      <c r="T90" s="76"/>
      <c r="U90" s="75"/>
      <c r="V90" s="75"/>
      <c r="W90" s="75"/>
      <c r="X90" s="75"/>
      <c r="Y90" s="75"/>
      <c r="Z90" s="75"/>
      <c r="AA90" s="75"/>
      <c r="AB90" s="76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46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9"/>
      <c r="P92" s="68"/>
      <c r="Q92" s="68"/>
      <c r="R92" s="69"/>
      <c r="S92" s="68"/>
      <c r="T92" s="69"/>
      <c r="U92" s="68"/>
      <c r="V92" s="68"/>
      <c r="W92" s="68"/>
      <c r="X92" s="68"/>
      <c r="Y92" s="69"/>
      <c r="Z92" s="68"/>
      <c r="AA92" s="68"/>
      <c r="AB92" s="69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6"/>
      <c r="S93" s="75"/>
      <c r="T93" s="76"/>
      <c r="U93" s="75"/>
      <c r="V93" s="75"/>
      <c r="W93" s="75"/>
      <c r="X93" s="75"/>
      <c r="Y93" s="75"/>
      <c r="Z93" s="75"/>
      <c r="AA93" s="75"/>
      <c r="AB93" s="76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45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9"/>
      <c r="P95" s="68"/>
      <c r="Q95" s="68"/>
      <c r="R95" s="69"/>
      <c r="S95" s="68"/>
      <c r="T95" s="69"/>
      <c r="U95" s="68"/>
      <c r="V95" s="68"/>
      <c r="W95" s="68"/>
      <c r="X95" s="68"/>
      <c r="Y95" s="69"/>
      <c r="Z95" s="68"/>
      <c r="AA95" s="68"/>
      <c r="AB95" s="69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6"/>
      <c r="S96" s="75"/>
      <c r="T96" s="76"/>
      <c r="U96" s="75"/>
      <c r="V96" s="75"/>
      <c r="W96" s="75"/>
      <c r="X96" s="75"/>
      <c r="Y96" s="75"/>
      <c r="Z96" s="75"/>
      <c r="AA96" s="75"/>
      <c r="AB96" s="76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30">
        <f>SHIFT(E95:AZ95,E96:AZ96,C96)</f>
        <v>0</v>
      </c>
      <c r="D97" s="450">
        <f>C97*15+(SUM(E97:AZ97)-C97)*13.5</f>
        <v>0</v>
      </c>
      <c r="E97" s="447">
        <f>HRS(E95,E96)</f>
        <v>0</v>
      </c>
      <c r="F97" s="448">
        <f>HRS(F95,F96)</f>
        <v>0</v>
      </c>
      <c r="G97" s="448">
        <f>HRS(G95,G96)</f>
        <v>0</v>
      </c>
      <c r="H97" s="448">
        <f>HRS(H95,H96)</f>
        <v>0</v>
      </c>
      <c r="I97" s="448">
        <f>HRS(I95,I96)</f>
        <v>0</v>
      </c>
      <c r="J97" s="448">
        <f>HRS(J95,J96)</f>
        <v>0</v>
      </c>
      <c r="K97" s="448">
        <f>HRS(K95,K96)</f>
        <v>0</v>
      </c>
      <c r="L97" s="448">
        <f>HRS(L95,L96)</f>
        <v>0</v>
      </c>
      <c r="M97" s="448">
        <f>HRS(M95,M96)</f>
        <v>0</v>
      </c>
      <c r="N97" s="448">
        <f>HRS(N95,N96)</f>
        <v>0</v>
      </c>
      <c r="O97" s="448">
        <f>HRS(O95,O96)</f>
        <v>0</v>
      </c>
      <c r="P97" s="448">
        <f>HRS(P95,P96)</f>
        <v>0</v>
      </c>
      <c r="Q97" s="448">
        <f>HRS(Q95,Q96)</f>
        <v>0</v>
      </c>
      <c r="R97" s="448">
        <f>HRS(R95,R96)</f>
        <v>0</v>
      </c>
      <c r="S97" s="448">
        <f>HRS(S95,S96)</f>
        <v>0</v>
      </c>
      <c r="T97" s="448">
        <f>HRS(T95,T96)</f>
        <v>0</v>
      </c>
      <c r="U97" s="448">
        <f>HRS(U95,U96)</f>
        <v>0</v>
      </c>
      <c r="V97" s="448">
        <f>HRS(V95,V96)</f>
        <v>0</v>
      </c>
      <c r="W97" s="448">
        <f>HRS(W95,W96)</f>
        <v>0</v>
      </c>
      <c r="X97" s="448">
        <f>HRS(X95,X96)</f>
        <v>0</v>
      </c>
      <c r="Y97" s="448">
        <f>HRS(Y95,Y96)</f>
        <v>0</v>
      </c>
      <c r="Z97" s="448">
        <f>HRS(Z95,Z96)</f>
        <v>0</v>
      </c>
      <c r="AA97" s="448">
        <f>HRS(AA95,AA96)</f>
        <v>0</v>
      </c>
      <c r="AB97" s="448">
        <f>HRS(AB95,AB96)</f>
        <v>0</v>
      </c>
      <c r="AC97" s="448">
        <f>HRS(AC95,AC96)</f>
        <v>0</v>
      </c>
      <c r="AD97" s="448">
        <f>HRS(AD95,AD96)</f>
        <v>0</v>
      </c>
      <c r="AE97" s="448">
        <f>HRS(AE95,AE96)</f>
        <v>0</v>
      </c>
      <c r="AF97" s="448">
        <f>HRS(AF95,AF96)</f>
        <v>0</v>
      </c>
      <c r="AG97" s="448">
        <f>HRS(AG95,AG96)</f>
        <v>0</v>
      </c>
      <c r="AH97" s="448">
        <f>HRS(AH95,AH96)</f>
        <v>0</v>
      </c>
      <c r="AI97" s="448">
        <f>HRS(AI95,AI96)</f>
        <v>0</v>
      </c>
      <c r="AJ97" s="448">
        <f>HRS(AJ95,AJ96)</f>
        <v>0</v>
      </c>
      <c r="AK97" s="448">
        <f>HRS(AK95,AK96)</f>
        <v>0</v>
      </c>
      <c r="AL97" s="448">
        <f>HRS(AL95,AL96)</f>
        <v>0</v>
      </c>
      <c r="AM97" s="448">
        <f>HRS(AM95,AM96)</f>
        <v>0</v>
      </c>
      <c r="AN97" s="448">
        <f>HRS(AN95,AN96)</f>
        <v>0</v>
      </c>
      <c r="AO97" s="448">
        <f>HRS(AO95,AO96)</f>
        <v>0</v>
      </c>
      <c r="AP97" s="448">
        <f>HRS(AP95,AP96)</f>
        <v>0</v>
      </c>
      <c r="AQ97" s="448">
        <f>HRS(AQ95,AQ96)</f>
        <v>0</v>
      </c>
      <c r="AR97" s="448">
        <f>HRS(AR95,AR96)</f>
        <v>0</v>
      </c>
      <c r="AS97" s="448">
        <f>HRS(AS95,AS96)</f>
        <v>0</v>
      </c>
      <c r="AT97" s="448">
        <f>HRS(AT95,AT96)</f>
        <v>0</v>
      </c>
      <c r="AU97" s="448">
        <f>HRS(AU95,AU96)</f>
        <v>0</v>
      </c>
      <c r="AV97" s="448">
        <f>HRS(AV95,AV96)</f>
        <v>0</v>
      </c>
      <c r="AW97" s="448">
        <f>HRS(AW95,AW96)</f>
        <v>0</v>
      </c>
      <c r="AX97" s="448">
        <f>HRS(AX95,AX96)</f>
        <v>0</v>
      </c>
      <c r="AY97" s="448">
        <f>HRS(AY95,AY96)</f>
        <v>0</v>
      </c>
      <c r="AZ97" s="449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7XIVwy4yDj5VF2AOQHPMnspTclRF5hfm6v5U6pkSxVPysJjrR6JcfpRT3AmLDuGq6Uv20/JVqrPcoJfI+MVSxQ==" saltValue="8IH9x+8dOPPSlt3BuNB2J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AZ1">
    <cfRule type="duplicateValues" dxfId="25" priority="29" stopIfTrue="1"/>
    <cfRule type="expression" dxfId="24" priority="35">
      <formula>OR(AND(X1="",X99&lt;&gt;0),AND(X99=0,X1&lt;&gt;""))</formula>
    </cfRule>
  </conditionalFormatting>
  <conditionalFormatting sqref="Y2:AZ2 Y5:AZ5 Y8:AZ8 Y11:AZ11 Y14:AZ14 Y17:AZ17 Y20:AZ20 Y23:AZ23 Y26:AZ26 Y29:AZ29 Y32:AZ32 Y35:AZ35 Y38:AZ38 Y41:AZ41 Y44:AZ44 Y47:AZ47 Y50:AZ50 Y53:AZ53 Y56:AZ56 Y59:AZ59 Y62:AZ62 Y65:AZ65 Y68:AZ68 Y71:AZ71 Y74:AZ74 Y77:AZ77 Y80:AZ80 Y83:AZ83 Y86:AZ86 Y89:AZ89 Y92:AZ92 Y95:AZ95">
    <cfRule type="expression" dxfId="23" priority="32">
      <formula>AND(Y2="",Y3&lt;&gt;"")</formula>
    </cfRule>
  </conditionalFormatting>
  <conditionalFormatting sqref="Y3:AZ3 Y6:AZ6 Y9:AZ9 Y12:AZ12 Y15:AZ15 Y18:AZ18 Y21:AZ21 Y24:AZ24 Y27:AZ27 Y30:AZ30 Y33:AZ33 Y36:AZ36 Y39:AZ39 Y42:AZ42 Y45:AZ45 Y48:AZ48 Y51:AZ51 Y54:AZ54 Y57:AZ57 Y60:AZ60 Y63:AZ63 Y66:AZ66 Y69:AZ69 Y72:AZ72 Y75:AZ75 Y78:AZ78 Y81:AZ81 Y84:AZ84 Y87:AZ87 Y90:AZ90 Y93:AZ93 Y96:AZ96">
    <cfRule type="expression" dxfId="22" priority="31">
      <formula>AND(Y3="",Y2&lt;&gt;"")</formula>
    </cfRule>
  </conditionalFormatting>
  <conditionalFormatting sqref="Y4:AZ4 Y7:AZ7 Y10:AZ10 Y13:AZ13 Y16:AZ16 Y19:AZ19 Y22:AZ22 Y25:AZ25 Y28:AZ28 Y31:AZ31 Y34:AZ34 Y37:AZ37 Y40:AZ40 Y43:AZ43 Y46:AZ46 Y49:AZ49 Y52:AZ52 Y55:AZ55 Y58:AZ58 Y61:AZ61 Y64:AZ64 Y67:AZ67 Y70:AZ70 Y73:AZ73 Y76:AZ76 Y79:AZ79 Y82:AZ82 Y85:AZ85 Y88:AZ88 Y91:AZ91 Y94:AZ94 Y97:AZ97">
    <cfRule type="expression" dxfId="21" priority="30">
      <formula>Y4&gt;10</formula>
    </cfRule>
  </conditionalFormatting>
  <conditionalFormatting sqref="X2 X5 X8 X11 X14 X17 X20 X23 X26 X29 X32 X35 X38 X41 X44 X47 X50 X53 X56 X59 X62 X65 X68 X71 X74 X77 X80 X83 X86 X89 X92 X95">
    <cfRule type="expression" dxfId="20" priority="2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19" priority="27">
      <formula>AND(X3="",X2&lt;&gt;"")</formula>
    </cfRule>
  </conditionalFormatting>
  <conditionalFormatting sqref="X4 X7 X10 X13 X16 X19 X22 X25 X28 X31 X34 X37 X40 X43 X46 X49 X52 X55 X58 X61 X64 X67 X70 X73 X76 X79 X82 X85 X88 X91 X94 S97:X97">
    <cfRule type="expression" dxfId="18" priority="26">
      <formula>S4&gt;10</formula>
    </cfRule>
  </conditionalFormatting>
  <conditionalFormatting sqref="E97:R97">
    <cfRule type="expression" dxfId="17" priority="16">
      <formula>E97&gt;10</formula>
    </cfRule>
  </conditionalFormatting>
  <conditionalFormatting sqref="J1:W1">
    <cfRule type="duplicateValues" dxfId="16" priority="9" stopIfTrue="1"/>
    <cfRule type="expression" dxfId="15" priority="10">
      <formula>OR(AND(J1="",J99&lt;&gt;0),AND(J99=0,J1&lt;&gt;""))</formula>
    </cfRule>
  </conditionalFormatting>
  <conditionalFormatting sqref="J2:W2 J5:W5 J8:W8 J11:W11 E14:W14 E17:W17 E20:W20 E23:W23 E26:W26 E29:W29 E32:W32 E35:W35 E38:W38 E41:W41 E44:W44 E47:W47 E50:W50 E53:W53 E56:W56 E59:W59 E62:W62 E65:W65 E68:W68 E71:W71 E74:W74 E77:W77 E80:W80 E83:W83 E86:W86 E89:W89 E92:W92 E95:W95">
    <cfRule type="expression" dxfId="14" priority="8">
      <formula>AND(E2="",E3&lt;&gt;"")</formula>
    </cfRule>
  </conditionalFormatting>
  <conditionalFormatting sqref="J3:W3 J6:W6 J9:W9 J12:W12 E15:W15 E18:W18 E21:W21 E24:W24 E27:W27 E30:W30 E33:W33 E36:W36 E39:W39 E42:W42 E45:W45 E48:W48 E51:W51 E54:W54 E57:W57 E60:W60 E63:W63 E66:W66 E69:W69 E72:W72 E75:W75 E78:W78 E81:W81 E84:W84 E87:W87 E90:W90 E93:W93 E96:W96">
    <cfRule type="expression" dxfId="13" priority="7">
      <formula>AND(E3="",E2&lt;&gt;"")</formula>
    </cfRule>
  </conditionalFormatting>
  <conditionalFormatting sqref="J4:W4 J7:W7 J10:W10 E13:W13 E16:W16 E19:W19 E22:W22 E25:W25 E28:W28 E31:W31 E34:W34 E37:W37 E40:W40 E43:W43 E46:W46 E49:W49 E52:W52 E55:W55 E58:W58 E61:W61 E64:W64 E67:W67 E70:W70 E73:W73 E76:W76 E79:W79 E82:W82 E85:W85 E88:W88 E91:W91 E94:W94">
    <cfRule type="expression" dxfId="12" priority="6">
      <formula>E4&gt;10</formula>
    </cfRule>
  </conditionalFormatting>
  <conditionalFormatting sqref="E1:I1">
    <cfRule type="duplicateValues" dxfId="11" priority="4" stopIfTrue="1"/>
    <cfRule type="expression" dxfId="10" priority="5">
      <formula>OR(AND(E1="",E99&lt;&gt;0),AND(E99=0,E1&lt;&gt;""))</formula>
    </cfRule>
  </conditionalFormatting>
  <conditionalFormatting sqref="E2:I2 E5:I5 E8:I8 E11:I11">
    <cfRule type="expression" dxfId="9" priority="3">
      <formula>AND(E2="",E3&lt;&gt;"")</formula>
    </cfRule>
  </conditionalFormatting>
  <conditionalFormatting sqref="E3:I3 E6:I6 E9:I9 E12:I12">
    <cfRule type="expression" dxfId="8" priority="2">
      <formula>AND(E3="",E2&lt;&gt;"")</formula>
    </cfRule>
  </conditionalFormatting>
  <conditionalFormatting sqref="E4:I4 E7:I7 E10:I10">
    <cfRule type="expression" dxfId="7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2:AZ3 E14:AZ15 E17:AZ18 E20:AZ21 E23:AZ24 E29:AZ30 E32:AZ33 E35:AZ36 E38:AZ39 E41:AZ42 E44:AZ45 E47:AZ48 E50:AZ51 E53:AZ54 E56:AZ57 E59:AZ60 E62:AZ63 E65:AZ66 E68:AZ69 E71:AZ72 E74:AZ75 E77:AZ78 E80:AZ81 E83:AZ84 E86:AZ87 E89:AZ90 E92:AZ93 E95:AZ96 E26:AZ27 E5:AZ6 E8:AZ9 E11:AZ12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6.5703125" style="62" bestFit="1" customWidth="1"/>
    <col min="9" max="11" width="6.42578125" style="110" bestFit="1" customWidth="1"/>
    <col min="12" max="16" width="6.42578125" style="62" bestFit="1" customWidth="1"/>
    <col min="17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67"/>
      <c r="I1" s="568"/>
      <c r="J1" s="568"/>
      <c r="K1" s="568"/>
      <c r="L1" s="568"/>
      <c r="M1" s="568"/>
      <c r="N1" s="568"/>
      <c r="O1" s="568"/>
      <c r="P1" s="568"/>
      <c r="Q1" s="568"/>
      <c r="R1" s="564"/>
      <c r="S1" s="568"/>
      <c r="T1" s="568"/>
      <c r="U1" s="568"/>
      <c r="V1" s="568"/>
      <c r="W1" s="564"/>
      <c r="X1" s="568"/>
      <c r="Y1" s="568"/>
      <c r="Z1" s="568"/>
      <c r="AA1" s="564"/>
      <c r="AB1" s="568"/>
      <c r="AC1" s="568"/>
      <c r="AD1" s="568"/>
      <c r="AE1" s="568"/>
      <c r="AF1" s="568"/>
      <c r="AG1" s="568"/>
      <c r="AH1" s="568"/>
      <c r="AI1" s="568"/>
      <c r="AJ1" s="568"/>
      <c r="AK1" s="568"/>
      <c r="AL1" s="568"/>
      <c r="AM1" s="568"/>
      <c r="AN1" s="568"/>
      <c r="AO1" s="569"/>
    </row>
    <row r="2" spans="1:41" x14ac:dyDescent="0.2">
      <c r="A2" s="454">
        <f>IF(Import!T7&lt;&gt;"",Import!T7,"")</f>
        <v>42461</v>
      </c>
      <c r="B2" s="581"/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0</v>
      </c>
      <c r="F2" s="145">
        <f>E2-(D2*1.26)</f>
        <v>0</v>
      </c>
      <c r="G2" s="577"/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55">
        <f>IF(Import!T8&lt;&gt;"",Import!T8,"")</f>
        <v>42462</v>
      </c>
      <c r="B3" s="581"/>
      <c r="C3" s="149">
        <f t="shared" si="0"/>
        <v>0</v>
      </c>
      <c r="D3" s="144">
        <f t="shared" si="1"/>
        <v>0</v>
      </c>
      <c r="E3" s="144">
        <f t="shared" ref="E3:E17" si="2">G3*8</f>
        <v>0</v>
      </c>
      <c r="F3" s="145">
        <f t="shared" ref="F3:F17" si="3">E3-(D3*1.26)</f>
        <v>0</v>
      </c>
      <c r="G3" s="578"/>
      <c r="H3" s="146">
        <f>SUMIFS(Import!$G:$G,Import!$A:$A,H$1,Import!$B:$B,$A3,Import!$C:$C,$A$1,Import!$D:$D,H$21)</f>
        <v>0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55">
        <f>IF(Import!T9&lt;&gt;"",Import!T9,"")</f>
        <v>42463</v>
      </c>
      <c r="B4" s="581"/>
      <c r="C4" s="149">
        <f t="shared" si="0"/>
        <v>0</v>
      </c>
      <c r="D4" s="144">
        <f t="shared" si="1"/>
        <v>0</v>
      </c>
      <c r="E4" s="144">
        <f t="shared" si="2"/>
        <v>0</v>
      </c>
      <c r="F4" s="145">
        <f t="shared" si="3"/>
        <v>0</v>
      </c>
      <c r="G4" s="579"/>
      <c r="H4" s="146">
        <f>SUMIFS(Import!$G:$G,Import!$A:$A,H$1,Import!$B:$B,$A4,Import!$C:$C,$A$1,Import!$D:$D,H$21)</f>
        <v>0</v>
      </c>
      <c r="I4" s="150">
        <f>SUMIFS(Import!$G:$G,Import!$A:$A,I$1,Import!$B:$B,$A4,Import!$C:$C,$A$1,Import!$D:$D,I$21)</f>
        <v>0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55">
        <f>IF(Import!T10&lt;&gt;"",Import!T10,"")</f>
        <v>42464</v>
      </c>
      <c r="B5" s="581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78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55">
        <f>IF(Import!T11&lt;&gt;"",Import!T11,"")</f>
        <v>42465</v>
      </c>
      <c r="B6" s="581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9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55">
        <f>IF(Import!T12&lt;&gt;"",Import!T12,"")</f>
        <v>42466</v>
      </c>
      <c r="B7" s="581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78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55">
        <f>IF(Import!T13&lt;&gt;"",Import!T13,"")</f>
        <v>42467</v>
      </c>
      <c r="B8" s="581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80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55">
        <f>IF(Import!T14&lt;&gt;"",Import!T14,"")</f>
        <v>42468</v>
      </c>
      <c r="B9" s="581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78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55">
        <f>IF(Import!T15&lt;&gt;"",Import!T15,"")</f>
        <v>42469</v>
      </c>
      <c r="B10" s="581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9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55">
        <f>IF(Import!T16&lt;&gt;"",Import!T16,"")</f>
        <v>42470</v>
      </c>
      <c r="B11" s="581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78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55">
        <f>IF(Import!T17&lt;&gt;"",Import!T17,"")</f>
        <v>42471</v>
      </c>
      <c r="B12" s="581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9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55">
        <f>IF(Import!T18&lt;&gt;"",Import!T18,"")</f>
        <v>42472</v>
      </c>
      <c r="B13" s="581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78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55">
        <f>IF(Import!T19&lt;&gt;"",Import!T19,"")</f>
        <v>42473</v>
      </c>
      <c r="B14" s="581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9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55">
        <f>IF(Import!T20&lt;&gt;"",Import!T20,"")</f>
        <v>42474</v>
      </c>
      <c r="B15" s="581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9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55">
        <f>IF(Import!T21&lt;&gt;"",Import!T21,"")</f>
        <v>42475</v>
      </c>
      <c r="B16" s="581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9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56" t="str">
        <f>IF(Import!T22&lt;&gt;"",Import!T22,"")</f>
        <v/>
      </c>
      <c r="B17" s="581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9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0</v>
      </c>
      <c r="D18" s="154">
        <f t="shared" si="4"/>
        <v>0</v>
      </c>
      <c r="E18" s="155">
        <f t="shared" si="4"/>
        <v>0</v>
      </c>
      <c r="F18" s="156">
        <f t="shared" si="4"/>
        <v>0</v>
      </c>
      <c r="G18" s="157">
        <f t="shared" si="4"/>
        <v>0</v>
      </c>
      <c r="H18" s="135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0</v>
      </c>
      <c r="E19" s="162">
        <f>IFERROR(E18/$C$18,0)</f>
        <v>0</v>
      </c>
      <c r="F19" s="163">
        <f>IFERROR(F18/$C$18,0)</f>
        <v>0</v>
      </c>
      <c r="G19" s="164" t="s">
        <v>35</v>
      </c>
      <c r="H19" s="164">
        <f>IF(H21="RF Lead",$C$21,SUMIF(Total!$X:$X,H1,Total!$B:$B))</f>
        <v>12</v>
      </c>
      <c r="I19" s="165">
        <f>IF(I21="RF Lead",$C$21,SUMIF(Total!$X:$X,I1,Total!$B:$B))</f>
        <v>0</v>
      </c>
      <c r="J19" s="165">
        <f>IF(J21="RF Lead",$C$21,SUMIF(Total!$X:$X,J1,Total!$B:$B))</f>
        <v>0</v>
      </c>
      <c r="K19" s="165">
        <f>IF(K21="RF Lead",$C$21,SUMIF(Total!$X:$X,K1,Total!$B:$B))</f>
        <v>0</v>
      </c>
      <c r="L19" s="165">
        <f>IF(L21="RF Lead",$C$21,SUMIF(Total!$X:$X,L1,Total!$B:$B))</f>
        <v>0</v>
      </c>
      <c r="M19" s="165">
        <f>IF(M21="RF Lead",$C$21,SUMIF(Total!$X:$X,M1,Total!$B:$B))</f>
        <v>0</v>
      </c>
      <c r="N19" s="165">
        <f>IF(N21="RF Lead",$C$21,SUMIF(Total!$X:$X,N1,Total!$B:$B))</f>
        <v>0</v>
      </c>
      <c r="O19" s="165">
        <f>IF(O21="RF Lead",$C$21,SUMIF(Total!$X:$X,O1,Total!$B:$B))</f>
        <v>0</v>
      </c>
      <c r="P19" s="165">
        <f>IF(P21="RF Lead",$C$21,SUMIF(Total!$X:$X,P1,Total!$B:$B))</f>
        <v>0</v>
      </c>
      <c r="Q19" s="165">
        <f>IF(Q21="RF Lead",$C$21,SUMIF(Total!$X:$X,Q1,Total!$B:$B))</f>
        <v>0</v>
      </c>
      <c r="R19" s="165">
        <f>IF(R21="RF Lead",$C$21,SUMIF(Total!$X:$X,R1,Total!$B:$B))</f>
        <v>0</v>
      </c>
      <c r="S19" s="165">
        <f>IF(S21="RF Lead",$C$21,SUMIF(Total!$X:$X,S1,Total!$B:$B))</f>
        <v>0</v>
      </c>
      <c r="T19" s="165">
        <f>IF(T21="RF Lead",$C$21,SUMIF(Total!$X:$X,T1,Total!$B:$B))</f>
        <v>0</v>
      </c>
      <c r="U19" s="165">
        <f>IF(U21="RF Lead",$C$21,SUMIF(Total!$X:$X,U1,Total!$B:$B))</f>
        <v>0</v>
      </c>
      <c r="V19" s="165">
        <f>IF(V21="RF Lead",$C$21,SUMIF(Total!$X:$X,V1,Total!$B:$B))</f>
        <v>0</v>
      </c>
      <c r="W19" s="165">
        <f>IF(W21="RF Lead",$C$21,SUMIF(Total!$X:$X,W1,Total!$B:$B))</f>
        <v>0</v>
      </c>
      <c r="X19" s="165">
        <f>IF(X21="RF Lead",$C$21,SUMIF(Total!$X:$X,X1,Total!$B:$B))</f>
        <v>0</v>
      </c>
      <c r="Y19" s="165">
        <f>IF(Y21="RF Lead",$C$21,SUMIF(Total!$X:$X,Y1,Total!$B:$B))</f>
        <v>0</v>
      </c>
      <c r="Z19" s="165">
        <f>IF(Z21="RF Lead",$C$21,SUMIF(Total!$X:$X,Z1,Total!$B:$B))</f>
        <v>0</v>
      </c>
      <c r="AA19" s="165">
        <f>IF(AA21="RF Lead",$C$21,SUMIF(Total!$X:$X,AA1,Total!$B:$B))</f>
        <v>0</v>
      </c>
      <c r="AB19" s="165">
        <f>IF(AB21="RF Lead",$C$21,SUMIF(Total!$X:$X,AB1,Total!$B:$B))</f>
        <v>0</v>
      </c>
      <c r="AC19" s="165">
        <f>IF(AC21="RF Lead",$C$21,SUMIF(Total!$X:$X,AC1,Total!$B:$B))</f>
        <v>0</v>
      </c>
      <c r="AD19" s="165">
        <f>IF(AD21="RF Lead",$C$21,SUMIF(Total!$X:$X,AD1,Total!$B:$B))</f>
        <v>0</v>
      </c>
      <c r="AE19" s="165">
        <f>IF(AE21="RF Lead",$C$21,SUMIF(Total!$X:$X,AE1,Total!$B:$B))</f>
        <v>0</v>
      </c>
      <c r="AF19" s="165">
        <f>IF(AF21="RF Lead",$C$21,SUMIF(Total!$X:$X,AF1,Total!$B:$B))</f>
        <v>0</v>
      </c>
      <c r="AG19" s="165">
        <f>IF(AG21="RF Lead",$C$21,SUMIF(Total!$X:$X,AG1,Total!$B:$B))</f>
        <v>0</v>
      </c>
      <c r="AH19" s="165">
        <f>IF(AH21="RF Lead",$C$21,SUMIF(Total!$X:$X,AH1,Total!$B:$B))</f>
        <v>0</v>
      </c>
      <c r="AI19" s="165">
        <f>IF(AI21="RF Lead",$C$21,SUMIF(Total!$X:$X,AI1,Total!$B:$B))</f>
        <v>0</v>
      </c>
      <c r="AJ19" s="165">
        <f>IF(AJ21="RF Lead",$C$21,SUMIF(Total!$X:$X,AJ1,Total!$B:$B))</f>
        <v>0</v>
      </c>
      <c r="AK19" s="165">
        <f>IF(AK21="RF Lead",$C$21,SUMIF(Total!$X:$X,AK1,Total!$B:$B))</f>
        <v>0</v>
      </c>
      <c r="AL19" s="165">
        <f>IF(AL21="RF Lead",$C$21,SUMIF(Total!$X:$X,AL1,Total!$B:$B))</f>
        <v>0</v>
      </c>
      <c r="AM19" s="165">
        <f>IF(AM21="RF Lead",$C$21,SUMIF(Total!$X:$X,AM1,Total!$B:$B))</f>
        <v>0</v>
      </c>
      <c r="AN19" s="165">
        <f>IF(AN21="RF Lead",$C$21,SUMIF(Total!$X:$X,AN1,Total!$B:$B))</f>
        <v>0</v>
      </c>
      <c r="AO19" s="166">
        <f>IF(AO21="RF Lead",$C$21,SUMIF(Total!$X:$X,AO1,Total!$B:$B))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83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 t="s">
        <v>97</v>
      </c>
      <c r="M21" s="181" t="s">
        <v>97</v>
      </c>
      <c r="N21" s="181" t="s">
        <v>97</v>
      </c>
      <c r="O21" s="181" t="s">
        <v>97</v>
      </c>
      <c r="P21" s="181" t="s">
        <v>97</v>
      </c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82" t="s">
        <v>98</v>
      </c>
      <c r="D22" s="169"/>
      <c r="G22" s="184" t="s">
        <v>66</v>
      </c>
      <c r="H22" s="185">
        <f>IF(H21="RF Lead",($C$21-SUMIF(Total!$X:$X,H1,Total!$B:$B))*H18,0)</f>
        <v>0</v>
      </c>
      <c r="I22" s="186">
        <f>IF(I21="RF Lead",($C$21-SUMIF(Total!$X:$X,I1,Total!$B:$B))*I18,0)</f>
        <v>0</v>
      </c>
      <c r="J22" s="186">
        <f>IF(J21="RF Lead",($C$21-SUMIF(Total!$X:$X,J1,Total!$B:$B))*J18,0)</f>
        <v>0</v>
      </c>
      <c r="K22" s="186">
        <f>IF(K21="RF Lead",($C$21-SUMIF(Total!$X:$X,K1,Total!$B:$B))*K18,0)</f>
        <v>0</v>
      </c>
      <c r="L22" s="186">
        <f>IF(L21="RF Lead",($C$21-SUMIF(Total!$X:$X,L1,Total!$B:$B))*L18,0)</f>
        <v>0</v>
      </c>
      <c r="M22" s="186">
        <f>IF(M21="RF Lead",($C$21-SUMIF(Total!$X:$X,M1,Total!$B:$B))*M18,0)</f>
        <v>0</v>
      </c>
      <c r="N22" s="186">
        <f>IF(N21="RF Lead",($C$21-SUMIF(Total!$X:$X,N1,Total!$B:$B))*N18,0)</f>
        <v>0</v>
      </c>
      <c r="O22" s="186">
        <f>IF(O21="RF Lead",($C$21-SUMIF(Total!$X:$X,O1,Total!$B:$B))*O18,0)</f>
        <v>0</v>
      </c>
      <c r="P22" s="186">
        <f>IF(P21="RF Lead",($C$21-SUMIF(Total!$X:$X,P1,Total!$B:$B))*P18,0)</f>
        <v>0</v>
      </c>
      <c r="Q22" s="186">
        <f>IF(Q21="RF Lead",($C$21-SUMIF(Total!$X:$X,Q1,Total!$B:$B))*Q18,0)</f>
        <v>0</v>
      </c>
      <c r="R22" s="186">
        <f>IF(R21="RF Lead",($C$21-SUMIF(Total!$X:$X,R1,Total!$B:$B))*R18,0)</f>
        <v>0</v>
      </c>
      <c r="S22" s="186">
        <f>IF(S21="RF Lead",($C$21-SUMIF(Total!$X:$X,S1,Total!$B:$B))*S18,0)</f>
        <v>0</v>
      </c>
      <c r="T22" s="186">
        <f>IF(T21="RF Lead",($C$21-SUMIF(Total!$X:$X,T1,Total!$B:$B))*T18,0)</f>
        <v>0</v>
      </c>
      <c r="U22" s="186">
        <f>IF(U21="RF Lead",($C$21-SUMIF(Total!$X:$X,U1,Total!$B:$B))*U18,0)</f>
        <v>0</v>
      </c>
      <c r="V22" s="186">
        <f>IF(V21="RF Lead",($C$21-SUMIF(Total!$X:$X,V1,Total!$B:$B))*V18,0)</f>
        <v>0</v>
      </c>
      <c r="W22" s="186">
        <f>IF(W21="RF Lead",($C$21-SUMIF(Total!$X:$X,W1,Total!$B:$B))*W18,0)</f>
        <v>0</v>
      </c>
      <c r="X22" s="186">
        <f>IF(X21="RF Lead",($C$21-SUMIF(Total!$X:$X,X1,Total!$B:$B))*X18,0)</f>
        <v>0</v>
      </c>
      <c r="Y22" s="186">
        <f>IF(Y21="RF Lead",($C$21-SUMIF(Total!$X:$X,Y1,Total!$B:$B))*Y18,0)</f>
        <v>0</v>
      </c>
      <c r="Z22" s="186">
        <f>IF(Z21="RF Lead",($C$21-SUMIF(Total!$X:$X,Z1,Total!$B:$B))*Z18,0)</f>
        <v>0</v>
      </c>
      <c r="AA22" s="186">
        <f>IF(AA21="RF Lead",($C$21-SUMIF(Total!$X:$X,AA1,Total!$B:$B))*AA18,0)</f>
        <v>0</v>
      </c>
      <c r="AB22" s="186">
        <f>IF(AB21="RF Lead",($C$21-SUMIF(Total!$X:$X,AB1,Total!$B:$B))*AB18,0)</f>
        <v>0</v>
      </c>
      <c r="AC22" s="186">
        <f>IF(AC21="RF Lead",($C$21-SUMIF(Total!$X:$X,AC1,Total!$B:$B))*AC18,0)</f>
        <v>0</v>
      </c>
      <c r="AD22" s="186">
        <f>IF(AD21="RF Lead",($C$21-SUMIF(Total!$X:$X,AD1,Total!$B:$B))*AD18,0)</f>
        <v>0</v>
      </c>
      <c r="AE22" s="186">
        <f>IF(AE21="RF Lead",($C$21-SUMIF(Total!$X:$X,AE1,Total!$B:$B))*AE18,0)</f>
        <v>0</v>
      </c>
      <c r="AF22" s="186">
        <f>IF(AF21="RF Lead",($C$21-SUMIF(Total!$X:$X,AF1,Total!$B:$B))*AF18,0)</f>
        <v>0</v>
      </c>
      <c r="AG22" s="186">
        <f>IF(AG21="RF Lead",($C$21-SUMIF(Total!$X:$X,AG1,Total!$B:$B))*AG18,0)</f>
        <v>0</v>
      </c>
      <c r="AH22" s="186">
        <f>IF(AH21="RF Lead",($C$21-SUMIF(Total!$X:$X,AH1,Total!$B:$B))*AH18,0)</f>
        <v>0</v>
      </c>
      <c r="AI22" s="186">
        <f>IF(AI21="RF Lead",($C$21-SUMIF(Total!$X:$X,AI1,Total!$B:$B))*AI18,0)</f>
        <v>0</v>
      </c>
      <c r="AJ22" s="186">
        <f>IF(AJ21="RF Lead",($C$21-SUMIF(Total!$X:$X,AJ1,Total!$B:$B))*AJ18,0)</f>
        <v>0</v>
      </c>
      <c r="AK22" s="186">
        <f>IF(AK21="RF Lead",($C$21-SUMIF(Total!$X:$X,AK1,Total!$B:$B))*AK18,0)</f>
        <v>0</v>
      </c>
      <c r="AL22" s="186">
        <f>IF(AL21="RF Lead",($C$21-SUMIF(Total!$X:$X,AL1,Total!$B:$B))*AL18,0)</f>
        <v>0</v>
      </c>
      <c r="AM22" s="186">
        <f>IF(AM21="RF Lead",($C$21-SUMIF(Total!$X:$X,AM1,Total!$B:$B))*AM18,0)</f>
        <v>0</v>
      </c>
      <c r="AN22" s="186">
        <f>IF(AN21="RF Lead",($C$21-SUMIF(Total!$X:$X,AN1,Total!$B:$B))*AN18,0)</f>
        <v>0</v>
      </c>
      <c r="AO22" s="187">
        <f>IF(AO21="RF Lead",($C$21-SUMIF(Total!$X:$X,AO1,Total!$B:$B))*AO18,0)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0</v>
      </c>
      <c r="D25" s="109">
        <f>E18-D18</f>
        <v>0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0</v>
      </c>
      <c r="D26" s="109">
        <f>E18-(1.26*D18)</f>
        <v>0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0</v>
      </c>
      <c r="D27" s="115">
        <f>D26-75</f>
        <v>-75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l1ftZel/AHF8Wm1H7qChK4QD7u73Vf3JKuKC8IWx2OxKXopa/YpVzmgbmak4RDF0hcWUjH1f6v7UghU9Z05IQw==" saltValue="zlFrPTQwhaV9d2fbhkxNfA==" spinCount="100000" sheet="1" objects="1" scenarios="1"/>
  <sortState columnSort="1" ref="H1:AO22">
    <sortCondition ref="H1:AO1"/>
  </sortState>
  <dataConsolidate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6" priority="6" operator="lessThan">
      <formula>0</formula>
    </cfRule>
  </conditionalFormatting>
  <conditionalFormatting sqref="C25:D27">
    <cfRule type="cellIs" dxfId="5" priority="3" operator="lessThan">
      <formula>0</formula>
    </cfRule>
  </conditionalFormatting>
  <conditionalFormatting sqref="H1:AO1">
    <cfRule type="duplicateValues" dxfId="4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4.85546875" style="95" bestFit="1" customWidth="1"/>
    <col min="7" max="7" width="4.85546875" style="233" bestFit="1" customWidth="1"/>
    <col min="8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67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8"/>
      <c r="S1" s="568"/>
      <c r="T1" s="568"/>
      <c r="U1" s="568"/>
      <c r="V1" s="568"/>
      <c r="W1" s="568"/>
      <c r="X1" s="568"/>
      <c r="Y1" s="568"/>
      <c r="Z1" s="569"/>
    </row>
    <row r="2" spans="1:26" s="99" customFormat="1" x14ac:dyDescent="0.2">
      <c r="A2" s="289">
        <f>PayDay1 + 0</f>
        <v>42461</v>
      </c>
      <c r="B2" s="200">
        <f>SUM(F2:Z2)</f>
        <v>0</v>
      </c>
      <c r="C2" s="144">
        <f>B2*12</f>
        <v>0</v>
      </c>
      <c r="D2" s="144">
        <f>C2*0.26</f>
        <v>0</v>
      </c>
      <c r="E2" s="201"/>
      <c r="F2" s="18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1">
        <f>SUMIFS(Import!$G:$G,Import!$A:$A,Z$1,Import!$B:$B,$A2,Import!$C:$C,$A$1)</f>
        <v>0</v>
      </c>
    </row>
    <row r="3" spans="1:26" s="99" customFormat="1" x14ac:dyDescent="0.2">
      <c r="A3" s="289">
        <f>PayDay1 + 1</f>
        <v>42462</v>
      </c>
      <c r="B3" s="200">
        <f t="shared" ref="B3" si="0">SUM(F3:Z3)</f>
        <v>0</v>
      </c>
      <c r="C3" s="144">
        <f t="shared" ref="C3" si="1">B3*12</f>
        <v>0</v>
      </c>
      <c r="D3" s="144">
        <f t="shared" ref="D3" si="2">C3*0.26</f>
        <v>0</v>
      </c>
      <c r="E3" s="201"/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1">
        <f>SUMIFS(Import!$G:$G,Import!$A:$A,Z$1,Import!$B:$B,$A3,Import!$C:$C,$A$1)</f>
        <v>0</v>
      </c>
    </row>
    <row r="4" spans="1:26" s="99" customFormat="1" x14ac:dyDescent="0.2">
      <c r="A4" s="289">
        <f>PayDay1 + 2</f>
        <v>42463</v>
      </c>
      <c r="B4" s="200">
        <f>SUM(F4:Z4)</f>
        <v>0</v>
      </c>
      <c r="C4" s="144">
        <f>B4*12</f>
        <v>0</v>
      </c>
      <c r="D4" s="144">
        <f>C4*0.26</f>
        <v>0</v>
      </c>
      <c r="E4" s="201"/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1">
        <f>SUMIFS(Import!$G:$G,Import!$A:$A,Z$1,Import!$B:$B,$A4,Import!$C:$C,$A$1)</f>
        <v>0</v>
      </c>
    </row>
    <row r="5" spans="1:26" s="99" customFormat="1" x14ac:dyDescent="0.2">
      <c r="A5" s="289">
        <f>PayDay1 + 3</f>
        <v>42464</v>
      </c>
      <c r="B5" s="200">
        <f>SUM(F5:Z5)</f>
        <v>0</v>
      </c>
      <c r="C5" s="144">
        <f>B5*12</f>
        <v>0</v>
      </c>
      <c r="D5" s="144">
        <f>C5*0.26</f>
        <v>0</v>
      </c>
      <c r="E5" s="576"/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1">
        <f>SUMIFS(Import!$G:$G,Import!$A:$A,Z$1,Import!$B:$B,$A5,Import!$C:$C,$A$1)</f>
        <v>0</v>
      </c>
    </row>
    <row r="6" spans="1:26" s="99" customFormat="1" x14ac:dyDescent="0.2">
      <c r="A6" s="289">
        <f>PayDay1 + 4</f>
        <v>42465</v>
      </c>
      <c r="B6" s="200">
        <f>SUM(F6:Z6)</f>
        <v>0</v>
      </c>
      <c r="C6" s="144">
        <f>B6*12</f>
        <v>0</v>
      </c>
      <c r="D6" s="144">
        <f>C6*0.26</f>
        <v>0</v>
      </c>
      <c r="E6" s="576"/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1">
        <f>SUMIFS(Import!$G:$G,Import!$A:$A,Z$1,Import!$B:$B,$A6,Import!$C:$C,$A$1)</f>
        <v>0</v>
      </c>
    </row>
    <row r="7" spans="1:26" s="99" customFormat="1" x14ac:dyDescent="0.2">
      <c r="A7" s="289">
        <f>PayDay1 + 5</f>
        <v>42466</v>
      </c>
      <c r="B7" s="200">
        <f>SUM(F7:Z7)</f>
        <v>0</v>
      </c>
      <c r="C7" s="144">
        <f>B7*12</f>
        <v>0</v>
      </c>
      <c r="D7" s="144">
        <f>C7*0.26</f>
        <v>0</v>
      </c>
      <c r="E7" s="576"/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1">
        <f>SUMIFS(Import!$G:$G,Import!$A:$A,Z$1,Import!$B:$B,$A7,Import!$C:$C,$A$1)</f>
        <v>0</v>
      </c>
    </row>
    <row r="8" spans="1:26" s="99" customFormat="1" x14ac:dyDescent="0.2">
      <c r="A8" s="289">
        <f>PayDay1 + 6</f>
        <v>42467</v>
      </c>
      <c r="B8" s="200">
        <f t="shared" ref="B8:B16" si="3">SUM(F8:Z8)</f>
        <v>0</v>
      </c>
      <c r="C8" s="144">
        <f t="shared" ref="C8:C16" si="4">B8*12</f>
        <v>0</v>
      </c>
      <c r="D8" s="144">
        <f t="shared" ref="D8:D16" si="5">C8*0.26</f>
        <v>0</v>
      </c>
      <c r="E8" s="576"/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1">
        <f>SUMIFS(Import!$G:$G,Import!$A:$A,Z$1,Import!$B:$B,$A8,Import!$C:$C,$A$1)</f>
        <v>0</v>
      </c>
    </row>
    <row r="9" spans="1:26" s="99" customFormat="1" x14ac:dyDescent="0.2">
      <c r="A9" s="289">
        <f>PayDay1 + 7</f>
        <v>42468</v>
      </c>
      <c r="B9" s="200">
        <f t="shared" si="3"/>
        <v>0</v>
      </c>
      <c r="C9" s="144">
        <f t="shared" si="4"/>
        <v>0</v>
      </c>
      <c r="D9" s="144">
        <f t="shared" si="5"/>
        <v>0</v>
      </c>
      <c r="E9" s="576"/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1">
        <f>SUMIFS(Import!$G:$G,Import!$A:$A,Z$1,Import!$B:$B,$A9,Import!$C:$C,$A$1)</f>
        <v>0</v>
      </c>
    </row>
    <row r="10" spans="1:26" s="99" customFormat="1" x14ac:dyDescent="0.2">
      <c r="A10" s="289">
        <f>PayDay1 + 8</f>
        <v>42469</v>
      </c>
      <c r="B10" s="200">
        <f t="shared" si="3"/>
        <v>0</v>
      </c>
      <c r="C10" s="144">
        <f t="shared" si="4"/>
        <v>0</v>
      </c>
      <c r="D10" s="144">
        <f t="shared" si="5"/>
        <v>0</v>
      </c>
      <c r="E10" s="576"/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1">
        <f>SUMIFS(Import!$G:$G,Import!$A:$A,Z$1,Import!$B:$B,$A10,Import!$C:$C,$A$1)</f>
        <v>0</v>
      </c>
    </row>
    <row r="11" spans="1:26" s="99" customFormat="1" x14ac:dyDescent="0.2">
      <c r="A11" s="289">
        <f>PayDay1 + 9</f>
        <v>42470</v>
      </c>
      <c r="B11" s="200">
        <f t="shared" si="3"/>
        <v>0</v>
      </c>
      <c r="C11" s="144">
        <f t="shared" si="4"/>
        <v>0</v>
      </c>
      <c r="D11" s="144">
        <f t="shared" si="5"/>
        <v>0</v>
      </c>
      <c r="E11" s="576"/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1">
        <f>SUMIFS(Import!$G:$G,Import!$A:$A,Z$1,Import!$B:$B,$A11,Import!$C:$C,$A$1)</f>
        <v>0</v>
      </c>
    </row>
    <row r="12" spans="1:26" s="99" customFormat="1" x14ac:dyDescent="0.2">
      <c r="A12" s="289">
        <f>PayDay1 + 10</f>
        <v>42471</v>
      </c>
      <c r="B12" s="200">
        <f t="shared" si="3"/>
        <v>0</v>
      </c>
      <c r="C12" s="144">
        <f t="shared" si="4"/>
        <v>0</v>
      </c>
      <c r="D12" s="144">
        <f t="shared" si="5"/>
        <v>0</v>
      </c>
      <c r="E12" s="576"/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1">
        <f>SUMIFS(Import!$G:$G,Import!$A:$A,Z$1,Import!$B:$B,$A12,Import!$C:$C,$A$1)</f>
        <v>0</v>
      </c>
    </row>
    <row r="13" spans="1:26" s="99" customFormat="1" x14ac:dyDescent="0.2">
      <c r="A13" s="289">
        <f>PayDay1 + 11</f>
        <v>42472</v>
      </c>
      <c r="B13" s="200">
        <f t="shared" si="3"/>
        <v>0</v>
      </c>
      <c r="C13" s="144">
        <f t="shared" si="4"/>
        <v>0</v>
      </c>
      <c r="D13" s="144">
        <f t="shared" si="5"/>
        <v>0</v>
      </c>
      <c r="E13" s="576"/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1">
        <f>SUMIFS(Import!$G:$G,Import!$A:$A,Z$1,Import!$B:$B,$A13,Import!$C:$C,$A$1)</f>
        <v>0</v>
      </c>
    </row>
    <row r="14" spans="1:26" s="99" customFormat="1" x14ac:dyDescent="0.2">
      <c r="A14" s="289">
        <f>PayDay1 + 12</f>
        <v>42473</v>
      </c>
      <c r="B14" s="200">
        <f t="shared" si="3"/>
        <v>0</v>
      </c>
      <c r="C14" s="144">
        <f t="shared" si="4"/>
        <v>0</v>
      </c>
      <c r="D14" s="144">
        <f t="shared" si="5"/>
        <v>0</v>
      </c>
      <c r="E14" s="576"/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1">
        <f>SUMIFS(Import!$G:$G,Import!$A:$A,Z$1,Import!$B:$B,$A14,Import!$C:$C,$A$1)</f>
        <v>0</v>
      </c>
    </row>
    <row r="15" spans="1:26" s="99" customFormat="1" x14ac:dyDescent="0.2">
      <c r="A15" s="289">
        <f>PayDay1 + 13</f>
        <v>42474</v>
      </c>
      <c r="B15" s="200">
        <f t="shared" si="3"/>
        <v>0</v>
      </c>
      <c r="C15" s="144">
        <f t="shared" si="4"/>
        <v>0</v>
      </c>
      <c r="D15" s="144">
        <f t="shared" si="5"/>
        <v>0</v>
      </c>
      <c r="E15" s="576"/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1">
        <f>SUMIFS(Import!$G:$G,Import!$A:$A,Z$1,Import!$B:$B,$A15,Import!$C:$C,$A$1)</f>
        <v>0</v>
      </c>
    </row>
    <row r="16" spans="1:26" s="99" customFormat="1" ht="12" thickBot="1" x14ac:dyDescent="0.25">
      <c r="A16" s="289">
        <f>PayDay1 + 14</f>
        <v>42475</v>
      </c>
      <c r="B16" s="200">
        <f t="shared" si="3"/>
        <v>0</v>
      </c>
      <c r="C16" s="144">
        <f t="shared" si="4"/>
        <v>0</v>
      </c>
      <c r="D16" s="144">
        <f t="shared" si="5"/>
        <v>0</v>
      </c>
      <c r="E16" s="576"/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1">
        <f>SUMIFS(Import!$G:$G,Import!$A:$A,Z$1,Import!$B:$B,$A16,Import!$C:$C,$A$1)</f>
        <v>0</v>
      </c>
    </row>
    <row r="17" spans="1:28" s="208" customFormat="1" ht="12" thickBot="1" x14ac:dyDescent="0.25">
      <c r="A17" s="202" t="s">
        <v>51</v>
      </c>
      <c r="B17" s="203">
        <f>SUM(B2:B16)</f>
        <v>0</v>
      </c>
      <c r="C17" s="204">
        <f>SUM(C2:C16)-C18</f>
        <v>0</v>
      </c>
      <c r="D17" s="204">
        <f>SUM(D2:D16)-D18</f>
        <v>0</v>
      </c>
      <c r="E17" s="205">
        <f t="shared" ref="E17" si="6"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0</v>
      </c>
      <c r="D18" s="12">
        <f>C18*0.26</f>
        <v>0</v>
      </c>
      <c r="E18" s="211" t="s">
        <v>56</v>
      </c>
      <c r="F18" s="12">
        <f>SUM(F2:F16)*(12-F37)</f>
        <v>0</v>
      </c>
      <c r="G18" s="12">
        <f>SUM(G2:G16)*(12-G37)</f>
        <v>0</v>
      </c>
      <c r="H18" s="12">
        <f>SUM(H2:H16)*(12-H37)</f>
        <v>0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/>
      <c r="B19" s="212">
        <f>SUM(F19:Z19)</f>
        <v>0</v>
      </c>
      <c r="C19" s="144">
        <f>B19*12</f>
        <v>0</v>
      </c>
      <c r="D19" s="144">
        <f>C19*0.26</f>
        <v>0</v>
      </c>
      <c r="E19" s="576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/>
      <c r="B20" s="212">
        <f t="shared" ref="B20:B28" si="7">SUM(F20:Z20)</f>
        <v>0</v>
      </c>
      <c r="C20" s="144">
        <f t="shared" ref="C20:C28" si="8">B20*12</f>
        <v>0</v>
      </c>
      <c r="D20" s="144">
        <f t="shared" ref="D20:D28" si="9">C20*0.26</f>
        <v>0</v>
      </c>
      <c r="E20" s="576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/>
      <c r="B21" s="212">
        <f>SUM(F21:Z21)</f>
        <v>0</v>
      </c>
      <c r="C21" s="144">
        <f>B21*12</f>
        <v>0</v>
      </c>
      <c r="D21" s="144">
        <f>C21*0.26</f>
        <v>0</v>
      </c>
      <c r="E21" s="576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/>
      <c r="B22" s="212">
        <f>SUM(F22:Z22)</f>
        <v>0</v>
      </c>
      <c r="C22" s="144">
        <f>B22*12</f>
        <v>0</v>
      </c>
      <c r="D22" s="144">
        <f>C22*0.26</f>
        <v>0</v>
      </c>
      <c r="E22" s="576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/>
      <c r="B23" s="212">
        <f>SUM(F23:Z23)</f>
        <v>0</v>
      </c>
      <c r="C23" s="144">
        <f>B23*12</f>
        <v>0</v>
      </c>
      <c r="D23" s="144">
        <f>C23*0.26</f>
        <v>0</v>
      </c>
      <c r="E23" s="576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/>
      <c r="B24" s="212">
        <f>SUM(F24:Z24)</f>
        <v>0</v>
      </c>
      <c r="C24" s="144">
        <f>B24*12</f>
        <v>0</v>
      </c>
      <c r="D24" s="144">
        <f>C24*0.26</f>
        <v>0</v>
      </c>
      <c r="E24" s="576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/>
      <c r="B25" s="212">
        <f t="shared" si="7"/>
        <v>0</v>
      </c>
      <c r="C25" s="144">
        <f t="shared" si="8"/>
        <v>0</v>
      </c>
      <c r="D25" s="144">
        <f t="shared" si="9"/>
        <v>0</v>
      </c>
      <c r="E25" s="576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/>
      <c r="B26" s="212">
        <f t="shared" si="7"/>
        <v>0</v>
      </c>
      <c r="C26" s="144">
        <f t="shared" si="8"/>
        <v>0</v>
      </c>
      <c r="D26" s="144">
        <f t="shared" si="9"/>
        <v>0</v>
      </c>
      <c r="E26" s="576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/>
      <c r="B27" s="212">
        <f t="shared" si="7"/>
        <v>0</v>
      </c>
      <c r="C27" s="144">
        <f t="shared" si="8"/>
        <v>0</v>
      </c>
      <c r="D27" s="144">
        <f t="shared" si="9"/>
        <v>0</v>
      </c>
      <c r="E27" s="576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/>
      <c r="B28" s="212">
        <f t="shared" si="7"/>
        <v>0</v>
      </c>
      <c r="C28" s="144">
        <f t="shared" si="8"/>
        <v>0</v>
      </c>
      <c r="D28" s="144">
        <f t="shared" si="9"/>
        <v>0</v>
      </c>
      <c r="E28" s="576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/>
      <c r="B29" s="212">
        <f t="shared" ref="B29:B34" si="10">SUM(F29:Z29)</f>
        <v>0</v>
      </c>
      <c r="C29" s="144">
        <f t="shared" ref="C29:C34" si="11">B29*12</f>
        <v>0</v>
      </c>
      <c r="D29" s="144">
        <f t="shared" ref="D29:D34" si="12">C29*0.26</f>
        <v>0</v>
      </c>
      <c r="E29" s="576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/>
      <c r="B30" s="212">
        <f t="shared" si="10"/>
        <v>0</v>
      </c>
      <c r="C30" s="144">
        <f t="shared" si="11"/>
        <v>0</v>
      </c>
      <c r="D30" s="144">
        <f t="shared" si="12"/>
        <v>0</v>
      </c>
      <c r="E30" s="576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/>
      <c r="B31" s="212">
        <f t="shared" si="10"/>
        <v>0</v>
      </c>
      <c r="C31" s="144">
        <f t="shared" si="11"/>
        <v>0</v>
      </c>
      <c r="D31" s="144">
        <f t="shared" si="12"/>
        <v>0</v>
      </c>
      <c r="E31" s="576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/>
      <c r="B32" s="212">
        <f t="shared" si="10"/>
        <v>0</v>
      </c>
      <c r="C32" s="144">
        <f t="shared" si="11"/>
        <v>0</v>
      </c>
      <c r="D32" s="144">
        <f t="shared" si="12"/>
        <v>0</v>
      </c>
      <c r="E32" s="576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/>
      <c r="B33" s="212">
        <f t="shared" si="10"/>
        <v>0</v>
      </c>
      <c r="C33" s="144">
        <f t="shared" si="11"/>
        <v>0</v>
      </c>
      <c r="D33" s="144">
        <f t="shared" si="12"/>
        <v>0</v>
      </c>
      <c r="E33" s="576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/>
      <c r="B34" s="212">
        <f t="shared" si="10"/>
        <v>0</v>
      </c>
      <c r="C34" s="144">
        <f t="shared" si="11"/>
        <v>0</v>
      </c>
      <c r="D34" s="144">
        <f t="shared" si="12"/>
        <v>0</v>
      </c>
      <c r="E34" s="576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 t="shared" ref="E35" si="13">SUM(E19:E34)</f>
        <v>0</v>
      </c>
      <c r="F35" s="102">
        <f>SUM(F19:F34)</f>
        <v>0</v>
      </c>
      <c r="G35" s="102">
        <f>SUM(G19:G34)</f>
        <v>0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>SUM(F19:F34)*(12-F37)</f>
        <v>0</v>
      </c>
      <c r="G36" s="12">
        <f>SUM(G19:G34)*(12-G37)</f>
        <v>0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SUMIF(Total!$X:$X,F1,Total!$B:$B)</f>
        <v>0</v>
      </c>
      <c r="G37" s="194">
        <f>SUMIF(Total!$X:$X,G1,Total!$B:$B)</f>
        <v>0</v>
      </c>
      <c r="H37" s="194">
        <f>SUMIF(Total!$X:$X,H1,Total!$B:$B)</f>
        <v>0</v>
      </c>
      <c r="I37" s="194">
        <f>SUMIF(Total!$X:$X,I1,Total!$B:$B)</f>
        <v>0</v>
      </c>
      <c r="J37" s="194">
        <f>SUMIF(Total!$X:$X,J1,Total!$B:$B)</f>
        <v>0</v>
      </c>
      <c r="K37" s="194">
        <f>SUMIF(Total!$X:$X,K1,Total!$B:$B)</f>
        <v>0</v>
      </c>
      <c r="L37" s="194">
        <f>SUMIF(Total!$X:$X,L1,Total!$B:$B)</f>
        <v>0</v>
      </c>
      <c r="M37" s="194">
        <f>SUMIF(Total!$X:$X,M1,Total!$B:$B)</f>
        <v>0</v>
      </c>
      <c r="N37" s="194">
        <f>SUMIF(Total!$X:$X,N1,Total!$B:$B)</f>
        <v>0</v>
      </c>
      <c r="O37" s="194">
        <f>SUMIF(Total!$X:$X,O1,Total!$B:$B)</f>
        <v>0</v>
      </c>
      <c r="P37" s="194">
        <f>SUMIF(Total!$X:$X,P1,Total!$B:$B)</f>
        <v>0</v>
      </c>
      <c r="Q37" s="194">
        <f>SUMIF(Total!$X:$X,Q1,Total!$B:$B)</f>
        <v>0</v>
      </c>
      <c r="R37" s="194">
        <f>SUMIF(Total!$X:$X,R1,Total!$B:$B)</f>
        <v>0</v>
      </c>
      <c r="S37" s="194">
        <f>SUMIF(Total!$X:$X,S1,Total!$B:$B)</f>
        <v>0</v>
      </c>
      <c r="T37" s="194">
        <f>SUMIF(Total!$X:$X,T1,Total!$B:$B)</f>
        <v>0</v>
      </c>
      <c r="U37" s="194">
        <f>SUMIF(Total!$X:$X,U1,Total!$B:$B)</f>
        <v>0</v>
      </c>
      <c r="V37" s="194">
        <f>SUMIF(Total!$X:$X,V1,Total!$B:$B)</f>
        <v>0</v>
      </c>
      <c r="W37" s="194">
        <f>SUMIF(Total!$X:$X,W1,Total!$B:$B)</f>
        <v>0</v>
      </c>
      <c r="X37" s="194">
        <f>SUMIF(Total!$X:$X,X1,Total!$B:$B)</f>
        <v>0</v>
      </c>
      <c r="Y37" s="194">
        <f>SUMIF(Total!$X:$X,Y1,Total!$B:$B)</f>
        <v>0</v>
      </c>
      <c r="Z37" s="115">
        <f>SUMIF(Total!$X:$X,Z1,Total!$B:$B)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0</v>
      </c>
      <c r="G38" s="174">
        <f>(G35+G17)*G37+G18+G36</f>
        <v>0</v>
      </c>
      <c r="H38" s="174">
        <f>(H35+H17)*H37+H18+H36</f>
        <v>0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0</v>
      </c>
      <c r="C40" s="225">
        <f>E17</f>
        <v>0</v>
      </c>
      <c r="D40" s="225">
        <f>SUM(B40:C40)</f>
        <v>0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53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0</v>
      </c>
      <c r="C42" s="230">
        <f>SUM(C40:C41)</f>
        <v>0</v>
      </c>
      <c r="D42" s="230">
        <f>SUM(B42:C42)</f>
        <v>0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0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0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5fwwL2Dukzd+mh0T2JEqdtl/fAq1DQwpkjGgtLis+vXxx7vDgbHjkj/H4lxlq0BpD4lnRMLZEW+wfVjozrEylA==" saltValue="agXejqQxsBP9ovMxDeKr1A==" spinCount="100000" sheet="1" objects="1" scenarios="1"/>
  <sortState columnSort="1" ref="F1:Z38">
    <sortCondition ref="F1:Z1"/>
  </sortState>
  <dataConsolidate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3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E22" sqref="E22"/>
    </sheetView>
  </sheetViews>
  <sheetFormatPr defaultColWidth="9.140625" defaultRowHeight="11.25" x14ac:dyDescent="0.2"/>
  <cols>
    <col min="1" max="1" width="19.28515625" style="551" bestFit="1" customWidth="1"/>
    <col min="2" max="2" width="7.5703125" style="551" bestFit="1" customWidth="1"/>
    <col min="3" max="3" width="7" style="62" bestFit="1" customWidth="1"/>
    <col min="4" max="4" width="7.7109375" style="548" bestFit="1" customWidth="1"/>
    <col min="5" max="5" width="9.140625" style="549" bestFit="1" customWidth="1"/>
    <col min="6" max="6" width="10.42578125" style="548" bestFit="1" customWidth="1"/>
    <col min="7" max="7" width="10" style="549" bestFit="1" customWidth="1"/>
    <col min="8" max="8" width="5.7109375" style="241" bestFit="1" customWidth="1"/>
    <col min="9" max="16384" width="9.140625" style="241"/>
  </cols>
  <sheetData>
    <row r="1" spans="1:8" s="533" customFormat="1" x14ac:dyDescent="0.2">
      <c r="A1" s="528" t="s">
        <v>65</v>
      </c>
      <c r="B1" s="528" t="s">
        <v>69</v>
      </c>
      <c r="C1" s="529" t="s">
        <v>140</v>
      </c>
      <c r="D1" s="530" t="s">
        <v>141</v>
      </c>
      <c r="E1" s="531" t="s">
        <v>142</v>
      </c>
      <c r="F1" s="532" t="s">
        <v>143</v>
      </c>
      <c r="G1" s="531" t="s">
        <v>63</v>
      </c>
      <c r="H1" s="531" t="s">
        <v>144</v>
      </c>
    </row>
    <row r="2" spans="1:8" x14ac:dyDescent="0.2">
      <c r="A2" s="575">
        <f>PayDay1 + 0</f>
        <v>42461</v>
      </c>
      <c r="B2" s="572"/>
      <c r="C2" s="573"/>
      <c r="D2" s="574"/>
      <c r="E2" s="570"/>
      <c r="F2" s="534">
        <f>SUMIFS(Import!G:G,Import!D:D,"SC Doorman",Import!B:B,A2)</f>
        <v>0</v>
      </c>
      <c r="G2" s="535">
        <f t="shared" ref="G2:G16" si="0">E2+F2*23</f>
        <v>0</v>
      </c>
      <c r="H2" s="570"/>
    </row>
    <row r="3" spans="1:8" x14ac:dyDescent="0.2">
      <c r="A3" s="575">
        <f>PayDay1 + 1</f>
        <v>42462</v>
      </c>
      <c r="B3" s="572"/>
      <c r="C3" s="573"/>
      <c r="D3" s="574"/>
      <c r="E3" s="570"/>
      <c r="F3" s="534">
        <f>SUMIFS(Import!G:G,Import!D:D,"SC Doorman",Import!B:B,A3)</f>
        <v>0</v>
      </c>
      <c r="G3" s="535">
        <f t="shared" si="0"/>
        <v>0</v>
      </c>
      <c r="H3" s="570"/>
    </row>
    <row r="4" spans="1:8" x14ac:dyDescent="0.2">
      <c r="A4" s="575">
        <f>PayDay1 + 2</f>
        <v>42463</v>
      </c>
      <c r="B4" s="572"/>
      <c r="C4" s="573"/>
      <c r="D4" s="574"/>
      <c r="E4" s="570"/>
      <c r="F4" s="534">
        <f>SUMIFS(Import!G:G,Import!D:D,"SC Doorman",Import!B:B,A4)</f>
        <v>0</v>
      </c>
      <c r="G4" s="535">
        <f t="shared" si="0"/>
        <v>0</v>
      </c>
      <c r="H4" s="571"/>
    </row>
    <row r="5" spans="1:8" x14ac:dyDescent="0.2">
      <c r="A5" s="575">
        <f>PayDay1 + 3</f>
        <v>42464</v>
      </c>
      <c r="B5" s="572"/>
      <c r="C5" s="573"/>
      <c r="D5" s="574"/>
      <c r="E5" s="570"/>
      <c r="F5" s="534">
        <f>SUMIFS(Import!G:G,Import!D:D,"SC Doorman",Import!B:B,A5)</f>
        <v>0</v>
      </c>
      <c r="G5" s="535">
        <f t="shared" si="0"/>
        <v>0</v>
      </c>
      <c r="H5" s="570"/>
    </row>
    <row r="6" spans="1:8" x14ac:dyDescent="0.2">
      <c r="A6" s="575">
        <f>PayDay1 + 4</f>
        <v>42465</v>
      </c>
      <c r="B6" s="572"/>
      <c r="C6" s="573"/>
      <c r="D6" s="574"/>
      <c r="E6" s="570"/>
      <c r="F6" s="534">
        <f>SUMIFS(Import!G:G,Import!D:D,"SC Doorman",Import!B:B,A6)</f>
        <v>0</v>
      </c>
      <c r="G6" s="535">
        <f t="shared" si="0"/>
        <v>0</v>
      </c>
      <c r="H6" s="570"/>
    </row>
    <row r="7" spans="1:8" x14ac:dyDescent="0.2">
      <c r="A7" s="575">
        <f>PayDay1 + 5</f>
        <v>42466</v>
      </c>
      <c r="B7" s="572"/>
      <c r="C7" s="573"/>
      <c r="D7" s="574"/>
      <c r="E7" s="570"/>
      <c r="F7" s="534">
        <f>SUMIFS(Import!G:G,Import!D:D,"SC Doorman",Import!B:B,A7)</f>
        <v>0</v>
      </c>
      <c r="G7" s="535">
        <f t="shared" si="0"/>
        <v>0</v>
      </c>
      <c r="H7" s="570"/>
    </row>
    <row r="8" spans="1:8" x14ac:dyDescent="0.2">
      <c r="A8" s="575">
        <f>PayDay1 + 6</f>
        <v>42467</v>
      </c>
      <c r="B8" s="572"/>
      <c r="C8" s="573"/>
      <c r="D8" s="574"/>
      <c r="E8" s="570"/>
      <c r="F8" s="534">
        <f>SUMIFS(Import!G:G,Import!D:D,"SC Doorman",Import!B:B,A8)</f>
        <v>0</v>
      </c>
      <c r="G8" s="535">
        <f t="shared" si="0"/>
        <v>0</v>
      </c>
      <c r="H8" s="570"/>
    </row>
    <row r="9" spans="1:8" x14ac:dyDescent="0.2">
      <c r="A9" s="575">
        <f>PayDay1 + 7</f>
        <v>42468</v>
      </c>
      <c r="B9" s="572"/>
      <c r="C9" s="573"/>
      <c r="D9" s="574"/>
      <c r="E9" s="570"/>
      <c r="F9" s="534">
        <f>SUMIFS(Import!G:G,Import!D:D,"SC Doorman",Import!B:B,A9)</f>
        <v>0</v>
      </c>
      <c r="G9" s="535">
        <f t="shared" si="0"/>
        <v>0</v>
      </c>
      <c r="H9" s="570"/>
    </row>
    <row r="10" spans="1:8" x14ac:dyDescent="0.2">
      <c r="A10" s="575">
        <f>PayDay1 + 8</f>
        <v>42469</v>
      </c>
      <c r="B10" s="572"/>
      <c r="C10" s="573"/>
      <c r="D10" s="574"/>
      <c r="E10" s="570"/>
      <c r="F10" s="534">
        <f>SUMIFS(Import!G:G,Import!D:D,"SC Doorman",Import!B:B,A10)</f>
        <v>0</v>
      </c>
      <c r="G10" s="535">
        <f t="shared" si="0"/>
        <v>0</v>
      </c>
      <c r="H10" s="570"/>
    </row>
    <row r="11" spans="1:8" x14ac:dyDescent="0.2">
      <c r="A11" s="575">
        <f>PayDay1 + 9</f>
        <v>42470</v>
      </c>
      <c r="B11" s="572"/>
      <c r="C11" s="573"/>
      <c r="D11" s="574"/>
      <c r="E11" s="570"/>
      <c r="F11" s="534">
        <f>SUMIFS(Import!G:G,Import!D:D,"SC Doorman",Import!B:B,A11)</f>
        <v>0</v>
      </c>
      <c r="G11" s="535">
        <f t="shared" si="0"/>
        <v>0</v>
      </c>
      <c r="H11" s="570"/>
    </row>
    <row r="12" spans="1:8" x14ac:dyDescent="0.2">
      <c r="A12" s="575">
        <f>PayDay1 + 10</f>
        <v>42471</v>
      </c>
      <c r="B12" s="572"/>
      <c r="C12" s="573"/>
      <c r="D12" s="574"/>
      <c r="E12" s="570"/>
      <c r="F12" s="534">
        <f>SUMIFS(Import!G:G,Import!D:D,"SC Doorman",Import!B:B,A12)</f>
        <v>0</v>
      </c>
      <c r="G12" s="535">
        <f t="shared" si="0"/>
        <v>0</v>
      </c>
      <c r="H12" s="570"/>
    </row>
    <row r="13" spans="1:8" x14ac:dyDescent="0.2">
      <c r="A13" s="575">
        <f>PayDay1 + 11</f>
        <v>42472</v>
      </c>
      <c r="B13" s="572"/>
      <c r="C13" s="573"/>
      <c r="D13" s="574"/>
      <c r="E13" s="570"/>
      <c r="F13" s="534">
        <f>SUMIFS(Import!G:G,Import!D:D,"SC Doorman",Import!B:B,A13)</f>
        <v>0</v>
      </c>
      <c r="G13" s="535">
        <f t="shared" si="0"/>
        <v>0</v>
      </c>
      <c r="H13" s="570"/>
    </row>
    <row r="14" spans="1:8" x14ac:dyDescent="0.2">
      <c r="A14" s="575">
        <f>PayDay1 + 12</f>
        <v>42473</v>
      </c>
      <c r="B14" s="572"/>
      <c r="C14" s="573"/>
      <c r="D14" s="574"/>
      <c r="E14" s="570"/>
      <c r="F14" s="534">
        <f>SUMIFS(Import!G:G,Import!D:D,"SC Doorman",Import!B:B,A14)</f>
        <v>0</v>
      </c>
      <c r="G14" s="535">
        <f t="shared" si="0"/>
        <v>0</v>
      </c>
      <c r="H14" s="570"/>
    </row>
    <row r="15" spans="1:8" x14ac:dyDescent="0.2">
      <c r="A15" s="575">
        <f>PayDay1 + 13</f>
        <v>42474</v>
      </c>
      <c r="B15" s="572"/>
      <c r="C15" s="573"/>
      <c r="D15" s="574"/>
      <c r="E15" s="570"/>
      <c r="F15" s="534">
        <f>SUMIFS(Import!G:G,Import!D:D,"SC Doorman",Import!B:B,A15)</f>
        <v>0</v>
      </c>
      <c r="G15" s="535">
        <f t="shared" si="0"/>
        <v>0</v>
      </c>
      <c r="H15" s="570"/>
    </row>
    <row r="16" spans="1:8" ht="12" thickBot="1" x14ac:dyDescent="0.25">
      <c r="A16" s="575">
        <f>PayDay1 + 14</f>
        <v>42475</v>
      </c>
      <c r="B16" s="572"/>
      <c r="C16" s="573"/>
      <c r="D16" s="574"/>
      <c r="E16" s="570"/>
      <c r="F16" s="534">
        <f>SUMIFS(Import!G:G,Import!D:D,"SC Doorman",Import!B:B,A16)</f>
        <v>0</v>
      </c>
      <c r="G16" s="535">
        <f t="shared" si="0"/>
        <v>0</v>
      </c>
      <c r="H16" s="570"/>
    </row>
    <row r="17" spans="1:10" ht="12" thickBot="1" x14ac:dyDescent="0.25">
      <c r="A17" s="536" t="s">
        <v>145</v>
      </c>
      <c r="B17" s="537"/>
      <c r="C17" s="537"/>
      <c r="D17" s="538">
        <f>SUM(D2:D16)</f>
        <v>0</v>
      </c>
      <c r="E17" s="539">
        <f>SUM(E2:E16)</f>
        <v>0</v>
      </c>
      <c r="F17" s="540">
        <f>SUM(F2:F16)</f>
        <v>0</v>
      </c>
      <c r="G17" s="539">
        <f>SUM(G2:G16)</f>
        <v>0</v>
      </c>
      <c r="H17" s="541"/>
    </row>
    <row r="18" spans="1:10" x14ac:dyDescent="0.2">
      <c r="A18" s="575"/>
      <c r="B18" s="572"/>
      <c r="C18" s="573"/>
      <c r="D18" s="574"/>
      <c r="E18" s="570"/>
      <c r="F18" s="534">
        <f>SUMIFS(Import!G:G,Import!D:D,"SC Doorman",Import!B:B,A18)</f>
        <v>0</v>
      </c>
      <c r="G18" s="535">
        <f t="shared" ref="G18:G32" si="1">E18+F18*23</f>
        <v>0</v>
      </c>
      <c r="H18" s="570"/>
    </row>
    <row r="19" spans="1:10" x14ac:dyDescent="0.2">
      <c r="A19" s="575"/>
      <c r="B19" s="572"/>
      <c r="C19" s="573"/>
      <c r="D19" s="574"/>
      <c r="E19" s="570"/>
      <c r="F19" s="534">
        <f>SUMIFS(Import!G:G,Import!D:D,"SC Doorman",Import!B:B,A19)</f>
        <v>0</v>
      </c>
      <c r="G19" s="535">
        <f t="shared" si="1"/>
        <v>0</v>
      </c>
      <c r="H19" s="570"/>
    </row>
    <row r="20" spans="1:10" x14ac:dyDescent="0.2">
      <c r="A20" s="575"/>
      <c r="B20" s="572"/>
      <c r="C20" s="573"/>
      <c r="D20" s="574"/>
      <c r="E20" s="570"/>
      <c r="F20" s="534">
        <f>SUMIFS(Import!G:G,Import!D:D,"SC Doorman",Import!B:B,A20)</f>
        <v>0</v>
      </c>
      <c r="G20" s="535">
        <f t="shared" si="1"/>
        <v>0</v>
      </c>
      <c r="H20" s="570"/>
    </row>
    <row r="21" spans="1:10" x14ac:dyDescent="0.2">
      <c r="A21" s="575"/>
      <c r="B21" s="572"/>
      <c r="C21" s="573"/>
      <c r="D21" s="574"/>
      <c r="E21" s="570"/>
      <c r="F21" s="534">
        <f>SUMIFS(Import!G:G,Import!D:D,"SC Doorman",Import!B:B,A21)</f>
        <v>0</v>
      </c>
      <c r="G21" s="535">
        <f t="shared" si="1"/>
        <v>0</v>
      </c>
      <c r="H21" s="570"/>
    </row>
    <row r="22" spans="1:10" x14ac:dyDescent="0.2">
      <c r="A22" s="575"/>
      <c r="B22" s="572"/>
      <c r="C22" s="573"/>
      <c r="D22" s="574"/>
      <c r="E22" s="570"/>
      <c r="F22" s="534">
        <f>SUMIFS(Import!G:G,Import!D:D,"SC Doorman",Import!B:B,A22)</f>
        <v>0</v>
      </c>
      <c r="G22" s="535">
        <f t="shared" si="1"/>
        <v>0</v>
      </c>
      <c r="H22" s="570"/>
    </row>
    <row r="23" spans="1:10" x14ac:dyDescent="0.2">
      <c r="A23" s="575"/>
      <c r="B23" s="572"/>
      <c r="C23" s="573"/>
      <c r="D23" s="574"/>
      <c r="E23" s="570"/>
      <c r="F23" s="534">
        <f>SUMIFS(Import!G:G,Import!D:D,"SC Doorman",Import!B:B,A23)</f>
        <v>0</v>
      </c>
      <c r="G23" s="535">
        <f t="shared" si="1"/>
        <v>0</v>
      </c>
      <c r="H23" s="570"/>
    </row>
    <row r="24" spans="1:10" x14ac:dyDescent="0.2">
      <c r="A24" s="575"/>
      <c r="B24" s="572"/>
      <c r="C24" s="573"/>
      <c r="D24" s="574"/>
      <c r="E24" s="570"/>
      <c r="F24" s="534">
        <f>SUMIFS(Import!G:G,Import!D:D,"SC Doorman",Import!B:B,A24)</f>
        <v>0</v>
      </c>
      <c r="G24" s="535">
        <f t="shared" si="1"/>
        <v>0</v>
      </c>
      <c r="H24" s="570"/>
    </row>
    <row r="25" spans="1:10" x14ac:dyDescent="0.2">
      <c r="A25" s="575"/>
      <c r="B25" s="572"/>
      <c r="C25" s="573"/>
      <c r="D25" s="574"/>
      <c r="E25" s="570"/>
      <c r="F25" s="534">
        <f>SUMIFS(Import!G:G,Import!D:D,"SC Doorman",Import!B:B,A25)</f>
        <v>0</v>
      </c>
      <c r="G25" s="535">
        <f t="shared" si="1"/>
        <v>0</v>
      </c>
      <c r="H25" s="570"/>
    </row>
    <row r="26" spans="1:10" x14ac:dyDescent="0.2">
      <c r="A26" s="575"/>
      <c r="B26" s="572"/>
      <c r="C26" s="573"/>
      <c r="D26" s="574"/>
      <c r="E26" s="570"/>
      <c r="F26" s="534">
        <f>SUMIFS(Import!G:G,Import!D:D,"SC Doorman",Import!B:B,A26)</f>
        <v>0</v>
      </c>
      <c r="G26" s="535">
        <f t="shared" si="1"/>
        <v>0</v>
      </c>
      <c r="H26" s="570"/>
    </row>
    <row r="27" spans="1:10" x14ac:dyDescent="0.2">
      <c r="A27" s="575"/>
      <c r="B27" s="572"/>
      <c r="C27" s="573"/>
      <c r="D27" s="574"/>
      <c r="E27" s="570"/>
      <c r="F27" s="534">
        <f>SUMIFS(Import!G:G,Import!D:D,"SC Doorman",Import!B:B,A27)</f>
        <v>0</v>
      </c>
      <c r="G27" s="535">
        <f t="shared" si="1"/>
        <v>0</v>
      </c>
      <c r="H27" s="570"/>
    </row>
    <row r="28" spans="1:10" x14ac:dyDescent="0.2">
      <c r="A28" s="575"/>
      <c r="B28" s="572"/>
      <c r="C28" s="573"/>
      <c r="D28" s="574"/>
      <c r="E28" s="570"/>
      <c r="F28" s="534">
        <f>SUMIFS(Import!G:G,Import!D:D,"SC Doorman",Import!B:B,A28)</f>
        <v>0</v>
      </c>
      <c r="G28" s="535">
        <f t="shared" si="1"/>
        <v>0</v>
      </c>
      <c r="H28" s="570"/>
    </row>
    <row r="29" spans="1:10" x14ac:dyDescent="0.2">
      <c r="A29" s="575"/>
      <c r="B29" s="572"/>
      <c r="C29" s="573"/>
      <c r="D29" s="574"/>
      <c r="E29" s="570"/>
      <c r="F29" s="534">
        <f>SUMIFS(Import!G:G,Import!D:D,"SC Doorman",Import!B:B,A29)</f>
        <v>0</v>
      </c>
      <c r="G29" s="535">
        <f t="shared" si="1"/>
        <v>0</v>
      </c>
      <c r="H29" s="570"/>
      <c r="J29" s="542"/>
    </row>
    <row r="30" spans="1:10" x14ac:dyDescent="0.2">
      <c r="A30" s="575"/>
      <c r="B30" s="572"/>
      <c r="C30" s="573"/>
      <c r="D30" s="574"/>
      <c r="E30" s="570"/>
      <c r="F30" s="534">
        <f>SUMIFS(Import!G:G,Import!D:D,"SC Doorman",Import!B:B,A30)</f>
        <v>0</v>
      </c>
      <c r="G30" s="535">
        <f t="shared" si="1"/>
        <v>0</v>
      </c>
      <c r="H30" s="570"/>
    </row>
    <row r="31" spans="1:10" x14ac:dyDescent="0.2">
      <c r="A31" s="575"/>
      <c r="B31" s="572"/>
      <c r="C31" s="573"/>
      <c r="D31" s="574"/>
      <c r="E31" s="570"/>
      <c r="F31" s="534">
        <f>SUMIFS(Import!G:G,Import!D:D,"SC Doorman",Import!B:B,A31)</f>
        <v>0</v>
      </c>
      <c r="G31" s="535">
        <f t="shared" si="1"/>
        <v>0</v>
      </c>
      <c r="H31" s="570"/>
    </row>
    <row r="32" spans="1:10" x14ac:dyDescent="0.2">
      <c r="A32" s="575"/>
      <c r="B32" s="572"/>
      <c r="C32" s="573"/>
      <c r="D32" s="574"/>
      <c r="E32" s="570"/>
      <c r="F32" s="534">
        <f>SUMIFS(Import!G:G,Import!D:D,"SC Doorman",Import!B:B,A32)</f>
        <v>0</v>
      </c>
      <c r="G32" s="535">
        <f t="shared" si="1"/>
        <v>0</v>
      </c>
      <c r="H32" s="570"/>
    </row>
    <row r="33" spans="1:8" ht="12" thickBot="1" x14ac:dyDescent="0.25">
      <c r="A33" s="575"/>
      <c r="B33" s="572"/>
      <c r="C33" s="573"/>
      <c r="D33" s="574"/>
      <c r="E33" s="570"/>
      <c r="F33" s="534">
        <f>SUMIFS(Import!G:G,Import!D:D,"SC Doorman",Import!B:B,A33)</f>
        <v>0</v>
      </c>
      <c r="G33" s="535">
        <f t="shared" ref="G33" si="2">E33+F33*23</f>
        <v>0</v>
      </c>
      <c r="H33" s="570"/>
    </row>
    <row r="34" spans="1:8" ht="12" thickBot="1" x14ac:dyDescent="0.25">
      <c r="A34" s="536" t="s">
        <v>145</v>
      </c>
      <c r="B34" s="537"/>
      <c r="C34" s="537"/>
      <c r="D34" s="538">
        <f>SUM(D18:D33)</f>
        <v>0</v>
      </c>
      <c r="E34" s="539">
        <f>SUM(E18:E33)</f>
        <v>0</v>
      </c>
      <c r="F34" s="540">
        <f>SUM(F18:F33)</f>
        <v>0</v>
      </c>
      <c r="G34" s="539">
        <f>SUM(G18:G33)</f>
        <v>0</v>
      </c>
      <c r="H34" s="541"/>
    </row>
    <row r="35" spans="1:8" ht="12" thickBot="1" x14ac:dyDescent="0.25">
      <c r="A35" s="543" t="s">
        <v>146</v>
      </c>
      <c r="B35" s="537"/>
      <c r="C35" s="537"/>
      <c r="D35" s="544">
        <f>D17+D34</f>
        <v>0</v>
      </c>
      <c r="E35" s="545">
        <f>E17+E34</f>
        <v>0</v>
      </c>
      <c r="F35" s="546">
        <f>F17+F34</f>
        <v>0</v>
      </c>
      <c r="G35" s="545">
        <f>G17+G34</f>
        <v>0</v>
      </c>
      <c r="H35" s="547"/>
    </row>
    <row r="37" spans="1:8" x14ac:dyDescent="0.2">
      <c r="A37" s="548"/>
      <c r="B37" s="549"/>
      <c r="C37" s="241"/>
      <c r="D37" s="241"/>
      <c r="E37" s="550"/>
      <c r="F37" s="241"/>
      <c r="G37" s="550"/>
    </row>
    <row r="38" spans="1:8" x14ac:dyDescent="0.2">
      <c r="A38" s="548"/>
      <c r="B38" s="549"/>
      <c r="C38" s="241"/>
      <c r="D38" s="241"/>
      <c r="E38" s="550"/>
      <c r="F38" s="241"/>
      <c r="G38" s="550"/>
    </row>
    <row r="39" spans="1:8" x14ac:dyDescent="0.2">
      <c r="A39" s="548"/>
      <c r="B39" s="549"/>
      <c r="C39" s="241"/>
      <c r="D39" s="241"/>
      <c r="E39" s="550"/>
      <c r="F39" s="241"/>
      <c r="G39" s="550"/>
    </row>
  </sheetData>
  <sheetProtection algorithmName="SHA-512" hashValue="UAFofuFb3pVeBVKzF4giwKUdLDgGu71u3cTICA2ik7ryi/CheaSkeTYliogqKQYv9789x1PYG834m+bTGfvypg==" saltValue="MdreQqxuPaP5nvZ5XBol8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2:B16 B18:B33">
      <formula1>EmployeeList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37" width="4.85546875" style="241" bestFit="1" customWidth="1"/>
    <col min="38" max="16384" width="9.140625" style="241"/>
  </cols>
  <sheetData>
    <row r="1" spans="1:37" ht="12" thickBot="1" x14ac:dyDescent="0.25">
      <c r="A1" s="291" t="s">
        <v>125</v>
      </c>
      <c r="B1" s="292" t="s">
        <v>75</v>
      </c>
      <c r="C1" s="292" t="s">
        <v>40</v>
      </c>
      <c r="D1" s="566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564"/>
      <c r="Q1" s="564"/>
      <c r="R1" s="564"/>
      <c r="S1" s="564"/>
      <c r="T1" s="564"/>
      <c r="U1" s="564"/>
      <c r="V1" s="564"/>
      <c r="W1" s="564"/>
      <c r="X1" s="564"/>
      <c r="Y1" s="564"/>
      <c r="Z1" s="564"/>
      <c r="AA1" s="564"/>
      <c r="AB1" s="564"/>
      <c r="AC1" s="564"/>
      <c r="AD1" s="564"/>
      <c r="AE1" s="564"/>
      <c r="AF1" s="568"/>
      <c r="AG1" s="568"/>
      <c r="AH1" s="568"/>
      <c r="AI1" s="568"/>
      <c r="AJ1" s="568"/>
      <c r="AK1" s="569"/>
    </row>
    <row r="2" spans="1:37" x14ac:dyDescent="0.2">
      <c r="A2" s="290">
        <f>IF(Import!T7&lt;&gt;"",Import!T7,"")</f>
        <v>42461</v>
      </c>
      <c r="B2" s="293">
        <f>SUMPRODUCT(D2:AK2,$D$19:$AK$19)</f>
        <v>0</v>
      </c>
      <c r="C2" s="552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IF(Import!T8&lt;&gt;"",Import!T8,"")</f>
        <v>42462</v>
      </c>
      <c r="B3" s="293">
        <f t="shared" ref="B3:B17" si="1">SUMPRODUCT(D3:AK3,$D$19:$AK$19)</f>
        <v>0</v>
      </c>
      <c r="C3" s="552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IF(Import!T9&lt;&gt;"",Import!T9,"")</f>
        <v>42463</v>
      </c>
      <c r="B4" s="293">
        <f t="shared" si="1"/>
        <v>0</v>
      </c>
      <c r="C4" s="552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IF(Import!T10&lt;&gt;"",Import!T10,"")</f>
        <v>42464</v>
      </c>
      <c r="B5" s="293">
        <f t="shared" si="1"/>
        <v>0</v>
      </c>
      <c r="C5" s="552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IF(Import!T11&lt;&gt;"",Import!T11,"")</f>
        <v>42465</v>
      </c>
      <c r="B6" s="293">
        <f t="shared" si="1"/>
        <v>0</v>
      </c>
      <c r="C6" s="552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IF(Import!T12&lt;&gt;"",Import!T12,"")</f>
        <v>42466</v>
      </c>
      <c r="B7" s="293">
        <f t="shared" si="1"/>
        <v>0</v>
      </c>
      <c r="C7" s="552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IF(Import!T13&lt;&gt;"",Import!T13,"")</f>
        <v>42467</v>
      </c>
      <c r="B8" s="293">
        <f t="shared" si="1"/>
        <v>0</v>
      </c>
      <c r="C8" s="552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IF(Import!T14&lt;&gt;"",Import!T14,"")</f>
        <v>42468</v>
      </c>
      <c r="B9" s="293">
        <f t="shared" si="1"/>
        <v>0</v>
      </c>
      <c r="C9" s="552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IF(Import!T15&lt;&gt;"",Import!T15,"")</f>
        <v>42469</v>
      </c>
      <c r="B10" s="293">
        <f t="shared" si="1"/>
        <v>0</v>
      </c>
      <c r="C10" s="552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IF(Import!T16&lt;&gt;"",Import!T16,"")</f>
        <v>42470</v>
      </c>
      <c r="B11" s="293">
        <f t="shared" si="1"/>
        <v>0</v>
      </c>
      <c r="C11" s="552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IF(Import!T17&lt;&gt;"",Import!T17,"")</f>
        <v>42471</v>
      </c>
      <c r="B12" s="293">
        <f t="shared" si="1"/>
        <v>0</v>
      </c>
      <c r="C12" s="552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IF(Import!T18&lt;&gt;"",Import!T18,"")</f>
        <v>42472</v>
      </c>
      <c r="B13" s="293">
        <f t="shared" si="1"/>
        <v>0</v>
      </c>
      <c r="C13" s="552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IF(Import!T19&lt;&gt;"",Import!T19,"")</f>
        <v>42473</v>
      </c>
      <c r="B14" s="293">
        <f t="shared" si="1"/>
        <v>0</v>
      </c>
      <c r="C14" s="552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IF(Import!T20&lt;&gt;"",Import!T20,"")</f>
        <v>42474</v>
      </c>
      <c r="B15" s="293">
        <f t="shared" si="1"/>
        <v>0</v>
      </c>
      <c r="C15" s="552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IF(Import!T21&lt;&gt;"",Import!T21,"")</f>
        <v>42475</v>
      </c>
      <c r="B16" s="293">
        <f t="shared" si="1"/>
        <v>0</v>
      </c>
      <c r="C16" s="552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IF(Import!T22&lt;&gt;"",Import!T22,"")</f>
        <v/>
      </c>
      <c r="B17" s="293">
        <f t="shared" si="1"/>
        <v>0</v>
      </c>
      <c r="C17" s="552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0</v>
      </c>
      <c r="C18" s="294">
        <f t="shared" si="2"/>
        <v>0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SUMIF(Total!$X:$X,D1,Total!$B:$B)</f>
        <v>0</v>
      </c>
      <c r="E19" s="165">
        <f>SUMIF(Total!$X:$X,E1,Total!$B:$B)</f>
        <v>0</v>
      </c>
      <c r="F19" s="165">
        <f>SUMIF(Total!$X:$X,F1,Total!$B:$B)</f>
        <v>0</v>
      </c>
      <c r="G19" s="165">
        <f>SUMIF(Total!$X:$X,G1,Total!$B:$B)</f>
        <v>0</v>
      </c>
      <c r="H19" s="165">
        <f>SUMIF(Total!$X:$X,H1,Total!$B:$B)</f>
        <v>0</v>
      </c>
      <c r="I19" s="165">
        <f>SUMIF(Total!$X:$X,I1,Total!$B:$B)</f>
        <v>0</v>
      </c>
      <c r="J19" s="165">
        <f>SUMIF(Total!$X:$X,J1,Total!$B:$B)</f>
        <v>0</v>
      </c>
      <c r="K19" s="165">
        <f>SUMIF(Total!$X:$X,K1,Total!$B:$B)</f>
        <v>0</v>
      </c>
      <c r="L19" s="165">
        <f>SUMIF(Total!$X:$X,L1,Total!$B:$B)</f>
        <v>0</v>
      </c>
      <c r="M19" s="165">
        <f>SUMIF(Total!$X:$X,M1,Total!$B:$B)</f>
        <v>0</v>
      </c>
      <c r="N19" s="165">
        <f>SUMIF(Total!$X:$X,N1,Total!$B:$B)</f>
        <v>0</v>
      </c>
      <c r="O19" s="165">
        <f>SUMIF(Total!$X:$X,O1,Total!$B:$B)</f>
        <v>0</v>
      </c>
      <c r="P19" s="165">
        <f>SUMIF(Total!$X:$X,P1,Total!$B:$B)</f>
        <v>0</v>
      </c>
      <c r="Q19" s="165">
        <f>SUMIF(Total!$X:$X,Q1,Total!$B:$B)</f>
        <v>0</v>
      </c>
      <c r="R19" s="165">
        <f>SUMIF(Total!$X:$X,R1,Total!$B:$B)</f>
        <v>0</v>
      </c>
      <c r="S19" s="165">
        <f>SUMIF(Total!$X:$X,S1,Total!$B:$B)</f>
        <v>0</v>
      </c>
      <c r="T19" s="165">
        <f>SUMIF(Total!$X:$X,T1,Total!$B:$B)</f>
        <v>0</v>
      </c>
      <c r="U19" s="165">
        <f>SUMIF(Total!$X:$X,U1,Total!$B:$B)</f>
        <v>0</v>
      </c>
      <c r="V19" s="165">
        <f>SUMIF(Total!$X:$X,V1,Total!$B:$B)</f>
        <v>0</v>
      </c>
      <c r="W19" s="165">
        <f>SUMIF(Total!$X:$X,W1,Total!$B:$B)</f>
        <v>0</v>
      </c>
      <c r="X19" s="165">
        <f>SUMIF(Total!$X:$X,X1,Total!$B:$B)</f>
        <v>0</v>
      </c>
      <c r="Y19" s="165">
        <f>SUMIF(Total!$X:$X,Y1,Total!$B:$B)</f>
        <v>0</v>
      </c>
      <c r="Z19" s="165">
        <f>SUMIF(Total!$X:$X,Z1,Total!$B:$B)</f>
        <v>0</v>
      </c>
      <c r="AA19" s="165">
        <f>SUMIF(Total!$X:$X,AA1,Total!$B:$B)</f>
        <v>0</v>
      </c>
      <c r="AB19" s="165">
        <f>SUMIF(Total!$X:$X,AB1,Total!$B:$B)</f>
        <v>0</v>
      </c>
      <c r="AC19" s="165">
        <f>SUMIF(Total!$X:$X,AC1,Total!$B:$B)</f>
        <v>0</v>
      </c>
      <c r="AD19" s="165">
        <f>SUMIF(Total!$X:$X,AD1,Total!$B:$B)</f>
        <v>0</v>
      </c>
      <c r="AE19" s="165">
        <f>SUMIF(Total!$X:$X,AE1,Total!$B:$B)</f>
        <v>0</v>
      </c>
      <c r="AF19" s="165">
        <f>SUMIF(Total!$X:$X,AF1,Total!$B:$B)</f>
        <v>0</v>
      </c>
      <c r="AG19" s="165">
        <f>SUMIF(Total!$X:$X,AG1,Total!$B:$B)</f>
        <v>0</v>
      </c>
      <c r="AH19" s="165">
        <f>SUMIF(Total!$X:$X,AH1,Total!$B:$B)</f>
        <v>0</v>
      </c>
      <c r="AI19" s="165">
        <f>SUMIF(Total!$X:$X,AI1,Total!$B:$B)</f>
        <v>0</v>
      </c>
      <c r="AJ19" s="165">
        <f>SUMIF(Total!$X:$X,AJ1,Total!$B:$B)</f>
        <v>0</v>
      </c>
      <c r="AK19" s="166">
        <f>SUMIF(Total!$X:$X,AK1,Total!$B:$B)</f>
        <v>0</v>
      </c>
    </row>
    <row r="20" spans="1:37" ht="12" thickBot="1" x14ac:dyDescent="0.25">
      <c r="C20" s="240" t="s">
        <v>42</v>
      </c>
      <c r="D20" s="173">
        <f>D18*D19</f>
        <v>0</v>
      </c>
      <c r="E20" s="174">
        <f>E18*E19</f>
        <v>0</v>
      </c>
      <c r="F20" s="174">
        <f>F18*F19</f>
        <v>0</v>
      </c>
      <c r="G20" s="174">
        <f>G18*G19</f>
        <v>0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0</v>
      </c>
    </row>
    <row r="22" spans="1:37" ht="12" thickBot="1" x14ac:dyDescent="0.25">
      <c r="A22" s="297" t="s">
        <v>18</v>
      </c>
      <c r="B22" s="298">
        <f>B18+B21</f>
        <v>0</v>
      </c>
    </row>
    <row r="23" spans="1:37" x14ac:dyDescent="0.2">
      <c r="A23" s="467"/>
      <c r="H23" s="481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QeWSNq4UFMUC3SIoKYf4ELfTzQ/ypD1RN/FBHQY6InFb+Vh3+VWBQ+lhJBpWU6x9Qs+v2DwYmkrzQStUj49vKQ==" saltValue="fXSfqKxmm0RmoFKjtlDKoQ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E215"/>
  <sheetViews>
    <sheetView zoomScale="90" zoomScaleNormal="90" workbookViewId="0">
      <pane xSplit="2" ySplit="1" topLeftCell="C164" activePane="bottomRight" state="frozen"/>
      <selection pane="topRight" activeCell="C1" sqref="C1"/>
      <selection pane="bottomLeft" activeCell="A2" sqref="A2"/>
      <selection pane="bottomRight" activeCell="O183" sqref="O183"/>
    </sheetView>
  </sheetViews>
  <sheetFormatPr defaultColWidth="14" defaultRowHeight="11.25" x14ac:dyDescent="0.2"/>
  <cols>
    <col min="1" max="1" width="20.28515625" style="286" bestFit="1" customWidth="1"/>
    <col min="2" max="2" width="11.7109375" style="246" bestFit="1" customWidth="1"/>
    <col min="3" max="3" width="7.85546875" style="246" bestFit="1" customWidth="1"/>
    <col min="4" max="4" width="8.85546875" style="246" bestFit="1" customWidth="1"/>
    <col min="5" max="5" width="7.42578125" style="246" bestFit="1" customWidth="1"/>
    <col min="6" max="6" width="8.5703125" style="246" bestFit="1" customWidth="1"/>
    <col min="7" max="7" width="10.42578125" style="246" bestFit="1" customWidth="1"/>
    <col min="8" max="8" width="9" style="246" bestFit="1" customWidth="1"/>
    <col min="9" max="9" width="7.42578125" style="246" bestFit="1" customWidth="1"/>
    <col min="10" max="10" width="9.28515625" style="246" bestFit="1" customWidth="1"/>
    <col min="11" max="11" width="10.5703125" style="246" bestFit="1" customWidth="1"/>
    <col min="12" max="12" width="7.85546875" style="246" bestFit="1" customWidth="1"/>
    <col min="13" max="13" width="8.7109375" style="246" bestFit="1" customWidth="1"/>
    <col min="14" max="14" width="8.42578125" style="246" bestFit="1" customWidth="1"/>
    <col min="15" max="15" width="7.42578125" style="246" bestFit="1" customWidth="1"/>
    <col min="16" max="16" width="9.7109375" style="246" bestFit="1" customWidth="1"/>
    <col min="17" max="17" width="7.42578125" style="246" bestFit="1" customWidth="1"/>
    <col min="18" max="18" width="7.5703125" style="246" bestFit="1" customWidth="1"/>
    <col min="19" max="19" width="11" style="246" bestFit="1" customWidth="1"/>
    <col min="20" max="20" width="9.28515625" style="246" bestFit="1" customWidth="1"/>
    <col min="21" max="21" width="7.42578125" style="246" bestFit="1" customWidth="1"/>
    <col min="22" max="22" width="12" style="246" bestFit="1" customWidth="1"/>
    <col min="23" max="23" width="8.85546875" style="246" bestFit="1" customWidth="1"/>
    <col min="24" max="24" width="14.28515625" style="246" bestFit="1" customWidth="1"/>
    <col min="25" max="25" width="9.28515625" style="246" bestFit="1" customWidth="1"/>
    <col min="26" max="26" width="11.140625" style="246" bestFit="1" customWidth="1"/>
    <col min="27" max="27" width="11" style="246" bestFit="1" customWidth="1"/>
    <col min="28" max="28" width="10" style="246" bestFit="1" customWidth="1"/>
    <col min="29" max="29" width="7.42578125" style="246" bestFit="1" customWidth="1"/>
    <col min="30" max="30" width="10.7109375" style="246" bestFit="1" customWidth="1"/>
    <col min="31" max="32" width="7.42578125" style="246" bestFit="1" customWidth="1"/>
    <col min="33" max="33" width="9.28515625" style="246" bestFit="1" customWidth="1"/>
    <col min="34" max="34" width="10" style="246" bestFit="1" customWidth="1"/>
    <col min="35" max="36" width="7" style="246" bestFit="1" customWidth="1"/>
    <col min="37" max="44" width="5.85546875" style="246" bestFit="1" customWidth="1"/>
    <col min="45" max="16384" width="14" style="246"/>
  </cols>
  <sheetData>
    <row r="1" spans="1:44" ht="12" thickBot="1" x14ac:dyDescent="0.25">
      <c r="A1" s="242" t="s">
        <v>10</v>
      </c>
      <c r="B1" s="243" t="s">
        <v>8</v>
      </c>
      <c r="C1" s="244" t="str">
        <f>Total!$X4</f>
        <v>Arroyo Ty</v>
      </c>
      <c r="D1" s="245" t="str">
        <f>Total!$X5</f>
        <v>Barnyak Al</v>
      </c>
      <c r="E1" s="245" t="str">
        <f>Total!$X6</f>
        <v>Barr Ch</v>
      </c>
      <c r="F1" s="245" t="str">
        <f>Total!$X7</f>
        <v>Brewer Be</v>
      </c>
      <c r="G1" s="245" t="str">
        <f>Total!$X8</f>
        <v>Bringgold Ch</v>
      </c>
      <c r="H1" s="245" t="str">
        <f>Total!$X9</f>
        <v>Bullock Qu</v>
      </c>
      <c r="I1" s="245" t="str">
        <f>Total!$X10</f>
        <v>Burris Ky</v>
      </c>
      <c r="J1" s="245" t="str">
        <f>Total!$X11</f>
        <v>Cannon Da</v>
      </c>
      <c r="K1" s="245" t="str">
        <f>Total!$X12</f>
        <v>Carmenita Ja</v>
      </c>
      <c r="L1" s="245" t="str">
        <f>Total!$X13</f>
        <v>Flores Os</v>
      </c>
      <c r="M1" s="245" t="str">
        <f>Total!$X14</f>
        <v>Gomez Ce</v>
      </c>
      <c r="N1" s="245" t="str">
        <f>Total!$X15</f>
        <v>Grecin An</v>
      </c>
      <c r="O1" s="245" t="str">
        <f>Total!$X16</f>
        <v>Heflin Jo</v>
      </c>
      <c r="P1" s="245" t="str">
        <f>Total!$X17</f>
        <v>Henning Da</v>
      </c>
      <c r="Q1" s="245" t="str">
        <f>Total!$X18</f>
        <v>Kane Ro</v>
      </c>
      <c r="R1" s="245" t="str">
        <f>Total!$X19</f>
        <v>Knight Al</v>
      </c>
      <c r="S1" s="245" t="str">
        <f>Total!$X20</f>
        <v>Levesque Qu</v>
      </c>
      <c r="T1" s="245" t="str">
        <f>Total!$X21</f>
        <v>Loggins Ha</v>
      </c>
      <c r="U1" s="245" t="str">
        <f>Total!$X22</f>
        <v>Lujan Wi</v>
      </c>
      <c r="V1" s="245" t="str">
        <f>Total!$X23</f>
        <v>McLaughlin Da</v>
      </c>
      <c r="W1" s="245" t="str">
        <f>Total!$X24</f>
        <v>Navarro Ju</v>
      </c>
      <c r="X1" s="245" t="str">
        <f>Total!$X25</f>
        <v>Ocampo-Mora Ce</v>
      </c>
      <c r="Y1" s="245" t="str">
        <f>Total!$X26</f>
        <v>Ramsier Sa</v>
      </c>
      <c r="Z1" s="245" t="str">
        <f>Total!$X27</f>
        <v>Rochester Da</v>
      </c>
      <c r="AA1" s="245" t="str">
        <f>Total!$X28</f>
        <v>Rodriguez Be</v>
      </c>
      <c r="AB1" s="245" t="str">
        <f>Total!$X29</f>
        <v>Semeryuk Ti</v>
      </c>
      <c r="AC1" s="245" t="str">
        <f>Total!$X30</f>
        <v>Silva Aa</v>
      </c>
      <c r="AD1" s="245" t="str">
        <f>Total!$X31</f>
        <v>Skogberg Ma</v>
      </c>
      <c r="AE1" s="245" t="str">
        <f>Total!$X32</f>
        <v>Snow Ky</v>
      </c>
      <c r="AF1" s="245" t="str">
        <f>Total!$X33</f>
        <v>Torres Vi</v>
      </c>
      <c r="AG1" s="245" t="str">
        <f>Total!$X34</f>
        <v>Veilleux Ma</v>
      </c>
      <c r="AH1" s="245" t="str">
        <f>Total!$X35</f>
        <v>Wedman Ke</v>
      </c>
      <c r="AI1" s="245" t="str">
        <f>Total!$X36</f>
        <v xml:space="preserve"> </v>
      </c>
      <c r="AJ1" s="245" t="str">
        <f>Total!$X37</f>
        <v xml:space="preserve"> </v>
      </c>
      <c r="AK1" s="245" t="str">
        <f>Total!$X38</f>
        <v xml:space="preserve"> </v>
      </c>
      <c r="AL1" s="245" t="str">
        <f>Total!$X39</f>
        <v xml:space="preserve"> </v>
      </c>
      <c r="AM1" s="245" t="str">
        <f>Total!$X40</f>
        <v xml:space="preserve"> </v>
      </c>
      <c r="AN1" s="245" t="str">
        <f>Total!$X41</f>
        <v xml:space="preserve"> </v>
      </c>
      <c r="AO1" s="245" t="str">
        <f>Total!$X42</f>
        <v xml:space="preserve"> </v>
      </c>
      <c r="AP1" s="245" t="str">
        <f>Total!$X43</f>
        <v xml:space="preserve"> </v>
      </c>
      <c r="AQ1" s="245" t="str">
        <f>Total!$X44</f>
        <v xml:space="preserve"> </v>
      </c>
      <c r="AR1" s="495" t="str">
        <f>Total!$X45</f>
        <v xml:space="preserve"> </v>
      </c>
    </row>
    <row r="2" spans="1:44" x14ac:dyDescent="0.2">
      <c r="A2" s="247">
        <f>Import!T7</f>
        <v>42461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496">
        <f>SUMPRODUCT((Driver!$A$2:$A$17=$A2)*(DriverEmp=AR$1),Driver!$C$2:$V$17)</f>
        <v>0</v>
      </c>
    </row>
    <row r="3" spans="1:44" x14ac:dyDescent="0.2">
      <c r="A3" s="247">
        <f>A2</f>
        <v>42461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496">
        <f>SUMPRODUCT((PP!$A$2:$A$80=$A3)*(PPEmp=AR$1),PP!$D$2:$BD$80)</f>
        <v>0</v>
      </c>
    </row>
    <row r="4" spans="1:44" x14ac:dyDescent="0.2">
      <c r="A4" s="247">
        <f t="shared" ref="A4:A12" si="0">A3</f>
        <v>42461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496">
        <f>SUMPRODUCT((FH!$A$2:$A$97=$A4)*(FHEmp=AR$1),FH!$E$2:$AZ$97)</f>
        <v>0</v>
      </c>
    </row>
    <row r="5" spans="1:44" x14ac:dyDescent="0.2">
      <c r="A5" s="247">
        <f t="shared" si="0"/>
        <v>42461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496">
        <f>SUMPRODUCT(('T22'!$A$2:$A$97=$A5)*(T22Emp=AR$1),'T22'!$E$2:$AZ$97)</f>
        <v>0</v>
      </c>
    </row>
    <row r="6" spans="1:44" x14ac:dyDescent="0.2">
      <c r="A6" s="247">
        <f t="shared" si="0"/>
        <v>42461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496">
        <f>SUMPRODUCT((RF!$A$2:$A$17=$A6)*(RFEmp=AR$1)*(RF!$H$21:$AO$21="RF Valet"),RF!$H$2:$AO$17)</f>
        <v>0</v>
      </c>
    </row>
    <row r="7" spans="1:44" x14ac:dyDescent="0.2">
      <c r="A7" s="247">
        <f>A6</f>
        <v>42461</v>
      </c>
      <c r="B7" s="255" t="s">
        <v>74</v>
      </c>
      <c r="C7" s="249">
        <f>SUMPRODUCT((TM!$A$2:$A$17=$A7)*(TMEmp=C$1),TM!$D$2:$AK$17)</f>
        <v>0</v>
      </c>
      <c r="D7" s="250">
        <f>SUMPRODUCT((TM!$A$2:$A$17=$A7)*(TMEmp=D$1),TM!$D$2:$AK$17)</f>
        <v>0</v>
      </c>
      <c r="E7" s="250">
        <f>SUMPRODUCT((TM!$A$2:$A$17=$A7)*(TMEmp=E$1),TM!$D$2:$AK$17)</f>
        <v>0</v>
      </c>
      <c r="F7" s="250">
        <f>SUMPRODUCT((TM!$A$2:$A$17=$A7)*(TMEmp=F$1),TM!$D$2:$AK$17)</f>
        <v>0</v>
      </c>
      <c r="G7" s="250">
        <f>SUMPRODUCT((TM!$A$2:$A$17=$A7)*(TMEmp=G$1),TM!$D$2:$AK$17)</f>
        <v>0</v>
      </c>
      <c r="H7" s="250">
        <f>SUMPRODUCT((TM!$A$2:$A$17=$A7)*(TMEmp=H$1),TM!$D$2:$AK$17)</f>
        <v>0</v>
      </c>
      <c r="I7" s="250">
        <f>SUMPRODUCT((TM!$A$2:$A$17=$A7)*(TMEmp=I$1),TM!$D$2:$AK$17)</f>
        <v>0</v>
      </c>
      <c r="J7" s="250">
        <f>SUMPRODUCT((TM!$A$2:$A$17=$A7)*(TMEmp=J$1),TM!$D$2:$AK$17)</f>
        <v>0</v>
      </c>
      <c r="K7" s="250">
        <f>SUMPRODUCT((TM!$A$2:$A$17=$A7)*(TMEmp=K$1),TM!$D$2:$AK$17)</f>
        <v>0</v>
      </c>
      <c r="L7" s="250">
        <f>SUMPRODUCT((TM!$A$2:$A$17=$A7)*(TMEmp=L$1),TM!$D$2:$AK$17)</f>
        <v>0</v>
      </c>
      <c r="M7" s="250">
        <f>SUMPRODUCT((TM!$A$2:$A$17=$A7)*(TMEmp=M$1),TM!$D$2:$AK$17)</f>
        <v>0</v>
      </c>
      <c r="N7" s="250">
        <f>SUMPRODUCT((TM!$A$2:$A$17=$A7)*(TMEmp=N$1),TM!$D$2:$AK$17)</f>
        <v>0</v>
      </c>
      <c r="O7" s="250">
        <f>SUMPRODUCT((TM!$A$2:$A$17=$A7)*(TMEmp=O$1),TM!$D$2:$AK$17)</f>
        <v>0</v>
      </c>
      <c r="P7" s="250">
        <f>SUMPRODUCT((TM!$A$2:$A$17=$A7)*(TMEmp=P$1),TM!$D$2:$AK$17)</f>
        <v>0</v>
      </c>
      <c r="Q7" s="250">
        <f>SUMPRODUCT((TM!$A$2:$A$17=$A7)*(TMEmp=Q$1),TM!$D$2:$AK$17)</f>
        <v>0</v>
      </c>
      <c r="R7" s="250">
        <f>SUMPRODUCT((TM!$A$2:$A$17=$A7)*(TMEmp=R$1),TM!$D$2:$AK$17)</f>
        <v>0</v>
      </c>
      <c r="S7" s="250">
        <f>SUMPRODUCT((TM!$A$2:$A$17=$A7)*(TMEmp=S$1),TM!$D$2:$AK$17)</f>
        <v>0</v>
      </c>
      <c r="T7" s="250">
        <f>SUMPRODUCT((TM!$A$2:$A$17=$A7)*(TMEmp=T$1),TM!$D$2:$AK$17)</f>
        <v>0</v>
      </c>
      <c r="U7" s="250">
        <f>SUMPRODUCT((TM!$A$2:$A$17=$A7)*(TMEmp=U$1),TM!$D$2:$AK$17)</f>
        <v>0</v>
      </c>
      <c r="V7" s="250">
        <f>SUMPRODUCT((TM!$A$2:$A$17=$A7)*(TMEmp=V$1),TM!$D$2:$AK$17)</f>
        <v>0</v>
      </c>
      <c r="W7" s="250">
        <f>SUMPRODUCT((TM!$A$2:$A$17=$A7)*(TMEmp=W$1),TM!$D$2:$AK$17)</f>
        <v>0</v>
      </c>
      <c r="X7" s="250">
        <f>SUMPRODUCT((TM!$A$2:$A$17=$A7)*(TMEmp=X$1),TM!$D$2:$AK$17)</f>
        <v>0</v>
      </c>
      <c r="Y7" s="250">
        <f>SUMPRODUCT((TM!$A$2:$A$17=$A7)*(TMEmp=Y$1),TM!$D$2:$AK$17)</f>
        <v>0</v>
      </c>
      <c r="Z7" s="250">
        <f>SUMPRODUCT((TM!$A$2:$A$17=$A7)*(TMEmp=Z$1),TM!$D$2:$AK$17)</f>
        <v>0</v>
      </c>
      <c r="AA7" s="250">
        <f>SUMPRODUCT((TM!$A$2:$A$17=$A7)*(TMEmp=AA$1),TM!$D$2:$AK$17)</f>
        <v>0</v>
      </c>
      <c r="AB7" s="250">
        <f>SUMPRODUCT((TM!$A$2:$A$17=$A7)*(TMEmp=AB$1),TM!$D$2:$AK$17)</f>
        <v>0</v>
      </c>
      <c r="AC7" s="250">
        <f>SUMPRODUCT((TM!$A$2:$A$17=$A7)*(TMEmp=AC$1),TM!$D$2:$AK$17)</f>
        <v>0</v>
      </c>
      <c r="AD7" s="250">
        <f>SUMPRODUCT((TM!$A$2:$A$17=$A7)*(TMEmp=AD$1),TM!$D$2:$AK$17)</f>
        <v>0</v>
      </c>
      <c r="AE7" s="250">
        <f>SUMPRODUCT((TM!$A$2:$A$17=$A7)*(TMEmp=AE$1),TM!$D$2:$AK$17)</f>
        <v>0</v>
      </c>
      <c r="AF7" s="250">
        <f>SUMPRODUCT((TM!$A$2:$A$17=$A7)*(TMEmp=AF$1),TM!$D$2:$AK$17)</f>
        <v>0</v>
      </c>
      <c r="AG7" s="250">
        <f>SUMPRODUCT((TM!$A$2:$A$17=$A7)*(TMEmp=AG$1),TM!$D$2:$AK$17)</f>
        <v>0</v>
      </c>
      <c r="AH7" s="250">
        <f>SUMPRODUCT((TM!$A$2:$A$17=$A7)*(TMEmp=AH$1),TM!$D$2:$AK$17)</f>
        <v>0</v>
      </c>
      <c r="AI7" s="250">
        <f>SUMPRODUCT((TM!$A$2:$A$17=$A7)*(TMEmp=AI$1),TM!$D$2:$AK$17)</f>
        <v>0</v>
      </c>
      <c r="AJ7" s="250">
        <f>SUMPRODUCT((TM!$A$2:$A$17=$A7)*(TMEmp=AJ$1),TM!$D$2:$AK$17)</f>
        <v>0</v>
      </c>
      <c r="AK7" s="250">
        <f>SUMPRODUCT((TM!$A$2:$A$17=$A7)*(TMEmp=AK$1),TM!$D$2:$AK$17)</f>
        <v>0</v>
      </c>
      <c r="AL7" s="250">
        <f>SUMPRODUCT((TM!$A$2:$A$17=$A7)*(TMEmp=AL$1),TM!$D$2:$AK$17)</f>
        <v>0</v>
      </c>
      <c r="AM7" s="250">
        <f>SUMPRODUCT((TM!$A$2:$A$17=$A7)*(TMEmp=AM$1),TM!$D$2:$AK$17)</f>
        <v>0</v>
      </c>
      <c r="AN7" s="250">
        <f>SUMPRODUCT((TM!$A$2:$A$17=$A7)*(TMEmp=AN$1),TM!$D$2:$AK$17)</f>
        <v>0</v>
      </c>
      <c r="AO7" s="250">
        <f>SUMPRODUCT((TM!$A$2:$A$17=$A7)*(TMEmp=AO$1),TM!$D$2:$AK$17)</f>
        <v>0</v>
      </c>
      <c r="AP7" s="250">
        <f>SUMPRODUCT((TM!$A$2:$A$17=$A7)*(TMEmp=AP$1),TM!$D$2:$AK$17)</f>
        <v>0</v>
      </c>
      <c r="AQ7" s="250">
        <f>SUMPRODUCT((TM!$A$2:$A$17=$A7)*(TMEmp=AQ$1),TM!$D$2:$AK$17)</f>
        <v>0</v>
      </c>
      <c r="AR7" s="496">
        <f>SUMPRODUCT((TM!$A$2:$A$17=$A7)*(TMEmp=AR$1),TM!$D$2:$AK$17)</f>
        <v>0</v>
      </c>
    </row>
    <row r="8" spans="1:44" x14ac:dyDescent="0.2">
      <c r="A8" s="256">
        <f t="shared" si="0"/>
        <v>42461</v>
      </c>
      <c r="B8" s="257" t="s">
        <v>72</v>
      </c>
      <c r="C8" s="258">
        <f>SUMPRODUCT((PC!$A$2:$A$80=$A8)*(PCEmp=C$1),PC!$D$2:$BD$80)</f>
        <v>0</v>
      </c>
      <c r="D8" s="259">
        <f>SUMPRODUCT((PC!$A$2:$A$80=$A8)*(PCEmp=D$1),PC!$D$2:$BD$80)</f>
        <v>0</v>
      </c>
      <c r="E8" s="259">
        <f>SUMPRODUCT((PC!$A$2:$A$80=$A8)*(PCEmp=E$1),PC!$D$2:$BD$80)</f>
        <v>0</v>
      </c>
      <c r="F8" s="259">
        <f>SUMPRODUCT((PC!$A$2:$A$80=$A8)*(PCEmp=F$1),PC!$D$2:$BD$80)</f>
        <v>0</v>
      </c>
      <c r="G8" s="259">
        <f>SUMPRODUCT((PC!$A$2:$A$80=$A8)*(PCEmp=G$1),PC!$D$2:$BD$80)</f>
        <v>0</v>
      </c>
      <c r="H8" s="259">
        <f>SUMPRODUCT((PC!$A$2:$A$80=$A8)*(PCEmp=H$1),PC!$D$2:$BD$80)</f>
        <v>0</v>
      </c>
      <c r="I8" s="259">
        <f>SUMPRODUCT((PC!$A$2:$A$80=$A8)*(PCEmp=I$1),PC!$D$2:$BD$80)</f>
        <v>0</v>
      </c>
      <c r="J8" s="259">
        <f>SUMPRODUCT((PC!$A$2:$A$80=$A8)*(PCEmp=J$1),PC!$D$2:$BD$80)</f>
        <v>0</v>
      </c>
      <c r="K8" s="259">
        <f>SUMPRODUCT((PC!$A$2:$A$80=$A8)*(PCEmp=K$1),PC!$D$2:$BD$80)</f>
        <v>0</v>
      </c>
      <c r="L8" s="259">
        <f>SUMPRODUCT((PC!$A$2:$A$80=$A8)*(PCEmp=L$1),PC!$D$2:$BD$80)</f>
        <v>0</v>
      </c>
      <c r="M8" s="259">
        <f>SUMPRODUCT((PC!$A$2:$A$80=$A8)*(PCEmp=M$1),PC!$D$2:$BD$80)</f>
        <v>0</v>
      </c>
      <c r="N8" s="259">
        <f>SUMPRODUCT((PC!$A$2:$A$80=$A8)*(PCEmp=N$1),PC!$D$2:$BD$80)</f>
        <v>0</v>
      </c>
      <c r="O8" s="259">
        <f>SUMPRODUCT((PC!$A$2:$A$80=$A8)*(PCEmp=O$1),PC!$D$2:$BD$80)</f>
        <v>0</v>
      </c>
      <c r="P8" s="259">
        <f>SUMPRODUCT((PC!$A$2:$A$80=$A8)*(PCEmp=P$1),PC!$D$2:$BD$80)</f>
        <v>0</v>
      </c>
      <c r="Q8" s="259">
        <f>SUMPRODUCT((PC!$A$2:$A$80=$A8)*(PCEmp=Q$1),PC!$D$2:$BD$80)</f>
        <v>0</v>
      </c>
      <c r="R8" s="259">
        <f>SUMPRODUCT((PC!$A$2:$A$80=$A8)*(PCEmp=R$1),PC!$D$2:$BD$80)</f>
        <v>0</v>
      </c>
      <c r="S8" s="259">
        <f>SUMPRODUCT((PC!$A$2:$A$80=$A8)*(PCEmp=S$1),PC!$D$2:$BD$80)</f>
        <v>0</v>
      </c>
      <c r="T8" s="259">
        <f>SUMPRODUCT((PC!$A$2:$A$80=$A8)*(PCEmp=T$1),PC!$D$2:$BD$80)</f>
        <v>0</v>
      </c>
      <c r="U8" s="259">
        <f>SUMPRODUCT((PC!$A$2:$A$80=$A8)*(PCEmp=U$1),PC!$D$2:$BD$80)</f>
        <v>0</v>
      </c>
      <c r="V8" s="259">
        <f>SUMPRODUCT((PC!$A$2:$A$80=$A8)*(PCEmp=V$1),PC!$D$2:$BD$80)</f>
        <v>0</v>
      </c>
      <c r="W8" s="259">
        <f>SUMPRODUCT((PC!$A$2:$A$80=$A8)*(PCEmp=W$1),PC!$D$2:$BD$80)</f>
        <v>0</v>
      </c>
      <c r="X8" s="259">
        <f>SUMPRODUCT((PC!$A$2:$A$80=$A8)*(PCEmp=X$1),PC!$D$2:$BD$80)</f>
        <v>0</v>
      </c>
      <c r="Y8" s="259">
        <f>SUMPRODUCT((PC!$A$2:$A$80=$A8)*(PCEmp=Y$1),PC!$D$2:$BD$80)</f>
        <v>0</v>
      </c>
      <c r="Z8" s="259">
        <f>SUMPRODUCT((PC!$A$2:$A$80=$A8)*(PCEmp=Z$1),PC!$D$2:$BD$80)</f>
        <v>0</v>
      </c>
      <c r="AA8" s="259">
        <f>SUMPRODUCT((PC!$A$2:$A$80=$A8)*(PCEmp=AA$1),PC!$D$2:$BD$80)</f>
        <v>0</v>
      </c>
      <c r="AB8" s="259">
        <f>SUMPRODUCT((PC!$A$2:$A$80=$A8)*(PCEmp=AB$1),PC!$D$2:$BD$80)</f>
        <v>0</v>
      </c>
      <c r="AC8" s="259">
        <f>SUMPRODUCT((PC!$A$2:$A$80=$A8)*(PCEmp=AC$1),PC!$D$2:$BD$80)</f>
        <v>0</v>
      </c>
      <c r="AD8" s="259">
        <f>SUMPRODUCT((PC!$A$2:$A$80=$A8)*(PCEmp=AD$1),PC!$D$2:$BD$80)</f>
        <v>0</v>
      </c>
      <c r="AE8" s="259">
        <f>SUMPRODUCT((PC!$A$2:$A$80=$A8)*(PCEmp=AE$1),PC!$D$2:$BD$80)</f>
        <v>0</v>
      </c>
      <c r="AF8" s="259">
        <f>SUMPRODUCT((PC!$A$2:$A$80=$A8)*(PCEmp=AF$1),PC!$D$2:$BD$80)</f>
        <v>0</v>
      </c>
      <c r="AG8" s="259">
        <f>SUMPRODUCT((PC!$A$2:$A$80=$A8)*(PCEmp=AG$1),PC!$D$2:$BD$80)</f>
        <v>0</v>
      </c>
      <c r="AH8" s="259">
        <f>SUMPRODUCT((PC!$A$2:$A$80=$A8)*(PCEmp=AH$1),PC!$D$2:$BD$80)</f>
        <v>0</v>
      </c>
      <c r="AI8" s="259">
        <f>SUMPRODUCT((PC!$A$2:$A$80=$A8)*(PCEmp=AI$1),PC!$D$2:$BD$80)</f>
        <v>0</v>
      </c>
      <c r="AJ8" s="259">
        <f>SUMPRODUCT((PC!$A$2:$A$80=$A8)*(PCEmp=AJ$1),PC!$D$2:$BD$80)</f>
        <v>0</v>
      </c>
      <c r="AK8" s="259">
        <f>SUMPRODUCT((PC!$A$2:$A$80=$A8)*(PCEmp=AK$1),PC!$D$2:$BD$80)</f>
        <v>0</v>
      </c>
      <c r="AL8" s="259">
        <f>SUMPRODUCT((PC!$A$2:$A$80=$A8)*(PCEmp=AL$1),PC!$D$2:$BD$80)</f>
        <v>0</v>
      </c>
      <c r="AM8" s="259">
        <f>SUMPRODUCT((PC!$A$2:$A$80=$A8)*(PCEmp=AM$1),PC!$D$2:$BD$80)</f>
        <v>0</v>
      </c>
      <c r="AN8" s="259">
        <f>SUMPRODUCT((PC!$A$2:$A$80=$A8)*(PCEmp=AN$1),PC!$D$2:$BD$80)</f>
        <v>0</v>
      </c>
      <c r="AO8" s="259">
        <f>SUMPRODUCT((PC!$A$2:$A$80=$A8)*(PCEmp=AO$1),PC!$D$2:$BD$80)</f>
        <v>0</v>
      </c>
      <c r="AP8" s="259">
        <f>SUMPRODUCT((PC!$A$2:$A$80=$A8)*(PCEmp=AP$1),PC!$D$2:$BD$80)</f>
        <v>0</v>
      </c>
      <c r="AQ8" s="259">
        <f>SUMPRODUCT((PC!$A$2:$A$80=$A8)*(PCEmp=AQ$1),PC!$D$2:$BD$80)</f>
        <v>0</v>
      </c>
      <c r="AR8" s="497">
        <f>SUMPRODUCT((PC!$A$2:$A$80=$A8)*(PCEmp=AR$1),PC!$D$2:$BD$80)</f>
        <v>0</v>
      </c>
    </row>
    <row r="9" spans="1:44" x14ac:dyDescent="0.2">
      <c r="A9" s="247">
        <f t="shared" si="0"/>
        <v>42461</v>
      </c>
      <c r="B9" s="254" t="s">
        <v>85</v>
      </c>
      <c r="C9" s="249">
        <f>SUMPRODUCT((RF!$A$2:$A$17=$A9)*(RFEmp=C$1)*(RF!$H$21:$AO$21="RF Lead"),RF!$H$2:$AO$17)</f>
        <v>0</v>
      </c>
      <c r="D9" s="250">
        <f>SUMPRODUCT((RF!$A$2:$A$17=$A9)*(RFEmp=D$1)*(RF!$H$21:$AO$21="RF Lead"),RF!$H$2:$AO$17)</f>
        <v>0</v>
      </c>
      <c r="E9" s="250">
        <f>SUMPRODUCT((RF!$A$2:$A$17=$A9)*(RFEmp=E$1)*(RF!$H$21:$AO$21="RF Lead"),RF!$H$2:$AO$17)</f>
        <v>0</v>
      </c>
      <c r="F9" s="250">
        <f>SUMPRODUCT((RF!$A$2:$A$17=$A9)*(RFEmp=F$1)*(RF!$H$21:$AO$21="RF Lead"),RF!$H$2:$AO$17)</f>
        <v>0</v>
      </c>
      <c r="G9" s="250">
        <f>SUMPRODUCT((RF!$A$2:$A$17=$A9)*(RFEmp=G$1)*(RF!$H$21:$AO$21="RF Lead"),RF!$H$2:$AO$17)</f>
        <v>0</v>
      </c>
      <c r="H9" s="250">
        <f>SUMPRODUCT((RF!$A$2:$A$17=$A9)*(RFEmp=H$1)*(RF!$H$21:$AO$21="RF Lead"),RF!$H$2:$AO$17)</f>
        <v>0</v>
      </c>
      <c r="I9" s="250">
        <f>SUMPRODUCT((RF!$A$2:$A$17=$A9)*(RFEmp=I$1)*(RF!$H$21:$AO$21="RF Lead"),RF!$H$2:$AO$17)</f>
        <v>0</v>
      </c>
      <c r="J9" s="250">
        <f>SUMPRODUCT((RF!$A$2:$A$17=$A9)*(RFEmp=J$1)*(RF!$H$21:$AO$21="RF Lead"),RF!$H$2:$AO$17)</f>
        <v>0</v>
      </c>
      <c r="K9" s="250">
        <f>SUMPRODUCT((RF!$A$2:$A$17=$A9)*(RFEmp=K$1)*(RF!$H$21:$AO$21="RF Lead"),RF!$H$2:$AO$17)</f>
        <v>0</v>
      </c>
      <c r="L9" s="250">
        <f>SUMPRODUCT((RF!$A$2:$A$17=$A9)*(RFEmp=L$1)*(RF!$H$21:$AO$21="RF Lead"),RF!$H$2:$AO$17)</f>
        <v>0</v>
      </c>
      <c r="M9" s="250">
        <f>SUMPRODUCT((RF!$A$2:$A$17=$A9)*(RFEmp=M$1)*(RF!$H$21:$AO$21="RF Lead"),RF!$H$2:$AO$17)</f>
        <v>0</v>
      </c>
      <c r="N9" s="250">
        <f>SUMPRODUCT((RF!$A$2:$A$17=$A9)*(RFEmp=N$1)*(RF!$H$21:$AO$21="RF Lead"),RF!$H$2:$AO$17)</f>
        <v>0</v>
      </c>
      <c r="O9" s="250">
        <f>SUMPRODUCT((RF!$A$2:$A$17=$A9)*(RFEmp=O$1)*(RF!$H$21:$AO$21="RF Lead"),RF!$H$2:$AO$17)</f>
        <v>0</v>
      </c>
      <c r="P9" s="250">
        <f>SUMPRODUCT((RF!$A$2:$A$17=$A9)*(RFEmp=P$1)*(RF!$H$21:$AO$21="RF Lead"),RF!$H$2:$AO$17)</f>
        <v>0</v>
      </c>
      <c r="Q9" s="250">
        <f>SUMPRODUCT((RF!$A$2:$A$17=$A9)*(RFEmp=Q$1)*(RF!$H$21:$AO$21="RF Lead"),RF!$H$2:$AO$17)</f>
        <v>0</v>
      </c>
      <c r="R9" s="250">
        <f>SUMPRODUCT((RF!$A$2:$A$17=$A9)*(RFEmp=R$1)*(RF!$H$21:$AO$21="RF Lead"),RF!$H$2:$AO$17)</f>
        <v>0</v>
      </c>
      <c r="S9" s="250">
        <f>SUMPRODUCT((RF!$A$2:$A$17=$A9)*(RFEmp=S$1)*(RF!$H$21:$AO$21="RF Lead"),RF!$H$2:$AO$17)</f>
        <v>0</v>
      </c>
      <c r="T9" s="250">
        <f>SUMPRODUCT((RF!$A$2:$A$17=$A9)*(RFEmp=T$1)*(RF!$H$21:$AO$21="RF Lead"),RF!$H$2:$AO$17)</f>
        <v>0</v>
      </c>
      <c r="U9" s="250">
        <f>SUMPRODUCT((RF!$A$2:$A$17=$A9)*(RFEmp=U$1)*(RF!$H$21:$AO$21="RF Lead"),RF!$H$2:$AO$17)</f>
        <v>0</v>
      </c>
      <c r="V9" s="250">
        <f>SUMPRODUCT((RF!$A$2:$A$17=$A9)*(RFEmp=V$1)*(RF!$H$21:$AO$21="RF Lead"),RF!$H$2:$AO$17)</f>
        <v>0</v>
      </c>
      <c r="W9" s="250">
        <f>SUMPRODUCT((RF!$A$2:$A$17=$A9)*(RFEmp=W$1)*(RF!$H$21:$AO$21="RF Lead"),RF!$H$2:$AO$17)</f>
        <v>0</v>
      </c>
      <c r="X9" s="250">
        <f>SUMPRODUCT((RF!$A$2:$A$17=$A9)*(RFEmp=X$1)*(RF!$H$21:$AO$21="RF Lead"),RF!$H$2:$AO$17)</f>
        <v>0</v>
      </c>
      <c r="Y9" s="250">
        <f>SUMPRODUCT((RF!$A$2:$A$17=$A9)*(RFEmp=Y$1)*(RF!$H$21:$AO$21="RF Lead"),RF!$H$2:$AO$17)</f>
        <v>0</v>
      </c>
      <c r="Z9" s="250">
        <f>SUMPRODUCT((RF!$A$2:$A$17=$A9)*(RFEmp=Z$1)*(RF!$H$21:$AO$21="RF Lead"),RF!$H$2:$AO$17)</f>
        <v>0</v>
      </c>
      <c r="AA9" s="250">
        <f>SUMPRODUCT((RF!$A$2:$A$17=$A9)*(RFEmp=AA$1)*(RF!$H$21:$AO$21="RF Lead"),RF!$H$2:$AO$17)</f>
        <v>0</v>
      </c>
      <c r="AB9" s="250">
        <f>SUMPRODUCT((RF!$A$2:$A$17=$A9)*(RFEmp=AB$1)*(RF!$H$21:$AO$21="RF Lead"),RF!$H$2:$AO$17)</f>
        <v>0</v>
      </c>
      <c r="AC9" s="250">
        <f>SUMPRODUCT((RF!$A$2:$A$17=$A9)*(RFEmp=AC$1)*(RF!$H$21:$AO$21="RF Lead"),RF!$H$2:$AO$17)</f>
        <v>0</v>
      </c>
      <c r="AD9" s="250">
        <f>SUMPRODUCT((RF!$A$2:$A$17=$A9)*(RFEmp=AD$1)*(RF!$H$21:$AO$21="RF Lead"),RF!$H$2:$AO$17)</f>
        <v>0</v>
      </c>
      <c r="AE9" s="250">
        <f>SUMPRODUCT((RF!$A$2:$A$17=$A9)*(RFEmp=AE$1)*(RF!$H$21:$AO$21="RF Lead"),RF!$H$2:$AO$17)</f>
        <v>0</v>
      </c>
      <c r="AF9" s="250">
        <f>SUMPRODUCT((RF!$A$2:$A$17=$A9)*(RFEmp=AF$1)*(RF!$H$21:$AO$21="RF Lead"),RF!$H$2:$AO$17)</f>
        <v>0</v>
      </c>
      <c r="AG9" s="250">
        <f>SUMPRODUCT((RF!$A$2:$A$17=$A9)*(RFEmp=AG$1)*(RF!$H$21:$AO$21="RF Lead"),RF!$H$2:$AO$17)</f>
        <v>0</v>
      </c>
      <c r="AH9" s="250">
        <f>SUMPRODUCT((RF!$A$2:$A$17=$A9)*(RFEmp=AH$1)*(RF!$H$21:$AO$21="RF Lead"),RF!$H$2:$AO$17)</f>
        <v>0</v>
      </c>
      <c r="AI9" s="250">
        <f>SUMPRODUCT((RF!$A$2:$A$17=$A9)*(RFEmp=AI$1)*(RF!$H$21:$AO$21="RF Lead"),RF!$H$2:$AO$17)</f>
        <v>0</v>
      </c>
      <c r="AJ9" s="250">
        <f>SUMPRODUCT((RF!$A$2:$A$17=$A9)*(RFEmp=AJ$1)*(RF!$H$21:$AO$21="RF Lead"),RF!$H$2:$AO$17)</f>
        <v>0</v>
      </c>
      <c r="AK9" s="250">
        <f>SUMPRODUCT((RF!$A$2:$A$17=$A9)*(RFEmp=AK$1)*(RF!$H$21:$AO$21="RF Lead"),RF!$H$2:$AO$17)</f>
        <v>0</v>
      </c>
      <c r="AL9" s="250">
        <f>SUMPRODUCT((RF!$A$2:$A$17=$A9)*(RFEmp=AL$1)*(RF!$H$21:$AO$21="RF Lead"),RF!$H$2:$AO$17)</f>
        <v>0</v>
      </c>
      <c r="AM9" s="250">
        <f>SUMPRODUCT((RF!$A$2:$A$17=$A9)*(RFEmp=AM$1)*(RF!$H$21:$AO$21="RF Lead"),RF!$H$2:$AO$17)</f>
        <v>0</v>
      </c>
      <c r="AN9" s="250">
        <f>SUMPRODUCT((RF!$A$2:$A$17=$A9)*(RFEmp=AN$1)*(RF!$H$21:$AO$21="RF Lead"),RF!$H$2:$AO$17)</f>
        <v>0</v>
      </c>
      <c r="AO9" s="250">
        <f>SUMPRODUCT((RF!$A$2:$A$17=$A9)*(RFEmp=AO$1)*(RF!$H$21:$AO$21="RF Lead"),RF!$H$2:$AO$17)</f>
        <v>0</v>
      </c>
      <c r="AP9" s="250">
        <f>SUMPRODUCT((RF!$A$2:$A$17=$A9)*(RFEmp=AP$1)*(RF!$H$21:$AO$21="RF Lead"),RF!$H$2:$AO$17)</f>
        <v>0</v>
      </c>
      <c r="AQ9" s="250">
        <f>SUMPRODUCT((RF!$A$2:$A$17=$A9)*(RFEmp=AQ$1)*(RF!$H$21:$AO$21="RF Lead"),RF!$H$2:$AO$17)</f>
        <v>0</v>
      </c>
      <c r="AR9" s="496">
        <f>SUMPRODUCT((RF!$A$2:$A$17=$A9)*(RFEmp=AR$1)*(RF!$H$21:$AO$21="RF Lead"),RF!$H$2:$AO$17)</f>
        <v>0</v>
      </c>
    </row>
    <row r="10" spans="1:44" x14ac:dyDescent="0.2">
      <c r="A10" s="260">
        <f t="shared" si="0"/>
        <v>42461</v>
      </c>
      <c r="B10" s="261" t="str">
        <f>Total!$M$1</f>
        <v>SC</v>
      </c>
      <c r="C10" s="249">
        <f>SUMPRODUCT((SC!$A$2:$A$34=$A10)*(SCEmp=C$1),SC!$F$2:$Z$34)</f>
        <v>0</v>
      </c>
      <c r="D10" s="250">
        <f>SUMPRODUCT((SC!$A$2:$A$34=$A10)*(SCEmp=D$1),SC!$F$2:$Z$34)</f>
        <v>0</v>
      </c>
      <c r="E10" s="250">
        <f>SUMPRODUCT((SC!$A$2:$A$34=$A10)*(SCEmp=E$1),SC!$F$2:$Z$34)</f>
        <v>0</v>
      </c>
      <c r="F10" s="250">
        <f>SUMPRODUCT((SC!$A$2:$A$34=$A10)*(SCEmp=F$1),SC!$F$2:$Z$34)</f>
        <v>0</v>
      </c>
      <c r="G10" s="250">
        <f>SUMPRODUCT((SC!$A$2:$A$34=$A10)*(SCEmp=G$1),SC!$F$2:$Z$34)</f>
        <v>0</v>
      </c>
      <c r="H10" s="250">
        <f>SUMPRODUCT((SC!$A$2:$A$34=$A10)*(SCEmp=H$1),SC!$F$2:$Z$34)</f>
        <v>0</v>
      </c>
      <c r="I10" s="250">
        <f>SUMPRODUCT((SC!$A$2:$A$34=$A10)*(SCEmp=I$1),SC!$F$2:$Z$34)</f>
        <v>0</v>
      </c>
      <c r="J10" s="250">
        <f>SUMPRODUCT((SC!$A$2:$A$34=$A10)*(SCEmp=J$1),SC!$F$2:$Z$34)</f>
        <v>0</v>
      </c>
      <c r="K10" s="250">
        <f>SUMPRODUCT((SC!$A$2:$A$34=$A10)*(SCEmp=K$1),SC!$F$2:$Z$34)</f>
        <v>0</v>
      </c>
      <c r="L10" s="250">
        <f>SUMPRODUCT((SC!$A$2:$A$34=$A10)*(SCEmp=L$1),SC!$F$2:$Z$34)</f>
        <v>0</v>
      </c>
      <c r="M10" s="250">
        <f>SUMPRODUCT((SC!$A$2:$A$34=$A10)*(SCEmp=M$1),SC!$F$2:$Z$34)</f>
        <v>0</v>
      </c>
      <c r="N10" s="250">
        <f>SUMPRODUCT((SC!$A$2:$A$34=$A10)*(SCEmp=N$1),SC!$F$2:$Z$34)</f>
        <v>0</v>
      </c>
      <c r="O10" s="250">
        <f>SUMPRODUCT((SC!$A$2:$A$34=$A10)*(SCEmp=O$1),SC!$F$2:$Z$34)</f>
        <v>0</v>
      </c>
      <c r="P10" s="250">
        <f>SUMPRODUCT((SC!$A$2:$A$34=$A10)*(SCEmp=P$1),SC!$F$2:$Z$34)</f>
        <v>0</v>
      </c>
      <c r="Q10" s="250">
        <f>SUMPRODUCT((SC!$A$2:$A$34=$A10)*(SCEmp=Q$1),SC!$F$2:$Z$34)</f>
        <v>0</v>
      </c>
      <c r="R10" s="250">
        <f>SUMPRODUCT((SC!$A$2:$A$34=$A10)*(SCEmp=R$1),SC!$F$2:$Z$34)</f>
        <v>0</v>
      </c>
      <c r="S10" s="250">
        <f>SUMPRODUCT((SC!$A$2:$A$34=$A10)*(SCEmp=S$1),SC!$F$2:$Z$34)</f>
        <v>0</v>
      </c>
      <c r="T10" s="250">
        <f>SUMPRODUCT((SC!$A$2:$A$34=$A10)*(SCEmp=T$1),SC!$F$2:$Z$34)</f>
        <v>0</v>
      </c>
      <c r="U10" s="250">
        <f>SUMPRODUCT((SC!$A$2:$A$34=$A10)*(SCEmp=U$1),SC!$F$2:$Z$34)</f>
        <v>0</v>
      </c>
      <c r="V10" s="250">
        <f>SUMPRODUCT((SC!$A$2:$A$34=$A10)*(SCEmp=V$1),SC!$F$2:$Z$34)</f>
        <v>0</v>
      </c>
      <c r="W10" s="250">
        <f>SUMPRODUCT((SC!$A$2:$A$34=$A10)*(SCEmp=W$1),SC!$F$2:$Z$34)</f>
        <v>0</v>
      </c>
      <c r="X10" s="250">
        <f>SUMPRODUCT((SC!$A$2:$A$34=$A10)*(SCEmp=X$1),SC!$F$2:$Z$34)</f>
        <v>0</v>
      </c>
      <c r="Y10" s="250">
        <f>SUMPRODUCT((SC!$A$2:$A$34=$A10)*(SCEmp=Y$1),SC!$F$2:$Z$34)</f>
        <v>0</v>
      </c>
      <c r="Z10" s="250">
        <f>SUMPRODUCT((SC!$A$2:$A$34=$A10)*(SCEmp=Z$1),SC!$F$2:$Z$34)</f>
        <v>0</v>
      </c>
      <c r="AA10" s="250">
        <f>SUMPRODUCT((SC!$A$2:$A$34=$A10)*(SCEmp=AA$1),SC!$F$2:$Z$34)</f>
        <v>0</v>
      </c>
      <c r="AB10" s="250">
        <f>SUMPRODUCT((SC!$A$2:$A$34=$A10)*(SCEmp=AB$1),SC!$F$2:$Z$34)</f>
        <v>0</v>
      </c>
      <c r="AC10" s="250">
        <f>SUMPRODUCT((SC!$A$2:$A$34=$A10)*(SCEmp=AC$1),SC!$F$2:$Z$34)</f>
        <v>0</v>
      </c>
      <c r="AD10" s="250">
        <f>SUMPRODUCT((SC!$A$2:$A$34=$A10)*(SCEmp=AD$1),SC!$F$2:$Z$34)</f>
        <v>0</v>
      </c>
      <c r="AE10" s="250">
        <f>SUMPRODUCT((SC!$A$2:$A$34=$A10)*(SCEmp=AE$1),SC!$F$2:$Z$34)</f>
        <v>0</v>
      </c>
      <c r="AF10" s="250">
        <f>SUMPRODUCT((SC!$A$2:$A$34=$A10)*(SCEmp=AF$1),SC!$F$2:$Z$34)</f>
        <v>0</v>
      </c>
      <c r="AG10" s="250">
        <f>SUMPRODUCT((SC!$A$2:$A$34=$A10)*(SCEmp=AG$1),SC!$F$2:$Z$34)</f>
        <v>0</v>
      </c>
      <c r="AH10" s="250">
        <f>SUMPRODUCT((SC!$A$2:$A$34=$A10)*(SCEmp=AH$1),SC!$F$2:$Z$34)</f>
        <v>0</v>
      </c>
      <c r="AI10" s="250">
        <f>SUMPRODUCT((SC!$A$2:$A$34=$A10)*(SCEmp=AI$1),SC!$F$2:$Z$34)</f>
        <v>0</v>
      </c>
      <c r="AJ10" s="250">
        <f>SUMPRODUCT((SC!$A$2:$A$34=$A10)*(SCEmp=AJ$1),SC!$F$2:$Z$34)</f>
        <v>0</v>
      </c>
      <c r="AK10" s="250">
        <f>SUMPRODUCT((SC!$A$2:$A$34=$A10)*(SCEmp=AK$1),SC!$F$2:$Z$34)</f>
        <v>0</v>
      </c>
      <c r="AL10" s="250">
        <f>SUMPRODUCT((SC!$A$2:$A$34=$A10)*(SCEmp=AL$1),SC!$F$2:$Z$34)</f>
        <v>0</v>
      </c>
      <c r="AM10" s="250">
        <f>SUMPRODUCT((SC!$A$2:$A$34=$A10)*(SCEmp=AM$1),SC!$F$2:$Z$34)</f>
        <v>0</v>
      </c>
      <c r="AN10" s="250">
        <f>SUMPRODUCT((SC!$A$2:$A$34=$A10)*(SCEmp=AN$1),SC!$F$2:$Z$34)</f>
        <v>0</v>
      </c>
      <c r="AO10" s="250">
        <f>SUMPRODUCT((SC!$A$2:$A$34=$A10)*(SCEmp=AO$1),SC!$F$2:$Z$34)</f>
        <v>0</v>
      </c>
      <c r="AP10" s="250">
        <f>SUMPRODUCT((SC!$A$2:$A$34=$A10)*(SCEmp=AP$1),SC!$F$2:$Z$34)</f>
        <v>0</v>
      </c>
      <c r="AQ10" s="250">
        <f>SUMPRODUCT((SC!$A$2:$A$34=$A10)*(SCEmp=AQ$1),SC!$F$2:$Z$34)</f>
        <v>0</v>
      </c>
      <c r="AR10" s="496">
        <f>SUMPRODUCT((SC!$A$2:$A$34=$A10)*(SCEmp=AR$1),SC!$F$2:$Z$34)</f>
        <v>0</v>
      </c>
    </row>
    <row r="11" spans="1:44" x14ac:dyDescent="0.2">
      <c r="A11" s="262">
        <f t="shared" si="0"/>
        <v>42461</v>
      </c>
      <c r="B11" s="263" t="s">
        <v>87</v>
      </c>
      <c r="C11" s="264">
        <f t="shared" ref="C11:AR11" si="1">IF(SUM(C2:C10)&gt;8,SUM(C2:C10)-8,0)+IF(SUM(C2:C10)&gt;12,SUM(C2:C10)-12,0)</f>
        <v>0</v>
      </c>
      <c r="D11" s="265">
        <f t="shared" si="1"/>
        <v>0</v>
      </c>
      <c r="E11" s="265">
        <f t="shared" si="1"/>
        <v>0</v>
      </c>
      <c r="F11" s="265">
        <f t="shared" si="1"/>
        <v>0</v>
      </c>
      <c r="G11" s="265">
        <f t="shared" si="1"/>
        <v>0</v>
      </c>
      <c r="H11" s="265">
        <f t="shared" si="1"/>
        <v>0</v>
      </c>
      <c r="I11" s="265">
        <f t="shared" si="1"/>
        <v>0</v>
      </c>
      <c r="J11" s="265">
        <f t="shared" si="1"/>
        <v>0</v>
      </c>
      <c r="K11" s="265">
        <f t="shared" si="1"/>
        <v>0</v>
      </c>
      <c r="L11" s="265">
        <f t="shared" si="1"/>
        <v>0</v>
      </c>
      <c r="M11" s="265">
        <f t="shared" si="1"/>
        <v>0</v>
      </c>
      <c r="N11" s="265">
        <f t="shared" si="1"/>
        <v>0</v>
      </c>
      <c r="O11" s="265">
        <f t="shared" si="1"/>
        <v>0</v>
      </c>
      <c r="P11" s="265">
        <f t="shared" si="1"/>
        <v>0</v>
      </c>
      <c r="Q11" s="265">
        <f t="shared" si="1"/>
        <v>0</v>
      </c>
      <c r="R11" s="265">
        <f t="shared" si="1"/>
        <v>0</v>
      </c>
      <c r="S11" s="265">
        <f t="shared" si="1"/>
        <v>0</v>
      </c>
      <c r="T11" s="265">
        <f t="shared" si="1"/>
        <v>0</v>
      </c>
      <c r="U11" s="265">
        <f t="shared" si="1"/>
        <v>0</v>
      </c>
      <c r="V11" s="265">
        <f t="shared" si="1"/>
        <v>0</v>
      </c>
      <c r="W11" s="265">
        <f t="shared" si="1"/>
        <v>0</v>
      </c>
      <c r="X11" s="265">
        <f t="shared" si="1"/>
        <v>0</v>
      </c>
      <c r="Y11" s="265">
        <f t="shared" si="1"/>
        <v>0</v>
      </c>
      <c r="Z11" s="265">
        <f t="shared" si="1"/>
        <v>0</v>
      </c>
      <c r="AA11" s="265">
        <f t="shared" si="1"/>
        <v>0</v>
      </c>
      <c r="AB11" s="265">
        <f t="shared" si="1"/>
        <v>0</v>
      </c>
      <c r="AC11" s="265">
        <f t="shared" si="1"/>
        <v>0</v>
      </c>
      <c r="AD11" s="265">
        <f t="shared" si="1"/>
        <v>0</v>
      </c>
      <c r="AE11" s="265">
        <f t="shared" si="1"/>
        <v>0</v>
      </c>
      <c r="AF11" s="265">
        <f t="shared" si="1"/>
        <v>0</v>
      </c>
      <c r="AG11" s="265">
        <f t="shared" si="1"/>
        <v>0</v>
      </c>
      <c r="AH11" s="265">
        <f t="shared" si="1"/>
        <v>0</v>
      </c>
      <c r="AI11" s="265">
        <f t="shared" si="1"/>
        <v>0</v>
      </c>
      <c r="AJ11" s="265">
        <f t="shared" si="1"/>
        <v>0</v>
      </c>
      <c r="AK11" s="265">
        <f t="shared" si="1"/>
        <v>0</v>
      </c>
      <c r="AL11" s="265">
        <f t="shared" si="1"/>
        <v>0</v>
      </c>
      <c r="AM11" s="265">
        <f t="shared" si="1"/>
        <v>0</v>
      </c>
      <c r="AN11" s="265">
        <f t="shared" si="1"/>
        <v>0</v>
      </c>
      <c r="AO11" s="265">
        <f t="shared" ref="AO11:AP11" si="2">IF(SUM(AO2:AO10)&gt;8,SUM(AO2:AO10)-8,0)+IF(SUM(AO2:AO10)&gt;12,SUM(AO2:AO10)-12,0)</f>
        <v>0</v>
      </c>
      <c r="AP11" s="265">
        <f t="shared" si="2"/>
        <v>0</v>
      </c>
      <c r="AQ11" s="265">
        <f t="shared" ref="AQ11" si="3">IF(SUM(AQ2:AQ10)&gt;8,SUM(AQ2:AQ10)-8,0)+IF(SUM(AQ2:AQ10)&gt;12,SUM(AQ2:AQ10)-12,0)</f>
        <v>0</v>
      </c>
      <c r="AR11" s="498">
        <f t="shared" si="1"/>
        <v>0</v>
      </c>
    </row>
    <row r="12" spans="1:44" x14ac:dyDescent="0.2">
      <c r="A12" s="266">
        <f t="shared" si="0"/>
        <v>42461</v>
      </c>
      <c r="B12" s="267" t="s">
        <v>86</v>
      </c>
      <c r="C12" s="268">
        <f t="shared" ref="C12:AR12" si="4">IFERROR((C$179*SUM(C2:C7)+C$180*SUM(C8:C10))/SUM(C2:C10)/2,0)*C11</f>
        <v>0</v>
      </c>
      <c r="D12" s="269">
        <f t="shared" si="4"/>
        <v>0</v>
      </c>
      <c r="E12" s="269">
        <f t="shared" si="4"/>
        <v>0</v>
      </c>
      <c r="F12" s="269">
        <f t="shared" si="4"/>
        <v>0</v>
      </c>
      <c r="G12" s="269">
        <f t="shared" si="4"/>
        <v>0</v>
      </c>
      <c r="H12" s="269">
        <f t="shared" si="4"/>
        <v>0</v>
      </c>
      <c r="I12" s="269">
        <f t="shared" si="4"/>
        <v>0</v>
      </c>
      <c r="J12" s="269">
        <f t="shared" si="4"/>
        <v>0</v>
      </c>
      <c r="K12" s="269">
        <f t="shared" si="4"/>
        <v>0</v>
      </c>
      <c r="L12" s="269">
        <f t="shared" si="4"/>
        <v>0</v>
      </c>
      <c r="M12" s="269">
        <f t="shared" si="4"/>
        <v>0</v>
      </c>
      <c r="N12" s="269">
        <f t="shared" si="4"/>
        <v>0</v>
      </c>
      <c r="O12" s="269">
        <f t="shared" si="4"/>
        <v>0</v>
      </c>
      <c r="P12" s="269">
        <f t="shared" si="4"/>
        <v>0</v>
      </c>
      <c r="Q12" s="269">
        <f t="shared" si="4"/>
        <v>0</v>
      </c>
      <c r="R12" s="269">
        <f t="shared" si="4"/>
        <v>0</v>
      </c>
      <c r="S12" s="269">
        <f t="shared" si="4"/>
        <v>0</v>
      </c>
      <c r="T12" s="269">
        <f t="shared" si="4"/>
        <v>0</v>
      </c>
      <c r="U12" s="269">
        <f t="shared" si="4"/>
        <v>0</v>
      </c>
      <c r="V12" s="269">
        <f t="shared" si="4"/>
        <v>0</v>
      </c>
      <c r="W12" s="269">
        <f t="shared" si="4"/>
        <v>0</v>
      </c>
      <c r="X12" s="269">
        <f t="shared" si="4"/>
        <v>0</v>
      </c>
      <c r="Y12" s="269">
        <f t="shared" si="4"/>
        <v>0</v>
      </c>
      <c r="Z12" s="269">
        <f t="shared" si="4"/>
        <v>0</v>
      </c>
      <c r="AA12" s="269">
        <f t="shared" si="4"/>
        <v>0</v>
      </c>
      <c r="AB12" s="269">
        <f t="shared" si="4"/>
        <v>0</v>
      </c>
      <c r="AC12" s="269">
        <f t="shared" si="4"/>
        <v>0</v>
      </c>
      <c r="AD12" s="269">
        <f t="shared" si="4"/>
        <v>0</v>
      </c>
      <c r="AE12" s="269">
        <f t="shared" si="4"/>
        <v>0</v>
      </c>
      <c r="AF12" s="269">
        <f t="shared" si="4"/>
        <v>0</v>
      </c>
      <c r="AG12" s="269">
        <f t="shared" si="4"/>
        <v>0</v>
      </c>
      <c r="AH12" s="269">
        <f t="shared" si="4"/>
        <v>0</v>
      </c>
      <c r="AI12" s="269">
        <f t="shared" si="4"/>
        <v>0</v>
      </c>
      <c r="AJ12" s="269">
        <f t="shared" si="4"/>
        <v>0</v>
      </c>
      <c r="AK12" s="269">
        <f t="shared" si="4"/>
        <v>0</v>
      </c>
      <c r="AL12" s="269">
        <f t="shared" si="4"/>
        <v>0</v>
      </c>
      <c r="AM12" s="269">
        <f t="shared" si="4"/>
        <v>0</v>
      </c>
      <c r="AN12" s="269">
        <f t="shared" si="4"/>
        <v>0</v>
      </c>
      <c r="AO12" s="269">
        <f t="shared" ref="AO12:AP12" si="5">IFERROR((AO$179*SUM(AO2:AO7)+AO$180*SUM(AO8:AO10))/SUM(AO2:AO10)/2,0)*AO11</f>
        <v>0</v>
      </c>
      <c r="AP12" s="269">
        <f t="shared" si="5"/>
        <v>0</v>
      </c>
      <c r="AQ12" s="269">
        <f t="shared" ref="AQ12" si="6">IFERROR((AQ$179*SUM(AQ2:AQ7)+AQ$180*SUM(AQ8:AQ10))/SUM(AQ2:AQ10)/2,0)*AQ11</f>
        <v>0</v>
      </c>
      <c r="AR12" s="499">
        <f t="shared" si="4"/>
        <v>0</v>
      </c>
    </row>
    <row r="13" spans="1:44" x14ac:dyDescent="0.2">
      <c r="A13" s="247">
        <f>A2+1</f>
        <v>42462</v>
      </c>
      <c r="B13" s="248" t="s">
        <v>77</v>
      </c>
      <c r="C13" s="249">
        <f>SUMPRODUCT((Driver!$A$2:$A$17=$A13)*(DriverEmp=C$1),Driver!$C$2:$V$17)</f>
        <v>0</v>
      </c>
      <c r="D13" s="250">
        <f>SUMPRODUCT((Driver!$A$2:$A$17=$A13)*(DriverEmp=D$1),Driver!$C$2:$V$17)</f>
        <v>0</v>
      </c>
      <c r="E13" s="250">
        <f>SUMPRODUCT((Driver!$A$2:$A$17=$A13)*(DriverEmp=E$1),Driver!$C$2:$V$17)</f>
        <v>0</v>
      </c>
      <c r="F13" s="250">
        <f>SUMPRODUCT((Driver!$A$2:$A$17=$A13)*(DriverEmp=F$1),Driver!$C$2:$V$17)</f>
        <v>0</v>
      </c>
      <c r="G13" s="250">
        <f>SUMPRODUCT((Driver!$A$2:$A$17=$A13)*(DriverEmp=G$1),Driver!$C$2:$V$17)</f>
        <v>0</v>
      </c>
      <c r="H13" s="250">
        <f>SUMPRODUCT((Driver!$A$2:$A$17=$A13)*(DriverEmp=H$1),Driver!$C$2:$V$17)</f>
        <v>0</v>
      </c>
      <c r="I13" s="250">
        <f>SUMPRODUCT((Driver!$A$2:$A$17=$A13)*(DriverEmp=I$1),Driver!$C$2:$V$17)</f>
        <v>0</v>
      </c>
      <c r="J13" s="250">
        <f>SUMPRODUCT((Driver!$A$2:$A$17=$A13)*(DriverEmp=J$1),Driver!$C$2:$V$17)</f>
        <v>0</v>
      </c>
      <c r="K13" s="250">
        <f>SUMPRODUCT((Driver!$A$2:$A$17=$A13)*(DriverEmp=K$1),Driver!$C$2:$V$17)</f>
        <v>0</v>
      </c>
      <c r="L13" s="250">
        <f>SUMPRODUCT((Driver!$A$2:$A$17=$A13)*(DriverEmp=L$1),Driver!$C$2:$V$17)</f>
        <v>0</v>
      </c>
      <c r="M13" s="250">
        <f>SUMPRODUCT((Driver!$A$2:$A$17=$A13)*(DriverEmp=M$1),Driver!$C$2:$V$17)</f>
        <v>0</v>
      </c>
      <c r="N13" s="250">
        <f>SUMPRODUCT((Driver!$A$2:$A$17=$A13)*(DriverEmp=N$1),Driver!$C$2:$V$17)</f>
        <v>0</v>
      </c>
      <c r="O13" s="250">
        <f>SUMPRODUCT((Driver!$A$2:$A$17=$A13)*(DriverEmp=O$1),Driver!$C$2:$V$17)</f>
        <v>0</v>
      </c>
      <c r="P13" s="250">
        <f>SUMPRODUCT((Driver!$A$2:$A$17=$A13)*(DriverEmp=P$1),Driver!$C$2:$V$17)</f>
        <v>0</v>
      </c>
      <c r="Q13" s="250">
        <f>SUMPRODUCT((Driver!$A$2:$A$17=$A13)*(DriverEmp=Q$1),Driver!$C$2:$V$17)</f>
        <v>0</v>
      </c>
      <c r="R13" s="250">
        <f>SUMPRODUCT((Driver!$A$2:$A$17=$A13)*(DriverEmp=R$1),Driver!$C$2:$V$17)</f>
        <v>0</v>
      </c>
      <c r="S13" s="250">
        <f>SUMPRODUCT((Driver!$A$2:$A$17=$A13)*(DriverEmp=S$1),Driver!$C$2:$V$17)</f>
        <v>0</v>
      </c>
      <c r="T13" s="250">
        <f>SUMPRODUCT((Driver!$A$2:$A$17=$A13)*(DriverEmp=T$1),Driver!$C$2:$V$17)</f>
        <v>0</v>
      </c>
      <c r="U13" s="250">
        <f>SUMPRODUCT((Driver!$A$2:$A$17=$A13)*(DriverEmp=U$1),Driver!$C$2:$V$17)</f>
        <v>0</v>
      </c>
      <c r="V13" s="250">
        <f>SUMPRODUCT((Driver!$A$2:$A$17=$A13)*(DriverEmp=V$1),Driver!$C$2:$V$17)</f>
        <v>0</v>
      </c>
      <c r="W13" s="250">
        <f>SUMPRODUCT((Driver!$A$2:$A$17=$A13)*(DriverEmp=W$1),Driver!$C$2:$V$17)</f>
        <v>0</v>
      </c>
      <c r="X13" s="250">
        <f>SUMPRODUCT((Driver!$A$2:$A$17=$A13)*(DriverEmp=X$1),Driver!$C$2:$V$17)</f>
        <v>0</v>
      </c>
      <c r="Y13" s="250">
        <f>SUMPRODUCT((Driver!$A$2:$A$17=$A13)*(DriverEmp=Y$1),Driver!$C$2:$V$17)</f>
        <v>0</v>
      </c>
      <c r="Z13" s="250">
        <f>SUMPRODUCT((Driver!$A$2:$A$17=$A13)*(DriverEmp=Z$1),Driver!$C$2:$V$17)</f>
        <v>0</v>
      </c>
      <c r="AA13" s="250">
        <f>SUMPRODUCT((Driver!$A$2:$A$17=$A13)*(DriverEmp=AA$1),Driver!$C$2:$V$17)</f>
        <v>0</v>
      </c>
      <c r="AB13" s="250">
        <f>SUMPRODUCT((Driver!$A$2:$A$17=$A13)*(DriverEmp=AB$1),Driver!$C$2:$V$17)</f>
        <v>0</v>
      </c>
      <c r="AC13" s="250">
        <f>SUMPRODUCT((Driver!$A$2:$A$17=$A13)*(DriverEmp=AC$1),Driver!$C$2:$V$17)</f>
        <v>0</v>
      </c>
      <c r="AD13" s="250">
        <f>SUMPRODUCT((Driver!$A$2:$A$17=$A13)*(DriverEmp=AD$1),Driver!$C$2:$V$17)</f>
        <v>0</v>
      </c>
      <c r="AE13" s="250">
        <f>SUMPRODUCT((Driver!$A$2:$A$17=$A13)*(DriverEmp=AE$1),Driver!$C$2:$V$17)</f>
        <v>0</v>
      </c>
      <c r="AF13" s="250">
        <f>SUMPRODUCT((Driver!$A$2:$A$17=$A13)*(DriverEmp=AF$1),Driver!$C$2:$V$17)</f>
        <v>0</v>
      </c>
      <c r="AG13" s="250">
        <f>SUMPRODUCT((Driver!$A$2:$A$17=$A13)*(DriverEmp=AG$1),Driver!$C$2:$V$17)</f>
        <v>0</v>
      </c>
      <c r="AH13" s="250">
        <f>SUMPRODUCT((Driver!$A$2:$A$17=$A13)*(DriverEmp=AH$1),Driver!$C$2:$V$17)</f>
        <v>0</v>
      </c>
      <c r="AI13" s="250">
        <f>SUMPRODUCT((Driver!$A$2:$A$17=$A13)*(DriverEmp=AI$1),Driver!$C$2:$V$17)</f>
        <v>0</v>
      </c>
      <c r="AJ13" s="250">
        <f>SUMPRODUCT((Driver!$A$2:$A$17=$A13)*(DriverEmp=AJ$1),Driver!$C$2:$V$17)</f>
        <v>0</v>
      </c>
      <c r="AK13" s="250">
        <f>SUMPRODUCT((Driver!$A$2:$A$17=$A13)*(DriverEmp=AK$1),Driver!$C$2:$V$17)</f>
        <v>0</v>
      </c>
      <c r="AL13" s="250">
        <f>SUMPRODUCT((Driver!$A$2:$A$17=$A13)*(DriverEmp=AL$1),Driver!$C$2:$V$17)</f>
        <v>0</v>
      </c>
      <c r="AM13" s="250">
        <f>SUMPRODUCT((Driver!$A$2:$A$17=$A13)*(DriverEmp=AM$1),Driver!$C$2:$V$17)</f>
        <v>0</v>
      </c>
      <c r="AN13" s="250">
        <f>SUMPRODUCT((Driver!$A$2:$A$17=$A13)*(DriverEmp=AN$1),Driver!$C$2:$V$17)</f>
        <v>0</v>
      </c>
      <c r="AO13" s="250">
        <f>SUMPRODUCT((Driver!$A$2:$A$17=$A13)*(DriverEmp=AO$1),Driver!$C$2:$V$17)</f>
        <v>0</v>
      </c>
      <c r="AP13" s="250">
        <f>SUMPRODUCT((Driver!$A$2:$A$17=$A13)*(DriverEmp=AP$1),Driver!$C$2:$V$17)</f>
        <v>0</v>
      </c>
      <c r="AQ13" s="250">
        <f>SUMPRODUCT((Driver!$A$2:$A$17=$A13)*(DriverEmp=AQ$1),Driver!$C$2:$V$17)</f>
        <v>0</v>
      </c>
      <c r="AR13" s="496">
        <f>SUMPRODUCT((Driver!$A$2:$A$17=$A13)*(DriverEmp=AR$1),Driver!$C$2:$V$17)</f>
        <v>0</v>
      </c>
    </row>
    <row r="14" spans="1:44" x14ac:dyDescent="0.2">
      <c r="A14" s="247">
        <f>A13</f>
        <v>42462</v>
      </c>
      <c r="B14" s="251" t="str">
        <f>Total!$H$1</f>
        <v>PP</v>
      </c>
      <c r="C14" s="249">
        <f>SUMPRODUCT((PP!$A$2:$A$80=$A14)*(PPEmp=C$1),PP!$D$2:$BD$80)</f>
        <v>0</v>
      </c>
      <c r="D14" s="250">
        <f>SUMPRODUCT((PP!$A$2:$A$80=$A14)*(PPEmp=D$1),PP!$D$2:$BD$80)</f>
        <v>0</v>
      </c>
      <c r="E14" s="250">
        <f>SUMPRODUCT((PP!$A$2:$A$80=$A14)*(PPEmp=E$1),PP!$D$2:$BD$80)</f>
        <v>0</v>
      </c>
      <c r="F14" s="250">
        <f>SUMPRODUCT((PP!$A$2:$A$80=$A14)*(PPEmp=F$1),PP!$D$2:$BD$80)</f>
        <v>0</v>
      </c>
      <c r="G14" s="250">
        <f>SUMPRODUCT((PP!$A$2:$A$80=$A14)*(PPEmp=G$1),PP!$D$2:$BD$80)</f>
        <v>0</v>
      </c>
      <c r="H14" s="250">
        <f>SUMPRODUCT((PP!$A$2:$A$80=$A14)*(PPEmp=H$1),PP!$D$2:$BD$80)</f>
        <v>0</v>
      </c>
      <c r="I14" s="250">
        <f>SUMPRODUCT((PP!$A$2:$A$80=$A14)*(PPEmp=I$1),PP!$D$2:$BD$80)</f>
        <v>0</v>
      </c>
      <c r="J14" s="250">
        <f>SUMPRODUCT((PP!$A$2:$A$80=$A14)*(PPEmp=J$1),PP!$D$2:$BD$80)</f>
        <v>0</v>
      </c>
      <c r="K14" s="250">
        <f>SUMPRODUCT((PP!$A$2:$A$80=$A14)*(PPEmp=K$1),PP!$D$2:$BD$80)</f>
        <v>0</v>
      </c>
      <c r="L14" s="250">
        <f>SUMPRODUCT((PP!$A$2:$A$80=$A14)*(PPEmp=L$1),PP!$D$2:$BD$80)</f>
        <v>0</v>
      </c>
      <c r="M14" s="250">
        <f>SUMPRODUCT((PP!$A$2:$A$80=$A14)*(PPEmp=M$1),PP!$D$2:$BD$80)</f>
        <v>0</v>
      </c>
      <c r="N14" s="250">
        <f>SUMPRODUCT((PP!$A$2:$A$80=$A14)*(PPEmp=N$1),PP!$D$2:$BD$80)</f>
        <v>0</v>
      </c>
      <c r="O14" s="250">
        <f>SUMPRODUCT((PP!$A$2:$A$80=$A14)*(PPEmp=O$1),PP!$D$2:$BD$80)</f>
        <v>0</v>
      </c>
      <c r="P14" s="250">
        <f>SUMPRODUCT((PP!$A$2:$A$80=$A14)*(PPEmp=P$1),PP!$D$2:$BD$80)</f>
        <v>0</v>
      </c>
      <c r="Q14" s="250">
        <f>SUMPRODUCT((PP!$A$2:$A$80=$A14)*(PPEmp=Q$1),PP!$D$2:$BD$80)</f>
        <v>0</v>
      </c>
      <c r="R14" s="250">
        <f>SUMPRODUCT((PP!$A$2:$A$80=$A14)*(PPEmp=R$1),PP!$D$2:$BD$80)</f>
        <v>0</v>
      </c>
      <c r="S14" s="250">
        <f>SUMPRODUCT((PP!$A$2:$A$80=$A14)*(PPEmp=S$1),PP!$D$2:$BD$80)</f>
        <v>0</v>
      </c>
      <c r="T14" s="250">
        <f>SUMPRODUCT((PP!$A$2:$A$80=$A14)*(PPEmp=T$1),PP!$D$2:$BD$80)</f>
        <v>0</v>
      </c>
      <c r="U14" s="250">
        <f>SUMPRODUCT((PP!$A$2:$A$80=$A14)*(PPEmp=U$1),PP!$D$2:$BD$80)</f>
        <v>0</v>
      </c>
      <c r="V14" s="250">
        <f>SUMPRODUCT((PP!$A$2:$A$80=$A14)*(PPEmp=V$1),PP!$D$2:$BD$80)</f>
        <v>0</v>
      </c>
      <c r="W14" s="250">
        <f>SUMPRODUCT((PP!$A$2:$A$80=$A14)*(PPEmp=W$1),PP!$D$2:$BD$80)</f>
        <v>0</v>
      </c>
      <c r="X14" s="250">
        <f>SUMPRODUCT((PP!$A$2:$A$80=$A14)*(PPEmp=X$1),PP!$D$2:$BD$80)</f>
        <v>0</v>
      </c>
      <c r="Y14" s="250">
        <f>SUMPRODUCT((PP!$A$2:$A$80=$A14)*(PPEmp=Y$1),PP!$D$2:$BD$80)</f>
        <v>0</v>
      </c>
      <c r="Z14" s="250">
        <f>SUMPRODUCT((PP!$A$2:$A$80=$A14)*(PPEmp=Z$1),PP!$D$2:$BD$80)</f>
        <v>0</v>
      </c>
      <c r="AA14" s="250">
        <f>SUMPRODUCT((PP!$A$2:$A$80=$A14)*(PPEmp=AA$1),PP!$D$2:$BD$80)</f>
        <v>0</v>
      </c>
      <c r="AB14" s="250">
        <f>SUMPRODUCT((PP!$A$2:$A$80=$A14)*(PPEmp=AB$1),PP!$D$2:$BD$80)</f>
        <v>0</v>
      </c>
      <c r="AC14" s="250">
        <f>SUMPRODUCT((PP!$A$2:$A$80=$A14)*(PPEmp=AC$1),PP!$D$2:$BD$80)</f>
        <v>0</v>
      </c>
      <c r="AD14" s="250">
        <f>SUMPRODUCT((PP!$A$2:$A$80=$A14)*(PPEmp=AD$1),PP!$D$2:$BD$80)</f>
        <v>0</v>
      </c>
      <c r="AE14" s="250">
        <f>SUMPRODUCT((PP!$A$2:$A$80=$A14)*(PPEmp=AE$1),PP!$D$2:$BD$80)</f>
        <v>0</v>
      </c>
      <c r="AF14" s="250">
        <f>SUMPRODUCT((PP!$A$2:$A$80=$A14)*(PPEmp=AF$1),PP!$D$2:$BD$80)</f>
        <v>0</v>
      </c>
      <c r="AG14" s="250">
        <f>SUMPRODUCT((PP!$A$2:$A$80=$A14)*(PPEmp=AG$1),PP!$D$2:$BD$80)</f>
        <v>0</v>
      </c>
      <c r="AH14" s="250">
        <f>SUMPRODUCT((PP!$A$2:$A$80=$A14)*(PPEmp=AH$1),PP!$D$2:$BD$80)</f>
        <v>0</v>
      </c>
      <c r="AI14" s="250">
        <f>SUMPRODUCT((PP!$A$2:$A$80=$A14)*(PPEmp=AI$1),PP!$D$2:$BD$80)</f>
        <v>0</v>
      </c>
      <c r="AJ14" s="250">
        <f>SUMPRODUCT((PP!$A$2:$A$80=$A14)*(PPEmp=AJ$1),PP!$D$2:$BD$80)</f>
        <v>0</v>
      </c>
      <c r="AK14" s="250">
        <f>SUMPRODUCT((PP!$A$2:$A$80=$A14)*(PPEmp=AK$1),PP!$D$2:$BD$80)</f>
        <v>0</v>
      </c>
      <c r="AL14" s="250">
        <f>SUMPRODUCT((PP!$A$2:$A$80=$A14)*(PPEmp=AL$1),PP!$D$2:$BD$80)</f>
        <v>0</v>
      </c>
      <c r="AM14" s="250">
        <f>SUMPRODUCT((PP!$A$2:$A$80=$A14)*(PPEmp=AM$1),PP!$D$2:$BD$80)</f>
        <v>0</v>
      </c>
      <c r="AN14" s="250">
        <f>SUMPRODUCT((PP!$A$2:$A$80=$A14)*(PPEmp=AN$1),PP!$D$2:$BD$80)</f>
        <v>0</v>
      </c>
      <c r="AO14" s="250">
        <f>SUMPRODUCT((PP!$A$2:$A$80=$A14)*(PPEmp=AO$1),PP!$D$2:$BD$80)</f>
        <v>0</v>
      </c>
      <c r="AP14" s="250">
        <f>SUMPRODUCT((PP!$A$2:$A$80=$A14)*(PPEmp=AP$1),PP!$D$2:$BD$80)</f>
        <v>0</v>
      </c>
      <c r="AQ14" s="250">
        <f>SUMPRODUCT((PP!$A$2:$A$80=$A14)*(PPEmp=AQ$1),PP!$D$2:$BD$80)</f>
        <v>0</v>
      </c>
      <c r="AR14" s="496">
        <f>SUMPRODUCT((PP!$A$2:$A$80=$A14)*(PPEmp=AR$1),PP!$D$2:$BD$80)</f>
        <v>0</v>
      </c>
    </row>
    <row r="15" spans="1:44" x14ac:dyDescent="0.2">
      <c r="A15" s="247">
        <f t="shared" ref="A15:A23" si="7">A14</f>
        <v>42462</v>
      </c>
      <c r="B15" s="252" t="str">
        <f>Total!$J$1</f>
        <v>FH</v>
      </c>
      <c r="C15" s="249">
        <f>SUMPRODUCT((FH!$A$2:$A$97=$A15)*(FHEmp=C$1),FH!$E$2:$AZ$97)</f>
        <v>0</v>
      </c>
      <c r="D15" s="250">
        <f>SUMPRODUCT((FH!$A$2:$A$97=$A15)*(FHEmp=D$1),FH!$E$2:$AZ$97)</f>
        <v>0</v>
      </c>
      <c r="E15" s="250">
        <f>SUMPRODUCT((FH!$A$2:$A$97=$A15)*(FHEmp=E$1),FH!$E$2:$AZ$97)</f>
        <v>0</v>
      </c>
      <c r="F15" s="250">
        <f>SUMPRODUCT((FH!$A$2:$A$97=$A15)*(FHEmp=F$1),FH!$E$2:$AZ$97)</f>
        <v>0</v>
      </c>
      <c r="G15" s="250">
        <f>SUMPRODUCT((FH!$A$2:$A$97=$A15)*(FHEmp=G$1),FH!$E$2:$AZ$97)</f>
        <v>0</v>
      </c>
      <c r="H15" s="250">
        <f>SUMPRODUCT((FH!$A$2:$A$97=$A15)*(FHEmp=H$1),FH!$E$2:$AZ$97)</f>
        <v>0</v>
      </c>
      <c r="I15" s="250">
        <f>SUMPRODUCT((FH!$A$2:$A$97=$A15)*(FHEmp=I$1),FH!$E$2:$AZ$97)</f>
        <v>0</v>
      </c>
      <c r="J15" s="250">
        <f>SUMPRODUCT((FH!$A$2:$A$97=$A15)*(FHEmp=J$1),FH!$E$2:$AZ$97)</f>
        <v>0</v>
      </c>
      <c r="K15" s="250">
        <f>SUMPRODUCT((FH!$A$2:$A$97=$A15)*(FHEmp=K$1),FH!$E$2:$AZ$97)</f>
        <v>0</v>
      </c>
      <c r="L15" s="250">
        <f>SUMPRODUCT((FH!$A$2:$A$97=$A15)*(FHEmp=L$1),FH!$E$2:$AZ$97)</f>
        <v>0</v>
      </c>
      <c r="M15" s="250">
        <f>SUMPRODUCT((FH!$A$2:$A$97=$A15)*(FHEmp=M$1),FH!$E$2:$AZ$97)</f>
        <v>0</v>
      </c>
      <c r="N15" s="250">
        <f>SUMPRODUCT((FH!$A$2:$A$97=$A15)*(FHEmp=N$1),FH!$E$2:$AZ$97)</f>
        <v>0</v>
      </c>
      <c r="O15" s="250">
        <f>SUMPRODUCT((FH!$A$2:$A$97=$A15)*(FHEmp=O$1),FH!$E$2:$AZ$97)</f>
        <v>0</v>
      </c>
      <c r="P15" s="250">
        <f>SUMPRODUCT((FH!$A$2:$A$97=$A15)*(FHEmp=P$1),FH!$E$2:$AZ$97)</f>
        <v>0</v>
      </c>
      <c r="Q15" s="250">
        <f>SUMPRODUCT((FH!$A$2:$A$97=$A15)*(FHEmp=Q$1),FH!$E$2:$AZ$97)</f>
        <v>0</v>
      </c>
      <c r="R15" s="250">
        <f>SUMPRODUCT((FH!$A$2:$A$97=$A15)*(FHEmp=R$1),FH!$E$2:$AZ$97)</f>
        <v>0</v>
      </c>
      <c r="S15" s="250">
        <f>SUMPRODUCT((FH!$A$2:$A$97=$A15)*(FHEmp=S$1),FH!$E$2:$AZ$97)</f>
        <v>0</v>
      </c>
      <c r="T15" s="250">
        <f>SUMPRODUCT((FH!$A$2:$A$97=$A15)*(FHEmp=T$1),FH!$E$2:$AZ$97)</f>
        <v>0</v>
      </c>
      <c r="U15" s="250">
        <f>SUMPRODUCT((FH!$A$2:$A$97=$A15)*(FHEmp=U$1),FH!$E$2:$AZ$97)</f>
        <v>0</v>
      </c>
      <c r="V15" s="250">
        <f>SUMPRODUCT((FH!$A$2:$A$97=$A15)*(FHEmp=V$1),FH!$E$2:$AZ$97)</f>
        <v>0</v>
      </c>
      <c r="W15" s="250">
        <f>SUMPRODUCT((FH!$A$2:$A$97=$A15)*(FHEmp=W$1),FH!$E$2:$AZ$97)</f>
        <v>0</v>
      </c>
      <c r="X15" s="250">
        <f>SUMPRODUCT((FH!$A$2:$A$97=$A15)*(FHEmp=X$1),FH!$E$2:$AZ$97)</f>
        <v>0</v>
      </c>
      <c r="Y15" s="250">
        <f>SUMPRODUCT((FH!$A$2:$A$97=$A15)*(FHEmp=Y$1),FH!$E$2:$AZ$97)</f>
        <v>0</v>
      </c>
      <c r="Z15" s="250">
        <f>SUMPRODUCT((FH!$A$2:$A$97=$A15)*(FHEmp=Z$1),FH!$E$2:$AZ$97)</f>
        <v>0</v>
      </c>
      <c r="AA15" s="250">
        <f>SUMPRODUCT((FH!$A$2:$A$97=$A15)*(FHEmp=AA$1),FH!$E$2:$AZ$97)</f>
        <v>0</v>
      </c>
      <c r="AB15" s="250">
        <f>SUMPRODUCT((FH!$A$2:$A$97=$A15)*(FHEmp=AB$1),FH!$E$2:$AZ$97)</f>
        <v>0</v>
      </c>
      <c r="AC15" s="250">
        <f>SUMPRODUCT((FH!$A$2:$A$97=$A15)*(FHEmp=AC$1),FH!$E$2:$AZ$97)</f>
        <v>0</v>
      </c>
      <c r="AD15" s="250">
        <f>SUMPRODUCT((FH!$A$2:$A$97=$A15)*(FHEmp=AD$1),FH!$E$2:$AZ$97)</f>
        <v>0</v>
      </c>
      <c r="AE15" s="250">
        <f>SUMPRODUCT((FH!$A$2:$A$97=$A15)*(FHEmp=AE$1),FH!$E$2:$AZ$97)</f>
        <v>0</v>
      </c>
      <c r="AF15" s="250">
        <f>SUMPRODUCT((FH!$A$2:$A$97=$A15)*(FHEmp=AF$1),FH!$E$2:$AZ$97)</f>
        <v>0</v>
      </c>
      <c r="AG15" s="250">
        <f>SUMPRODUCT((FH!$A$2:$A$97=$A15)*(FHEmp=AG$1),FH!$E$2:$AZ$97)</f>
        <v>0</v>
      </c>
      <c r="AH15" s="250">
        <f>SUMPRODUCT((FH!$A$2:$A$97=$A15)*(FHEmp=AH$1),FH!$E$2:$AZ$97)</f>
        <v>0</v>
      </c>
      <c r="AI15" s="250">
        <f>SUMPRODUCT((FH!$A$2:$A$97=$A15)*(FHEmp=AI$1),FH!$E$2:$AZ$97)</f>
        <v>0</v>
      </c>
      <c r="AJ15" s="250">
        <f>SUMPRODUCT((FH!$A$2:$A$97=$A15)*(FHEmp=AJ$1),FH!$E$2:$AZ$97)</f>
        <v>0</v>
      </c>
      <c r="AK15" s="250">
        <f>SUMPRODUCT((FH!$A$2:$A$97=$A15)*(FHEmp=AK$1),FH!$E$2:$AZ$97)</f>
        <v>0</v>
      </c>
      <c r="AL15" s="250">
        <f>SUMPRODUCT((FH!$A$2:$A$97=$A15)*(FHEmp=AL$1),FH!$E$2:$AZ$97)</f>
        <v>0</v>
      </c>
      <c r="AM15" s="250">
        <f>SUMPRODUCT((FH!$A$2:$A$97=$A15)*(FHEmp=AM$1),FH!$E$2:$AZ$97)</f>
        <v>0</v>
      </c>
      <c r="AN15" s="250">
        <f>SUMPRODUCT((FH!$A$2:$A$97=$A15)*(FHEmp=AN$1),FH!$E$2:$AZ$97)</f>
        <v>0</v>
      </c>
      <c r="AO15" s="250">
        <f>SUMPRODUCT((FH!$A$2:$A$97=$A15)*(FHEmp=AO$1),FH!$E$2:$AZ$97)</f>
        <v>0</v>
      </c>
      <c r="AP15" s="250">
        <f>SUMPRODUCT((FH!$A$2:$A$97=$A15)*(FHEmp=AP$1),FH!$E$2:$AZ$97)</f>
        <v>0</v>
      </c>
      <c r="AQ15" s="250">
        <f>SUMPRODUCT((FH!$A$2:$A$97=$A15)*(FHEmp=AQ$1),FH!$E$2:$AZ$97)</f>
        <v>0</v>
      </c>
      <c r="AR15" s="496">
        <f>SUMPRODUCT((FH!$A$2:$A$97=$A15)*(FHEmp=AR$1),FH!$E$2:$AZ$97)</f>
        <v>0</v>
      </c>
    </row>
    <row r="16" spans="1:44" x14ac:dyDescent="0.2">
      <c r="A16" s="247">
        <f t="shared" si="7"/>
        <v>42462</v>
      </c>
      <c r="B16" s="253" t="str">
        <f>Total!$K$1</f>
        <v>T22</v>
      </c>
      <c r="C16" s="249">
        <f>SUMPRODUCT(('T22'!$A$2:$A$97=$A16)*(T22Emp=C$1),'T22'!$E$2:$AZ$97)</f>
        <v>0</v>
      </c>
      <c r="D16" s="250">
        <f>SUMPRODUCT(('T22'!$A$2:$A$97=$A16)*(T22Emp=D$1),'T22'!$E$2:$AZ$97)</f>
        <v>0</v>
      </c>
      <c r="E16" s="250">
        <f>SUMPRODUCT(('T22'!$A$2:$A$97=$A16)*(T22Emp=E$1),'T22'!$E$2:$AZ$97)</f>
        <v>0</v>
      </c>
      <c r="F16" s="250">
        <f>SUMPRODUCT(('T22'!$A$2:$A$97=$A16)*(T22Emp=F$1),'T22'!$E$2:$AZ$97)</f>
        <v>0</v>
      </c>
      <c r="G16" s="250">
        <f>SUMPRODUCT(('T22'!$A$2:$A$97=$A16)*(T22Emp=G$1),'T22'!$E$2:$AZ$97)</f>
        <v>0</v>
      </c>
      <c r="H16" s="250">
        <f>SUMPRODUCT(('T22'!$A$2:$A$97=$A16)*(T22Emp=H$1),'T22'!$E$2:$AZ$97)</f>
        <v>0</v>
      </c>
      <c r="I16" s="250">
        <f>SUMPRODUCT(('T22'!$A$2:$A$97=$A16)*(T22Emp=I$1),'T22'!$E$2:$AZ$97)</f>
        <v>0</v>
      </c>
      <c r="J16" s="250">
        <f>SUMPRODUCT(('T22'!$A$2:$A$97=$A16)*(T22Emp=J$1),'T22'!$E$2:$AZ$97)</f>
        <v>0</v>
      </c>
      <c r="K16" s="250">
        <f>SUMPRODUCT(('T22'!$A$2:$A$97=$A16)*(T22Emp=K$1),'T22'!$E$2:$AZ$97)</f>
        <v>0</v>
      </c>
      <c r="L16" s="250">
        <f>SUMPRODUCT(('T22'!$A$2:$A$97=$A16)*(T22Emp=L$1),'T22'!$E$2:$AZ$97)</f>
        <v>0</v>
      </c>
      <c r="M16" s="250">
        <f>SUMPRODUCT(('T22'!$A$2:$A$97=$A16)*(T22Emp=M$1),'T22'!$E$2:$AZ$97)</f>
        <v>0</v>
      </c>
      <c r="N16" s="250">
        <f>SUMPRODUCT(('T22'!$A$2:$A$97=$A16)*(T22Emp=N$1),'T22'!$E$2:$AZ$97)</f>
        <v>0</v>
      </c>
      <c r="O16" s="250">
        <f>SUMPRODUCT(('T22'!$A$2:$A$97=$A16)*(T22Emp=O$1),'T22'!$E$2:$AZ$97)</f>
        <v>0</v>
      </c>
      <c r="P16" s="250">
        <f>SUMPRODUCT(('T22'!$A$2:$A$97=$A16)*(T22Emp=P$1),'T22'!$E$2:$AZ$97)</f>
        <v>0</v>
      </c>
      <c r="Q16" s="250">
        <f>SUMPRODUCT(('T22'!$A$2:$A$97=$A16)*(T22Emp=Q$1),'T22'!$E$2:$AZ$97)</f>
        <v>0</v>
      </c>
      <c r="R16" s="250">
        <f>SUMPRODUCT(('T22'!$A$2:$A$97=$A16)*(T22Emp=R$1),'T22'!$E$2:$AZ$97)</f>
        <v>0</v>
      </c>
      <c r="S16" s="250">
        <f>SUMPRODUCT(('T22'!$A$2:$A$97=$A16)*(T22Emp=S$1),'T22'!$E$2:$AZ$97)</f>
        <v>0</v>
      </c>
      <c r="T16" s="250">
        <f>SUMPRODUCT(('T22'!$A$2:$A$97=$A16)*(T22Emp=T$1),'T22'!$E$2:$AZ$97)</f>
        <v>0</v>
      </c>
      <c r="U16" s="250">
        <f>SUMPRODUCT(('T22'!$A$2:$A$97=$A16)*(T22Emp=U$1),'T22'!$E$2:$AZ$97)</f>
        <v>0</v>
      </c>
      <c r="V16" s="250">
        <f>SUMPRODUCT(('T22'!$A$2:$A$97=$A16)*(T22Emp=V$1),'T22'!$E$2:$AZ$97)</f>
        <v>0</v>
      </c>
      <c r="W16" s="250">
        <f>SUMPRODUCT(('T22'!$A$2:$A$97=$A16)*(T22Emp=W$1),'T22'!$E$2:$AZ$97)</f>
        <v>0</v>
      </c>
      <c r="X16" s="250">
        <f>SUMPRODUCT(('T22'!$A$2:$A$97=$A16)*(T22Emp=X$1),'T22'!$E$2:$AZ$97)</f>
        <v>0</v>
      </c>
      <c r="Y16" s="250">
        <f>SUMPRODUCT(('T22'!$A$2:$A$97=$A16)*(T22Emp=Y$1),'T22'!$E$2:$AZ$97)</f>
        <v>0</v>
      </c>
      <c r="Z16" s="250">
        <f>SUMPRODUCT(('T22'!$A$2:$A$97=$A16)*(T22Emp=Z$1),'T22'!$E$2:$AZ$97)</f>
        <v>0</v>
      </c>
      <c r="AA16" s="250">
        <f>SUMPRODUCT(('T22'!$A$2:$A$97=$A16)*(T22Emp=AA$1),'T22'!$E$2:$AZ$97)</f>
        <v>0</v>
      </c>
      <c r="AB16" s="250">
        <f>SUMPRODUCT(('T22'!$A$2:$A$97=$A16)*(T22Emp=AB$1),'T22'!$E$2:$AZ$97)</f>
        <v>0</v>
      </c>
      <c r="AC16" s="250">
        <f>SUMPRODUCT(('T22'!$A$2:$A$97=$A16)*(T22Emp=AC$1),'T22'!$E$2:$AZ$97)</f>
        <v>0</v>
      </c>
      <c r="AD16" s="250">
        <f>SUMPRODUCT(('T22'!$A$2:$A$97=$A16)*(T22Emp=AD$1),'T22'!$E$2:$AZ$97)</f>
        <v>0</v>
      </c>
      <c r="AE16" s="250">
        <f>SUMPRODUCT(('T22'!$A$2:$A$97=$A16)*(T22Emp=AE$1),'T22'!$E$2:$AZ$97)</f>
        <v>0</v>
      </c>
      <c r="AF16" s="250">
        <f>SUMPRODUCT(('T22'!$A$2:$A$97=$A16)*(T22Emp=AF$1),'T22'!$E$2:$AZ$97)</f>
        <v>0</v>
      </c>
      <c r="AG16" s="250">
        <f>SUMPRODUCT(('T22'!$A$2:$A$97=$A16)*(T22Emp=AG$1),'T22'!$E$2:$AZ$97)</f>
        <v>0</v>
      </c>
      <c r="AH16" s="250">
        <f>SUMPRODUCT(('T22'!$A$2:$A$97=$A16)*(T22Emp=AH$1),'T22'!$E$2:$AZ$97)</f>
        <v>0</v>
      </c>
      <c r="AI16" s="250">
        <f>SUMPRODUCT(('T22'!$A$2:$A$97=$A16)*(T22Emp=AI$1),'T22'!$E$2:$AZ$97)</f>
        <v>0</v>
      </c>
      <c r="AJ16" s="250">
        <f>SUMPRODUCT(('T22'!$A$2:$A$97=$A16)*(T22Emp=AJ$1),'T22'!$E$2:$AZ$97)</f>
        <v>0</v>
      </c>
      <c r="AK16" s="250">
        <f>SUMPRODUCT(('T22'!$A$2:$A$97=$A16)*(T22Emp=AK$1),'T22'!$E$2:$AZ$97)</f>
        <v>0</v>
      </c>
      <c r="AL16" s="250">
        <f>SUMPRODUCT(('T22'!$A$2:$A$97=$A16)*(T22Emp=AL$1),'T22'!$E$2:$AZ$97)</f>
        <v>0</v>
      </c>
      <c r="AM16" s="250">
        <f>SUMPRODUCT(('T22'!$A$2:$A$97=$A16)*(T22Emp=AM$1),'T22'!$E$2:$AZ$97)</f>
        <v>0</v>
      </c>
      <c r="AN16" s="250">
        <f>SUMPRODUCT(('T22'!$A$2:$A$97=$A16)*(T22Emp=AN$1),'T22'!$E$2:$AZ$97)</f>
        <v>0</v>
      </c>
      <c r="AO16" s="250">
        <f>SUMPRODUCT(('T22'!$A$2:$A$97=$A16)*(T22Emp=AO$1),'T22'!$E$2:$AZ$97)</f>
        <v>0</v>
      </c>
      <c r="AP16" s="250">
        <f>SUMPRODUCT(('T22'!$A$2:$A$97=$A16)*(T22Emp=AP$1),'T22'!$E$2:$AZ$97)</f>
        <v>0</v>
      </c>
      <c r="AQ16" s="250">
        <f>SUMPRODUCT(('T22'!$A$2:$A$97=$A16)*(T22Emp=AQ$1),'T22'!$E$2:$AZ$97)</f>
        <v>0</v>
      </c>
      <c r="AR16" s="496">
        <f>SUMPRODUCT(('T22'!$A$2:$A$97=$A16)*(T22Emp=AR$1),'T22'!$E$2:$AZ$97)</f>
        <v>0</v>
      </c>
    </row>
    <row r="17" spans="1:57" x14ac:dyDescent="0.2">
      <c r="A17" s="247">
        <f t="shared" si="7"/>
        <v>42462</v>
      </c>
      <c r="B17" s="254" t="str">
        <f>Total!$L$1</f>
        <v>RF</v>
      </c>
      <c r="C17" s="249">
        <f>SUMPRODUCT((RF!$A$2:$A$17=$A17)*(RFEmp=C$1)*(RF!$H$21:$AO$21="RF Valet"),RF!$H$2:$AO$17)</f>
        <v>0</v>
      </c>
      <c r="D17" s="250">
        <f>SUMPRODUCT((RF!$A$2:$A$17=$A17)*(RFEmp=D$1)*(RF!$H$21:$AO$21="RF Valet"),RF!$H$2:$AO$17)</f>
        <v>0</v>
      </c>
      <c r="E17" s="250">
        <f>SUMPRODUCT((RF!$A$2:$A$17=$A17)*(RFEmp=E$1)*(RF!$H$21:$AO$21="RF Valet"),RF!$H$2:$AO$17)</f>
        <v>0</v>
      </c>
      <c r="F17" s="250">
        <f>SUMPRODUCT((RF!$A$2:$A$17=$A17)*(RFEmp=F$1)*(RF!$H$21:$AO$21="RF Valet"),RF!$H$2:$AO$17)</f>
        <v>0</v>
      </c>
      <c r="G17" s="250">
        <f>SUMPRODUCT((RF!$A$2:$A$17=$A17)*(RFEmp=G$1)*(RF!$H$21:$AO$21="RF Valet"),RF!$H$2:$AO$17)</f>
        <v>0</v>
      </c>
      <c r="H17" s="250">
        <f>SUMPRODUCT((RF!$A$2:$A$17=$A17)*(RFEmp=H$1)*(RF!$H$21:$AO$21="RF Valet"),RF!$H$2:$AO$17)</f>
        <v>0</v>
      </c>
      <c r="I17" s="250">
        <f>SUMPRODUCT((RF!$A$2:$A$17=$A17)*(RFEmp=I$1)*(RF!$H$21:$AO$21="RF Valet"),RF!$H$2:$AO$17)</f>
        <v>0</v>
      </c>
      <c r="J17" s="250">
        <f>SUMPRODUCT((RF!$A$2:$A$17=$A17)*(RFEmp=J$1)*(RF!$H$21:$AO$21="RF Valet"),RF!$H$2:$AO$17)</f>
        <v>0</v>
      </c>
      <c r="K17" s="250">
        <f>SUMPRODUCT((RF!$A$2:$A$17=$A17)*(RFEmp=K$1)*(RF!$H$21:$AO$21="RF Valet"),RF!$H$2:$AO$17)</f>
        <v>0</v>
      </c>
      <c r="L17" s="250">
        <f>SUMPRODUCT((RF!$A$2:$A$17=$A17)*(RFEmp=L$1)*(RF!$H$21:$AO$21="RF Valet"),RF!$H$2:$AO$17)</f>
        <v>0</v>
      </c>
      <c r="M17" s="250">
        <f>SUMPRODUCT((RF!$A$2:$A$17=$A17)*(RFEmp=M$1)*(RF!$H$21:$AO$21="RF Valet"),RF!$H$2:$AO$17)</f>
        <v>0</v>
      </c>
      <c r="N17" s="250">
        <f>SUMPRODUCT((RF!$A$2:$A$17=$A17)*(RFEmp=N$1)*(RF!$H$21:$AO$21="RF Valet"),RF!$H$2:$AO$17)</f>
        <v>0</v>
      </c>
      <c r="O17" s="250">
        <f>SUMPRODUCT((RF!$A$2:$A$17=$A17)*(RFEmp=O$1)*(RF!$H$21:$AO$21="RF Valet"),RF!$H$2:$AO$17)</f>
        <v>0</v>
      </c>
      <c r="P17" s="250">
        <f>SUMPRODUCT((RF!$A$2:$A$17=$A17)*(RFEmp=P$1)*(RF!$H$21:$AO$21="RF Valet"),RF!$H$2:$AO$17)</f>
        <v>0</v>
      </c>
      <c r="Q17" s="250">
        <f>SUMPRODUCT((RF!$A$2:$A$17=$A17)*(RFEmp=Q$1)*(RF!$H$21:$AO$21="RF Valet"),RF!$H$2:$AO$17)</f>
        <v>0</v>
      </c>
      <c r="R17" s="250">
        <f>SUMPRODUCT((RF!$A$2:$A$17=$A17)*(RFEmp=R$1)*(RF!$H$21:$AO$21="RF Valet"),RF!$H$2:$AO$17)</f>
        <v>0</v>
      </c>
      <c r="S17" s="250">
        <f>SUMPRODUCT((RF!$A$2:$A$17=$A17)*(RFEmp=S$1)*(RF!$H$21:$AO$21="RF Valet"),RF!$H$2:$AO$17)</f>
        <v>0</v>
      </c>
      <c r="T17" s="250">
        <f>SUMPRODUCT((RF!$A$2:$A$17=$A17)*(RFEmp=T$1)*(RF!$H$21:$AO$21="RF Valet"),RF!$H$2:$AO$17)</f>
        <v>0</v>
      </c>
      <c r="U17" s="250">
        <f>SUMPRODUCT((RF!$A$2:$A$17=$A17)*(RFEmp=U$1)*(RF!$H$21:$AO$21="RF Valet"),RF!$H$2:$AO$17)</f>
        <v>0</v>
      </c>
      <c r="V17" s="250">
        <f>SUMPRODUCT((RF!$A$2:$A$17=$A17)*(RFEmp=V$1)*(RF!$H$21:$AO$21="RF Valet"),RF!$H$2:$AO$17)</f>
        <v>0</v>
      </c>
      <c r="W17" s="250">
        <f>SUMPRODUCT((RF!$A$2:$A$17=$A17)*(RFEmp=W$1)*(RF!$H$21:$AO$21="RF Valet"),RF!$H$2:$AO$17)</f>
        <v>0</v>
      </c>
      <c r="X17" s="250">
        <f>SUMPRODUCT((RF!$A$2:$A$17=$A17)*(RFEmp=X$1)*(RF!$H$21:$AO$21="RF Valet"),RF!$H$2:$AO$17)</f>
        <v>0</v>
      </c>
      <c r="Y17" s="250">
        <f>SUMPRODUCT((RF!$A$2:$A$17=$A17)*(RFEmp=Y$1)*(RF!$H$21:$AO$21="RF Valet"),RF!$H$2:$AO$17)</f>
        <v>0</v>
      </c>
      <c r="Z17" s="250">
        <f>SUMPRODUCT((RF!$A$2:$A$17=$A17)*(RFEmp=Z$1)*(RF!$H$21:$AO$21="RF Valet"),RF!$H$2:$AO$17)</f>
        <v>0</v>
      </c>
      <c r="AA17" s="250">
        <f>SUMPRODUCT((RF!$A$2:$A$17=$A17)*(RFEmp=AA$1)*(RF!$H$21:$AO$21="RF Valet"),RF!$H$2:$AO$17)</f>
        <v>0</v>
      </c>
      <c r="AB17" s="250">
        <f>SUMPRODUCT((RF!$A$2:$A$17=$A17)*(RFEmp=AB$1)*(RF!$H$21:$AO$21="RF Valet"),RF!$H$2:$AO$17)</f>
        <v>0</v>
      </c>
      <c r="AC17" s="250">
        <f>SUMPRODUCT((RF!$A$2:$A$17=$A17)*(RFEmp=AC$1)*(RF!$H$21:$AO$21="RF Valet"),RF!$H$2:$AO$17)</f>
        <v>0</v>
      </c>
      <c r="AD17" s="250">
        <f>SUMPRODUCT((RF!$A$2:$A$17=$A17)*(RFEmp=AD$1)*(RF!$H$21:$AO$21="RF Valet"),RF!$H$2:$AO$17)</f>
        <v>0</v>
      </c>
      <c r="AE17" s="250">
        <f>SUMPRODUCT((RF!$A$2:$A$17=$A17)*(RFEmp=AE$1)*(RF!$H$21:$AO$21="RF Valet"),RF!$H$2:$AO$17)</f>
        <v>0</v>
      </c>
      <c r="AF17" s="250">
        <f>SUMPRODUCT((RF!$A$2:$A$17=$A17)*(RFEmp=AF$1)*(RF!$H$21:$AO$21="RF Valet"),RF!$H$2:$AO$17)</f>
        <v>0</v>
      </c>
      <c r="AG17" s="250">
        <f>SUMPRODUCT((RF!$A$2:$A$17=$A17)*(RFEmp=AG$1)*(RF!$H$21:$AO$21="RF Valet"),RF!$H$2:$AO$17)</f>
        <v>0</v>
      </c>
      <c r="AH17" s="250">
        <f>SUMPRODUCT((RF!$A$2:$A$17=$A17)*(RFEmp=AH$1)*(RF!$H$21:$AO$21="RF Valet"),RF!$H$2:$AO$17)</f>
        <v>0</v>
      </c>
      <c r="AI17" s="250">
        <f>SUMPRODUCT((RF!$A$2:$A$17=$A17)*(RFEmp=AI$1)*(RF!$H$21:$AO$21="RF Valet"),RF!$H$2:$AO$17)</f>
        <v>0</v>
      </c>
      <c r="AJ17" s="250">
        <f>SUMPRODUCT((RF!$A$2:$A$17=$A17)*(RFEmp=AJ$1)*(RF!$H$21:$AO$21="RF Valet"),RF!$H$2:$AO$17)</f>
        <v>0</v>
      </c>
      <c r="AK17" s="250">
        <f>SUMPRODUCT((RF!$A$2:$A$17=$A17)*(RFEmp=AK$1)*(RF!$H$21:$AO$21="RF Valet"),RF!$H$2:$AO$17)</f>
        <v>0</v>
      </c>
      <c r="AL17" s="250">
        <f>SUMPRODUCT((RF!$A$2:$A$17=$A17)*(RFEmp=AL$1)*(RF!$H$21:$AO$21="RF Valet"),RF!$H$2:$AO$17)</f>
        <v>0</v>
      </c>
      <c r="AM17" s="250">
        <f>SUMPRODUCT((RF!$A$2:$A$17=$A17)*(RFEmp=AM$1)*(RF!$H$21:$AO$21="RF Valet"),RF!$H$2:$AO$17)</f>
        <v>0</v>
      </c>
      <c r="AN17" s="250">
        <f>SUMPRODUCT((RF!$A$2:$A$17=$A17)*(RFEmp=AN$1)*(RF!$H$21:$AO$21="RF Valet"),RF!$H$2:$AO$17)</f>
        <v>0</v>
      </c>
      <c r="AO17" s="250">
        <f>SUMPRODUCT((RF!$A$2:$A$17=$A17)*(RFEmp=AO$1)*(RF!$H$21:$AO$21="RF Valet"),RF!$H$2:$AO$17)</f>
        <v>0</v>
      </c>
      <c r="AP17" s="250">
        <f>SUMPRODUCT((RF!$A$2:$A$17=$A17)*(RFEmp=AP$1)*(RF!$H$21:$AO$21="RF Valet"),RF!$H$2:$AO$17)</f>
        <v>0</v>
      </c>
      <c r="AQ17" s="250">
        <f>SUMPRODUCT((RF!$A$2:$A$17=$A17)*(RFEmp=AQ$1)*(RF!$H$21:$AO$21="RF Valet"),RF!$H$2:$AO$17)</f>
        <v>0</v>
      </c>
      <c r="AR17" s="496">
        <f>SUMPRODUCT((RF!$A$2:$A$17=$A17)*(RFEmp=AR$1)*(RF!$H$21:$AO$21="RF Valet"),RF!$H$2:$AO$17)</f>
        <v>0</v>
      </c>
    </row>
    <row r="18" spans="1:57" s="271" customFormat="1" x14ac:dyDescent="0.2">
      <c r="A18" s="247">
        <f>A17</f>
        <v>42462</v>
      </c>
      <c r="B18" s="255" t="s">
        <v>74</v>
      </c>
      <c r="C18" s="249">
        <f>SUMPRODUCT((TM!$A$2:$A$17=$A18)*(TMEmp=C$1),TM!$D$2:$AK$17)</f>
        <v>0</v>
      </c>
      <c r="D18" s="250">
        <f>SUMPRODUCT((TM!$A$2:$A$17=$A18)*(TMEmp=D$1),TM!$D$2:$AK$17)</f>
        <v>0</v>
      </c>
      <c r="E18" s="250">
        <f>SUMPRODUCT((TM!$A$2:$A$17=$A18)*(TMEmp=E$1),TM!$D$2:$AK$17)</f>
        <v>0</v>
      </c>
      <c r="F18" s="250">
        <f>SUMPRODUCT((TM!$A$2:$A$17=$A18)*(TMEmp=F$1),TM!$D$2:$AK$17)</f>
        <v>0</v>
      </c>
      <c r="G18" s="250">
        <f>SUMPRODUCT((TM!$A$2:$A$17=$A18)*(TMEmp=G$1),TM!$D$2:$AK$17)</f>
        <v>0</v>
      </c>
      <c r="H18" s="250">
        <f>SUMPRODUCT((TM!$A$2:$A$17=$A18)*(TMEmp=H$1),TM!$D$2:$AK$17)</f>
        <v>0</v>
      </c>
      <c r="I18" s="250">
        <f>SUMPRODUCT((TM!$A$2:$A$17=$A18)*(TMEmp=I$1),TM!$D$2:$AK$17)</f>
        <v>0</v>
      </c>
      <c r="J18" s="250">
        <f>SUMPRODUCT((TM!$A$2:$A$17=$A18)*(TMEmp=J$1),TM!$D$2:$AK$17)</f>
        <v>0</v>
      </c>
      <c r="K18" s="250">
        <f>SUMPRODUCT((TM!$A$2:$A$17=$A18)*(TMEmp=K$1),TM!$D$2:$AK$17)</f>
        <v>0</v>
      </c>
      <c r="L18" s="250">
        <f>SUMPRODUCT((TM!$A$2:$A$17=$A18)*(TMEmp=L$1),TM!$D$2:$AK$17)</f>
        <v>0</v>
      </c>
      <c r="M18" s="250">
        <f>SUMPRODUCT((TM!$A$2:$A$17=$A18)*(TMEmp=M$1),TM!$D$2:$AK$17)</f>
        <v>0</v>
      </c>
      <c r="N18" s="250">
        <f>SUMPRODUCT((TM!$A$2:$A$17=$A18)*(TMEmp=N$1),TM!$D$2:$AK$17)</f>
        <v>0</v>
      </c>
      <c r="O18" s="250">
        <f>SUMPRODUCT((TM!$A$2:$A$17=$A18)*(TMEmp=O$1),TM!$D$2:$AK$17)</f>
        <v>0</v>
      </c>
      <c r="P18" s="250">
        <f>SUMPRODUCT((TM!$A$2:$A$17=$A18)*(TMEmp=P$1),TM!$D$2:$AK$17)</f>
        <v>0</v>
      </c>
      <c r="Q18" s="250">
        <f>SUMPRODUCT((TM!$A$2:$A$17=$A18)*(TMEmp=Q$1),TM!$D$2:$AK$17)</f>
        <v>0</v>
      </c>
      <c r="R18" s="250">
        <f>SUMPRODUCT((TM!$A$2:$A$17=$A18)*(TMEmp=R$1),TM!$D$2:$AK$17)</f>
        <v>0</v>
      </c>
      <c r="S18" s="250">
        <f>SUMPRODUCT((TM!$A$2:$A$17=$A18)*(TMEmp=S$1),TM!$D$2:$AK$17)</f>
        <v>0</v>
      </c>
      <c r="T18" s="250">
        <f>SUMPRODUCT((TM!$A$2:$A$17=$A18)*(TMEmp=T$1),TM!$D$2:$AK$17)</f>
        <v>0</v>
      </c>
      <c r="U18" s="250">
        <f>SUMPRODUCT((TM!$A$2:$A$17=$A18)*(TMEmp=U$1),TM!$D$2:$AK$17)</f>
        <v>0</v>
      </c>
      <c r="V18" s="250">
        <f>SUMPRODUCT((TM!$A$2:$A$17=$A18)*(TMEmp=V$1),TM!$D$2:$AK$17)</f>
        <v>0</v>
      </c>
      <c r="W18" s="250">
        <f>SUMPRODUCT((TM!$A$2:$A$17=$A18)*(TMEmp=W$1),TM!$D$2:$AK$17)</f>
        <v>0</v>
      </c>
      <c r="X18" s="250">
        <f>SUMPRODUCT((TM!$A$2:$A$17=$A18)*(TMEmp=X$1),TM!$D$2:$AK$17)</f>
        <v>0</v>
      </c>
      <c r="Y18" s="250">
        <f>SUMPRODUCT((TM!$A$2:$A$17=$A18)*(TMEmp=Y$1),TM!$D$2:$AK$17)</f>
        <v>0</v>
      </c>
      <c r="Z18" s="250">
        <f>SUMPRODUCT((TM!$A$2:$A$17=$A18)*(TMEmp=Z$1),TM!$D$2:$AK$17)</f>
        <v>0</v>
      </c>
      <c r="AA18" s="250">
        <f>SUMPRODUCT((TM!$A$2:$A$17=$A18)*(TMEmp=AA$1),TM!$D$2:$AK$17)</f>
        <v>0</v>
      </c>
      <c r="AB18" s="250">
        <f>SUMPRODUCT((TM!$A$2:$A$17=$A18)*(TMEmp=AB$1),TM!$D$2:$AK$17)</f>
        <v>0</v>
      </c>
      <c r="AC18" s="250">
        <f>SUMPRODUCT((TM!$A$2:$A$17=$A18)*(TMEmp=AC$1),TM!$D$2:$AK$17)</f>
        <v>0</v>
      </c>
      <c r="AD18" s="250">
        <f>SUMPRODUCT((TM!$A$2:$A$17=$A18)*(TMEmp=AD$1),TM!$D$2:$AK$17)</f>
        <v>0</v>
      </c>
      <c r="AE18" s="250">
        <f>SUMPRODUCT((TM!$A$2:$A$17=$A18)*(TMEmp=AE$1),TM!$D$2:$AK$17)</f>
        <v>0</v>
      </c>
      <c r="AF18" s="250">
        <f>SUMPRODUCT((TM!$A$2:$A$17=$A18)*(TMEmp=AF$1),TM!$D$2:$AK$17)</f>
        <v>0</v>
      </c>
      <c r="AG18" s="250">
        <f>SUMPRODUCT((TM!$A$2:$A$17=$A18)*(TMEmp=AG$1),TM!$D$2:$AK$17)</f>
        <v>0</v>
      </c>
      <c r="AH18" s="250">
        <f>SUMPRODUCT((TM!$A$2:$A$17=$A18)*(TMEmp=AH$1),TM!$D$2:$AK$17)</f>
        <v>0</v>
      </c>
      <c r="AI18" s="250">
        <f>SUMPRODUCT((TM!$A$2:$A$17=$A18)*(TMEmp=AI$1),TM!$D$2:$AK$17)</f>
        <v>0</v>
      </c>
      <c r="AJ18" s="250">
        <f>SUMPRODUCT((TM!$A$2:$A$17=$A18)*(TMEmp=AJ$1),TM!$D$2:$AK$17)</f>
        <v>0</v>
      </c>
      <c r="AK18" s="250">
        <f>SUMPRODUCT((TM!$A$2:$A$17=$A18)*(TMEmp=AK$1),TM!$D$2:$AK$17)</f>
        <v>0</v>
      </c>
      <c r="AL18" s="250">
        <f>SUMPRODUCT((TM!$A$2:$A$17=$A18)*(TMEmp=AL$1),TM!$D$2:$AK$17)</f>
        <v>0</v>
      </c>
      <c r="AM18" s="250">
        <f>SUMPRODUCT((TM!$A$2:$A$17=$A18)*(TMEmp=AM$1),TM!$D$2:$AK$17)</f>
        <v>0</v>
      </c>
      <c r="AN18" s="250">
        <f>SUMPRODUCT((TM!$A$2:$A$17=$A18)*(TMEmp=AN$1),TM!$D$2:$AK$17)</f>
        <v>0</v>
      </c>
      <c r="AO18" s="250">
        <f>SUMPRODUCT((TM!$A$2:$A$17=$A18)*(TMEmp=AO$1),TM!$D$2:$AK$17)</f>
        <v>0</v>
      </c>
      <c r="AP18" s="250">
        <f>SUMPRODUCT((TM!$A$2:$A$17=$A18)*(TMEmp=AP$1),TM!$D$2:$AK$17)</f>
        <v>0</v>
      </c>
      <c r="AQ18" s="250">
        <f>SUMPRODUCT((TM!$A$2:$A$17=$A18)*(TMEmp=AQ$1),TM!$D$2:$AK$17)</f>
        <v>0</v>
      </c>
      <c r="AR18" s="496">
        <f>SUMPRODUCT((TM!$A$2:$A$17=$A18)*(TMEmp=AR$1),TM!$D$2:$AK$17)</f>
        <v>0</v>
      </c>
      <c r="AS18" s="270"/>
      <c r="AT18" s="246"/>
      <c r="AU18" s="270"/>
      <c r="AV18" s="270"/>
      <c r="AW18" s="270"/>
      <c r="AX18" s="270"/>
      <c r="AY18" s="270"/>
      <c r="AZ18" s="270"/>
      <c r="BA18" s="270"/>
      <c r="BB18" s="270"/>
      <c r="BC18" s="270"/>
      <c r="BD18" s="270"/>
      <c r="BE18" s="270"/>
    </row>
    <row r="19" spans="1:57" s="271" customFormat="1" x14ac:dyDescent="0.2">
      <c r="A19" s="256">
        <f t="shared" si="7"/>
        <v>42462</v>
      </c>
      <c r="B19" s="257" t="s">
        <v>72</v>
      </c>
      <c r="C19" s="258">
        <f>SUMPRODUCT((PC!$A$2:$A$80=$A19)*(PCEmp=C$1),PC!$D$2:$BD$80)</f>
        <v>0</v>
      </c>
      <c r="D19" s="259">
        <f>SUMPRODUCT((PC!$A$2:$A$80=$A19)*(PCEmp=D$1),PC!$D$2:$BD$80)</f>
        <v>0</v>
      </c>
      <c r="E19" s="259">
        <f>SUMPRODUCT((PC!$A$2:$A$80=$A19)*(PCEmp=E$1),PC!$D$2:$BD$80)</f>
        <v>0</v>
      </c>
      <c r="F19" s="259">
        <f>SUMPRODUCT((PC!$A$2:$A$80=$A19)*(PCEmp=F$1),PC!$D$2:$BD$80)</f>
        <v>0</v>
      </c>
      <c r="G19" s="259">
        <f>SUMPRODUCT((PC!$A$2:$A$80=$A19)*(PCEmp=G$1),PC!$D$2:$BD$80)</f>
        <v>0</v>
      </c>
      <c r="H19" s="259">
        <f>SUMPRODUCT((PC!$A$2:$A$80=$A19)*(PCEmp=H$1),PC!$D$2:$BD$80)</f>
        <v>0</v>
      </c>
      <c r="I19" s="259">
        <f>SUMPRODUCT((PC!$A$2:$A$80=$A19)*(PCEmp=I$1),PC!$D$2:$BD$80)</f>
        <v>0</v>
      </c>
      <c r="J19" s="259">
        <f>SUMPRODUCT((PC!$A$2:$A$80=$A19)*(PCEmp=J$1),PC!$D$2:$BD$80)</f>
        <v>0</v>
      </c>
      <c r="K19" s="259">
        <f>SUMPRODUCT((PC!$A$2:$A$80=$A19)*(PCEmp=K$1),PC!$D$2:$BD$80)</f>
        <v>0</v>
      </c>
      <c r="L19" s="259">
        <f>SUMPRODUCT((PC!$A$2:$A$80=$A19)*(PCEmp=L$1),PC!$D$2:$BD$80)</f>
        <v>0</v>
      </c>
      <c r="M19" s="259">
        <f>SUMPRODUCT((PC!$A$2:$A$80=$A19)*(PCEmp=M$1),PC!$D$2:$BD$80)</f>
        <v>0</v>
      </c>
      <c r="N19" s="259">
        <f>SUMPRODUCT((PC!$A$2:$A$80=$A19)*(PCEmp=N$1),PC!$D$2:$BD$80)</f>
        <v>0</v>
      </c>
      <c r="O19" s="259">
        <f>SUMPRODUCT((PC!$A$2:$A$80=$A19)*(PCEmp=O$1),PC!$D$2:$BD$80)</f>
        <v>0</v>
      </c>
      <c r="P19" s="259">
        <f>SUMPRODUCT((PC!$A$2:$A$80=$A19)*(PCEmp=P$1),PC!$D$2:$BD$80)</f>
        <v>0</v>
      </c>
      <c r="Q19" s="259">
        <f>SUMPRODUCT((PC!$A$2:$A$80=$A19)*(PCEmp=Q$1),PC!$D$2:$BD$80)</f>
        <v>0</v>
      </c>
      <c r="R19" s="259">
        <f>SUMPRODUCT((PC!$A$2:$A$80=$A19)*(PCEmp=R$1),PC!$D$2:$BD$80)</f>
        <v>0</v>
      </c>
      <c r="S19" s="259">
        <f>SUMPRODUCT((PC!$A$2:$A$80=$A19)*(PCEmp=S$1),PC!$D$2:$BD$80)</f>
        <v>0</v>
      </c>
      <c r="T19" s="259">
        <f>SUMPRODUCT((PC!$A$2:$A$80=$A19)*(PCEmp=T$1),PC!$D$2:$BD$80)</f>
        <v>0</v>
      </c>
      <c r="U19" s="259">
        <f>SUMPRODUCT((PC!$A$2:$A$80=$A19)*(PCEmp=U$1),PC!$D$2:$BD$80)</f>
        <v>0</v>
      </c>
      <c r="V19" s="259">
        <f>SUMPRODUCT((PC!$A$2:$A$80=$A19)*(PCEmp=V$1),PC!$D$2:$BD$80)</f>
        <v>0</v>
      </c>
      <c r="W19" s="259">
        <f>SUMPRODUCT((PC!$A$2:$A$80=$A19)*(PCEmp=W$1),PC!$D$2:$BD$80)</f>
        <v>0</v>
      </c>
      <c r="X19" s="259">
        <f>SUMPRODUCT((PC!$A$2:$A$80=$A19)*(PCEmp=X$1),PC!$D$2:$BD$80)</f>
        <v>0</v>
      </c>
      <c r="Y19" s="259">
        <f>SUMPRODUCT((PC!$A$2:$A$80=$A19)*(PCEmp=Y$1),PC!$D$2:$BD$80)</f>
        <v>0</v>
      </c>
      <c r="Z19" s="259">
        <f>SUMPRODUCT((PC!$A$2:$A$80=$A19)*(PCEmp=Z$1),PC!$D$2:$BD$80)</f>
        <v>0</v>
      </c>
      <c r="AA19" s="259">
        <f>SUMPRODUCT((PC!$A$2:$A$80=$A19)*(PCEmp=AA$1),PC!$D$2:$BD$80)</f>
        <v>0</v>
      </c>
      <c r="AB19" s="259">
        <f>SUMPRODUCT((PC!$A$2:$A$80=$A19)*(PCEmp=AB$1),PC!$D$2:$BD$80)</f>
        <v>0</v>
      </c>
      <c r="AC19" s="259">
        <f>SUMPRODUCT((PC!$A$2:$A$80=$A19)*(PCEmp=AC$1),PC!$D$2:$BD$80)</f>
        <v>0</v>
      </c>
      <c r="AD19" s="259">
        <f>SUMPRODUCT((PC!$A$2:$A$80=$A19)*(PCEmp=AD$1),PC!$D$2:$BD$80)</f>
        <v>0</v>
      </c>
      <c r="AE19" s="259">
        <f>SUMPRODUCT((PC!$A$2:$A$80=$A19)*(PCEmp=AE$1),PC!$D$2:$BD$80)</f>
        <v>0</v>
      </c>
      <c r="AF19" s="259">
        <f>SUMPRODUCT((PC!$A$2:$A$80=$A19)*(PCEmp=AF$1),PC!$D$2:$BD$80)</f>
        <v>0</v>
      </c>
      <c r="AG19" s="259">
        <f>SUMPRODUCT((PC!$A$2:$A$80=$A19)*(PCEmp=AG$1),PC!$D$2:$BD$80)</f>
        <v>0</v>
      </c>
      <c r="AH19" s="259">
        <f>SUMPRODUCT((PC!$A$2:$A$80=$A19)*(PCEmp=AH$1),PC!$D$2:$BD$80)</f>
        <v>0</v>
      </c>
      <c r="AI19" s="259">
        <f>SUMPRODUCT((PC!$A$2:$A$80=$A19)*(PCEmp=AI$1),PC!$D$2:$BD$80)</f>
        <v>0</v>
      </c>
      <c r="AJ19" s="259">
        <f>SUMPRODUCT((PC!$A$2:$A$80=$A19)*(PCEmp=AJ$1),PC!$D$2:$BD$80)</f>
        <v>0</v>
      </c>
      <c r="AK19" s="259">
        <f>SUMPRODUCT((PC!$A$2:$A$80=$A19)*(PCEmp=AK$1),PC!$D$2:$BD$80)</f>
        <v>0</v>
      </c>
      <c r="AL19" s="259">
        <f>SUMPRODUCT((PC!$A$2:$A$80=$A19)*(PCEmp=AL$1),PC!$D$2:$BD$80)</f>
        <v>0</v>
      </c>
      <c r="AM19" s="259">
        <f>SUMPRODUCT((PC!$A$2:$A$80=$A19)*(PCEmp=AM$1),PC!$D$2:$BD$80)</f>
        <v>0</v>
      </c>
      <c r="AN19" s="259">
        <f>SUMPRODUCT((PC!$A$2:$A$80=$A19)*(PCEmp=AN$1),PC!$D$2:$BD$80)</f>
        <v>0</v>
      </c>
      <c r="AO19" s="259">
        <f>SUMPRODUCT((PC!$A$2:$A$80=$A19)*(PCEmp=AO$1),PC!$D$2:$BD$80)</f>
        <v>0</v>
      </c>
      <c r="AP19" s="259">
        <f>SUMPRODUCT((PC!$A$2:$A$80=$A19)*(PCEmp=AP$1),PC!$D$2:$BD$80)</f>
        <v>0</v>
      </c>
      <c r="AQ19" s="259">
        <f>SUMPRODUCT((PC!$A$2:$A$80=$A19)*(PCEmp=AQ$1),PC!$D$2:$BD$80)</f>
        <v>0</v>
      </c>
      <c r="AR19" s="497">
        <f>SUMPRODUCT((PC!$A$2:$A$80=$A19)*(PCEmp=AR$1),PC!$D$2:$BD$80)</f>
        <v>0</v>
      </c>
      <c r="AT19" s="246"/>
    </row>
    <row r="20" spans="1:57" s="271" customFormat="1" x14ac:dyDescent="0.2">
      <c r="A20" s="247">
        <f t="shared" si="7"/>
        <v>42462</v>
      </c>
      <c r="B20" s="254" t="s">
        <v>85</v>
      </c>
      <c r="C20" s="249">
        <f>SUMPRODUCT((RF!$A$2:$A$17=$A20)*(RFEmp=C$1)*(RF!$H$21:$AO$21="RF Lead"),RF!$H$2:$AO$17)</f>
        <v>0</v>
      </c>
      <c r="D20" s="250">
        <f>SUMPRODUCT((RF!$A$2:$A$17=$A20)*(RFEmp=D$1)*(RF!$H$21:$AO$21="RF Lead"),RF!$H$2:$AO$17)</f>
        <v>0</v>
      </c>
      <c r="E20" s="250">
        <f>SUMPRODUCT((RF!$A$2:$A$17=$A20)*(RFEmp=E$1)*(RF!$H$21:$AO$21="RF Lead"),RF!$H$2:$AO$17)</f>
        <v>0</v>
      </c>
      <c r="F20" s="250">
        <f>SUMPRODUCT((RF!$A$2:$A$17=$A20)*(RFEmp=F$1)*(RF!$H$21:$AO$21="RF Lead"),RF!$H$2:$AO$17)</f>
        <v>0</v>
      </c>
      <c r="G20" s="250">
        <f>SUMPRODUCT((RF!$A$2:$A$17=$A20)*(RFEmp=G$1)*(RF!$H$21:$AO$21="RF Lead"),RF!$H$2:$AO$17)</f>
        <v>0</v>
      </c>
      <c r="H20" s="250">
        <f>SUMPRODUCT((RF!$A$2:$A$17=$A20)*(RFEmp=H$1)*(RF!$H$21:$AO$21="RF Lead"),RF!$H$2:$AO$17)</f>
        <v>0</v>
      </c>
      <c r="I20" s="250">
        <f>SUMPRODUCT((RF!$A$2:$A$17=$A20)*(RFEmp=I$1)*(RF!$H$21:$AO$21="RF Lead"),RF!$H$2:$AO$17)</f>
        <v>0</v>
      </c>
      <c r="J20" s="250">
        <f>SUMPRODUCT((RF!$A$2:$A$17=$A20)*(RFEmp=J$1)*(RF!$H$21:$AO$21="RF Lead"),RF!$H$2:$AO$17)</f>
        <v>0</v>
      </c>
      <c r="K20" s="250">
        <f>SUMPRODUCT((RF!$A$2:$A$17=$A20)*(RFEmp=K$1)*(RF!$H$21:$AO$21="RF Lead"),RF!$H$2:$AO$17)</f>
        <v>0</v>
      </c>
      <c r="L20" s="250">
        <f>SUMPRODUCT((RF!$A$2:$A$17=$A20)*(RFEmp=L$1)*(RF!$H$21:$AO$21="RF Lead"),RF!$H$2:$AO$17)</f>
        <v>0</v>
      </c>
      <c r="M20" s="250">
        <f>SUMPRODUCT((RF!$A$2:$A$17=$A20)*(RFEmp=M$1)*(RF!$H$21:$AO$21="RF Lead"),RF!$H$2:$AO$17)</f>
        <v>0</v>
      </c>
      <c r="N20" s="250">
        <f>SUMPRODUCT((RF!$A$2:$A$17=$A20)*(RFEmp=N$1)*(RF!$H$21:$AO$21="RF Lead"),RF!$H$2:$AO$17)</f>
        <v>0</v>
      </c>
      <c r="O20" s="250">
        <f>SUMPRODUCT((RF!$A$2:$A$17=$A20)*(RFEmp=O$1)*(RF!$H$21:$AO$21="RF Lead"),RF!$H$2:$AO$17)</f>
        <v>0</v>
      </c>
      <c r="P20" s="250">
        <f>SUMPRODUCT((RF!$A$2:$A$17=$A20)*(RFEmp=P$1)*(RF!$H$21:$AO$21="RF Lead"),RF!$H$2:$AO$17)</f>
        <v>0</v>
      </c>
      <c r="Q20" s="250">
        <f>SUMPRODUCT((RF!$A$2:$A$17=$A20)*(RFEmp=Q$1)*(RF!$H$21:$AO$21="RF Lead"),RF!$H$2:$AO$17)</f>
        <v>0</v>
      </c>
      <c r="R20" s="250">
        <f>SUMPRODUCT((RF!$A$2:$A$17=$A20)*(RFEmp=R$1)*(RF!$H$21:$AO$21="RF Lead"),RF!$H$2:$AO$17)</f>
        <v>0</v>
      </c>
      <c r="S20" s="250">
        <f>SUMPRODUCT((RF!$A$2:$A$17=$A20)*(RFEmp=S$1)*(RF!$H$21:$AO$21="RF Lead"),RF!$H$2:$AO$17)</f>
        <v>0</v>
      </c>
      <c r="T20" s="250">
        <f>SUMPRODUCT((RF!$A$2:$A$17=$A20)*(RFEmp=T$1)*(RF!$H$21:$AO$21="RF Lead"),RF!$H$2:$AO$17)</f>
        <v>0</v>
      </c>
      <c r="U20" s="250">
        <f>SUMPRODUCT((RF!$A$2:$A$17=$A20)*(RFEmp=U$1)*(RF!$H$21:$AO$21="RF Lead"),RF!$H$2:$AO$17)</f>
        <v>0</v>
      </c>
      <c r="V20" s="250">
        <f>SUMPRODUCT((RF!$A$2:$A$17=$A20)*(RFEmp=V$1)*(RF!$H$21:$AO$21="RF Lead"),RF!$H$2:$AO$17)</f>
        <v>0</v>
      </c>
      <c r="W20" s="250">
        <f>SUMPRODUCT((RF!$A$2:$A$17=$A20)*(RFEmp=W$1)*(RF!$H$21:$AO$21="RF Lead"),RF!$H$2:$AO$17)</f>
        <v>0</v>
      </c>
      <c r="X20" s="250">
        <f>SUMPRODUCT((RF!$A$2:$A$17=$A20)*(RFEmp=X$1)*(RF!$H$21:$AO$21="RF Lead"),RF!$H$2:$AO$17)</f>
        <v>0</v>
      </c>
      <c r="Y20" s="250">
        <f>SUMPRODUCT((RF!$A$2:$A$17=$A20)*(RFEmp=Y$1)*(RF!$H$21:$AO$21="RF Lead"),RF!$H$2:$AO$17)</f>
        <v>0</v>
      </c>
      <c r="Z20" s="250">
        <f>SUMPRODUCT((RF!$A$2:$A$17=$A20)*(RFEmp=Z$1)*(RF!$H$21:$AO$21="RF Lead"),RF!$H$2:$AO$17)</f>
        <v>0</v>
      </c>
      <c r="AA20" s="250">
        <f>SUMPRODUCT((RF!$A$2:$A$17=$A20)*(RFEmp=AA$1)*(RF!$H$21:$AO$21="RF Lead"),RF!$H$2:$AO$17)</f>
        <v>0</v>
      </c>
      <c r="AB20" s="250">
        <f>SUMPRODUCT((RF!$A$2:$A$17=$A20)*(RFEmp=AB$1)*(RF!$H$21:$AO$21="RF Lead"),RF!$H$2:$AO$17)</f>
        <v>0</v>
      </c>
      <c r="AC20" s="250">
        <f>SUMPRODUCT((RF!$A$2:$A$17=$A20)*(RFEmp=AC$1)*(RF!$H$21:$AO$21="RF Lead"),RF!$H$2:$AO$17)</f>
        <v>0</v>
      </c>
      <c r="AD20" s="250">
        <f>SUMPRODUCT((RF!$A$2:$A$17=$A20)*(RFEmp=AD$1)*(RF!$H$21:$AO$21="RF Lead"),RF!$H$2:$AO$17)</f>
        <v>0</v>
      </c>
      <c r="AE20" s="250">
        <f>SUMPRODUCT((RF!$A$2:$A$17=$A20)*(RFEmp=AE$1)*(RF!$H$21:$AO$21="RF Lead"),RF!$H$2:$AO$17)</f>
        <v>0</v>
      </c>
      <c r="AF20" s="250">
        <f>SUMPRODUCT((RF!$A$2:$A$17=$A20)*(RFEmp=AF$1)*(RF!$H$21:$AO$21="RF Lead"),RF!$H$2:$AO$17)</f>
        <v>0</v>
      </c>
      <c r="AG20" s="250">
        <f>SUMPRODUCT((RF!$A$2:$A$17=$A20)*(RFEmp=AG$1)*(RF!$H$21:$AO$21="RF Lead"),RF!$H$2:$AO$17)</f>
        <v>0</v>
      </c>
      <c r="AH20" s="250">
        <f>SUMPRODUCT((RF!$A$2:$A$17=$A20)*(RFEmp=AH$1)*(RF!$H$21:$AO$21="RF Lead"),RF!$H$2:$AO$17)</f>
        <v>0</v>
      </c>
      <c r="AI20" s="250">
        <f>SUMPRODUCT((RF!$A$2:$A$17=$A20)*(RFEmp=AI$1)*(RF!$H$21:$AO$21="RF Lead"),RF!$H$2:$AO$17)</f>
        <v>0</v>
      </c>
      <c r="AJ20" s="250">
        <f>SUMPRODUCT((RF!$A$2:$A$17=$A20)*(RFEmp=AJ$1)*(RF!$H$21:$AO$21="RF Lead"),RF!$H$2:$AO$17)</f>
        <v>0</v>
      </c>
      <c r="AK20" s="250">
        <f>SUMPRODUCT((RF!$A$2:$A$17=$A20)*(RFEmp=AK$1)*(RF!$H$21:$AO$21="RF Lead"),RF!$H$2:$AO$17)</f>
        <v>0</v>
      </c>
      <c r="AL20" s="250">
        <f>SUMPRODUCT((RF!$A$2:$A$17=$A20)*(RFEmp=AL$1)*(RF!$H$21:$AO$21="RF Lead"),RF!$H$2:$AO$17)</f>
        <v>0</v>
      </c>
      <c r="AM20" s="250">
        <f>SUMPRODUCT((RF!$A$2:$A$17=$A20)*(RFEmp=AM$1)*(RF!$H$21:$AO$21="RF Lead"),RF!$H$2:$AO$17)</f>
        <v>0</v>
      </c>
      <c r="AN20" s="250">
        <f>SUMPRODUCT((RF!$A$2:$A$17=$A20)*(RFEmp=AN$1)*(RF!$H$21:$AO$21="RF Lead"),RF!$H$2:$AO$17)</f>
        <v>0</v>
      </c>
      <c r="AO20" s="250">
        <f>SUMPRODUCT((RF!$A$2:$A$17=$A20)*(RFEmp=AO$1)*(RF!$H$21:$AO$21="RF Lead"),RF!$H$2:$AO$17)</f>
        <v>0</v>
      </c>
      <c r="AP20" s="250">
        <f>SUMPRODUCT((RF!$A$2:$A$17=$A20)*(RFEmp=AP$1)*(RF!$H$21:$AO$21="RF Lead"),RF!$H$2:$AO$17)</f>
        <v>0</v>
      </c>
      <c r="AQ20" s="250">
        <f>SUMPRODUCT((RF!$A$2:$A$17=$A20)*(RFEmp=AQ$1)*(RF!$H$21:$AO$21="RF Lead"),RF!$H$2:$AO$17)</f>
        <v>0</v>
      </c>
      <c r="AR20" s="496">
        <f>SUMPRODUCT((RF!$A$2:$A$17=$A20)*(RFEmp=AR$1)*(RF!$H$21:$AO$21="RF Lead"),RF!$H$2:$AO$17)</f>
        <v>0</v>
      </c>
      <c r="AT20" s="246"/>
    </row>
    <row r="21" spans="1:57" s="271" customFormat="1" x14ac:dyDescent="0.2">
      <c r="A21" s="260">
        <f t="shared" si="7"/>
        <v>42462</v>
      </c>
      <c r="B21" s="261" t="str">
        <f>Total!$M$1</f>
        <v>SC</v>
      </c>
      <c r="C21" s="249">
        <f>SUMPRODUCT((SC!$A$2:$A$34=$A21)*(SCEmp=C$1),SC!$F$2:$Z$34)</f>
        <v>0</v>
      </c>
      <c r="D21" s="250">
        <f>SUMPRODUCT((SC!$A$2:$A$34=$A21)*(SCEmp=D$1),SC!$F$2:$Z$34)</f>
        <v>0</v>
      </c>
      <c r="E21" s="250">
        <f>SUMPRODUCT((SC!$A$2:$A$34=$A21)*(SCEmp=E$1),SC!$F$2:$Z$34)</f>
        <v>0</v>
      </c>
      <c r="F21" s="250">
        <f>SUMPRODUCT((SC!$A$2:$A$34=$A21)*(SCEmp=F$1),SC!$F$2:$Z$34)</f>
        <v>0</v>
      </c>
      <c r="G21" s="250">
        <f>SUMPRODUCT((SC!$A$2:$A$34=$A21)*(SCEmp=G$1),SC!$F$2:$Z$34)</f>
        <v>0</v>
      </c>
      <c r="H21" s="250">
        <f>SUMPRODUCT((SC!$A$2:$A$34=$A21)*(SCEmp=H$1),SC!$F$2:$Z$34)</f>
        <v>0</v>
      </c>
      <c r="I21" s="250">
        <f>SUMPRODUCT((SC!$A$2:$A$34=$A21)*(SCEmp=I$1),SC!$F$2:$Z$34)</f>
        <v>0</v>
      </c>
      <c r="J21" s="250">
        <f>SUMPRODUCT((SC!$A$2:$A$34=$A21)*(SCEmp=J$1),SC!$F$2:$Z$34)</f>
        <v>0</v>
      </c>
      <c r="K21" s="250">
        <f>SUMPRODUCT((SC!$A$2:$A$34=$A21)*(SCEmp=K$1),SC!$F$2:$Z$34)</f>
        <v>0</v>
      </c>
      <c r="L21" s="250">
        <f>SUMPRODUCT((SC!$A$2:$A$34=$A21)*(SCEmp=L$1),SC!$F$2:$Z$34)</f>
        <v>0</v>
      </c>
      <c r="M21" s="250">
        <f>SUMPRODUCT((SC!$A$2:$A$34=$A21)*(SCEmp=M$1),SC!$F$2:$Z$34)</f>
        <v>0</v>
      </c>
      <c r="N21" s="250">
        <f>SUMPRODUCT((SC!$A$2:$A$34=$A21)*(SCEmp=N$1),SC!$F$2:$Z$34)</f>
        <v>0</v>
      </c>
      <c r="O21" s="250">
        <f>SUMPRODUCT((SC!$A$2:$A$34=$A21)*(SCEmp=O$1),SC!$F$2:$Z$34)</f>
        <v>0</v>
      </c>
      <c r="P21" s="250">
        <f>SUMPRODUCT((SC!$A$2:$A$34=$A21)*(SCEmp=P$1),SC!$F$2:$Z$34)</f>
        <v>0</v>
      </c>
      <c r="Q21" s="250">
        <f>SUMPRODUCT((SC!$A$2:$A$34=$A21)*(SCEmp=Q$1),SC!$F$2:$Z$34)</f>
        <v>0</v>
      </c>
      <c r="R21" s="250">
        <f>SUMPRODUCT((SC!$A$2:$A$34=$A21)*(SCEmp=R$1),SC!$F$2:$Z$34)</f>
        <v>0</v>
      </c>
      <c r="S21" s="250">
        <f>SUMPRODUCT((SC!$A$2:$A$34=$A21)*(SCEmp=S$1),SC!$F$2:$Z$34)</f>
        <v>0</v>
      </c>
      <c r="T21" s="250">
        <f>SUMPRODUCT((SC!$A$2:$A$34=$A21)*(SCEmp=T$1),SC!$F$2:$Z$34)</f>
        <v>0</v>
      </c>
      <c r="U21" s="250">
        <f>SUMPRODUCT((SC!$A$2:$A$34=$A21)*(SCEmp=U$1),SC!$F$2:$Z$34)</f>
        <v>0</v>
      </c>
      <c r="V21" s="250">
        <f>SUMPRODUCT((SC!$A$2:$A$34=$A21)*(SCEmp=V$1),SC!$F$2:$Z$34)</f>
        <v>0</v>
      </c>
      <c r="W21" s="250">
        <f>SUMPRODUCT((SC!$A$2:$A$34=$A21)*(SCEmp=W$1),SC!$F$2:$Z$34)</f>
        <v>0</v>
      </c>
      <c r="X21" s="250">
        <f>SUMPRODUCT((SC!$A$2:$A$34=$A21)*(SCEmp=X$1),SC!$F$2:$Z$34)</f>
        <v>0</v>
      </c>
      <c r="Y21" s="250">
        <f>SUMPRODUCT((SC!$A$2:$A$34=$A21)*(SCEmp=Y$1),SC!$F$2:$Z$34)</f>
        <v>0</v>
      </c>
      <c r="Z21" s="250">
        <f>SUMPRODUCT((SC!$A$2:$A$34=$A21)*(SCEmp=Z$1),SC!$F$2:$Z$34)</f>
        <v>0</v>
      </c>
      <c r="AA21" s="250">
        <f>SUMPRODUCT((SC!$A$2:$A$34=$A21)*(SCEmp=AA$1),SC!$F$2:$Z$34)</f>
        <v>0</v>
      </c>
      <c r="AB21" s="250">
        <f>SUMPRODUCT((SC!$A$2:$A$34=$A21)*(SCEmp=AB$1),SC!$F$2:$Z$34)</f>
        <v>0</v>
      </c>
      <c r="AC21" s="250">
        <f>SUMPRODUCT((SC!$A$2:$A$34=$A21)*(SCEmp=AC$1),SC!$F$2:$Z$34)</f>
        <v>0</v>
      </c>
      <c r="AD21" s="250">
        <f>SUMPRODUCT((SC!$A$2:$A$34=$A21)*(SCEmp=AD$1),SC!$F$2:$Z$34)</f>
        <v>0</v>
      </c>
      <c r="AE21" s="250">
        <f>SUMPRODUCT((SC!$A$2:$A$34=$A21)*(SCEmp=AE$1),SC!$F$2:$Z$34)</f>
        <v>0</v>
      </c>
      <c r="AF21" s="250">
        <f>SUMPRODUCT((SC!$A$2:$A$34=$A21)*(SCEmp=AF$1),SC!$F$2:$Z$34)</f>
        <v>0</v>
      </c>
      <c r="AG21" s="250">
        <f>SUMPRODUCT((SC!$A$2:$A$34=$A21)*(SCEmp=AG$1),SC!$F$2:$Z$34)</f>
        <v>0</v>
      </c>
      <c r="AH21" s="250">
        <f>SUMPRODUCT((SC!$A$2:$A$34=$A21)*(SCEmp=AH$1),SC!$F$2:$Z$34)</f>
        <v>0</v>
      </c>
      <c r="AI21" s="250">
        <f>SUMPRODUCT((SC!$A$2:$A$34=$A21)*(SCEmp=AI$1),SC!$F$2:$Z$34)</f>
        <v>0</v>
      </c>
      <c r="AJ21" s="250">
        <f>SUMPRODUCT((SC!$A$2:$A$34=$A21)*(SCEmp=AJ$1),SC!$F$2:$Z$34)</f>
        <v>0</v>
      </c>
      <c r="AK21" s="250">
        <f>SUMPRODUCT((SC!$A$2:$A$34=$A21)*(SCEmp=AK$1),SC!$F$2:$Z$34)</f>
        <v>0</v>
      </c>
      <c r="AL21" s="250">
        <f>SUMPRODUCT((SC!$A$2:$A$34=$A21)*(SCEmp=AL$1),SC!$F$2:$Z$34)</f>
        <v>0</v>
      </c>
      <c r="AM21" s="250">
        <f>SUMPRODUCT((SC!$A$2:$A$34=$A21)*(SCEmp=AM$1),SC!$F$2:$Z$34)</f>
        <v>0</v>
      </c>
      <c r="AN21" s="250">
        <f>SUMPRODUCT((SC!$A$2:$A$34=$A21)*(SCEmp=AN$1),SC!$F$2:$Z$34)</f>
        <v>0</v>
      </c>
      <c r="AO21" s="250">
        <f>SUMPRODUCT((SC!$A$2:$A$34=$A21)*(SCEmp=AO$1),SC!$F$2:$Z$34)</f>
        <v>0</v>
      </c>
      <c r="AP21" s="250">
        <f>SUMPRODUCT((SC!$A$2:$A$34=$A21)*(SCEmp=AP$1),SC!$F$2:$Z$34)</f>
        <v>0</v>
      </c>
      <c r="AQ21" s="250">
        <f>SUMPRODUCT((SC!$A$2:$A$34=$A21)*(SCEmp=AQ$1),SC!$F$2:$Z$34)</f>
        <v>0</v>
      </c>
      <c r="AR21" s="496">
        <f>SUMPRODUCT((SC!$A$2:$A$34=$A21)*(SCEmp=AR$1),SC!$F$2:$Z$34)</f>
        <v>0</v>
      </c>
      <c r="AT21" s="246"/>
    </row>
    <row r="22" spans="1:57" s="271" customFormat="1" x14ac:dyDescent="0.2">
      <c r="A22" s="262">
        <f t="shared" si="7"/>
        <v>42462</v>
      </c>
      <c r="B22" s="263" t="s">
        <v>87</v>
      </c>
      <c r="C22" s="264">
        <f t="shared" ref="C22:AR22" si="8">IF(SUM(C13:C21)&gt;8,SUM(C13:C21)-8,0)+IF(SUM(C13:C21)&gt;12,SUM(C13:C21)-12,0)</f>
        <v>0</v>
      </c>
      <c r="D22" s="265">
        <f t="shared" si="8"/>
        <v>0</v>
      </c>
      <c r="E22" s="265">
        <f t="shared" si="8"/>
        <v>0</v>
      </c>
      <c r="F22" s="265">
        <f t="shared" si="8"/>
        <v>0</v>
      </c>
      <c r="G22" s="265">
        <f t="shared" si="8"/>
        <v>0</v>
      </c>
      <c r="H22" s="265">
        <f t="shared" si="8"/>
        <v>0</v>
      </c>
      <c r="I22" s="265">
        <f t="shared" si="8"/>
        <v>0</v>
      </c>
      <c r="J22" s="265">
        <f t="shared" si="8"/>
        <v>0</v>
      </c>
      <c r="K22" s="265">
        <f t="shared" si="8"/>
        <v>0</v>
      </c>
      <c r="L22" s="265">
        <f t="shared" si="8"/>
        <v>0</v>
      </c>
      <c r="M22" s="265">
        <f t="shared" si="8"/>
        <v>0</v>
      </c>
      <c r="N22" s="265">
        <f t="shared" si="8"/>
        <v>0</v>
      </c>
      <c r="O22" s="265">
        <f t="shared" si="8"/>
        <v>0</v>
      </c>
      <c r="P22" s="265">
        <f t="shared" si="8"/>
        <v>0</v>
      </c>
      <c r="Q22" s="265">
        <f t="shared" si="8"/>
        <v>0</v>
      </c>
      <c r="R22" s="265">
        <f t="shared" si="8"/>
        <v>0</v>
      </c>
      <c r="S22" s="265">
        <f t="shared" si="8"/>
        <v>0</v>
      </c>
      <c r="T22" s="265">
        <f t="shared" si="8"/>
        <v>0</v>
      </c>
      <c r="U22" s="265">
        <f t="shared" si="8"/>
        <v>0</v>
      </c>
      <c r="V22" s="265">
        <f t="shared" si="8"/>
        <v>0</v>
      </c>
      <c r="W22" s="265">
        <f t="shared" si="8"/>
        <v>0</v>
      </c>
      <c r="X22" s="265">
        <f t="shared" si="8"/>
        <v>0</v>
      </c>
      <c r="Y22" s="265">
        <f t="shared" si="8"/>
        <v>0</v>
      </c>
      <c r="Z22" s="265">
        <f t="shared" si="8"/>
        <v>0</v>
      </c>
      <c r="AA22" s="265">
        <f t="shared" si="8"/>
        <v>0</v>
      </c>
      <c r="AB22" s="265">
        <f t="shared" si="8"/>
        <v>0</v>
      </c>
      <c r="AC22" s="265">
        <f t="shared" si="8"/>
        <v>0</v>
      </c>
      <c r="AD22" s="265">
        <f t="shared" si="8"/>
        <v>0</v>
      </c>
      <c r="AE22" s="265">
        <f t="shared" si="8"/>
        <v>0</v>
      </c>
      <c r="AF22" s="265">
        <f t="shared" si="8"/>
        <v>0</v>
      </c>
      <c r="AG22" s="265">
        <f t="shared" si="8"/>
        <v>0</v>
      </c>
      <c r="AH22" s="265">
        <f t="shared" si="8"/>
        <v>0</v>
      </c>
      <c r="AI22" s="265">
        <f t="shared" si="8"/>
        <v>0</v>
      </c>
      <c r="AJ22" s="265">
        <f t="shared" si="8"/>
        <v>0</v>
      </c>
      <c r="AK22" s="265">
        <f t="shared" si="8"/>
        <v>0</v>
      </c>
      <c r="AL22" s="265">
        <f t="shared" si="8"/>
        <v>0</v>
      </c>
      <c r="AM22" s="265">
        <f t="shared" si="8"/>
        <v>0</v>
      </c>
      <c r="AN22" s="265">
        <f t="shared" si="8"/>
        <v>0</v>
      </c>
      <c r="AO22" s="265">
        <f t="shared" ref="AO22:AP22" si="9">IF(SUM(AO13:AO21)&gt;8,SUM(AO13:AO21)-8,0)+IF(SUM(AO13:AO21)&gt;12,SUM(AO13:AO21)-12,0)</f>
        <v>0</v>
      </c>
      <c r="AP22" s="265">
        <f t="shared" si="9"/>
        <v>0</v>
      </c>
      <c r="AQ22" s="265">
        <f t="shared" ref="AQ22" si="10">IF(SUM(AQ13:AQ21)&gt;8,SUM(AQ13:AQ21)-8,0)+IF(SUM(AQ13:AQ21)&gt;12,SUM(AQ13:AQ21)-12,0)</f>
        <v>0</v>
      </c>
      <c r="AR22" s="498">
        <f t="shared" si="8"/>
        <v>0</v>
      </c>
      <c r="AT22" s="246"/>
    </row>
    <row r="23" spans="1:57" s="271" customFormat="1" x14ac:dyDescent="0.2">
      <c r="A23" s="266">
        <f t="shared" si="7"/>
        <v>42462</v>
      </c>
      <c r="B23" s="267" t="s">
        <v>86</v>
      </c>
      <c r="C23" s="268">
        <f t="shared" ref="C23:AR23" si="11">IFERROR((C$179*SUM(C13:C18)+C$180*SUM(C19:C21))/SUM(C13:C21)/2,0)*C22</f>
        <v>0</v>
      </c>
      <c r="D23" s="269">
        <f t="shared" si="11"/>
        <v>0</v>
      </c>
      <c r="E23" s="269">
        <f t="shared" si="11"/>
        <v>0</v>
      </c>
      <c r="F23" s="269">
        <f t="shared" si="11"/>
        <v>0</v>
      </c>
      <c r="G23" s="269">
        <f t="shared" si="11"/>
        <v>0</v>
      </c>
      <c r="H23" s="269">
        <f t="shared" si="11"/>
        <v>0</v>
      </c>
      <c r="I23" s="269">
        <f t="shared" si="11"/>
        <v>0</v>
      </c>
      <c r="J23" s="269">
        <f t="shared" si="11"/>
        <v>0</v>
      </c>
      <c r="K23" s="269">
        <f t="shared" si="11"/>
        <v>0</v>
      </c>
      <c r="L23" s="269">
        <f t="shared" si="11"/>
        <v>0</v>
      </c>
      <c r="M23" s="269">
        <f t="shared" si="11"/>
        <v>0</v>
      </c>
      <c r="N23" s="269">
        <f t="shared" si="11"/>
        <v>0</v>
      </c>
      <c r="O23" s="269">
        <f t="shared" si="11"/>
        <v>0</v>
      </c>
      <c r="P23" s="269">
        <f t="shared" si="11"/>
        <v>0</v>
      </c>
      <c r="Q23" s="269">
        <f t="shared" si="11"/>
        <v>0</v>
      </c>
      <c r="R23" s="269">
        <f t="shared" si="11"/>
        <v>0</v>
      </c>
      <c r="S23" s="269">
        <f t="shared" si="11"/>
        <v>0</v>
      </c>
      <c r="T23" s="269">
        <f t="shared" si="11"/>
        <v>0</v>
      </c>
      <c r="U23" s="269">
        <f t="shared" si="11"/>
        <v>0</v>
      </c>
      <c r="V23" s="269">
        <f t="shared" si="11"/>
        <v>0</v>
      </c>
      <c r="W23" s="269">
        <f t="shared" si="11"/>
        <v>0</v>
      </c>
      <c r="X23" s="269">
        <f t="shared" si="11"/>
        <v>0</v>
      </c>
      <c r="Y23" s="269">
        <f t="shared" si="11"/>
        <v>0</v>
      </c>
      <c r="Z23" s="269">
        <f t="shared" si="11"/>
        <v>0</v>
      </c>
      <c r="AA23" s="269">
        <f t="shared" si="11"/>
        <v>0</v>
      </c>
      <c r="AB23" s="269">
        <f t="shared" si="11"/>
        <v>0</v>
      </c>
      <c r="AC23" s="269">
        <f t="shared" si="11"/>
        <v>0</v>
      </c>
      <c r="AD23" s="269">
        <f t="shared" si="11"/>
        <v>0</v>
      </c>
      <c r="AE23" s="269">
        <f t="shared" si="11"/>
        <v>0</v>
      </c>
      <c r="AF23" s="269">
        <f t="shared" si="11"/>
        <v>0</v>
      </c>
      <c r="AG23" s="269">
        <f t="shared" si="11"/>
        <v>0</v>
      </c>
      <c r="AH23" s="269">
        <f t="shared" si="11"/>
        <v>0</v>
      </c>
      <c r="AI23" s="269">
        <f t="shared" si="11"/>
        <v>0</v>
      </c>
      <c r="AJ23" s="269">
        <f t="shared" si="11"/>
        <v>0</v>
      </c>
      <c r="AK23" s="269">
        <f t="shared" si="11"/>
        <v>0</v>
      </c>
      <c r="AL23" s="269">
        <f t="shared" si="11"/>
        <v>0</v>
      </c>
      <c r="AM23" s="269">
        <f t="shared" si="11"/>
        <v>0</v>
      </c>
      <c r="AN23" s="269">
        <f t="shared" si="11"/>
        <v>0</v>
      </c>
      <c r="AO23" s="269">
        <f t="shared" ref="AO23:AP23" si="12">IFERROR((AO$179*SUM(AO13:AO18)+AO$180*SUM(AO19:AO21))/SUM(AO13:AO21)/2,0)*AO22</f>
        <v>0</v>
      </c>
      <c r="AP23" s="269">
        <f t="shared" si="12"/>
        <v>0</v>
      </c>
      <c r="AQ23" s="269">
        <f t="shared" ref="AQ23" si="13">IFERROR((AQ$179*SUM(AQ13:AQ18)+AQ$180*SUM(AQ19:AQ21))/SUM(AQ13:AQ21)/2,0)*AQ22</f>
        <v>0</v>
      </c>
      <c r="AR23" s="499">
        <f t="shared" si="11"/>
        <v>0</v>
      </c>
      <c r="AT23" s="246"/>
    </row>
    <row r="24" spans="1:57" s="271" customFormat="1" x14ac:dyDescent="0.2">
      <c r="A24" s="247">
        <f>A13+1</f>
        <v>42463</v>
      </c>
      <c r="B24" s="248" t="s">
        <v>77</v>
      </c>
      <c r="C24" s="249">
        <f>SUMPRODUCT((Driver!$A$2:$A$17=$A24)*(DriverEmp=C$1),Driver!$C$2:$V$17)</f>
        <v>0</v>
      </c>
      <c r="D24" s="250">
        <f>SUMPRODUCT((Driver!$A$2:$A$17=$A24)*(DriverEmp=D$1),Driver!$C$2:$V$17)</f>
        <v>0</v>
      </c>
      <c r="E24" s="250">
        <f>SUMPRODUCT((Driver!$A$2:$A$17=$A24)*(DriverEmp=E$1),Driver!$C$2:$V$17)</f>
        <v>0</v>
      </c>
      <c r="F24" s="250">
        <f>SUMPRODUCT((Driver!$A$2:$A$17=$A24)*(DriverEmp=F$1),Driver!$C$2:$V$17)</f>
        <v>0</v>
      </c>
      <c r="G24" s="250">
        <f>SUMPRODUCT((Driver!$A$2:$A$17=$A24)*(DriverEmp=G$1),Driver!$C$2:$V$17)</f>
        <v>0</v>
      </c>
      <c r="H24" s="250">
        <f>SUMPRODUCT((Driver!$A$2:$A$17=$A24)*(DriverEmp=H$1),Driver!$C$2:$V$17)</f>
        <v>0</v>
      </c>
      <c r="I24" s="250">
        <f>SUMPRODUCT((Driver!$A$2:$A$17=$A24)*(DriverEmp=I$1),Driver!$C$2:$V$17)</f>
        <v>0</v>
      </c>
      <c r="J24" s="250">
        <f>SUMPRODUCT((Driver!$A$2:$A$17=$A24)*(DriverEmp=J$1),Driver!$C$2:$V$17)</f>
        <v>0</v>
      </c>
      <c r="K24" s="250">
        <f>SUMPRODUCT((Driver!$A$2:$A$17=$A24)*(DriverEmp=K$1),Driver!$C$2:$V$17)</f>
        <v>0</v>
      </c>
      <c r="L24" s="250">
        <f>SUMPRODUCT((Driver!$A$2:$A$17=$A24)*(DriverEmp=L$1),Driver!$C$2:$V$17)</f>
        <v>0</v>
      </c>
      <c r="M24" s="250">
        <f>SUMPRODUCT((Driver!$A$2:$A$17=$A24)*(DriverEmp=M$1),Driver!$C$2:$V$17)</f>
        <v>0</v>
      </c>
      <c r="N24" s="250">
        <f>SUMPRODUCT((Driver!$A$2:$A$17=$A24)*(DriverEmp=N$1),Driver!$C$2:$V$17)</f>
        <v>0</v>
      </c>
      <c r="O24" s="250">
        <f>SUMPRODUCT((Driver!$A$2:$A$17=$A24)*(DriverEmp=O$1),Driver!$C$2:$V$17)</f>
        <v>0</v>
      </c>
      <c r="P24" s="250">
        <f>SUMPRODUCT((Driver!$A$2:$A$17=$A24)*(DriverEmp=P$1),Driver!$C$2:$V$17)</f>
        <v>0</v>
      </c>
      <c r="Q24" s="250">
        <f>SUMPRODUCT((Driver!$A$2:$A$17=$A24)*(DriverEmp=Q$1),Driver!$C$2:$V$17)</f>
        <v>0</v>
      </c>
      <c r="R24" s="250">
        <f>SUMPRODUCT((Driver!$A$2:$A$17=$A24)*(DriverEmp=R$1),Driver!$C$2:$V$17)</f>
        <v>0</v>
      </c>
      <c r="S24" s="250">
        <f>SUMPRODUCT((Driver!$A$2:$A$17=$A24)*(DriverEmp=S$1),Driver!$C$2:$V$17)</f>
        <v>0</v>
      </c>
      <c r="T24" s="250">
        <f>SUMPRODUCT((Driver!$A$2:$A$17=$A24)*(DriverEmp=T$1),Driver!$C$2:$V$17)</f>
        <v>0</v>
      </c>
      <c r="U24" s="250">
        <f>SUMPRODUCT((Driver!$A$2:$A$17=$A24)*(DriverEmp=U$1),Driver!$C$2:$V$17)</f>
        <v>0</v>
      </c>
      <c r="V24" s="250">
        <f>SUMPRODUCT((Driver!$A$2:$A$17=$A24)*(DriverEmp=V$1),Driver!$C$2:$V$17)</f>
        <v>0</v>
      </c>
      <c r="W24" s="250">
        <f>SUMPRODUCT((Driver!$A$2:$A$17=$A24)*(DriverEmp=W$1),Driver!$C$2:$V$17)</f>
        <v>0</v>
      </c>
      <c r="X24" s="250">
        <f>SUMPRODUCT((Driver!$A$2:$A$17=$A24)*(DriverEmp=X$1),Driver!$C$2:$V$17)</f>
        <v>0</v>
      </c>
      <c r="Y24" s="250">
        <f>SUMPRODUCT((Driver!$A$2:$A$17=$A24)*(DriverEmp=Y$1),Driver!$C$2:$V$17)</f>
        <v>0</v>
      </c>
      <c r="Z24" s="250">
        <f>SUMPRODUCT((Driver!$A$2:$A$17=$A24)*(DriverEmp=Z$1),Driver!$C$2:$V$17)</f>
        <v>0</v>
      </c>
      <c r="AA24" s="250">
        <f>SUMPRODUCT((Driver!$A$2:$A$17=$A24)*(DriverEmp=AA$1),Driver!$C$2:$V$17)</f>
        <v>0</v>
      </c>
      <c r="AB24" s="250">
        <f>SUMPRODUCT((Driver!$A$2:$A$17=$A24)*(DriverEmp=AB$1),Driver!$C$2:$V$17)</f>
        <v>0</v>
      </c>
      <c r="AC24" s="250">
        <f>SUMPRODUCT((Driver!$A$2:$A$17=$A24)*(DriverEmp=AC$1),Driver!$C$2:$V$17)</f>
        <v>0</v>
      </c>
      <c r="AD24" s="250">
        <f>SUMPRODUCT((Driver!$A$2:$A$17=$A24)*(DriverEmp=AD$1),Driver!$C$2:$V$17)</f>
        <v>0</v>
      </c>
      <c r="AE24" s="250">
        <f>SUMPRODUCT((Driver!$A$2:$A$17=$A24)*(DriverEmp=AE$1),Driver!$C$2:$V$17)</f>
        <v>0</v>
      </c>
      <c r="AF24" s="250">
        <f>SUMPRODUCT((Driver!$A$2:$A$17=$A24)*(DriverEmp=AF$1),Driver!$C$2:$V$17)</f>
        <v>0</v>
      </c>
      <c r="AG24" s="250">
        <f>SUMPRODUCT((Driver!$A$2:$A$17=$A24)*(DriverEmp=AG$1),Driver!$C$2:$V$17)</f>
        <v>0</v>
      </c>
      <c r="AH24" s="250">
        <f>SUMPRODUCT((Driver!$A$2:$A$17=$A24)*(DriverEmp=AH$1),Driver!$C$2:$V$17)</f>
        <v>0</v>
      </c>
      <c r="AI24" s="250">
        <f>SUMPRODUCT((Driver!$A$2:$A$17=$A24)*(DriverEmp=AI$1),Driver!$C$2:$V$17)</f>
        <v>0</v>
      </c>
      <c r="AJ24" s="250">
        <f>SUMPRODUCT((Driver!$A$2:$A$17=$A24)*(DriverEmp=AJ$1),Driver!$C$2:$V$17)</f>
        <v>0</v>
      </c>
      <c r="AK24" s="250">
        <f>SUMPRODUCT((Driver!$A$2:$A$17=$A24)*(DriverEmp=AK$1),Driver!$C$2:$V$17)</f>
        <v>0</v>
      </c>
      <c r="AL24" s="250">
        <f>SUMPRODUCT((Driver!$A$2:$A$17=$A24)*(DriverEmp=AL$1),Driver!$C$2:$V$17)</f>
        <v>0</v>
      </c>
      <c r="AM24" s="250">
        <f>SUMPRODUCT((Driver!$A$2:$A$17=$A24)*(DriverEmp=AM$1),Driver!$C$2:$V$17)</f>
        <v>0</v>
      </c>
      <c r="AN24" s="250">
        <f>SUMPRODUCT((Driver!$A$2:$A$17=$A24)*(DriverEmp=AN$1),Driver!$C$2:$V$17)</f>
        <v>0</v>
      </c>
      <c r="AO24" s="250">
        <f>SUMPRODUCT((Driver!$A$2:$A$17=$A24)*(DriverEmp=AO$1),Driver!$C$2:$V$17)</f>
        <v>0</v>
      </c>
      <c r="AP24" s="250">
        <f>SUMPRODUCT((Driver!$A$2:$A$17=$A24)*(DriverEmp=AP$1),Driver!$C$2:$V$17)</f>
        <v>0</v>
      </c>
      <c r="AQ24" s="250">
        <f>SUMPRODUCT((Driver!$A$2:$A$17=$A24)*(DriverEmp=AQ$1),Driver!$C$2:$V$17)</f>
        <v>0</v>
      </c>
      <c r="AR24" s="496">
        <f>SUMPRODUCT((Driver!$A$2:$A$17=$A24)*(DriverEmp=AR$1),Driver!$C$2:$V$17)</f>
        <v>0</v>
      </c>
      <c r="AT24" s="246"/>
    </row>
    <row r="25" spans="1:57" x14ac:dyDescent="0.2">
      <c r="A25" s="247">
        <f t="shared" ref="A25:A34" si="14">A24</f>
        <v>42463</v>
      </c>
      <c r="B25" s="251" t="str">
        <f>Total!$H$1</f>
        <v>PP</v>
      </c>
      <c r="C25" s="249">
        <f>SUMPRODUCT((PP!$A$2:$A$80=$A25)*(PPEmp=C$1),PP!$D$2:$BD$80)</f>
        <v>0</v>
      </c>
      <c r="D25" s="250">
        <f>SUMPRODUCT((PP!$A$2:$A$80=$A25)*(PPEmp=D$1),PP!$D$2:$BD$80)</f>
        <v>0</v>
      </c>
      <c r="E25" s="250">
        <f>SUMPRODUCT((PP!$A$2:$A$80=$A25)*(PPEmp=E$1),PP!$D$2:$BD$80)</f>
        <v>0</v>
      </c>
      <c r="F25" s="250">
        <f>SUMPRODUCT((PP!$A$2:$A$80=$A25)*(PPEmp=F$1),PP!$D$2:$BD$80)</f>
        <v>0</v>
      </c>
      <c r="G25" s="250">
        <f>SUMPRODUCT((PP!$A$2:$A$80=$A25)*(PPEmp=G$1),PP!$D$2:$BD$80)</f>
        <v>0</v>
      </c>
      <c r="H25" s="250">
        <f>SUMPRODUCT((PP!$A$2:$A$80=$A25)*(PPEmp=H$1),PP!$D$2:$BD$80)</f>
        <v>0</v>
      </c>
      <c r="I25" s="250">
        <f>SUMPRODUCT((PP!$A$2:$A$80=$A25)*(PPEmp=I$1),PP!$D$2:$BD$80)</f>
        <v>0</v>
      </c>
      <c r="J25" s="250">
        <f>SUMPRODUCT((PP!$A$2:$A$80=$A25)*(PPEmp=J$1),PP!$D$2:$BD$80)</f>
        <v>0</v>
      </c>
      <c r="K25" s="250">
        <f>SUMPRODUCT((PP!$A$2:$A$80=$A25)*(PPEmp=K$1),PP!$D$2:$BD$80)</f>
        <v>0</v>
      </c>
      <c r="L25" s="250">
        <f>SUMPRODUCT((PP!$A$2:$A$80=$A25)*(PPEmp=L$1),PP!$D$2:$BD$80)</f>
        <v>0</v>
      </c>
      <c r="M25" s="250">
        <f>SUMPRODUCT((PP!$A$2:$A$80=$A25)*(PPEmp=M$1),PP!$D$2:$BD$80)</f>
        <v>0</v>
      </c>
      <c r="N25" s="250">
        <f>SUMPRODUCT((PP!$A$2:$A$80=$A25)*(PPEmp=N$1),PP!$D$2:$BD$80)</f>
        <v>0</v>
      </c>
      <c r="O25" s="250">
        <f>SUMPRODUCT((PP!$A$2:$A$80=$A25)*(PPEmp=O$1),PP!$D$2:$BD$80)</f>
        <v>0</v>
      </c>
      <c r="P25" s="250">
        <f>SUMPRODUCT((PP!$A$2:$A$80=$A25)*(PPEmp=P$1),PP!$D$2:$BD$80)</f>
        <v>0</v>
      </c>
      <c r="Q25" s="250">
        <f>SUMPRODUCT((PP!$A$2:$A$80=$A25)*(PPEmp=Q$1),PP!$D$2:$BD$80)</f>
        <v>0</v>
      </c>
      <c r="R25" s="250">
        <f>SUMPRODUCT((PP!$A$2:$A$80=$A25)*(PPEmp=R$1),PP!$D$2:$BD$80)</f>
        <v>0</v>
      </c>
      <c r="S25" s="250">
        <f>SUMPRODUCT((PP!$A$2:$A$80=$A25)*(PPEmp=S$1),PP!$D$2:$BD$80)</f>
        <v>0</v>
      </c>
      <c r="T25" s="250">
        <f>SUMPRODUCT((PP!$A$2:$A$80=$A25)*(PPEmp=T$1),PP!$D$2:$BD$80)</f>
        <v>0</v>
      </c>
      <c r="U25" s="250">
        <f>SUMPRODUCT((PP!$A$2:$A$80=$A25)*(PPEmp=U$1),PP!$D$2:$BD$80)</f>
        <v>0</v>
      </c>
      <c r="V25" s="250">
        <f>SUMPRODUCT((PP!$A$2:$A$80=$A25)*(PPEmp=V$1),PP!$D$2:$BD$80)</f>
        <v>0</v>
      </c>
      <c r="W25" s="250">
        <f>SUMPRODUCT((PP!$A$2:$A$80=$A25)*(PPEmp=W$1),PP!$D$2:$BD$80)</f>
        <v>0</v>
      </c>
      <c r="X25" s="250">
        <f>SUMPRODUCT((PP!$A$2:$A$80=$A25)*(PPEmp=X$1),PP!$D$2:$BD$80)</f>
        <v>0</v>
      </c>
      <c r="Y25" s="250">
        <f>SUMPRODUCT((PP!$A$2:$A$80=$A25)*(PPEmp=Y$1),PP!$D$2:$BD$80)</f>
        <v>0</v>
      </c>
      <c r="Z25" s="250">
        <f>SUMPRODUCT((PP!$A$2:$A$80=$A25)*(PPEmp=Z$1),PP!$D$2:$BD$80)</f>
        <v>0</v>
      </c>
      <c r="AA25" s="250">
        <f>SUMPRODUCT((PP!$A$2:$A$80=$A25)*(PPEmp=AA$1),PP!$D$2:$BD$80)</f>
        <v>0</v>
      </c>
      <c r="AB25" s="250">
        <f>SUMPRODUCT((PP!$A$2:$A$80=$A25)*(PPEmp=AB$1),PP!$D$2:$BD$80)</f>
        <v>0</v>
      </c>
      <c r="AC25" s="250">
        <f>SUMPRODUCT((PP!$A$2:$A$80=$A25)*(PPEmp=AC$1),PP!$D$2:$BD$80)</f>
        <v>0</v>
      </c>
      <c r="AD25" s="250">
        <f>SUMPRODUCT((PP!$A$2:$A$80=$A25)*(PPEmp=AD$1),PP!$D$2:$BD$80)</f>
        <v>0</v>
      </c>
      <c r="AE25" s="250">
        <f>SUMPRODUCT((PP!$A$2:$A$80=$A25)*(PPEmp=AE$1),PP!$D$2:$BD$80)</f>
        <v>0</v>
      </c>
      <c r="AF25" s="250">
        <f>SUMPRODUCT((PP!$A$2:$A$80=$A25)*(PPEmp=AF$1),PP!$D$2:$BD$80)</f>
        <v>0</v>
      </c>
      <c r="AG25" s="250">
        <f>SUMPRODUCT((PP!$A$2:$A$80=$A25)*(PPEmp=AG$1),PP!$D$2:$BD$80)</f>
        <v>0</v>
      </c>
      <c r="AH25" s="250">
        <f>SUMPRODUCT((PP!$A$2:$A$80=$A25)*(PPEmp=AH$1),PP!$D$2:$BD$80)</f>
        <v>0</v>
      </c>
      <c r="AI25" s="250">
        <f>SUMPRODUCT((PP!$A$2:$A$80=$A25)*(PPEmp=AI$1),PP!$D$2:$BD$80)</f>
        <v>0</v>
      </c>
      <c r="AJ25" s="250">
        <f>SUMPRODUCT((PP!$A$2:$A$80=$A25)*(PPEmp=AJ$1),PP!$D$2:$BD$80)</f>
        <v>0</v>
      </c>
      <c r="AK25" s="250">
        <f>SUMPRODUCT((PP!$A$2:$A$80=$A25)*(PPEmp=AK$1),PP!$D$2:$BD$80)</f>
        <v>0</v>
      </c>
      <c r="AL25" s="250">
        <f>SUMPRODUCT((PP!$A$2:$A$80=$A25)*(PPEmp=AL$1),PP!$D$2:$BD$80)</f>
        <v>0</v>
      </c>
      <c r="AM25" s="250">
        <f>SUMPRODUCT((PP!$A$2:$A$80=$A25)*(PPEmp=AM$1),PP!$D$2:$BD$80)</f>
        <v>0</v>
      </c>
      <c r="AN25" s="250">
        <f>SUMPRODUCT((PP!$A$2:$A$80=$A25)*(PPEmp=AN$1),PP!$D$2:$BD$80)</f>
        <v>0</v>
      </c>
      <c r="AO25" s="250">
        <f>SUMPRODUCT((PP!$A$2:$A$80=$A25)*(PPEmp=AO$1),PP!$D$2:$BD$80)</f>
        <v>0</v>
      </c>
      <c r="AP25" s="250">
        <f>SUMPRODUCT((PP!$A$2:$A$80=$A25)*(PPEmp=AP$1),PP!$D$2:$BD$80)</f>
        <v>0</v>
      </c>
      <c r="AQ25" s="250">
        <f>SUMPRODUCT((PP!$A$2:$A$80=$A25)*(PPEmp=AQ$1),PP!$D$2:$BD$80)</f>
        <v>0</v>
      </c>
      <c r="AR25" s="496">
        <f>SUMPRODUCT((PP!$A$2:$A$80=$A25)*(PPEmp=AR$1),PP!$D$2:$BD$80)</f>
        <v>0</v>
      </c>
    </row>
    <row r="26" spans="1:57" x14ac:dyDescent="0.2">
      <c r="A26" s="247">
        <f t="shared" si="14"/>
        <v>42463</v>
      </c>
      <c r="B26" s="252" t="str">
        <f>Total!$J$1</f>
        <v>FH</v>
      </c>
      <c r="C26" s="249">
        <f>SUMPRODUCT((FH!$A$2:$A$97=$A26)*(FHEmp=C$1),FH!$E$2:$AZ$97)</f>
        <v>0</v>
      </c>
      <c r="D26" s="250">
        <f>SUMPRODUCT((FH!$A$2:$A$97=$A26)*(FHEmp=D$1),FH!$E$2:$AZ$97)</f>
        <v>0</v>
      </c>
      <c r="E26" s="250">
        <f>SUMPRODUCT((FH!$A$2:$A$97=$A26)*(FHEmp=E$1),FH!$E$2:$AZ$97)</f>
        <v>0</v>
      </c>
      <c r="F26" s="250">
        <f>SUMPRODUCT((FH!$A$2:$A$97=$A26)*(FHEmp=F$1),FH!$E$2:$AZ$97)</f>
        <v>0</v>
      </c>
      <c r="G26" s="250">
        <f>SUMPRODUCT((FH!$A$2:$A$97=$A26)*(FHEmp=G$1),FH!$E$2:$AZ$97)</f>
        <v>0</v>
      </c>
      <c r="H26" s="250">
        <f>SUMPRODUCT((FH!$A$2:$A$97=$A26)*(FHEmp=H$1),FH!$E$2:$AZ$97)</f>
        <v>0</v>
      </c>
      <c r="I26" s="250">
        <f>SUMPRODUCT((FH!$A$2:$A$97=$A26)*(FHEmp=I$1),FH!$E$2:$AZ$97)</f>
        <v>0</v>
      </c>
      <c r="J26" s="250">
        <f>SUMPRODUCT((FH!$A$2:$A$97=$A26)*(FHEmp=J$1),FH!$E$2:$AZ$97)</f>
        <v>0</v>
      </c>
      <c r="K26" s="250">
        <f>SUMPRODUCT((FH!$A$2:$A$97=$A26)*(FHEmp=K$1),FH!$E$2:$AZ$97)</f>
        <v>0</v>
      </c>
      <c r="L26" s="250">
        <f>SUMPRODUCT((FH!$A$2:$A$97=$A26)*(FHEmp=L$1),FH!$E$2:$AZ$97)</f>
        <v>0</v>
      </c>
      <c r="M26" s="250">
        <f>SUMPRODUCT((FH!$A$2:$A$97=$A26)*(FHEmp=M$1),FH!$E$2:$AZ$97)</f>
        <v>0</v>
      </c>
      <c r="N26" s="250">
        <f>SUMPRODUCT((FH!$A$2:$A$97=$A26)*(FHEmp=N$1),FH!$E$2:$AZ$97)</f>
        <v>0</v>
      </c>
      <c r="O26" s="250">
        <f>SUMPRODUCT((FH!$A$2:$A$97=$A26)*(FHEmp=O$1),FH!$E$2:$AZ$97)</f>
        <v>0</v>
      </c>
      <c r="P26" s="250">
        <f>SUMPRODUCT((FH!$A$2:$A$97=$A26)*(FHEmp=P$1),FH!$E$2:$AZ$97)</f>
        <v>0</v>
      </c>
      <c r="Q26" s="250">
        <f>SUMPRODUCT((FH!$A$2:$A$97=$A26)*(FHEmp=Q$1),FH!$E$2:$AZ$97)</f>
        <v>0</v>
      </c>
      <c r="R26" s="250">
        <f>SUMPRODUCT((FH!$A$2:$A$97=$A26)*(FHEmp=R$1),FH!$E$2:$AZ$97)</f>
        <v>0</v>
      </c>
      <c r="S26" s="250">
        <f>SUMPRODUCT((FH!$A$2:$A$97=$A26)*(FHEmp=S$1),FH!$E$2:$AZ$97)</f>
        <v>0</v>
      </c>
      <c r="T26" s="250">
        <f>SUMPRODUCT((FH!$A$2:$A$97=$A26)*(FHEmp=T$1),FH!$E$2:$AZ$97)</f>
        <v>0</v>
      </c>
      <c r="U26" s="250">
        <f>SUMPRODUCT((FH!$A$2:$A$97=$A26)*(FHEmp=U$1),FH!$E$2:$AZ$97)</f>
        <v>0</v>
      </c>
      <c r="V26" s="250">
        <f>SUMPRODUCT((FH!$A$2:$A$97=$A26)*(FHEmp=V$1),FH!$E$2:$AZ$97)</f>
        <v>0</v>
      </c>
      <c r="W26" s="250">
        <f>SUMPRODUCT((FH!$A$2:$A$97=$A26)*(FHEmp=W$1),FH!$E$2:$AZ$97)</f>
        <v>0</v>
      </c>
      <c r="X26" s="250">
        <f>SUMPRODUCT((FH!$A$2:$A$97=$A26)*(FHEmp=X$1),FH!$E$2:$AZ$97)</f>
        <v>0</v>
      </c>
      <c r="Y26" s="250">
        <f>SUMPRODUCT((FH!$A$2:$A$97=$A26)*(FHEmp=Y$1),FH!$E$2:$AZ$97)</f>
        <v>0</v>
      </c>
      <c r="Z26" s="250">
        <f>SUMPRODUCT((FH!$A$2:$A$97=$A26)*(FHEmp=Z$1),FH!$E$2:$AZ$97)</f>
        <v>0</v>
      </c>
      <c r="AA26" s="250">
        <f>SUMPRODUCT((FH!$A$2:$A$97=$A26)*(FHEmp=AA$1),FH!$E$2:$AZ$97)</f>
        <v>0</v>
      </c>
      <c r="AB26" s="250">
        <f>SUMPRODUCT((FH!$A$2:$A$97=$A26)*(FHEmp=AB$1),FH!$E$2:$AZ$97)</f>
        <v>0</v>
      </c>
      <c r="AC26" s="250">
        <f>SUMPRODUCT((FH!$A$2:$A$97=$A26)*(FHEmp=AC$1),FH!$E$2:$AZ$97)</f>
        <v>0</v>
      </c>
      <c r="AD26" s="250">
        <f>SUMPRODUCT((FH!$A$2:$A$97=$A26)*(FHEmp=AD$1),FH!$E$2:$AZ$97)</f>
        <v>0</v>
      </c>
      <c r="AE26" s="250">
        <f>SUMPRODUCT((FH!$A$2:$A$97=$A26)*(FHEmp=AE$1),FH!$E$2:$AZ$97)</f>
        <v>0</v>
      </c>
      <c r="AF26" s="250">
        <f>SUMPRODUCT((FH!$A$2:$A$97=$A26)*(FHEmp=AF$1),FH!$E$2:$AZ$97)</f>
        <v>0</v>
      </c>
      <c r="AG26" s="250">
        <f>SUMPRODUCT((FH!$A$2:$A$97=$A26)*(FHEmp=AG$1),FH!$E$2:$AZ$97)</f>
        <v>0</v>
      </c>
      <c r="AH26" s="250">
        <f>SUMPRODUCT((FH!$A$2:$A$97=$A26)*(FHEmp=AH$1),FH!$E$2:$AZ$97)</f>
        <v>0</v>
      </c>
      <c r="AI26" s="250">
        <f>SUMPRODUCT((FH!$A$2:$A$97=$A26)*(FHEmp=AI$1),FH!$E$2:$AZ$97)</f>
        <v>0</v>
      </c>
      <c r="AJ26" s="250">
        <f>SUMPRODUCT((FH!$A$2:$A$97=$A26)*(FHEmp=AJ$1),FH!$E$2:$AZ$97)</f>
        <v>0</v>
      </c>
      <c r="AK26" s="250">
        <f>SUMPRODUCT((FH!$A$2:$A$97=$A26)*(FHEmp=AK$1),FH!$E$2:$AZ$97)</f>
        <v>0</v>
      </c>
      <c r="AL26" s="250">
        <f>SUMPRODUCT((FH!$A$2:$A$97=$A26)*(FHEmp=AL$1),FH!$E$2:$AZ$97)</f>
        <v>0</v>
      </c>
      <c r="AM26" s="250">
        <f>SUMPRODUCT((FH!$A$2:$A$97=$A26)*(FHEmp=AM$1),FH!$E$2:$AZ$97)</f>
        <v>0</v>
      </c>
      <c r="AN26" s="250">
        <f>SUMPRODUCT((FH!$A$2:$A$97=$A26)*(FHEmp=AN$1),FH!$E$2:$AZ$97)</f>
        <v>0</v>
      </c>
      <c r="AO26" s="250">
        <f>SUMPRODUCT((FH!$A$2:$A$97=$A26)*(FHEmp=AO$1),FH!$E$2:$AZ$97)</f>
        <v>0</v>
      </c>
      <c r="AP26" s="250">
        <f>SUMPRODUCT((FH!$A$2:$A$97=$A26)*(FHEmp=AP$1),FH!$E$2:$AZ$97)</f>
        <v>0</v>
      </c>
      <c r="AQ26" s="250">
        <f>SUMPRODUCT((FH!$A$2:$A$97=$A26)*(FHEmp=AQ$1),FH!$E$2:$AZ$97)</f>
        <v>0</v>
      </c>
      <c r="AR26" s="496">
        <f>SUMPRODUCT((FH!$A$2:$A$97=$A26)*(FHEmp=AR$1),FH!$E$2:$AZ$97)</f>
        <v>0</v>
      </c>
    </row>
    <row r="27" spans="1:57" s="271" customFormat="1" x14ac:dyDescent="0.2">
      <c r="A27" s="247">
        <f t="shared" si="14"/>
        <v>42463</v>
      </c>
      <c r="B27" s="253" t="str">
        <f>Total!$K$1</f>
        <v>T22</v>
      </c>
      <c r="C27" s="249">
        <f>SUMPRODUCT(('T22'!$A$2:$A$97=$A27)*(T22Emp=C$1),'T22'!$E$2:$AZ$97)</f>
        <v>0</v>
      </c>
      <c r="D27" s="250">
        <f>SUMPRODUCT(('T22'!$A$2:$A$97=$A27)*(T22Emp=D$1),'T22'!$E$2:$AZ$97)</f>
        <v>0</v>
      </c>
      <c r="E27" s="250">
        <f>SUMPRODUCT(('T22'!$A$2:$A$97=$A27)*(T22Emp=E$1),'T22'!$E$2:$AZ$97)</f>
        <v>0</v>
      </c>
      <c r="F27" s="250">
        <f>SUMPRODUCT(('T22'!$A$2:$A$97=$A27)*(T22Emp=F$1),'T22'!$E$2:$AZ$97)</f>
        <v>0</v>
      </c>
      <c r="G27" s="250">
        <f>SUMPRODUCT(('T22'!$A$2:$A$97=$A27)*(T22Emp=G$1),'T22'!$E$2:$AZ$97)</f>
        <v>0</v>
      </c>
      <c r="H27" s="250">
        <f>SUMPRODUCT(('T22'!$A$2:$A$97=$A27)*(T22Emp=H$1),'T22'!$E$2:$AZ$97)</f>
        <v>0</v>
      </c>
      <c r="I27" s="250">
        <f>SUMPRODUCT(('T22'!$A$2:$A$97=$A27)*(T22Emp=I$1),'T22'!$E$2:$AZ$97)</f>
        <v>0</v>
      </c>
      <c r="J27" s="250">
        <f>SUMPRODUCT(('T22'!$A$2:$A$97=$A27)*(T22Emp=J$1),'T22'!$E$2:$AZ$97)</f>
        <v>0</v>
      </c>
      <c r="K27" s="250">
        <f>SUMPRODUCT(('T22'!$A$2:$A$97=$A27)*(T22Emp=K$1),'T22'!$E$2:$AZ$97)</f>
        <v>0</v>
      </c>
      <c r="L27" s="250">
        <f>SUMPRODUCT(('T22'!$A$2:$A$97=$A27)*(T22Emp=L$1),'T22'!$E$2:$AZ$97)</f>
        <v>0</v>
      </c>
      <c r="M27" s="250">
        <f>SUMPRODUCT(('T22'!$A$2:$A$97=$A27)*(T22Emp=M$1),'T22'!$E$2:$AZ$97)</f>
        <v>0</v>
      </c>
      <c r="N27" s="250">
        <f>SUMPRODUCT(('T22'!$A$2:$A$97=$A27)*(T22Emp=N$1),'T22'!$E$2:$AZ$97)</f>
        <v>0</v>
      </c>
      <c r="O27" s="250">
        <f>SUMPRODUCT(('T22'!$A$2:$A$97=$A27)*(T22Emp=O$1),'T22'!$E$2:$AZ$97)</f>
        <v>0</v>
      </c>
      <c r="P27" s="250">
        <f>SUMPRODUCT(('T22'!$A$2:$A$97=$A27)*(T22Emp=P$1),'T22'!$E$2:$AZ$97)</f>
        <v>0</v>
      </c>
      <c r="Q27" s="250">
        <f>SUMPRODUCT(('T22'!$A$2:$A$97=$A27)*(T22Emp=Q$1),'T22'!$E$2:$AZ$97)</f>
        <v>0</v>
      </c>
      <c r="R27" s="250">
        <f>SUMPRODUCT(('T22'!$A$2:$A$97=$A27)*(T22Emp=R$1),'T22'!$E$2:$AZ$97)</f>
        <v>0</v>
      </c>
      <c r="S27" s="250">
        <f>SUMPRODUCT(('T22'!$A$2:$A$97=$A27)*(T22Emp=S$1),'T22'!$E$2:$AZ$97)</f>
        <v>0</v>
      </c>
      <c r="T27" s="250">
        <f>SUMPRODUCT(('T22'!$A$2:$A$97=$A27)*(T22Emp=T$1),'T22'!$E$2:$AZ$97)</f>
        <v>0</v>
      </c>
      <c r="U27" s="250">
        <f>SUMPRODUCT(('T22'!$A$2:$A$97=$A27)*(T22Emp=U$1),'T22'!$E$2:$AZ$97)</f>
        <v>0</v>
      </c>
      <c r="V27" s="250">
        <f>SUMPRODUCT(('T22'!$A$2:$A$97=$A27)*(T22Emp=V$1),'T22'!$E$2:$AZ$97)</f>
        <v>0</v>
      </c>
      <c r="W27" s="250">
        <f>SUMPRODUCT(('T22'!$A$2:$A$97=$A27)*(T22Emp=W$1),'T22'!$E$2:$AZ$97)</f>
        <v>0</v>
      </c>
      <c r="X27" s="250">
        <f>SUMPRODUCT(('T22'!$A$2:$A$97=$A27)*(T22Emp=X$1),'T22'!$E$2:$AZ$97)</f>
        <v>0</v>
      </c>
      <c r="Y27" s="250">
        <f>SUMPRODUCT(('T22'!$A$2:$A$97=$A27)*(T22Emp=Y$1),'T22'!$E$2:$AZ$97)</f>
        <v>0</v>
      </c>
      <c r="Z27" s="250">
        <f>SUMPRODUCT(('T22'!$A$2:$A$97=$A27)*(T22Emp=Z$1),'T22'!$E$2:$AZ$97)</f>
        <v>0</v>
      </c>
      <c r="AA27" s="250">
        <f>SUMPRODUCT(('T22'!$A$2:$A$97=$A27)*(T22Emp=AA$1),'T22'!$E$2:$AZ$97)</f>
        <v>0</v>
      </c>
      <c r="AB27" s="250">
        <f>SUMPRODUCT(('T22'!$A$2:$A$97=$A27)*(T22Emp=AB$1),'T22'!$E$2:$AZ$97)</f>
        <v>0</v>
      </c>
      <c r="AC27" s="250">
        <f>SUMPRODUCT(('T22'!$A$2:$A$97=$A27)*(T22Emp=AC$1),'T22'!$E$2:$AZ$97)</f>
        <v>0</v>
      </c>
      <c r="AD27" s="250">
        <f>SUMPRODUCT(('T22'!$A$2:$A$97=$A27)*(T22Emp=AD$1),'T22'!$E$2:$AZ$97)</f>
        <v>0</v>
      </c>
      <c r="AE27" s="250">
        <f>SUMPRODUCT(('T22'!$A$2:$A$97=$A27)*(T22Emp=AE$1),'T22'!$E$2:$AZ$97)</f>
        <v>0</v>
      </c>
      <c r="AF27" s="250">
        <f>SUMPRODUCT(('T22'!$A$2:$A$97=$A27)*(T22Emp=AF$1),'T22'!$E$2:$AZ$97)</f>
        <v>0</v>
      </c>
      <c r="AG27" s="250">
        <f>SUMPRODUCT(('T22'!$A$2:$A$97=$A27)*(T22Emp=AG$1),'T22'!$E$2:$AZ$97)</f>
        <v>0</v>
      </c>
      <c r="AH27" s="250">
        <f>SUMPRODUCT(('T22'!$A$2:$A$97=$A27)*(T22Emp=AH$1),'T22'!$E$2:$AZ$97)</f>
        <v>0</v>
      </c>
      <c r="AI27" s="250">
        <f>SUMPRODUCT(('T22'!$A$2:$A$97=$A27)*(T22Emp=AI$1),'T22'!$E$2:$AZ$97)</f>
        <v>0</v>
      </c>
      <c r="AJ27" s="250">
        <f>SUMPRODUCT(('T22'!$A$2:$A$97=$A27)*(T22Emp=AJ$1),'T22'!$E$2:$AZ$97)</f>
        <v>0</v>
      </c>
      <c r="AK27" s="250">
        <f>SUMPRODUCT(('T22'!$A$2:$A$97=$A27)*(T22Emp=AK$1),'T22'!$E$2:$AZ$97)</f>
        <v>0</v>
      </c>
      <c r="AL27" s="250">
        <f>SUMPRODUCT(('T22'!$A$2:$A$97=$A27)*(T22Emp=AL$1),'T22'!$E$2:$AZ$97)</f>
        <v>0</v>
      </c>
      <c r="AM27" s="250">
        <f>SUMPRODUCT(('T22'!$A$2:$A$97=$A27)*(T22Emp=AM$1),'T22'!$E$2:$AZ$97)</f>
        <v>0</v>
      </c>
      <c r="AN27" s="250">
        <f>SUMPRODUCT(('T22'!$A$2:$A$97=$A27)*(T22Emp=AN$1),'T22'!$E$2:$AZ$97)</f>
        <v>0</v>
      </c>
      <c r="AO27" s="250">
        <f>SUMPRODUCT(('T22'!$A$2:$A$97=$A27)*(T22Emp=AO$1),'T22'!$E$2:$AZ$97)</f>
        <v>0</v>
      </c>
      <c r="AP27" s="250">
        <f>SUMPRODUCT(('T22'!$A$2:$A$97=$A27)*(T22Emp=AP$1),'T22'!$E$2:$AZ$97)</f>
        <v>0</v>
      </c>
      <c r="AQ27" s="250">
        <f>SUMPRODUCT(('T22'!$A$2:$A$97=$A27)*(T22Emp=AQ$1),'T22'!$E$2:$AZ$97)</f>
        <v>0</v>
      </c>
      <c r="AR27" s="496">
        <f>SUMPRODUCT(('T22'!$A$2:$A$97=$A27)*(T22Emp=AR$1),'T22'!$E$2:$AZ$97)</f>
        <v>0</v>
      </c>
      <c r="AT27" s="246"/>
    </row>
    <row r="28" spans="1:57" s="271" customFormat="1" x14ac:dyDescent="0.2">
      <c r="A28" s="247">
        <f t="shared" si="14"/>
        <v>42463</v>
      </c>
      <c r="B28" s="254" t="str">
        <f>Total!$L$1</f>
        <v>RF</v>
      </c>
      <c r="C28" s="249">
        <f>SUMPRODUCT((RF!$A$2:$A$17=$A28)*(RFEmp=C$1)*(RF!$H$21:$AO$21="RF Valet"),RF!$H$2:$AO$17)</f>
        <v>0</v>
      </c>
      <c r="D28" s="250">
        <f>SUMPRODUCT((RF!$A$2:$A$17=$A28)*(RFEmp=D$1)*(RF!$H$21:$AO$21="RF Valet"),RF!$H$2:$AO$17)</f>
        <v>0</v>
      </c>
      <c r="E28" s="250">
        <f>SUMPRODUCT((RF!$A$2:$A$17=$A28)*(RFEmp=E$1)*(RF!$H$21:$AO$21="RF Valet"),RF!$H$2:$AO$17)</f>
        <v>0</v>
      </c>
      <c r="F28" s="250">
        <f>SUMPRODUCT((RF!$A$2:$A$17=$A28)*(RFEmp=F$1)*(RF!$H$21:$AO$21="RF Valet"),RF!$H$2:$AO$17)</f>
        <v>0</v>
      </c>
      <c r="G28" s="250">
        <f>SUMPRODUCT((RF!$A$2:$A$17=$A28)*(RFEmp=G$1)*(RF!$H$21:$AO$21="RF Valet"),RF!$H$2:$AO$17)</f>
        <v>0</v>
      </c>
      <c r="H28" s="250">
        <f>SUMPRODUCT((RF!$A$2:$A$17=$A28)*(RFEmp=H$1)*(RF!$H$21:$AO$21="RF Valet"),RF!$H$2:$AO$17)</f>
        <v>0</v>
      </c>
      <c r="I28" s="250">
        <f>SUMPRODUCT((RF!$A$2:$A$17=$A28)*(RFEmp=I$1)*(RF!$H$21:$AO$21="RF Valet"),RF!$H$2:$AO$17)</f>
        <v>0</v>
      </c>
      <c r="J28" s="250">
        <f>SUMPRODUCT((RF!$A$2:$A$17=$A28)*(RFEmp=J$1)*(RF!$H$21:$AO$21="RF Valet"),RF!$H$2:$AO$17)</f>
        <v>0</v>
      </c>
      <c r="K28" s="250">
        <f>SUMPRODUCT((RF!$A$2:$A$17=$A28)*(RFEmp=K$1)*(RF!$H$21:$AO$21="RF Valet"),RF!$H$2:$AO$17)</f>
        <v>0</v>
      </c>
      <c r="L28" s="250">
        <f>SUMPRODUCT((RF!$A$2:$A$17=$A28)*(RFEmp=L$1)*(RF!$H$21:$AO$21="RF Valet"),RF!$H$2:$AO$17)</f>
        <v>0</v>
      </c>
      <c r="M28" s="250">
        <f>SUMPRODUCT((RF!$A$2:$A$17=$A28)*(RFEmp=M$1)*(RF!$H$21:$AO$21="RF Valet"),RF!$H$2:$AO$17)</f>
        <v>0</v>
      </c>
      <c r="N28" s="250">
        <f>SUMPRODUCT((RF!$A$2:$A$17=$A28)*(RFEmp=N$1)*(RF!$H$21:$AO$21="RF Valet"),RF!$H$2:$AO$17)</f>
        <v>0</v>
      </c>
      <c r="O28" s="250">
        <f>SUMPRODUCT((RF!$A$2:$A$17=$A28)*(RFEmp=O$1)*(RF!$H$21:$AO$21="RF Valet"),RF!$H$2:$AO$17)</f>
        <v>0</v>
      </c>
      <c r="P28" s="250">
        <f>SUMPRODUCT((RF!$A$2:$A$17=$A28)*(RFEmp=P$1)*(RF!$H$21:$AO$21="RF Valet"),RF!$H$2:$AO$17)</f>
        <v>0</v>
      </c>
      <c r="Q28" s="250">
        <f>SUMPRODUCT((RF!$A$2:$A$17=$A28)*(RFEmp=Q$1)*(RF!$H$21:$AO$21="RF Valet"),RF!$H$2:$AO$17)</f>
        <v>0</v>
      </c>
      <c r="R28" s="250">
        <f>SUMPRODUCT((RF!$A$2:$A$17=$A28)*(RFEmp=R$1)*(RF!$H$21:$AO$21="RF Valet"),RF!$H$2:$AO$17)</f>
        <v>0</v>
      </c>
      <c r="S28" s="250">
        <f>SUMPRODUCT((RF!$A$2:$A$17=$A28)*(RFEmp=S$1)*(RF!$H$21:$AO$21="RF Valet"),RF!$H$2:$AO$17)</f>
        <v>0</v>
      </c>
      <c r="T28" s="250">
        <f>SUMPRODUCT((RF!$A$2:$A$17=$A28)*(RFEmp=T$1)*(RF!$H$21:$AO$21="RF Valet"),RF!$H$2:$AO$17)</f>
        <v>0</v>
      </c>
      <c r="U28" s="250">
        <f>SUMPRODUCT((RF!$A$2:$A$17=$A28)*(RFEmp=U$1)*(RF!$H$21:$AO$21="RF Valet"),RF!$H$2:$AO$17)</f>
        <v>0</v>
      </c>
      <c r="V28" s="250">
        <f>SUMPRODUCT((RF!$A$2:$A$17=$A28)*(RFEmp=V$1)*(RF!$H$21:$AO$21="RF Valet"),RF!$H$2:$AO$17)</f>
        <v>0</v>
      </c>
      <c r="W28" s="250">
        <f>SUMPRODUCT((RF!$A$2:$A$17=$A28)*(RFEmp=W$1)*(RF!$H$21:$AO$21="RF Valet"),RF!$H$2:$AO$17)</f>
        <v>0</v>
      </c>
      <c r="X28" s="250">
        <f>SUMPRODUCT((RF!$A$2:$A$17=$A28)*(RFEmp=X$1)*(RF!$H$21:$AO$21="RF Valet"),RF!$H$2:$AO$17)</f>
        <v>0</v>
      </c>
      <c r="Y28" s="250">
        <f>SUMPRODUCT((RF!$A$2:$A$17=$A28)*(RFEmp=Y$1)*(RF!$H$21:$AO$21="RF Valet"),RF!$H$2:$AO$17)</f>
        <v>0</v>
      </c>
      <c r="Z28" s="250">
        <f>SUMPRODUCT((RF!$A$2:$A$17=$A28)*(RFEmp=Z$1)*(RF!$H$21:$AO$21="RF Valet"),RF!$H$2:$AO$17)</f>
        <v>0</v>
      </c>
      <c r="AA28" s="250">
        <f>SUMPRODUCT((RF!$A$2:$A$17=$A28)*(RFEmp=AA$1)*(RF!$H$21:$AO$21="RF Valet"),RF!$H$2:$AO$17)</f>
        <v>0</v>
      </c>
      <c r="AB28" s="250">
        <f>SUMPRODUCT((RF!$A$2:$A$17=$A28)*(RFEmp=AB$1)*(RF!$H$21:$AO$21="RF Valet"),RF!$H$2:$AO$17)</f>
        <v>0</v>
      </c>
      <c r="AC28" s="250">
        <f>SUMPRODUCT((RF!$A$2:$A$17=$A28)*(RFEmp=AC$1)*(RF!$H$21:$AO$21="RF Valet"),RF!$H$2:$AO$17)</f>
        <v>0</v>
      </c>
      <c r="AD28" s="250">
        <f>SUMPRODUCT((RF!$A$2:$A$17=$A28)*(RFEmp=AD$1)*(RF!$H$21:$AO$21="RF Valet"),RF!$H$2:$AO$17)</f>
        <v>0</v>
      </c>
      <c r="AE28" s="250">
        <f>SUMPRODUCT((RF!$A$2:$A$17=$A28)*(RFEmp=AE$1)*(RF!$H$21:$AO$21="RF Valet"),RF!$H$2:$AO$17)</f>
        <v>0</v>
      </c>
      <c r="AF28" s="250">
        <f>SUMPRODUCT((RF!$A$2:$A$17=$A28)*(RFEmp=AF$1)*(RF!$H$21:$AO$21="RF Valet"),RF!$H$2:$AO$17)</f>
        <v>0</v>
      </c>
      <c r="AG28" s="250">
        <f>SUMPRODUCT((RF!$A$2:$A$17=$A28)*(RFEmp=AG$1)*(RF!$H$21:$AO$21="RF Valet"),RF!$H$2:$AO$17)</f>
        <v>0</v>
      </c>
      <c r="AH28" s="250">
        <f>SUMPRODUCT((RF!$A$2:$A$17=$A28)*(RFEmp=AH$1)*(RF!$H$21:$AO$21="RF Valet"),RF!$H$2:$AO$17)</f>
        <v>0</v>
      </c>
      <c r="AI28" s="250">
        <f>SUMPRODUCT((RF!$A$2:$A$17=$A28)*(RFEmp=AI$1)*(RF!$H$21:$AO$21="RF Valet"),RF!$H$2:$AO$17)</f>
        <v>0</v>
      </c>
      <c r="AJ28" s="250">
        <f>SUMPRODUCT((RF!$A$2:$A$17=$A28)*(RFEmp=AJ$1)*(RF!$H$21:$AO$21="RF Valet"),RF!$H$2:$AO$17)</f>
        <v>0</v>
      </c>
      <c r="AK28" s="250">
        <f>SUMPRODUCT((RF!$A$2:$A$17=$A28)*(RFEmp=AK$1)*(RF!$H$21:$AO$21="RF Valet"),RF!$H$2:$AO$17)</f>
        <v>0</v>
      </c>
      <c r="AL28" s="250">
        <f>SUMPRODUCT((RF!$A$2:$A$17=$A28)*(RFEmp=AL$1)*(RF!$H$21:$AO$21="RF Valet"),RF!$H$2:$AO$17)</f>
        <v>0</v>
      </c>
      <c r="AM28" s="250">
        <f>SUMPRODUCT((RF!$A$2:$A$17=$A28)*(RFEmp=AM$1)*(RF!$H$21:$AO$21="RF Valet"),RF!$H$2:$AO$17)</f>
        <v>0</v>
      </c>
      <c r="AN28" s="250">
        <f>SUMPRODUCT((RF!$A$2:$A$17=$A28)*(RFEmp=AN$1)*(RF!$H$21:$AO$21="RF Valet"),RF!$H$2:$AO$17)</f>
        <v>0</v>
      </c>
      <c r="AO28" s="250">
        <f>SUMPRODUCT((RF!$A$2:$A$17=$A28)*(RFEmp=AO$1)*(RF!$H$21:$AO$21="RF Valet"),RF!$H$2:$AO$17)</f>
        <v>0</v>
      </c>
      <c r="AP28" s="250">
        <f>SUMPRODUCT((RF!$A$2:$A$17=$A28)*(RFEmp=AP$1)*(RF!$H$21:$AO$21="RF Valet"),RF!$H$2:$AO$17)</f>
        <v>0</v>
      </c>
      <c r="AQ28" s="250">
        <f>SUMPRODUCT((RF!$A$2:$A$17=$A28)*(RFEmp=AQ$1)*(RF!$H$21:$AO$21="RF Valet"),RF!$H$2:$AO$17)</f>
        <v>0</v>
      </c>
      <c r="AR28" s="496">
        <f>SUMPRODUCT((RF!$A$2:$A$17=$A28)*(RFEmp=AR$1)*(RF!$H$21:$AO$21="RF Valet"),RF!$H$2:$AO$17)</f>
        <v>0</v>
      </c>
      <c r="AT28" s="246"/>
    </row>
    <row r="29" spans="1:57" s="271" customFormat="1" x14ac:dyDescent="0.2">
      <c r="A29" s="247">
        <f>A28</f>
        <v>42463</v>
      </c>
      <c r="B29" s="255" t="s">
        <v>74</v>
      </c>
      <c r="C29" s="249">
        <f>SUMPRODUCT((TM!$A$2:$A$17=$A29)*(TMEmp=C$1),TM!$D$2:$AK$17)</f>
        <v>0</v>
      </c>
      <c r="D29" s="250">
        <f>SUMPRODUCT((TM!$A$2:$A$17=$A29)*(TMEmp=D$1),TM!$D$2:$AK$17)</f>
        <v>0</v>
      </c>
      <c r="E29" s="250">
        <f>SUMPRODUCT((TM!$A$2:$A$17=$A29)*(TMEmp=E$1),TM!$D$2:$AK$17)</f>
        <v>0</v>
      </c>
      <c r="F29" s="250">
        <f>SUMPRODUCT((TM!$A$2:$A$17=$A29)*(TMEmp=F$1),TM!$D$2:$AK$17)</f>
        <v>0</v>
      </c>
      <c r="G29" s="250">
        <f>SUMPRODUCT((TM!$A$2:$A$17=$A29)*(TMEmp=G$1),TM!$D$2:$AK$17)</f>
        <v>0</v>
      </c>
      <c r="H29" s="250">
        <f>SUMPRODUCT((TM!$A$2:$A$17=$A29)*(TMEmp=H$1),TM!$D$2:$AK$17)</f>
        <v>0</v>
      </c>
      <c r="I29" s="250">
        <f>SUMPRODUCT((TM!$A$2:$A$17=$A29)*(TMEmp=I$1),TM!$D$2:$AK$17)</f>
        <v>0</v>
      </c>
      <c r="J29" s="250">
        <f>SUMPRODUCT((TM!$A$2:$A$17=$A29)*(TMEmp=J$1),TM!$D$2:$AK$17)</f>
        <v>0</v>
      </c>
      <c r="K29" s="250">
        <f>SUMPRODUCT((TM!$A$2:$A$17=$A29)*(TMEmp=K$1),TM!$D$2:$AK$17)</f>
        <v>0</v>
      </c>
      <c r="L29" s="250">
        <f>SUMPRODUCT((TM!$A$2:$A$17=$A29)*(TMEmp=L$1),TM!$D$2:$AK$17)</f>
        <v>0</v>
      </c>
      <c r="M29" s="250">
        <f>SUMPRODUCT((TM!$A$2:$A$17=$A29)*(TMEmp=M$1),TM!$D$2:$AK$17)</f>
        <v>0</v>
      </c>
      <c r="N29" s="250">
        <f>SUMPRODUCT((TM!$A$2:$A$17=$A29)*(TMEmp=N$1),TM!$D$2:$AK$17)</f>
        <v>0</v>
      </c>
      <c r="O29" s="250">
        <f>SUMPRODUCT((TM!$A$2:$A$17=$A29)*(TMEmp=O$1),TM!$D$2:$AK$17)</f>
        <v>0</v>
      </c>
      <c r="P29" s="250">
        <f>SUMPRODUCT((TM!$A$2:$A$17=$A29)*(TMEmp=P$1),TM!$D$2:$AK$17)</f>
        <v>0</v>
      </c>
      <c r="Q29" s="250">
        <f>SUMPRODUCT((TM!$A$2:$A$17=$A29)*(TMEmp=Q$1),TM!$D$2:$AK$17)</f>
        <v>0</v>
      </c>
      <c r="R29" s="250">
        <f>SUMPRODUCT((TM!$A$2:$A$17=$A29)*(TMEmp=R$1),TM!$D$2:$AK$17)</f>
        <v>0</v>
      </c>
      <c r="S29" s="250">
        <f>SUMPRODUCT((TM!$A$2:$A$17=$A29)*(TMEmp=S$1),TM!$D$2:$AK$17)</f>
        <v>0</v>
      </c>
      <c r="T29" s="250">
        <f>SUMPRODUCT((TM!$A$2:$A$17=$A29)*(TMEmp=T$1),TM!$D$2:$AK$17)</f>
        <v>0</v>
      </c>
      <c r="U29" s="250">
        <f>SUMPRODUCT((TM!$A$2:$A$17=$A29)*(TMEmp=U$1),TM!$D$2:$AK$17)</f>
        <v>0</v>
      </c>
      <c r="V29" s="250">
        <f>SUMPRODUCT((TM!$A$2:$A$17=$A29)*(TMEmp=V$1),TM!$D$2:$AK$17)</f>
        <v>0</v>
      </c>
      <c r="W29" s="250">
        <f>SUMPRODUCT((TM!$A$2:$A$17=$A29)*(TMEmp=W$1),TM!$D$2:$AK$17)</f>
        <v>0</v>
      </c>
      <c r="X29" s="250">
        <f>SUMPRODUCT((TM!$A$2:$A$17=$A29)*(TMEmp=X$1),TM!$D$2:$AK$17)</f>
        <v>0</v>
      </c>
      <c r="Y29" s="250">
        <f>SUMPRODUCT((TM!$A$2:$A$17=$A29)*(TMEmp=Y$1),TM!$D$2:$AK$17)</f>
        <v>0</v>
      </c>
      <c r="Z29" s="250">
        <f>SUMPRODUCT((TM!$A$2:$A$17=$A29)*(TMEmp=Z$1),TM!$D$2:$AK$17)</f>
        <v>0</v>
      </c>
      <c r="AA29" s="250">
        <f>SUMPRODUCT((TM!$A$2:$A$17=$A29)*(TMEmp=AA$1),TM!$D$2:$AK$17)</f>
        <v>0</v>
      </c>
      <c r="AB29" s="250">
        <f>SUMPRODUCT((TM!$A$2:$A$17=$A29)*(TMEmp=AB$1),TM!$D$2:$AK$17)</f>
        <v>0</v>
      </c>
      <c r="AC29" s="250">
        <f>SUMPRODUCT((TM!$A$2:$A$17=$A29)*(TMEmp=AC$1),TM!$D$2:$AK$17)</f>
        <v>0</v>
      </c>
      <c r="AD29" s="250">
        <f>SUMPRODUCT((TM!$A$2:$A$17=$A29)*(TMEmp=AD$1),TM!$D$2:$AK$17)</f>
        <v>0</v>
      </c>
      <c r="AE29" s="250">
        <f>SUMPRODUCT((TM!$A$2:$A$17=$A29)*(TMEmp=AE$1),TM!$D$2:$AK$17)</f>
        <v>0</v>
      </c>
      <c r="AF29" s="250">
        <f>SUMPRODUCT((TM!$A$2:$A$17=$A29)*(TMEmp=AF$1),TM!$D$2:$AK$17)</f>
        <v>0</v>
      </c>
      <c r="AG29" s="250">
        <f>SUMPRODUCT((TM!$A$2:$A$17=$A29)*(TMEmp=AG$1),TM!$D$2:$AK$17)</f>
        <v>0</v>
      </c>
      <c r="AH29" s="250">
        <f>SUMPRODUCT((TM!$A$2:$A$17=$A29)*(TMEmp=AH$1),TM!$D$2:$AK$17)</f>
        <v>0</v>
      </c>
      <c r="AI29" s="250">
        <f>SUMPRODUCT((TM!$A$2:$A$17=$A29)*(TMEmp=AI$1),TM!$D$2:$AK$17)</f>
        <v>0</v>
      </c>
      <c r="AJ29" s="250">
        <f>SUMPRODUCT((TM!$A$2:$A$17=$A29)*(TMEmp=AJ$1),TM!$D$2:$AK$17)</f>
        <v>0</v>
      </c>
      <c r="AK29" s="250">
        <f>SUMPRODUCT((TM!$A$2:$A$17=$A29)*(TMEmp=AK$1),TM!$D$2:$AK$17)</f>
        <v>0</v>
      </c>
      <c r="AL29" s="250">
        <f>SUMPRODUCT((TM!$A$2:$A$17=$A29)*(TMEmp=AL$1),TM!$D$2:$AK$17)</f>
        <v>0</v>
      </c>
      <c r="AM29" s="250">
        <f>SUMPRODUCT((TM!$A$2:$A$17=$A29)*(TMEmp=AM$1),TM!$D$2:$AK$17)</f>
        <v>0</v>
      </c>
      <c r="AN29" s="250">
        <f>SUMPRODUCT((TM!$A$2:$A$17=$A29)*(TMEmp=AN$1),TM!$D$2:$AK$17)</f>
        <v>0</v>
      </c>
      <c r="AO29" s="250">
        <f>SUMPRODUCT((TM!$A$2:$A$17=$A29)*(TMEmp=AO$1),TM!$D$2:$AK$17)</f>
        <v>0</v>
      </c>
      <c r="AP29" s="250">
        <f>SUMPRODUCT((TM!$A$2:$A$17=$A29)*(TMEmp=AP$1),TM!$D$2:$AK$17)</f>
        <v>0</v>
      </c>
      <c r="AQ29" s="250">
        <f>SUMPRODUCT((TM!$A$2:$A$17=$A29)*(TMEmp=AQ$1),TM!$D$2:$AK$17)</f>
        <v>0</v>
      </c>
      <c r="AR29" s="496">
        <f>SUMPRODUCT((TM!$A$2:$A$17=$A29)*(TMEmp=AR$1),TM!$D$2:$AK$17)</f>
        <v>0</v>
      </c>
      <c r="AT29" s="246"/>
    </row>
    <row r="30" spans="1:57" s="271" customFormat="1" x14ac:dyDescent="0.2">
      <c r="A30" s="256">
        <f t="shared" si="14"/>
        <v>42463</v>
      </c>
      <c r="B30" s="257" t="s">
        <v>72</v>
      </c>
      <c r="C30" s="258">
        <f>SUMPRODUCT((PC!$A$2:$A$80=$A30)*(PCEmp=C$1),PC!$D$2:$BD$80)</f>
        <v>0</v>
      </c>
      <c r="D30" s="259">
        <f>SUMPRODUCT((PC!$A$2:$A$80=$A30)*(PCEmp=D$1),PC!$D$2:$BD$80)</f>
        <v>0</v>
      </c>
      <c r="E30" s="259">
        <f>SUMPRODUCT((PC!$A$2:$A$80=$A30)*(PCEmp=E$1),PC!$D$2:$BD$80)</f>
        <v>0</v>
      </c>
      <c r="F30" s="259">
        <f>SUMPRODUCT((PC!$A$2:$A$80=$A30)*(PCEmp=F$1),PC!$D$2:$BD$80)</f>
        <v>0</v>
      </c>
      <c r="G30" s="259">
        <f>SUMPRODUCT((PC!$A$2:$A$80=$A30)*(PCEmp=G$1),PC!$D$2:$BD$80)</f>
        <v>0</v>
      </c>
      <c r="H30" s="259">
        <f>SUMPRODUCT((PC!$A$2:$A$80=$A30)*(PCEmp=H$1),PC!$D$2:$BD$80)</f>
        <v>0</v>
      </c>
      <c r="I30" s="259">
        <f>SUMPRODUCT((PC!$A$2:$A$80=$A30)*(PCEmp=I$1),PC!$D$2:$BD$80)</f>
        <v>0</v>
      </c>
      <c r="J30" s="259">
        <f>SUMPRODUCT((PC!$A$2:$A$80=$A30)*(PCEmp=J$1),PC!$D$2:$BD$80)</f>
        <v>0</v>
      </c>
      <c r="K30" s="259">
        <f>SUMPRODUCT((PC!$A$2:$A$80=$A30)*(PCEmp=K$1),PC!$D$2:$BD$80)</f>
        <v>0</v>
      </c>
      <c r="L30" s="259">
        <f>SUMPRODUCT((PC!$A$2:$A$80=$A30)*(PCEmp=L$1),PC!$D$2:$BD$80)</f>
        <v>0</v>
      </c>
      <c r="M30" s="259">
        <f>SUMPRODUCT((PC!$A$2:$A$80=$A30)*(PCEmp=M$1),PC!$D$2:$BD$80)</f>
        <v>0</v>
      </c>
      <c r="N30" s="259">
        <f>SUMPRODUCT((PC!$A$2:$A$80=$A30)*(PCEmp=N$1),PC!$D$2:$BD$80)</f>
        <v>0</v>
      </c>
      <c r="O30" s="259">
        <f>SUMPRODUCT((PC!$A$2:$A$80=$A30)*(PCEmp=O$1),PC!$D$2:$BD$80)</f>
        <v>0</v>
      </c>
      <c r="P30" s="259">
        <f>SUMPRODUCT((PC!$A$2:$A$80=$A30)*(PCEmp=P$1),PC!$D$2:$BD$80)</f>
        <v>0</v>
      </c>
      <c r="Q30" s="259">
        <f>SUMPRODUCT((PC!$A$2:$A$80=$A30)*(PCEmp=Q$1),PC!$D$2:$BD$80)</f>
        <v>0</v>
      </c>
      <c r="R30" s="259">
        <f>SUMPRODUCT((PC!$A$2:$A$80=$A30)*(PCEmp=R$1),PC!$D$2:$BD$80)</f>
        <v>0</v>
      </c>
      <c r="S30" s="259">
        <f>SUMPRODUCT((PC!$A$2:$A$80=$A30)*(PCEmp=S$1),PC!$D$2:$BD$80)</f>
        <v>0</v>
      </c>
      <c r="T30" s="259">
        <f>SUMPRODUCT((PC!$A$2:$A$80=$A30)*(PCEmp=T$1),PC!$D$2:$BD$80)</f>
        <v>0</v>
      </c>
      <c r="U30" s="259">
        <f>SUMPRODUCT((PC!$A$2:$A$80=$A30)*(PCEmp=U$1),PC!$D$2:$BD$80)</f>
        <v>0</v>
      </c>
      <c r="V30" s="259">
        <f>SUMPRODUCT((PC!$A$2:$A$80=$A30)*(PCEmp=V$1),PC!$D$2:$BD$80)</f>
        <v>0</v>
      </c>
      <c r="W30" s="259">
        <f>SUMPRODUCT((PC!$A$2:$A$80=$A30)*(PCEmp=W$1),PC!$D$2:$BD$80)</f>
        <v>0</v>
      </c>
      <c r="X30" s="259">
        <f>SUMPRODUCT((PC!$A$2:$A$80=$A30)*(PCEmp=X$1),PC!$D$2:$BD$80)</f>
        <v>0</v>
      </c>
      <c r="Y30" s="259">
        <f>SUMPRODUCT((PC!$A$2:$A$80=$A30)*(PCEmp=Y$1),PC!$D$2:$BD$80)</f>
        <v>0</v>
      </c>
      <c r="Z30" s="259">
        <f>SUMPRODUCT((PC!$A$2:$A$80=$A30)*(PCEmp=Z$1),PC!$D$2:$BD$80)</f>
        <v>0</v>
      </c>
      <c r="AA30" s="259">
        <f>SUMPRODUCT((PC!$A$2:$A$80=$A30)*(PCEmp=AA$1),PC!$D$2:$BD$80)</f>
        <v>0</v>
      </c>
      <c r="AB30" s="259">
        <f>SUMPRODUCT((PC!$A$2:$A$80=$A30)*(PCEmp=AB$1),PC!$D$2:$BD$80)</f>
        <v>0</v>
      </c>
      <c r="AC30" s="259">
        <f>SUMPRODUCT((PC!$A$2:$A$80=$A30)*(PCEmp=AC$1),PC!$D$2:$BD$80)</f>
        <v>0</v>
      </c>
      <c r="AD30" s="259">
        <f>SUMPRODUCT((PC!$A$2:$A$80=$A30)*(PCEmp=AD$1),PC!$D$2:$BD$80)</f>
        <v>0</v>
      </c>
      <c r="AE30" s="259">
        <f>SUMPRODUCT((PC!$A$2:$A$80=$A30)*(PCEmp=AE$1),PC!$D$2:$BD$80)</f>
        <v>0</v>
      </c>
      <c r="AF30" s="259">
        <f>SUMPRODUCT((PC!$A$2:$A$80=$A30)*(PCEmp=AF$1),PC!$D$2:$BD$80)</f>
        <v>0</v>
      </c>
      <c r="AG30" s="259">
        <f>SUMPRODUCT((PC!$A$2:$A$80=$A30)*(PCEmp=AG$1),PC!$D$2:$BD$80)</f>
        <v>0</v>
      </c>
      <c r="AH30" s="259">
        <f>SUMPRODUCT((PC!$A$2:$A$80=$A30)*(PCEmp=AH$1),PC!$D$2:$BD$80)</f>
        <v>0</v>
      </c>
      <c r="AI30" s="259">
        <f>SUMPRODUCT((PC!$A$2:$A$80=$A30)*(PCEmp=AI$1),PC!$D$2:$BD$80)</f>
        <v>0</v>
      </c>
      <c r="AJ30" s="259">
        <f>SUMPRODUCT((PC!$A$2:$A$80=$A30)*(PCEmp=AJ$1),PC!$D$2:$BD$80)</f>
        <v>0</v>
      </c>
      <c r="AK30" s="259">
        <f>SUMPRODUCT((PC!$A$2:$A$80=$A30)*(PCEmp=AK$1),PC!$D$2:$BD$80)</f>
        <v>0</v>
      </c>
      <c r="AL30" s="259">
        <f>SUMPRODUCT((PC!$A$2:$A$80=$A30)*(PCEmp=AL$1),PC!$D$2:$BD$80)</f>
        <v>0</v>
      </c>
      <c r="AM30" s="259">
        <f>SUMPRODUCT((PC!$A$2:$A$80=$A30)*(PCEmp=AM$1),PC!$D$2:$BD$80)</f>
        <v>0</v>
      </c>
      <c r="AN30" s="259">
        <f>SUMPRODUCT((PC!$A$2:$A$80=$A30)*(PCEmp=AN$1),PC!$D$2:$BD$80)</f>
        <v>0</v>
      </c>
      <c r="AO30" s="259">
        <f>SUMPRODUCT((PC!$A$2:$A$80=$A30)*(PCEmp=AO$1),PC!$D$2:$BD$80)</f>
        <v>0</v>
      </c>
      <c r="AP30" s="259">
        <f>SUMPRODUCT((PC!$A$2:$A$80=$A30)*(PCEmp=AP$1),PC!$D$2:$BD$80)</f>
        <v>0</v>
      </c>
      <c r="AQ30" s="259">
        <f>SUMPRODUCT((PC!$A$2:$A$80=$A30)*(PCEmp=AQ$1),PC!$D$2:$BD$80)</f>
        <v>0</v>
      </c>
      <c r="AR30" s="497">
        <f>SUMPRODUCT((PC!$A$2:$A$80=$A30)*(PCEmp=AR$1),PC!$D$2:$BD$80)</f>
        <v>0</v>
      </c>
      <c r="AT30" s="246"/>
    </row>
    <row r="31" spans="1:57" s="271" customFormat="1" x14ac:dyDescent="0.2">
      <c r="A31" s="247">
        <f t="shared" si="14"/>
        <v>42463</v>
      </c>
      <c r="B31" s="254" t="s">
        <v>85</v>
      </c>
      <c r="C31" s="249">
        <f>SUMPRODUCT((RF!$A$2:$A$17=$A31)*(RFEmp=C$1)*(RF!$H$21:$AO$21="RF Lead"),RF!$H$2:$AO$17)</f>
        <v>0</v>
      </c>
      <c r="D31" s="250">
        <f>SUMPRODUCT((RF!$A$2:$A$17=$A31)*(RFEmp=D$1)*(RF!$H$21:$AO$21="RF Lead"),RF!$H$2:$AO$17)</f>
        <v>0</v>
      </c>
      <c r="E31" s="250">
        <f>SUMPRODUCT((RF!$A$2:$A$17=$A31)*(RFEmp=E$1)*(RF!$H$21:$AO$21="RF Lead"),RF!$H$2:$AO$17)</f>
        <v>0</v>
      </c>
      <c r="F31" s="250">
        <f>SUMPRODUCT((RF!$A$2:$A$17=$A31)*(RFEmp=F$1)*(RF!$H$21:$AO$21="RF Lead"),RF!$H$2:$AO$17)</f>
        <v>0</v>
      </c>
      <c r="G31" s="250">
        <f>SUMPRODUCT((RF!$A$2:$A$17=$A31)*(RFEmp=G$1)*(RF!$H$21:$AO$21="RF Lead"),RF!$H$2:$AO$17)</f>
        <v>0</v>
      </c>
      <c r="H31" s="250">
        <f>SUMPRODUCT((RF!$A$2:$A$17=$A31)*(RFEmp=H$1)*(RF!$H$21:$AO$21="RF Lead"),RF!$H$2:$AO$17)</f>
        <v>0</v>
      </c>
      <c r="I31" s="250">
        <f>SUMPRODUCT((RF!$A$2:$A$17=$A31)*(RFEmp=I$1)*(RF!$H$21:$AO$21="RF Lead"),RF!$H$2:$AO$17)</f>
        <v>0</v>
      </c>
      <c r="J31" s="250">
        <f>SUMPRODUCT((RF!$A$2:$A$17=$A31)*(RFEmp=J$1)*(RF!$H$21:$AO$21="RF Lead"),RF!$H$2:$AO$17)</f>
        <v>0</v>
      </c>
      <c r="K31" s="250">
        <f>SUMPRODUCT((RF!$A$2:$A$17=$A31)*(RFEmp=K$1)*(RF!$H$21:$AO$21="RF Lead"),RF!$H$2:$AO$17)</f>
        <v>0</v>
      </c>
      <c r="L31" s="250">
        <f>SUMPRODUCT((RF!$A$2:$A$17=$A31)*(RFEmp=L$1)*(RF!$H$21:$AO$21="RF Lead"),RF!$H$2:$AO$17)</f>
        <v>0</v>
      </c>
      <c r="M31" s="250">
        <f>SUMPRODUCT((RF!$A$2:$A$17=$A31)*(RFEmp=M$1)*(RF!$H$21:$AO$21="RF Lead"),RF!$H$2:$AO$17)</f>
        <v>0</v>
      </c>
      <c r="N31" s="250">
        <f>SUMPRODUCT((RF!$A$2:$A$17=$A31)*(RFEmp=N$1)*(RF!$H$21:$AO$21="RF Lead"),RF!$H$2:$AO$17)</f>
        <v>0</v>
      </c>
      <c r="O31" s="250">
        <f>SUMPRODUCT((RF!$A$2:$A$17=$A31)*(RFEmp=O$1)*(RF!$H$21:$AO$21="RF Lead"),RF!$H$2:$AO$17)</f>
        <v>0</v>
      </c>
      <c r="P31" s="250">
        <f>SUMPRODUCT((RF!$A$2:$A$17=$A31)*(RFEmp=P$1)*(RF!$H$21:$AO$21="RF Lead"),RF!$H$2:$AO$17)</f>
        <v>0</v>
      </c>
      <c r="Q31" s="250">
        <f>SUMPRODUCT((RF!$A$2:$A$17=$A31)*(RFEmp=Q$1)*(RF!$H$21:$AO$21="RF Lead"),RF!$H$2:$AO$17)</f>
        <v>0</v>
      </c>
      <c r="R31" s="250">
        <f>SUMPRODUCT((RF!$A$2:$A$17=$A31)*(RFEmp=R$1)*(RF!$H$21:$AO$21="RF Lead"),RF!$H$2:$AO$17)</f>
        <v>0</v>
      </c>
      <c r="S31" s="250">
        <f>SUMPRODUCT((RF!$A$2:$A$17=$A31)*(RFEmp=S$1)*(RF!$H$21:$AO$21="RF Lead"),RF!$H$2:$AO$17)</f>
        <v>0</v>
      </c>
      <c r="T31" s="250">
        <f>SUMPRODUCT((RF!$A$2:$A$17=$A31)*(RFEmp=T$1)*(RF!$H$21:$AO$21="RF Lead"),RF!$H$2:$AO$17)</f>
        <v>0</v>
      </c>
      <c r="U31" s="250">
        <f>SUMPRODUCT((RF!$A$2:$A$17=$A31)*(RFEmp=U$1)*(RF!$H$21:$AO$21="RF Lead"),RF!$H$2:$AO$17)</f>
        <v>0</v>
      </c>
      <c r="V31" s="250">
        <f>SUMPRODUCT((RF!$A$2:$A$17=$A31)*(RFEmp=V$1)*(RF!$H$21:$AO$21="RF Lead"),RF!$H$2:$AO$17)</f>
        <v>0</v>
      </c>
      <c r="W31" s="250">
        <f>SUMPRODUCT((RF!$A$2:$A$17=$A31)*(RFEmp=W$1)*(RF!$H$21:$AO$21="RF Lead"),RF!$H$2:$AO$17)</f>
        <v>0</v>
      </c>
      <c r="X31" s="250">
        <f>SUMPRODUCT((RF!$A$2:$A$17=$A31)*(RFEmp=X$1)*(RF!$H$21:$AO$21="RF Lead"),RF!$H$2:$AO$17)</f>
        <v>0</v>
      </c>
      <c r="Y31" s="250">
        <f>SUMPRODUCT((RF!$A$2:$A$17=$A31)*(RFEmp=Y$1)*(RF!$H$21:$AO$21="RF Lead"),RF!$H$2:$AO$17)</f>
        <v>0</v>
      </c>
      <c r="Z31" s="250">
        <f>SUMPRODUCT((RF!$A$2:$A$17=$A31)*(RFEmp=Z$1)*(RF!$H$21:$AO$21="RF Lead"),RF!$H$2:$AO$17)</f>
        <v>0</v>
      </c>
      <c r="AA31" s="250">
        <f>SUMPRODUCT((RF!$A$2:$A$17=$A31)*(RFEmp=AA$1)*(RF!$H$21:$AO$21="RF Lead"),RF!$H$2:$AO$17)</f>
        <v>0</v>
      </c>
      <c r="AB31" s="250">
        <f>SUMPRODUCT((RF!$A$2:$A$17=$A31)*(RFEmp=AB$1)*(RF!$H$21:$AO$21="RF Lead"),RF!$H$2:$AO$17)</f>
        <v>0</v>
      </c>
      <c r="AC31" s="250">
        <f>SUMPRODUCT((RF!$A$2:$A$17=$A31)*(RFEmp=AC$1)*(RF!$H$21:$AO$21="RF Lead"),RF!$H$2:$AO$17)</f>
        <v>0</v>
      </c>
      <c r="AD31" s="250">
        <f>SUMPRODUCT((RF!$A$2:$A$17=$A31)*(RFEmp=AD$1)*(RF!$H$21:$AO$21="RF Lead"),RF!$H$2:$AO$17)</f>
        <v>0</v>
      </c>
      <c r="AE31" s="250">
        <f>SUMPRODUCT((RF!$A$2:$A$17=$A31)*(RFEmp=AE$1)*(RF!$H$21:$AO$21="RF Lead"),RF!$H$2:$AO$17)</f>
        <v>0</v>
      </c>
      <c r="AF31" s="250">
        <f>SUMPRODUCT((RF!$A$2:$A$17=$A31)*(RFEmp=AF$1)*(RF!$H$21:$AO$21="RF Lead"),RF!$H$2:$AO$17)</f>
        <v>0</v>
      </c>
      <c r="AG31" s="250">
        <f>SUMPRODUCT((RF!$A$2:$A$17=$A31)*(RFEmp=AG$1)*(RF!$H$21:$AO$21="RF Lead"),RF!$H$2:$AO$17)</f>
        <v>0</v>
      </c>
      <c r="AH31" s="250">
        <f>SUMPRODUCT((RF!$A$2:$A$17=$A31)*(RFEmp=AH$1)*(RF!$H$21:$AO$21="RF Lead"),RF!$H$2:$AO$17)</f>
        <v>0</v>
      </c>
      <c r="AI31" s="250">
        <f>SUMPRODUCT((RF!$A$2:$A$17=$A31)*(RFEmp=AI$1)*(RF!$H$21:$AO$21="RF Lead"),RF!$H$2:$AO$17)</f>
        <v>0</v>
      </c>
      <c r="AJ31" s="250">
        <f>SUMPRODUCT((RF!$A$2:$A$17=$A31)*(RFEmp=AJ$1)*(RF!$H$21:$AO$21="RF Lead"),RF!$H$2:$AO$17)</f>
        <v>0</v>
      </c>
      <c r="AK31" s="250">
        <f>SUMPRODUCT((RF!$A$2:$A$17=$A31)*(RFEmp=AK$1)*(RF!$H$21:$AO$21="RF Lead"),RF!$H$2:$AO$17)</f>
        <v>0</v>
      </c>
      <c r="AL31" s="250">
        <f>SUMPRODUCT((RF!$A$2:$A$17=$A31)*(RFEmp=AL$1)*(RF!$H$21:$AO$21="RF Lead"),RF!$H$2:$AO$17)</f>
        <v>0</v>
      </c>
      <c r="AM31" s="250">
        <f>SUMPRODUCT((RF!$A$2:$A$17=$A31)*(RFEmp=AM$1)*(RF!$H$21:$AO$21="RF Lead"),RF!$H$2:$AO$17)</f>
        <v>0</v>
      </c>
      <c r="AN31" s="250">
        <f>SUMPRODUCT((RF!$A$2:$A$17=$A31)*(RFEmp=AN$1)*(RF!$H$21:$AO$21="RF Lead"),RF!$H$2:$AO$17)</f>
        <v>0</v>
      </c>
      <c r="AO31" s="250">
        <f>SUMPRODUCT((RF!$A$2:$A$17=$A31)*(RFEmp=AO$1)*(RF!$H$21:$AO$21="RF Lead"),RF!$H$2:$AO$17)</f>
        <v>0</v>
      </c>
      <c r="AP31" s="250">
        <f>SUMPRODUCT((RF!$A$2:$A$17=$A31)*(RFEmp=AP$1)*(RF!$H$21:$AO$21="RF Lead"),RF!$H$2:$AO$17)</f>
        <v>0</v>
      </c>
      <c r="AQ31" s="250">
        <f>SUMPRODUCT((RF!$A$2:$A$17=$A31)*(RFEmp=AQ$1)*(RF!$H$21:$AO$21="RF Lead"),RF!$H$2:$AO$17)</f>
        <v>0</v>
      </c>
      <c r="AR31" s="496">
        <f>SUMPRODUCT((RF!$A$2:$A$17=$A31)*(RFEmp=AR$1)*(RF!$H$21:$AO$21="RF Lead"),RF!$H$2:$AO$17)</f>
        <v>0</v>
      </c>
      <c r="AT31" s="246"/>
    </row>
    <row r="32" spans="1:57" s="271" customFormat="1" x14ac:dyDescent="0.2">
      <c r="A32" s="260">
        <f t="shared" si="14"/>
        <v>42463</v>
      </c>
      <c r="B32" s="261" t="str">
        <f>Total!$M$1</f>
        <v>SC</v>
      </c>
      <c r="C32" s="249">
        <f>SUMPRODUCT((SC!$A$2:$A$34=$A32)*(SCEmp=C$1),SC!$F$2:$Z$34)</f>
        <v>0</v>
      </c>
      <c r="D32" s="250">
        <f>SUMPRODUCT((SC!$A$2:$A$34=$A32)*(SCEmp=D$1),SC!$F$2:$Z$34)</f>
        <v>0</v>
      </c>
      <c r="E32" s="250">
        <f>SUMPRODUCT((SC!$A$2:$A$34=$A32)*(SCEmp=E$1),SC!$F$2:$Z$34)</f>
        <v>0</v>
      </c>
      <c r="F32" s="250">
        <f>SUMPRODUCT((SC!$A$2:$A$34=$A32)*(SCEmp=F$1),SC!$F$2:$Z$34)</f>
        <v>0</v>
      </c>
      <c r="G32" s="250">
        <f>SUMPRODUCT((SC!$A$2:$A$34=$A32)*(SCEmp=G$1),SC!$F$2:$Z$34)</f>
        <v>0</v>
      </c>
      <c r="H32" s="250">
        <f>SUMPRODUCT((SC!$A$2:$A$34=$A32)*(SCEmp=H$1),SC!$F$2:$Z$34)</f>
        <v>0</v>
      </c>
      <c r="I32" s="250">
        <f>SUMPRODUCT((SC!$A$2:$A$34=$A32)*(SCEmp=I$1),SC!$F$2:$Z$34)</f>
        <v>0</v>
      </c>
      <c r="J32" s="250">
        <f>SUMPRODUCT((SC!$A$2:$A$34=$A32)*(SCEmp=J$1),SC!$F$2:$Z$34)</f>
        <v>0</v>
      </c>
      <c r="K32" s="250">
        <f>SUMPRODUCT((SC!$A$2:$A$34=$A32)*(SCEmp=K$1),SC!$F$2:$Z$34)</f>
        <v>0</v>
      </c>
      <c r="L32" s="250">
        <f>SUMPRODUCT((SC!$A$2:$A$34=$A32)*(SCEmp=L$1),SC!$F$2:$Z$34)</f>
        <v>0</v>
      </c>
      <c r="M32" s="250">
        <f>SUMPRODUCT((SC!$A$2:$A$34=$A32)*(SCEmp=M$1),SC!$F$2:$Z$34)</f>
        <v>0</v>
      </c>
      <c r="N32" s="250">
        <f>SUMPRODUCT((SC!$A$2:$A$34=$A32)*(SCEmp=N$1),SC!$F$2:$Z$34)</f>
        <v>0</v>
      </c>
      <c r="O32" s="250">
        <f>SUMPRODUCT((SC!$A$2:$A$34=$A32)*(SCEmp=O$1),SC!$F$2:$Z$34)</f>
        <v>0</v>
      </c>
      <c r="P32" s="250">
        <f>SUMPRODUCT((SC!$A$2:$A$34=$A32)*(SCEmp=P$1),SC!$F$2:$Z$34)</f>
        <v>0</v>
      </c>
      <c r="Q32" s="250">
        <f>SUMPRODUCT((SC!$A$2:$A$34=$A32)*(SCEmp=Q$1),SC!$F$2:$Z$34)</f>
        <v>0</v>
      </c>
      <c r="R32" s="250">
        <f>SUMPRODUCT((SC!$A$2:$A$34=$A32)*(SCEmp=R$1),SC!$F$2:$Z$34)</f>
        <v>0</v>
      </c>
      <c r="S32" s="250">
        <f>SUMPRODUCT((SC!$A$2:$A$34=$A32)*(SCEmp=S$1),SC!$F$2:$Z$34)</f>
        <v>0</v>
      </c>
      <c r="T32" s="250">
        <f>SUMPRODUCT((SC!$A$2:$A$34=$A32)*(SCEmp=T$1),SC!$F$2:$Z$34)</f>
        <v>0</v>
      </c>
      <c r="U32" s="250">
        <f>SUMPRODUCT((SC!$A$2:$A$34=$A32)*(SCEmp=U$1),SC!$F$2:$Z$34)</f>
        <v>0</v>
      </c>
      <c r="V32" s="250">
        <f>SUMPRODUCT((SC!$A$2:$A$34=$A32)*(SCEmp=V$1),SC!$F$2:$Z$34)</f>
        <v>0</v>
      </c>
      <c r="W32" s="250">
        <f>SUMPRODUCT((SC!$A$2:$A$34=$A32)*(SCEmp=W$1),SC!$F$2:$Z$34)</f>
        <v>0</v>
      </c>
      <c r="X32" s="250">
        <f>SUMPRODUCT((SC!$A$2:$A$34=$A32)*(SCEmp=X$1),SC!$F$2:$Z$34)</f>
        <v>0</v>
      </c>
      <c r="Y32" s="250">
        <f>SUMPRODUCT((SC!$A$2:$A$34=$A32)*(SCEmp=Y$1),SC!$F$2:$Z$34)</f>
        <v>0</v>
      </c>
      <c r="Z32" s="250">
        <f>SUMPRODUCT((SC!$A$2:$A$34=$A32)*(SCEmp=Z$1),SC!$F$2:$Z$34)</f>
        <v>0</v>
      </c>
      <c r="AA32" s="250">
        <f>SUMPRODUCT((SC!$A$2:$A$34=$A32)*(SCEmp=AA$1),SC!$F$2:$Z$34)</f>
        <v>0</v>
      </c>
      <c r="AB32" s="250">
        <f>SUMPRODUCT((SC!$A$2:$A$34=$A32)*(SCEmp=AB$1),SC!$F$2:$Z$34)</f>
        <v>0</v>
      </c>
      <c r="AC32" s="250">
        <f>SUMPRODUCT((SC!$A$2:$A$34=$A32)*(SCEmp=AC$1),SC!$F$2:$Z$34)</f>
        <v>0</v>
      </c>
      <c r="AD32" s="250">
        <f>SUMPRODUCT((SC!$A$2:$A$34=$A32)*(SCEmp=AD$1),SC!$F$2:$Z$34)</f>
        <v>0</v>
      </c>
      <c r="AE32" s="250">
        <f>SUMPRODUCT((SC!$A$2:$A$34=$A32)*(SCEmp=AE$1),SC!$F$2:$Z$34)</f>
        <v>0</v>
      </c>
      <c r="AF32" s="250">
        <f>SUMPRODUCT((SC!$A$2:$A$34=$A32)*(SCEmp=AF$1),SC!$F$2:$Z$34)</f>
        <v>0</v>
      </c>
      <c r="AG32" s="250">
        <f>SUMPRODUCT((SC!$A$2:$A$34=$A32)*(SCEmp=AG$1),SC!$F$2:$Z$34)</f>
        <v>0</v>
      </c>
      <c r="AH32" s="250">
        <f>SUMPRODUCT((SC!$A$2:$A$34=$A32)*(SCEmp=AH$1),SC!$F$2:$Z$34)</f>
        <v>0</v>
      </c>
      <c r="AI32" s="250">
        <f>SUMPRODUCT((SC!$A$2:$A$34=$A32)*(SCEmp=AI$1),SC!$F$2:$Z$34)</f>
        <v>0</v>
      </c>
      <c r="AJ32" s="250">
        <f>SUMPRODUCT((SC!$A$2:$A$34=$A32)*(SCEmp=AJ$1),SC!$F$2:$Z$34)</f>
        <v>0</v>
      </c>
      <c r="AK32" s="250">
        <f>SUMPRODUCT((SC!$A$2:$A$34=$A32)*(SCEmp=AK$1),SC!$F$2:$Z$34)</f>
        <v>0</v>
      </c>
      <c r="AL32" s="250">
        <f>SUMPRODUCT((SC!$A$2:$A$34=$A32)*(SCEmp=AL$1),SC!$F$2:$Z$34)</f>
        <v>0</v>
      </c>
      <c r="AM32" s="250">
        <f>SUMPRODUCT((SC!$A$2:$A$34=$A32)*(SCEmp=AM$1),SC!$F$2:$Z$34)</f>
        <v>0</v>
      </c>
      <c r="AN32" s="250">
        <f>SUMPRODUCT((SC!$A$2:$A$34=$A32)*(SCEmp=AN$1),SC!$F$2:$Z$34)</f>
        <v>0</v>
      </c>
      <c r="AO32" s="250">
        <f>SUMPRODUCT((SC!$A$2:$A$34=$A32)*(SCEmp=AO$1),SC!$F$2:$Z$34)</f>
        <v>0</v>
      </c>
      <c r="AP32" s="250">
        <f>SUMPRODUCT((SC!$A$2:$A$34=$A32)*(SCEmp=AP$1),SC!$F$2:$Z$34)</f>
        <v>0</v>
      </c>
      <c r="AQ32" s="250">
        <f>SUMPRODUCT((SC!$A$2:$A$34=$A32)*(SCEmp=AQ$1),SC!$F$2:$Z$34)</f>
        <v>0</v>
      </c>
      <c r="AR32" s="496">
        <f>SUMPRODUCT((SC!$A$2:$A$34=$A32)*(SCEmp=AR$1),SC!$F$2:$Z$34)</f>
        <v>0</v>
      </c>
      <c r="AT32" s="246"/>
    </row>
    <row r="33" spans="1:46" s="271" customFormat="1" x14ac:dyDescent="0.2">
      <c r="A33" s="262">
        <f t="shared" si="14"/>
        <v>42463</v>
      </c>
      <c r="B33" s="263" t="s">
        <v>87</v>
      </c>
      <c r="C33" s="264">
        <f t="shared" ref="C33:AR33" si="15">IF(SUM(C24:C32)&gt;8,SUM(C24:C32)-8,0)+IF(SUM(C24:C32)&gt;12,SUM(C24:C32)-12,0)</f>
        <v>0</v>
      </c>
      <c r="D33" s="265">
        <f t="shared" si="15"/>
        <v>0</v>
      </c>
      <c r="E33" s="265">
        <f t="shared" si="15"/>
        <v>0</v>
      </c>
      <c r="F33" s="265">
        <f t="shared" si="15"/>
        <v>0</v>
      </c>
      <c r="G33" s="265">
        <f t="shared" si="15"/>
        <v>0</v>
      </c>
      <c r="H33" s="265">
        <f t="shared" si="15"/>
        <v>0</v>
      </c>
      <c r="I33" s="265">
        <f t="shared" si="15"/>
        <v>0</v>
      </c>
      <c r="J33" s="265">
        <f t="shared" si="15"/>
        <v>0</v>
      </c>
      <c r="K33" s="265">
        <f t="shared" si="15"/>
        <v>0</v>
      </c>
      <c r="L33" s="265">
        <f t="shared" si="15"/>
        <v>0</v>
      </c>
      <c r="M33" s="265">
        <f t="shared" si="15"/>
        <v>0</v>
      </c>
      <c r="N33" s="265">
        <f t="shared" si="15"/>
        <v>0</v>
      </c>
      <c r="O33" s="265">
        <f t="shared" si="15"/>
        <v>0</v>
      </c>
      <c r="P33" s="265">
        <f t="shared" si="15"/>
        <v>0</v>
      </c>
      <c r="Q33" s="265">
        <f t="shared" si="15"/>
        <v>0</v>
      </c>
      <c r="R33" s="265">
        <f t="shared" si="15"/>
        <v>0</v>
      </c>
      <c r="S33" s="265">
        <f t="shared" si="15"/>
        <v>0</v>
      </c>
      <c r="T33" s="265">
        <f t="shared" si="15"/>
        <v>0</v>
      </c>
      <c r="U33" s="265">
        <f t="shared" si="15"/>
        <v>0</v>
      </c>
      <c r="V33" s="265">
        <f t="shared" si="15"/>
        <v>0</v>
      </c>
      <c r="W33" s="265">
        <f t="shared" si="15"/>
        <v>0</v>
      </c>
      <c r="X33" s="265">
        <f t="shared" si="15"/>
        <v>0</v>
      </c>
      <c r="Y33" s="265">
        <f t="shared" si="15"/>
        <v>0</v>
      </c>
      <c r="Z33" s="265">
        <f t="shared" si="15"/>
        <v>0</v>
      </c>
      <c r="AA33" s="265">
        <f t="shared" si="15"/>
        <v>0</v>
      </c>
      <c r="AB33" s="265">
        <f t="shared" si="15"/>
        <v>0</v>
      </c>
      <c r="AC33" s="265">
        <f t="shared" si="15"/>
        <v>0</v>
      </c>
      <c r="AD33" s="265">
        <f t="shared" si="15"/>
        <v>0</v>
      </c>
      <c r="AE33" s="265">
        <f t="shared" si="15"/>
        <v>0</v>
      </c>
      <c r="AF33" s="265">
        <f t="shared" si="15"/>
        <v>0</v>
      </c>
      <c r="AG33" s="265">
        <f t="shared" si="15"/>
        <v>0</v>
      </c>
      <c r="AH33" s="265">
        <f t="shared" si="15"/>
        <v>0</v>
      </c>
      <c r="AI33" s="265">
        <f t="shared" si="15"/>
        <v>0</v>
      </c>
      <c r="AJ33" s="265">
        <f t="shared" si="15"/>
        <v>0</v>
      </c>
      <c r="AK33" s="265">
        <f t="shared" si="15"/>
        <v>0</v>
      </c>
      <c r="AL33" s="265">
        <f t="shared" si="15"/>
        <v>0</v>
      </c>
      <c r="AM33" s="265">
        <f t="shared" si="15"/>
        <v>0</v>
      </c>
      <c r="AN33" s="265">
        <f t="shared" si="15"/>
        <v>0</v>
      </c>
      <c r="AO33" s="265">
        <f t="shared" ref="AO33:AP33" si="16">IF(SUM(AO24:AO32)&gt;8,SUM(AO24:AO32)-8,0)+IF(SUM(AO24:AO32)&gt;12,SUM(AO24:AO32)-12,0)</f>
        <v>0</v>
      </c>
      <c r="AP33" s="265">
        <f t="shared" si="16"/>
        <v>0</v>
      </c>
      <c r="AQ33" s="265">
        <f t="shared" ref="AQ33" si="17">IF(SUM(AQ24:AQ32)&gt;8,SUM(AQ24:AQ32)-8,0)+IF(SUM(AQ24:AQ32)&gt;12,SUM(AQ24:AQ32)-12,0)</f>
        <v>0</v>
      </c>
      <c r="AR33" s="498">
        <f t="shared" si="15"/>
        <v>0</v>
      </c>
      <c r="AT33" s="246"/>
    </row>
    <row r="34" spans="1:46" s="271" customFormat="1" x14ac:dyDescent="0.2">
      <c r="A34" s="266">
        <f t="shared" si="14"/>
        <v>42463</v>
      </c>
      <c r="B34" s="267" t="s">
        <v>86</v>
      </c>
      <c r="C34" s="268">
        <f t="shared" ref="C34:AR34" si="18">IFERROR((C$179*SUM(C24:C29)+C$180*SUM(C30:C32))/SUM(C24:C32)/2,0)*C33</f>
        <v>0</v>
      </c>
      <c r="D34" s="269">
        <f t="shared" si="18"/>
        <v>0</v>
      </c>
      <c r="E34" s="269">
        <f t="shared" si="18"/>
        <v>0</v>
      </c>
      <c r="F34" s="269">
        <f t="shared" si="18"/>
        <v>0</v>
      </c>
      <c r="G34" s="269">
        <f t="shared" si="18"/>
        <v>0</v>
      </c>
      <c r="H34" s="269">
        <f t="shared" si="18"/>
        <v>0</v>
      </c>
      <c r="I34" s="269">
        <f t="shared" si="18"/>
        <v>0</v>
      </c>
      <c r="J34" s="269">
        <f t="shared" si="18"/>
        <v>0</v>
      </c>
      <c r="K34" s="269">
        <f t="shared" si="18"/>
        <v>0</v>
      </c>
      <c r="L34" s="269">
        <f t="shared" si="18"/>
        <v>0</v>
      </c>
      <c r="M34" s="269">
        <f t="shared" si="18"/>
        <v>0</v>
      </c>
      <c r="N34" s="269">
        <f t="shared" si="18"/>
        <v>0</v>
      </c>
      <c r="O34" s="269">
        <f t="shared" si="18"/>
        <v>0</v>
      </c>
      <c r="P34" s="269">
        <f t="shared" si="18"/>
        <v>0</v>
      </c>
      <c r="Q34" s="269">
        <f t="shared" si="18"/>
        <v>0</v>
      </c>
      <c r="R34" s="269">
        <f t="shared" si="18"/>
        <v>0</v>
      </c>
      <c r="S34" s="269">
        <f t="shared" si="18"/>
        <v>0</v>
      </c>
      <c r="T34" s="269">
        <f t="shared" si="18"/>
        <v>0</v>
      </c>
      <c r="U34" s="269">
        <f t="shared" si="18"/>
        <v>0</v>
      </c>
      <c r="V34" s="269">
        <f t="shared" si="18"/>
        <v>0</v>
      </c>
      <c r="W34" s="269">
        <f t="shared" si="18"/>
        <v>0</v>
      </c>
      <c r="X34" s="269">
        <f t="shared" si="18"/>
        <v>0</v>
      </c>
      <c r="Y34" s="269">
        <f t="shared" si="18"/>
        <v>0</v>
      </c>
      <c r="Z34" s="269">
        <f t="shared" si="18"/>
        <v>0</v>
      </c>
      <c r="AA34" s="269">
        <f t="shared" si="18"/>
        <v>0</v>
      </c>
      <c r="AB34" s="269">
        <f t="shared" si="18"/>
        <v>0</v>
      </c>
      <c r="AC34" s="269">
        <f t="shared" si="18"/>
        <v>0</v>
      </c>
      <c r="AD34" s="269">
        <f t="shared" si="18"/>
        <v>0</v>
      </c>
      <c r="AE34" s="269">
        <f t="shared" si="18"/>
        <v>0</v>
      </c>
      <c r="AF34" s="269">
        <f t="shared" si="18"/>
        <v>0</v>
      </c>
      <c r="AG34" s="269">
        <f t="shared" si="18"/>
        <v>0</v>
      </c>
      <c r="AH34" s="269">
        <f t="shared" si="18"/>
        <v>0</v>
      </c>
      <c r="AI34" s="269">
        <f t="shared" si="18"/>
        <v>0</v>
      </c>
      <c r="AJ34" s="269">
        <f t="shared" si="18"/>
        <v>0</v>
      </c>
      <c r="AK34" s="269">
        <f t="shared" si="18"/>
        <v>0</v>
      </c>
      <c r="AL34" s="269">
        <f t="shared" si="18"/>
        <v>0</v>
      </c>
      <c r="AM34" s="269">
        <f t="shared" si="18"/>
        <v>0</v>
      </c>
      <c r="AN34" s="269">
        <f t="shared" si="18"/>
        <v>0</v>
      </c>
      <c r="AO34" s="269">
        <f t="shared" ref="AO34:AP34" si="19">IFERROR((AO$179*SUM(AO24:AO29)+AO$180*SUM(AO30:AO32))/SUM(AO24:AO32)/2,0)*AO33</f>
        <v>0</v>
      </c>
      <c r="AP34" s="269">
        <f t="shared" si="19"/>
        <v>0</v>
      </c>
      <c r="AQ34" s="269">
        <f t="shared" ref="AQ34" si="20">IFERROR((AQ$179*SUM(AQ24:AQ29)+AQ$180*SUM(AQ30:AQ32))/SUM(AQ24:AQ32)/2,0)*AQ33</f>
        <v>0</v>
      </c>
      <c r="AR34" s="499">
        <f t="shared" si="18"/>
        <v>0</v>
      </c>
      <c r="AT34" s="246"/>
    </row>
    <row r="35" spans="1:46" s="271" customFormat="1" x14ac:dyDescent="0.2">
      <c r="A35" s="247">
        <f>A24+1</f>
        <v>42464</v>
      </c>
      <c r="B35" s="248" t="s">
        <v>77</v>
      </c>
      <c r="C35" s="249">
        <f>SUMPRODUCT((Driver!$A$2:$A$17=$A35)*(DriverEmp=C$1),Driver!$C$2:$V$17)</f>
        <v>0</v>
      </c>
      <c r="D35" s="250">
        <f>SUMPRODUCT((Driver!$A$2:$A$17=$A35)*(DriverEmp=D$1),Driver!$C$2:$V$17)</f>
        <v>0</v>
      </c>
      <c r="E35" s="250">
        <f>SUMPRODUCT((Driver!$A$2:$A$17=$A35)*(DriverEmp=E$1),Driver!$C$2:$V$17)</f>
        <v>0</v>
      </c>
      <c r="F35" s="250">
        <f>SUMPRODUCT((Driver!$A$2:$A$17=$A35)*(DriverEmp=F$1),Driver!$C$2:$V$17)</f>
        <v>0</v>
      </c>
      <c r="G35" s="250">
        <f>SUMPRODUCT((Driver!$A$2:$A$17=$A35)*(DriverEmp=G$1),Driver!$C$2:$V$17)</f>
        <v>0</v>
      </c>
      <c r="H35" s="250">
        <f>SUMPRODUCT((Driver!$A$2:$A$17=$A35)*(DriverEmp=H$1),Driver!$C$2:$V$17)</f>
        <v>0</v>
      </c>
      <c r="I35" s="250">
        <f>SUMPRODUCT((Driver!$A$2:$A$17=$A35)*(DriverEmp=I$1),Driver!$C$2:$V$17)</f>
        <v>0</v>
      </c>
      <c r="J35" s="250">
        <f>SUMPRODUCT((Driver!$A$2:$A$17=$A35)*(DriverEmp=J$1),Driver!$C$2:$V$17)</f>
        <v>0</v>
      </c>
      <c r="K35" s="250">
        <f>SUMPRODUCT((Driver!$A$2:$A$17=$A35)*(DriverEmp=K$1),Driver!$C$2:$V$17)</f>
        <v>0</v>
      </c>
      <c r="L35" s="250">
        <f>SUMPRODUCT((Driver!$A$2:$A$17=$A35)*(DriverEmp=L$1),Driver!$C$2:$V$17)</f>
        <v>0</v>
      </c>
      <c r="M35" s="250">
        <f>SUMPRODUCT((Driver!$A$2:$A$17=$A35)*(DriverEmp=M$1),Driver!$C$2:$V$17)</f>
        <v>0</v>
      </c>
      <c r="N35" s="250">
        <f>SUMPRODUCT((Driver!$A$2:$A$17=$A35)*(DriverEmp=N$1),Driver!$C$2:$V$17)</f>
        <v>0</v>
      </c>
      <c r="O35" s="250">
        <f>SUMPRODUCT((Driver!$A$2:$A$17=$A35)*(DriverEmp=O$1),Driver!$C$2:$V$17)</f>
        <v>0</v>
      </c>
      <c r="P35" s="250">
        <f>SUMPRODUCT((Driver!$A$2:$A$17=$A35)*(DriverEmp=P$1),Driver!$C$2:$V$17)</f>
        <v>0</v>
      </c>
      <c r="Q35" s="250">
        <f>SUMPRODUCT((Driver!$A$2:$A$17=$A35)*(DriverEmp=Q$1),Driver!$C$2:$V$17)</f>
        <v>0</v>
      </c>
      <c r="R35" s="250">
        <f>SUMPRODUCT((Driver!$A$2:$A$17=$A35)*(DriverEmp=R$1),Driver!$C$2:$V$17)</f>
        <v>0</v>
      </c>
      <c r="S35" s="250">
        <f>SUMPRODUCT((Driver!$A$2:$A$17=$A35)*(DriverEmp=S$1),Driver!$C$2:$V$17)</f>
        <v>0</v>
      </c>
      <c r="T35" s="250">
        <f>SUMPRODUCT((Driver!$A$2:$A$17=$A35)*(DriverEmp=T$1),Driver!$C$2:$V$17)</f>
        <v>0</v>
      </c>
      <c r="U35" s="250">
        <f>SUMPRODUCT((Driver!$A$2:$A$17=$A35)*(DriverEmp=U$1),Driver!$C$2:$V$17)</f>
        <v>0</v>
      </c>
      <c r="V35" s="250">
        <f>SUMPRODUCT((Driver!$A$2:$A$17=$A35)*(DriverEmp=V$1),Driver!$C$2:$V$17)</f>
        <v>0</v>
      </c>
      <c r="W35" s="250">
        <f>SUMPRODUCT((Driver!$A$2:$A$17=$A35)*(DriverEmp=W$1),Driver!$C$2:$V$17)</f>
        <v>0</v>
      </c>
      <c r="X35" s="250">
        <f>SUMPRODUCT((Driver!$A$2:$A$17=$A35)*(DriverEmp=X$1),Driver!$C$2:$V$17)</f>
        <v>0</v>
      </c>
      <c r="Y35" s="250">
        <f>SUMPRODUCT((Driver!$A$2:$A$17=$A35)*(DriverEmp=Y$1),Driver!$C$2:$V$17)</f>
        <v>0</v>
      </c>
      <c r="Z35" s="250">
        <f>SUMPRODUCT((Driver!$A$2:$A$17=$A35)*(DriverEmp=Z$1),Driver!$C$2:$V$17)</f>
        <v>0</v>
      </c>
      <c r="AA35" s="250">
        <f>SUMPRODUCT((Driver!$A$2:$A$17=$A35)*(DriverEmp=AA$1),Driver!$C$2:$V$17)</f>
        <v>0</v>
      </c>
      <c r="AB35" s="250">
        <f>SUMPRODUCT((Driver!$A$2:$A$17=$A35)*(DriverEmp=AB$1),Driver!$C$2:$V$17)</f>
        <v>0</v>
      </c>
      <c r="AC35" s="250">
        <f>SUMPRODUCT((Driver!$A$2:$A$17=$A35)*(DriverEmp=AC$1),Driver!$C$2:$V$17)</f>
        <v>0</v>
      </c>
      <c r="AD35" s="250">
        <f>SUMPRODUCT((Driver!$A$2:$A$17=$A35)*(DriverEmp=AD$1),Driver!$C$2:$V$17)</f>
        <v>0</v>
      </c>
      <c r="AE35" s="250">
        <f>SUMPRODUCT((Driver!$A$2:$A$17=$A35)*(DriverEmp=AE$1),Driver!$C$2:$V$17)</f>
        <v>0</v>
      </c>
      <c r="AF35" s="250">
        <f>SUMPRODUCT((Driver!$A$2:$A$17=$A35)*(DriverEmp=AF$1),Driver!$C$2:$V$17)</f>
        <v>0</v>
      </c>
      <c r="AG35" s="250">
        <f>SUMPRODUCT((Driver!$A$2:$A$17=$A35)*(DriverEmp=AG$1),Driver!$C$2:$V$17)</f>
        <v>0</v>
      </c>
      <c r="AH35" s="250">
        <f>SUMPRODUCT((Driver!$A$2:$A$17=$A35)*(DriverEmp=AH$1),Driver!$C$2:$V$17)</f>
        <v>0</v>
      </c>
      <c r="AI35" s="250">
        <f>SUMPRODUCT((Driver!$A$2:$A$17=$A35)*(DriverEmp=AI$1),Driver!$C$2:$V$17)</f>
        <v>0</v>
      </c>
      <c r="AJ35" s="250">
        <f>SUMPRODUCT((Driver!$A$2:$A$17=$A35)*(DriverEmp=AJ$1),Driver!$C$2:$V$17)</f>
        <v>0</v>
      </c>
      <c r="AK35" s="250">
        <f>SUMPRODUCT((Driver!$A$2:$A$17=$A35)*(DriverEmp=AK$1),Driver!$C$2:$V$17)</f>
        <v>0</v>
      </c>
      <c r="AL35" s="250">
        <f>SUMPRODUCT((Driver!$A$2:$A$17=$A35)*(DriverEmp=AL$1),Driver!$C$2:$V$17)</f>
        <v>0</v>
      </c>
      <c r="AM35" s="250">
        <f>SUMPRODUCT((Driver!$A$2:$A$17=$A35)*(DriverEmp=AM$1),Driver!$C$2:$V$17)</f>
        <v>0</v>
      </c>
      <c r="AN35" s="250">
        <f>SUMPRODUCT((Driver!$A$2:$A$17=$A35)*(DriverEmp=AN$1),Driver!$C$2:$V$17)</f>
        <v>0</v>
      </c>
      <c r="AO35" s="250">
        <f>SUMPRODUCT((Driver!$A$2:$A$17=$A35)*(DriverEmp=AO$1),Driver!$C$2:$V$17)</f>
        <v>0</v>
      </c>
      <c r="AP35" s="250">
        <f>SUMPRODUCT((Driver!$A$2:$A$17=$A35)*(DriverEmp=AP$1),Driver!$C$2:$V$17)</f>
        <v>0</v>
      </c>
      <c r="AQ35" s="250">
        <f>SUMPRODUCT((Driver!$A$2:$A$17=$A35)*(DriverEmp=AQ$1),Driver!$C$2:$V$17)</f>
        <v>0</v>
      </c>
      <c r="AR35" s="496">
        <f>SUMPRODUCT((Driver!$A$2:$A$17=$A35)*(DriverEmp=AR$1),Driver!$C$2:$V$17)</f>
        <v>0</v>
      </c>
      <c r="AT35" s="246"/>
    </row>
    <row r="36" spans="1:46" s="271" customFormat="1" x14ac:dyDescent="0.2">
      <c r="A36" s="247">
        <f t="shared" ref="A36:A45" si="21">A35</f>
        <v>42464</v>
      </c>
      <c r="B36" s="251" t="str">
        <f>Total!$H$1</f>
        <v>PP</v>
      </c>
      <c r="C36" s="249">
        <f>SUMPRODUCT((PP!$A$2:$A$80=$A36)*(PPEmp=C$1),PP!$D$2:$BD$80)</f>
        <v>0</v>
      </c>
      <c r="D36" s="250">
        <f>SUMPRODUCT((PP!$A$2:$A$80=$A36)*(PPEmp=D$1),PP!$D$2:$BD$80)</f>
        <v>0</v>
      </c>
      <c r="E36" s="250">
        <f>SUMPRODUCT((PP!$A$2:$A$80=$A36)*(PPEmp=E$1),PP!$D$2:$BD$80)</f>
        <v>0</v>
      </c>
      <c r="F36" s="250">
        <f>SUMPRODUCT((PP!$A$2:$A$80=$A36)*(PPEmp=F$1),PP!$D$2:$BD$80)</f>
        <v>0</v>
      </c>
      <c r="G36" s="250">
        <f>SUMPRODUCT((PP!$A$2:$A$80=$A36)*(PPEmp=G$1),PP!$D$2:$BD$80)</f>
        <v>0</v>
      </c>
      <c r="H36" s="250">
        <f>SUMPRODUCT((PP!$A$2:$A$80=$A36)*(PPEmp=H$1),PP!$D$2:$BD$80)</f>
        <v>0</v>
      </c>
      <c r="I36" s="250">
        <f>SUMPRODUCT((PP!$A$2:$A$80=$A36)*(PPEmp=I$1),PP!$D$2:$BD$80)</f>
        <v>0</v>
      </c>
      <c r="J36" s="250">
        <f>SUMPRODUCT((PP!$A$2:$A$80=$A36)*(PPEmp=J$1),PP!$D$2:$BD$80)</f>
        <v>0</v>
      </c>
      <c r="K36" s="250">
        <f>SUMPRODUCT((PP!$A$2:$A$80=$A36)*(PPEmp=K$1),PP!$D$2:$BD$80)</f>
        <v>0</v>
      </c>
      <c r="L36" s="250">
        <f>SUMPRODUCT((PP!$A$2:$A$80=$A36)*(PPEmp=L$1),PP!$D$2:$BD$80)</f>
        <v>0</v>
      </c>
      <c r="M36" s="250">
        <f>SUMPRODUCT((PP!$A$2:$A$80=$A36)*(PPEmp=M$1),PP!$D$2:$BD$80)</f>
        <v>0</v>
      </c>
      <c r="N36" s="250">
        <f>SUMPRODUCT((PP!$A$2:$A$80=$A36)*(PPEmp=N$1),PP!$D$2:$BD$80)</f>
        <v>0</v>
      </c>
      <c r="O36" s="250">
        <f>SUMPRODUCT((PP!$A$2:$A$80=$A36)*(PPEmp=O$1),PP!$D$2:$BD$80)</f>
        <v>0</v>
      </c>
      <c r="P36" s="250">
        <f>SUMPRODUCT((PP!$A$2:$A$80=$A36)*(PPEmp=P$1),PP!$D$2:$BD$80)</f>
        <v>0</v>
      </c>
      <c r="Q36" s="250">
        <f>SUMPRODUCT((PP!$A$2:$A$80=$A36)*(PPEmp=Q$1),PP!$D$2:$BD$80)</f>
        <v>0</v>
      </c>
      <c r="R36" s="250">
        <f>SUMPRODUCT((PP!$A$2:$A$80=$A36)*(PPEmp=R$1),PP!$D$2:$BD$80)</f>
        <v>0</v>
      </c>
      <c r="S36" s="250">
        <f>SUMPRODUCT((PP!$A$2:$A$80=$A36)*(PPEmp=S$1),PP!$D$2:$BD$80)</f>
        <v>0</v>
      </c>
      <c r="T36" s="250">
        <f>SUMPRODUCT((PP!$A$2:$A$80=$A36)*(PPEmp=T$1),PP!$D$2:$BD$80)</f>
        <v>0</v>
      </c>
      <c r="U36" s="250">
        <f>SUMPRODUCT((PP!$A$2:$A$80=$A36)*(PPEmp=U$1),PP!$D$2:$BD$80)</f>
        <v>0</v>
      </c>
      <c r="V36" s="250">
        <f>SUMPRODUCT((PP!$A$2:$A$80=$A36)*(PPEmp=V$1),PP!$D$2:$BD$80)</f>
        <v>0</v>
      </c>
      <c r="W36" s="250">
        <f>SUMPRODUCT((PP!$A$2:$A$80=$A36)*(PPEmp=W$1),PP!$D$2:$BD$80)</f>
        <v>0</v>
      </c>
      <c r="X36" s="250">
        <f>SUMPRODUCT((PP!$A$2:$A$80=$A36)*(PPEmp=X$1),PP!$D$2:$BD$80)</f>
        <v>0</v>
      </c>
      <c r="Y36" s="250">
        <f>SUMPRODUCT((PP!$A$2:$A$80=$A36)*(PPEmp=Y$1),PP!$D$2:$BD$80)</f>
        <v>0</v>
      </c>
      <c r="Z36" s="250">
        <f>SUMPRODUCT((PP!$A$2:$A$80=$A36)*(PPEmp=Z$1),PP!$D$2:$BD$80)</f>
        <v>0</v>
      </c>
      <c r="AA36" s="250">
        <f>SUMPRODUCT((PP!$A$2:$A$80=$A36)*(PPEmp=AA$1),PP!$D$2:$BD$80)</f>
        <v>0</v>
      </c>
      <c r="AB36" s="250">
        <f>SUMPRODUCT((PP!$A$2:$A$80=$A36)*(PPEmp=AB$1),PP!$D$2:$BD$80)</f>
        <v>0</v>
      </c>
      <c r="AC36" s="250">
        <f>SUMPRODUCT((PP!$A$2:$A$80=$A36)*(PPEmp=AC$1),PP!$D$2:$BD$80)</f>
        <v>0</v>
      </c>
      <c r="AD36" s="250">
        <f>SUMPRODUCT((PP!$A$2:$A$80=$A36)*(PPEmp=AD$1),PP!$D$2:$BD$80)</f>
        <v>0</v>
      </c>
      <c r="AE36" s="250">
        <f>SUMPRODUCT((PP!$A$2:$A$80=$A36)*(PPEmp=AE$1),PP!$D$2:$BD$80)</f>
        <v>0</v>
      </c>
      <c r="AF36" s="250">
        <f>SUMPRODUCT((PP!$A$2:$A$80=$A36)*(PPEmp=AF$1),PP!$D$2:$BD$80)</f>
        <v>0</v>
      </c>
      <c r="AG36" s="250">
        <f>SUMPRODUCT((PP!$A$2:$A$80=$A36)*(PPEmp=AG$1),PP!$D$2:$BD$80)</f>
        <v>0</v>
      </c>
      <c r="AH36" s="250">
        <f>SUMPRODUCT((PP!$A$2:$A$80=$A36)*(PPEmp=AH$1),PP!$D$2:$BD$80)</f>
        <v>0</v>
      </c>
      <c r="AI36" s="250">
        <f>SUMPRODUCT((PP!$A$2:$A$80=$A36)*(PPEmp=AI$1),PP!$D$2:$BD$80)</f>
        <v>0</v>
      </c>
      <c r="AJ36" s="250">
        <f>SUMPRODUCT((PP!$A$2:$A$80=$A36)*(PPEmp=AJ$1),PP!$D$2:$BD$80)</f>
        <v>0</v>
      </c>
      <c r="AK36" s="250">
        <f>SUMPRODUCT((PP!$A$2:$A$80=$A36)*(PPEmp=AK$1),PP!$D$2:$BD$80)</f>
        <v>0</v>
      </c>
      <c r="AL36" s="250">
        <f>SUMPRODUCT((PP!$A$2:$A$80=$A36)*(PPEmp=AL$1),PP!$D$2:$BD$80)</f>
        <v>0</v>
      </c>
      <c r="AM36" s="250">
        <f>SUMPRODUCT((PP!$A$2:$A$80=$A36)*(PPEmp=AM$1),PP!$D$2:$BD$80)</f>
        <v>0</v>
      </c>
      <c r="AN36" s="250">
        <f>SUMPRODUCT((PP!$A$2:$A$80=$A36)*(PPEmp=AN$1),PP!$D$2:$BD$80)</f>
        <v>0</v>
      </c>
      <c r="AO36" s="250">
        <f>SUMPRODUCT((PP!$A$2:$A$80=$A36)*(PPEmp=AO$1),PP!$D$2:$BD$80)</f>
        <v>0</v>
      </c>
      <c r="AP36" s="250">
        <f>SUMPRODUCT((PP!$A$2:$A$80=$A36)*(PPEmp=AP$1),PP!$D$2:$BD$80)</f>
        <v>0</v>
      </c>
      <c r="AQ36" s="250">
        <f>SUMPRODUCT((PP!$A$2:$A$80=$A36)*(PPEmp=AQ$1),PP!$D$2:$BD$80)</f>
        <v>0</v>
      </c>
      <c r="AR36" s="496">
        <f>SUMPRODUCT((PP!$A$2:$A$80=$A36)*(PPEmp=AR$1),PP!$D$2:$BD$80)</f>
        <v>0</v>
      </c>
      <c r="AT36" s="246"/>
    </row>
    <row r="37" spans="1:46" s="271" customFormat="1" x14ac:dyDescent="0.2">
      <c r="A37" s="247">
        <f t="shared" si="21"/>
        <v>42464</v>
      </c>
      <c r="B37" s="252" t="str">
        <f>Total!$J$1</f>
        <v>FH</v>
      </c>
      <c r="C37" s="249">
        <f>SUMPRODUCT((FH!$A$2:$A$97=$A37)*(FHEmp=C$1),FH!$E$2:$AZ$97)</f>
        <v>0</v>
      </c>
      <c r="D37" s="250">
        <f>SUMPRODUCT((FH!$A$2:$A$97=$A37)*(FHEmp=D$1),FH!$E$2:$AZ$97)</f>
        <v>0</v>
      </c>
      <c r="E37" s="250">
        <f>SUMPRODUCT((FH!$A$2:$A$97=$A37)*(FHEmp=E$1),FH!$E$2:$AZ$97)</f>
        <v>0</v>
      </c>
      <c r="F37" s="250">
        <f>SUMPRODUCT((FH!$A$2:$A$97=$A37)*(FHEmp=F$1),FH!$E$2:$AZ$97)</f>
        <v>0</v>
      </c>
      <c r="G37" s="250">
        <f>SUMPRODUCT((FH!$A$2:$A$97=$A37)*(FHEmp=G$1),FH!$E$2:$AZ$97)</f>
        <v>0</v>
      </c>
      <c r="H37" s="250">
        <f>SUMPRODUCT((FH!$A$2:$A$97=$A37)*(FHEmp=H$1),FH!$E$2:$AZ$97)</f>
        <v>0</v>
      </c>
      <c r="I37" s="250">
        <f>SUMPRODUCT((FH!$A$2:$A$97=$A37)*(FHEmp=I$1),FH!$E$2:$AZ$97)</f>
        <v>0</v>
      </c>
      <c r="J37" s="250">
        <f>SUMPRODUCT((FH!$A$2:$A$97=$A37)*(FHEmp=J$1),FH!$E$2:$AZ$97)</f>
        <v>0</v>
      </c>
      <c r="K37" s="250">
        <f>SUMPRODUCT((FH!$A$2:$A$97=$A37)*(FHEmp=K$1),FH!$E$2:$AZ$97)</f>
        <v>0</v>
      </c>
      <c r="L37" s="250">
        <f>SUMPRODUCT((FH!$A$2:$A$97=$A37)*(FHEmp=L$1),FH!$E$2:$AZ$97)</f>
        <v>0</v>
      </c>
      <c r="M37" s="250">
        <f>SUMPRODUCT((FH!$A$2:$A$97=$A37)*(FHEmp=M$1),FH!$E$2:$AZ$97)</f>
        <v>0</v>
      </c>
      <c r="N37" s="250">
        <f>SUMPRODUCT((FH!$A$2:$A$97=$A37)*(FHEmp=N$1),FH!$E$2:$AZ$97)</f>
        <v>0</v>
      </c>
      <c r="O37" s="250">
        <f>SUMPRODUCT((FH!$A$2:$A$97=$A37)*(FHEmp=O$1),FH!$E$2:$AZ$97)</f>
        <v>0</v>
      </c>
      <c r="P37" s="250">
        <f>SUMPRODUCT((FH!$A$2:$A$97=$A37)*(FHEmp=P$1),FH!$E$2:$AZ$97)</f>
        <v>0</v>
      </c>
      <c r="Q37" s="250">
        <f>SUMPRODUCT((FH!$A$2:$A$97=$A37)*(FHEmp=Q$1),FH!$E$2:$AZ$97)</f>
        <v>0</v>
      </c>
      <c r="R37" s="250">
        <f>SUMPRODUCT((FH!$A$2:$A$97=$A37)*(FHEmp=R$1),FH!$E$2:$AZ$97)</f>
        <v>0</v>
      </c>
      <c r="S37" s="250">
        <f>SUMPRODUCT((FH!$A$2:$A$97=$A37)*(FHEmp=S$1),FH!$E$2:$AZ$97)</f>
        <v>0</v>
      </c>
      <c r="T37" s="250">
        <f>SUMPRODUCT((FH!$A$2:$A$97=$A37)*(FHEmp=T$1),FH!$E$2:$AZ$97)</f>
        <v>0</v>
      </c>
      <c r="U37" s="250">
        <f>SUMPRODUCT((FH!$A$2:$A$97=$A37)*(FHEmp=U$1),FH!$E$2:$AZ$97)</f>
        <v>0</v>
      </c>
      <c r="V37" s="250">
        <f>SUMPRODUCT((FH!$A$2:$A$97=$A37)*(FHEmp=V$1),FH!$E$2:$AZ$97)</f>
        <v>0</v>
      </c>
      <c r="W37" s="250">
        <f>SUMPRODUCT((FH!$A$2:$A$97=$A37)*(FHEmp=W$1),FH!$E$2:$AZ$97)</f>
        <v>0</v>
      </c>
      <c r="X37" s="250">
        <f>SUMPRODUCT((FH!$A$2:$A$97=$A37)*(FHEmp=X$1),FH!$E$2:$AZ$97)</f>
        <v>0</v>
      </c>
      <c r="Y37" s="250">
        <f>SUMPRODUCT((FH!$A$2:$A$97=$A37)*(FHEmp=Y$1),FH!$E$2:$AZ$97)</f>
        <v>0</v>
      </c>
      <c r="Z37" s="250">
        <f>SUMPRODUCT((FH!$A$2:$A$97=$A37)*(FHEmp=Z$1),FH!$E$2:$AZ$97)</f>
        <v>0</v>
      </c>
      <c r="AA37" s="250">
        <f>SUMPRODUCT((FH!$A$2:$A$97=$A37)*(FHEmp=AA$1),FH!$E$2:$AZ$97)</f>
        <v>0</v>
      </c>
      <c r="AB37" s="250">
        <f>SUMPRODUCT((FH!$A$2:$A$97=$A37)*(FHEmp=AB$1),FH!$E$2:$AZ$97)</f>
        <v>0</v>
      </c>
      <c r="AC37" s="250">
        <f>SUMPRODUCT((FH!$A$2:$A$97=$A37)*(FHEmp=AC$1),FH!$E$2:$AZ$97)</f>
        <v>0</v>
      </c>
      <c r="AD37" s="250">
        <f>SUMPRODUCT((FH!$A$2:$A$97=$A37)*(FHEmp=AD$1),FH!$E$2:$AZ$97)</f>
        <v>0</v>
      </c>
      <c r="AE37" s="250">
        <f>SUMPRODUCT((FH!$A$2:$A$97=$A37)*(FHEmp=AE$1),FH!$E$2:$AZ$97)</f>
        <v>0</v>
      </c>
      <c r="AF37" s="250">
        <f>SUMPRODUCT((FH!$A$2:$A$97=$A37)*(FHEmp=AF$1),FH!$E$2:$AZ$97)</f>
        <v>0</v>
      </c>
      <c r="AG37" s="250">
        <f>SUMPRODUCT((FH!$A$2:$A$97=$A37)*(FHEmp=AG$1),FH!$E$2:$AZ$97)</f>
        <v>0</v>
      </c>
      <c r="AH37" s="250">
        <f>SUMPRODUCT((FH!$A$2:$A$97=$A37)*(FHEmp=AH$1),FH!$E$2:$AZ$97)</f>
        <v>0</v>
      </c>
      <c r="AI37" s="250">
        <f>SUMPRODUCT((FH!$A$2:$A$97=$A37)*(FHEmp=AI$1),FH!$E$2:$AZ$97)</f>
        <v>0</v>
      </c>
      <c r="AJ37" s="250">
        <f>SUMPRODUCT((FH!$A$2:$A$97=$A37)*(FHEmp=AJ$1),FH!$E$2:$AZ$97)</f>
        <v>0</v>
      </c>
      <c r="AK37" s="250">
        <f>SUMPRODUCT((FH!$A$2:$A$97=$A37)*(FHEmp=AK$1),FH!$E$2:$AZ$97)</f>
        <v>0</v>
      </c>
      <c r="AL37" s="250">
        <f>SUMPRODUCT((FH!$A$2:$A$97=$A37)*(FHEmp=AL$1),FH!$E$2:$AZ$97)</f>
        <v>0</v>
      </c>
      <c r="AM37" s="250">
        <f>SUMPRODUCT((FH!$A$2:$A$97=$A37)*(FHEmp=AM$1),FH!$E$2:$AZ$97)</f>
        <v>0</v>
      </c>
      <c r="AN37" s="250">
        <f>SUMPRODUCT((FH!$A$2:$A$97=$A37)*(FHEmp=AN$1),FH!$E$2:$AZ$97)</f>
        <v>0</v>
      </c>
      <c r="AO37" s="250">
        <f>SUMPRODUCT((FH!$A$2:$A$97=$A37)*(FHEmp=AO$1),FH!$E$2:$AZ$97)</f>
        <v>0</v>
      </c>
      <c r="AP37" s="250">
        <f>SUMPRODUCT((FH!$A$2:$A$97=$A37)*(FHEmp=AP$1),FH!$E$2:$AZ$97)</f>
        <v>0</v>
      </c>
      <c r="AQ37" s="250">
        <f>SUMPRODUCT((FH!$A$2:$A$97=$A37)*(FHEmp=AQ$1),FH!$E$2:$AZ$97)</f>
        <v>0</v>
      </c>
      <c r="AR37" s="496">
        <f>SUMPRODUCT((FH!$A$2:$A$97=$A37)*(FHEmp=AR$1),FH!$E$2:$AZ$97)</f>
        <v>0</v>
      </c>
      <c r="AT37" s="246"/>
    </row>
    <row r="38" spans="1:46" s="271" customFormat="1" x14ac:dyDescent="0.2">
      <c r="A38" s="247">
        <f t="shared" si="21"/>
        <v>42464</v>
      </c>
      <c r="B38" s="253" t="str">
        <f>Total!$K$1</f>
        <v>T22</v>
      </c>
      <c r="C38" s="249">
        <f>SUMPRODUCT(('T22'!$A$2:$A$97=$A38)*(T22Emp=C$1),'T22'!$E$2:$AZ$97)</f>
        <v>0</v>
      </c>
      <c r="D38" s="250">
        <f>SUMPRODUCT(('T22'!$A$2:$A$97=$A38)*(T22Emp=D$1),'T22'!$E$2:$AZ$97)</f>
        <v>0</v>
      </c>
      <c r="E38" s="250">
        <f>SUMPRODUCT(('T22'!$A$2:$A$97=$A38)*(T22Emp=E$1),'T22'!$E$2:$AZ$97)</f>
        <v>0</v>
      </c>
      <c r="F38" s="250">
        <f>SUMPRODUCT(('T22'!$A$2:$A$97=$A38)*(T22Emp=F$1),'T22'!$E$2:$AZ$97)</f>
        <v>0</v>
      </c>
      <c r="G38" s="250">
        <f>SUMPRODUCT(('T22'!$A$2:$A$97=$A38)*(T22Emp=G$1),'T22'!$E$2:$AZ$97)</f>
        <v>0</v>
      </c>
      <c r="H38" s="250">
        <f>SUMPRODUCT(('T22'!$A$2:$A$97=$A38)*(T22Emp=H$1),'T22'!$E$2:$AZ$97)</f>
        <v>0</v>
      </c>
      <c r="I38" s="250">
        <f>SUMPRODUCT(('T22'!$A$2:$A$97=$A38)*(T22Emp=I$1),'T22'!$E$2:$AZ$97)</f>
        <v>0</v>
      </c>
      <c r="J38" s="250">
        <f>SUMPRODUCT(('T22'!$A$2:$A$97=$A38)*(T22Emp=J$1),'T22'!$E$2:$AZ$97)</f>
        <v>0</v>
      </c>
      <c r="K38" s="250">
        <f>SUMPRODUCT(('T22'!$A$2:$A$97=$A38)*(T22Emp=K$1),'T22'!$E$2:$AZ$97)</f>
        <v>0</v>
      </c>
      <c r="L38" s="250">
        <f>SUMPRODUCT(('T22'!$A$2:$A$97=$A38)*(T22Emp=L$1),'T22'!$E$2:$AZ$97)</f>
        <v>0</v>
      </c>
      <c r="M38" s="250">
        <f>SUMPRODUCT(('T22'!$A$2:$A$97=$A38)*(T22Emp=M$1),'T22'!$E$2:$AZ$97)</f>
        <v>0</v>
      </c>
      <c r="N38" s="250">
        <f>SUMPRODUCT(('T22'!$A$2:$A$97=$A38)*(T22Emp=N$1),'T22'!$E$2:$AZ$97)</f>
        <v>0</v>
      </c>
      <c r="O38" s="250">
        <f>SUMPRODUCT(('T22'!$A$2:$A$97=$A38)*(T22Emp=O$1),'T22'!$E$2:$AZ$97)</f>
        <v>0</v>
      </c>
      <c r="P38" s="250">
        <f>SUMPRODUCT(('T22'!$A$2:$A$97=$A38)*(T22Emp=P$1),'T22'!$E$2:$AZ$97)</f>
        <v>0</v>
      </c>
      <c r="Q38" s="250">
        <f>SUMPRODUCT(('T22'!$A$2:$A$97=$A38)*(T22Emp=Q$1),'T22'!$E$2:$AZ$97)</f>
        <v>0</v>
      </c>
      <c r="R38" s="250">
        <f>SUMPRODUCT(('T22'!$A$2:$A$97=$A38)*(T22Emp=R$1),'T22'!$E$2:$AZ$97)</f>
        <v>0</v>
      </c>
      <c r="S38" s="250">
        <f>SUMPRODUCT(('T22'!$A$2:$A$97=$A38)*(T22Emp=S$1),'T22'!$E$2:$AZ$97)</f>
        <v>0</v>
      </c>
      <c r="T38" s="250">
        <f>SUMPRODUCT(('T22'!$A$2:$A$97=$A38)*(T22Emp=T$1),'T22'!$E$2:$AZ$97)</f>
        <v>0</v>
      </c>
      <c r="U38" s="250">
        <f>SUMPRODUCT(('T22'!$A$2:$A$97=$A38)*(T22Emp=U$1),'T22'!$E$2:$AZ$97)</f>
        <v>0</v>
      </c>
      <c r="V38" s="250">
        <f>SUMPRODUCT(('T22'!$A$2:$A$97=$A38)*(T22Emp=V$1),'T22'!$E$2:$AZ$97)</f>
        <v>0</v>
      </c>
      <c r="W38" s="250">
        <f>SUMPRODUCT(('T22'!$A$2:$A$97=$A38)*(T22Emp=W$1),'T22'!$E$2:$AZ$97)</f>
        <v>0</v>
      </c>
      <c r="X38" s="250">
        <f>SUMPRODUCT(('T22'!$A$2:$A$97=$A38)*(T22Emp=X$1),'T22'!$E$2:$AZ$97)</f>
        <v>0</v>
      </c>
      <c r="Y38" s="250">
        <f>SUMPRODUCT(('T22'!$A$2:$A$97=$A38)*(T22Emp=Y$1),'T22'!$E$2:$AZ$97)</f>
        <v>0</v>
      </c>
      <c r="Z38" s="250">
        <f>SUMPRODUCT(('T22'!$A$2:$A$97=$A38)*(T22Emp=Z$1),'T22'!$E$2:$AZ$97)</f>
        <v>0</v>
      </c>
      <c r="AA38" s="250">
        <f>SUMPRODUCT(('T22'!$A$2:$A$97=$A38)*(T22Emp=AA$1),'T22'!$E$2:$AZ$97)</f>
        <v>0</v>
      </c>
      <c r="AB38" s="250">
        <f>SUMPRODUCT(('T22'!$A$2:$A$97=$A38)*(T22Emp=AB$1),'T22'!$E$2:$AZ$97)</f>
        <v>0</v>
      </c>
      <c r="AC38" s="250">
        <f>SUMPRODUCT(('T22'!$A$2:$A$97=$A38)*(T22Emp=AC$1),'T22'!$E$2:$AZ$97)</f>
        <v>0</v>
      </c>
      <c r="AD38" s="250">
        <f>SUMPRODUCT(('T22'!$A$2:$A$97=$A38)*(T22Emp=AD$1),'T22'!$E$2:$AZ$97)</f>
        <v>0</v>
      </c>
      <c r="AE38" s="250">
        <f>SUMPRODUCT(('T22'!$A$2:$A$97=$A38)*(T22Emp=AE$1),'T22'!$E$2:$AZ$97)</f>
        <v>0</v>
      </c>
      <c r="AF38" s="250">
        <f>SUMPRODUCT(('T22'!$A$2:$A$97=$A38)*(T22Emp=AF$1),'T22'!$E$2:$AZ$97)</f>
        <v>0</v>
      </c>
      <c r="AG38" s="250">
        <f>SUMPRODUCT(('T22'!$A$2:$A$97=$A38)*(T22Emp=AG$1),'T22'!$E$2:$AZ$97)</f>
        <v>0</v>
      </c>
      <c r="AH38" s="250">
        <f>SUMPRODUCT(('T22'!$A$2:$A$97=$A38)*(T22Emp=AH$1),'T22'!$E$2:$AZ$97)</f>
        <v>0</v>
      </c>
      <c r="AI38" s="250">
        <f>SUMPRODUCT(('T22'!$A$2:$A$97=$A38)*(T22Emp=AI$1),'T22'!$E$2:$AZ$97)</f>
        <v>0</v>
      </c>
      <c r="AJ38" s="250">
        <f>SUMPRODUCT(('T22'!$A$2:$A$97=$A38)*(T22Emp=AJ$1),'T22'!$E$2:$AZ$97)</f>
        <v>0</v>
      </c>
      <c r="AK38" s="250">
        <f>SUMPRODUCT(('T22'!$A$2:$A$97=$A38)*(T22Emp=AK$1),'T22'!$E$2:$AZ$97)</f>
        <v>0</v>
      </c>
      <c r="AL38" s="250">
        <f>SUMPRODUCT(('T22'!$A$2:$A$97=$A38)*(T22Emp=AL$1),'T22'!$E$2:$AZ$97)</f>
        <v>0</v>
      </c>
      <c r="AM38" s="250">
        <f>SUMPRODUCT(('T22'!$A$2:$A$97=$A38)*(T22Emp=AM$1),'T22'!$E$2:$AZ$97)</f>
        <v>0</v>
      </c>
      <c r="AN38" s="250">
        <f>SUMPRODUCT(('T22'!$A$2:$A$97=$A38)*(T22Emp=AN$1),'T22'!$E$2:$AZ$97)</f>
        <v>0</v>
      </c>
      <c r="AO38" s="250">
        <f>SUMPRODUCT(('T22'!$A$2:$A$97=$A38)*(T22Emp=AO$1),'T22'!$E$2:$AZ$97)</f>
        <v>0</v>
      </c>
      <c r="AP38" s="250">
        <f>SUMPRODUCT(('T22'!$A$2:$A$97=$A38)*(T22Emp=AP$1),'T22'!$E$2:$AZ$97)</f>
        <v>0</v>
      </c>
      <c r="AQ38" s="250">
        <f>SUMPRODUCT(('T22'!$A$2:$A$97=$A38)*(T22Emp=AQ$1),'T22'!$E$2:$AZ$97)</f>
        <v>0</v>
      </c>
      <c r="AR38" s="496">
        <f>SUMPRODUCT(('T22'!$A$2:$A$97=$A38)*(T22Emp=AR$1),'T22'!$E$2:$AZ$97)</f>
        <v>0</v>
      </c>
      <c r="AT38" s="246"/>
    </row>
    <row r="39" spans="1:46" s="271" customFormat="1" x14ac:dyDescent="0.2">
      <c r="A39" s="247">
        <f t="shared" si="21"/>
        <v>42464</v>
      </c>
      <c r="B39" s="254" t="str">
        <f>Total!$L$1</f>
        <v>RF</v>
      </c>
      <c r="C39" s="249">
        <f>SUMPRODUCT((RF!$A$2:$A$17=$A39)*(RFEmp=C$1)*(RF!$H$21:$AO$21="RF Valet"),RF!$H$2:$AO$17)</f>
        <v>0</v>
      </c>
      <c r="D39" s="250">
        <f>SUMPRODUCT((RF!$A$2:$A$17=$A39)*(RFEmp=D$1)*(RF!$H$21:$AO$21="RF Valet"),RF!$H$2:$AO$17)</f>
        <v>0</v>
      </c>
      <c r="E39" s="250">
        <f>SUMPRODUCT((RF!$A$2:$A$17=$A39)*(RFEmp=E$1)*(RF!$H$21:$AO$21="RF Valet"),RF!$H$2:$AO$17)</f>
        <v>0</v>
      </c>
      <c r="F39" s="250">
        <f>SUMPRODUCT((RF!$A$2:$A$17=$A39)*(RFEmp=F$1)*(RF!$H$21:$AO$21="RF Valet"),RF!$H$2:$AO$17)</f>
        <v>0</v>
      </c>
      <c r="G39" s="250">
        <f>SUMPRODUCT((RF!$A$2:$A$17=$A39)*(RFEmp=G$1)*(RF!$H$21:$AO$21="RF Valet"),RF!$H$2:$AO$17)</f>
        <v>0</v>
      </c>
      <c r="H39" s="250">
        <f>SUMPRODUCT((RF!$A$2:$A$17=$A39)*(RFEmp=H$1)*(RF!$H$21:$AO$21="RF Valet"),RF!$H$2:$AO$17)</f>
        <v>0</v>
      </c>
      <c r="I39" s="250">
        <f>SUMPRODUCT((RF!$A$2:$A$17=$A39)*(RFEmp=I$1)*(RF!$H$21:$AO$21="RF Valet"),RF!$H$2:$AO$17)</f>
        <v>0</v>
      </c>
      <c r="J39" s="250">
        <f>SUMPRODUCT((RF!$A$2:$A$17=$A39)*(RFEmp=J$1)*(RF!$H$21:$AO$21="RF Valet"),RF!$H$2:$AO$17)</f>
        <v>0</v>
      </c>
      <c r="K39" s="250">
        <f>SUMPRODUCT((RF!$A$2:$A$17=$A39)*(RFEmp=K$1)*(RF!$H$21:$AO$21="RF Valet"),RF!$H$2:$AO$17)</f>
        <v>0</v>
      </c>
      <c r="L39" s="250">
        <f>SUMPRODUCT((RF!$A$2:$A$17=$A39)*(RFEmp=L$1)*(RF!$H$21:$AO$21="RF Valet"),RF!$H$2:$AO$17)</f>
        <v>0</v>
      </c>
      <c r="M39" s="250">
        <f>SUMPRODUCT((RF!$A$2:$A$17=$A39)*(RFEmp=M$1)*(RF!$H$21:$AO$21="RF Valet"),RF!$H$2:$AO$17)</f>
        <v>0</v>
      </c>
      <c r="N39" s="250">
        <f>SUMPRODUCT((RF!$A$2:$A$17=$A39)*(RFEmp=N$1)*(RF!$H$21:$AO$21="RF Valet"),RF!$H$2:$AO$17)</f>
        <v>0</v>
      </c>
      <c r="O39" s="250">
        <f>SUMPRODUCT((RF!$A$2:$A$17=$A39)*(RFEmp=O$1)*(RF!$H$21:$AO$21="RF Valet"),RF!$H$2:$AO$17)</f>
        <v>0</v>
      </c>
      <c r="P39" s="250">
        <f>SUMPRODUCT((RF!$A$2:$A$17=$A39)*(RFEmp=P$1)*(RF!$H$21:$AO$21="RF Valet"),RF!$H$2:$AO$17)</f>
        <v>0</v>
      </c>
      <c r="Q39" s="250">
        <f>SUMPRODUCT((RF!$A$2:$A$17=$A39)*(RFEmp=Q$1)*(RF!$H$21:$AO$21="RF Valet"),RF!$H$2:$AO$17)</f>
        <v>0</v>
      </c>
      <c r="R39" s="250">
        <f>SUMPRODUCT((RF!$A$2:$A$17=$A39)*(RFEmp=R$1)*(RF!$H$21:$AO$21="RF Valet"),RF!$H$2:$AO$17)</f>
        <v>0</v>
      </c>
      <c r="S39" s="250">
        <f>SUMPRODUCT((RF!$A$2:$A$17=$A39)*(RFEmp=S$1)*(RF!$H$21:$AO$21="RF Valet"),RF!$H$2:$AO$17)</f>
        <v>0</v>
      </c>
      <c r="T39" s="250">
        <f>SUMPRODUCT((RF!$A$2:$A$17=$A39)*(RFEmp=T$1)*(RF!$H$21:$AO$21="RF Valet"),RF!$H$2:$AO$17)</f>
        <v>0</v>
      </c>
      <c r="U39" s="250">
        <f>SUMPRODUCT((RF!$A$2:$A$17=$A39)*(RFEmp=U$1)*(RF!$H$21:$AO$21="RF Valet"),RF!$H$2:$AO$17)</f>
        <v>0</v>
      </c>
      <c r="V39" s="250">
        <f>SUMPRODUCT((RF!$A$2:$A$17=$A39)*(RFEmp=V$1)*(RF!$H$21:$AO$21="RF Valet"),RF!$H$2:$AO$17)</f>
        <v>0</v>
      </c>
      <c r="W39" s="250">
        <f>SUMPRODUCT((RF!$A$2:$A$17=$A39)*(RFEmp=W$1)*(RF!$H$21:$AO$21="RF Valet"),RF!$H$2:$AO$17)</f>
        <v>0</v>
      </c>
      <c r="X39" s="250">
        <f>SUMPRODUCT((RF!$A$2:$A$17=$A39)*(RFEmp=X$1)*(RF!$H$21:$AO$21="RF Valet"),RF!$H$2:$AO$17)</f>
        <v>0</v>
      </c>
      <c r="Y39" s="250">
        <f>SUMPRODUCT((RF!$A$2:$A$17=$A39)*(RFEmp=Y$1)*(RF!$H$21:$AO$21="RF Valet"),RF!$H$2:$AO$17)</f>
        <v>0</v>
      </c>
      <c r="Z39" s="250">
        <f>SUMPRODUCT((RF!$A$2:$A$17=$A39)*(RFEmp=Z$1)*(RF!$H$21:$AO$21="RF Valet"),RF!$H$2:$AO$17)</f>
        <v>0</v>
      </c>
      <c r="AA39" s="250">
        <f>SUMPRODUCT((RF!$A$2:$A$17=$A39)*(RFEmp=AA$1)*(RF!$H$21:$AO$21="RF Valet"),RF!$H$2:$AO$17)</f>
        <v>0</v>
      </c>
      <c r="AB39" s="250">
        <f>SUMPRODUCT((RF!$A$2:$A$17=$A39)*(RFEmp=AB$1)*(RF!$H$21:$AO$21="RF Valet"),RF!$H$2:$AO$17)</f>
        <v>0</v>
      </c>
      <c r="AC39" s="250">
        <f>SUMPRODUCT((RF!$A$2:$A$17=$A39)*(RFEmp=AC$1)*(RF!$H$21:$AO$21="RF Valet"),RF!$H$2:$AO$17)</f>
        <v>0</v>
      </c>
      <c r="AD39" s="250">
        <f>SUMPRODUCT((RF!$A$2:$A$17=$A39)*(RFEmp=AD$1)*(RF!$H$21:$AO$21="RF Valet"),RF!$H$2:$AO$17)</f>
        <v>0</v>
      </c>
      <c r="AE39" s="250">
        <f>SUMPRODUCT((RF!$A$2:$A$17=$A39)*(RFEmp=AE$1)*(RF!$H$21:$AO$21="RF Valet"),RF!$H$2:$AO$17)</f>
        <v>0</v>
      </c>
      <c r="AF39" s="250">
        <f>SUMPRODUCT((RF!$A$2:$A$17=$A39)*(RFEmp=AF$1)*(RF!$H$21:$AO$21="RF Valet"),RF!$H$2:$AO$17)</f>
        <v>0</v>
      </c>
      <c r="AG39" s="250">
        <f>SUMPRODUCT((RF!$A$2:$A$17=$A39)*(RFEmp=AG$1)*(RF!$H$21:$AO$21="RF Valet"),RF!$H$2:$AO$17)</f>
        <v>0</v>
      </c>
      <c r="AH39" s="250">
        <f>SUMPRODUCT((RF!$A$2:$A$17=$A39)*(RFEmp=AH$1)*(RF!$H$21:$AO$21="RF Valet"),RF!$H$2:$AO$17)</f>
        <v>0</v>
      </c>
      <c r="AI39" s="250">
        <f>SUMPRODUCT((RF!$A$2:$A$17=$A39)*(RFEmp=AI$1)*(RF!$H$21:$AO$21="RF Valet"),RF!$H$2:$AO$17)</f>
        <v>0</v>
      </c>
      <c r="AJ39" s="250">
        <f>SUMPRODUCT((RF!$A$2:$A$17=$A39)*(RFEmp=AJ$1)*(RF!$H$21:$AO$21="RF Valet"),RF!$H$2:$AO$17)</f>
        <v>0</v>
      </c>
      <c r="AK39" s="250">
        <f>SUMPRODUCT((RF!$A$2:$A$17=$A39)*(RFEmp=AK$1)*(RF!$H$21:$AO$21="RF Valet"),RF!$H$2:$AO$17)</f>
        <v>0</v>
      </c>
      <c r="AL39" s="250">
        <f>SUMPRODUCT((RF!$A$2:$A$17=$A39)*(RFEmp=AL$1)*(RF!$H$21:$AO$21="RF Valet"),RF!$H$2:$AO$17)</f>
        <v>0</v>
      </c>
      <c r="AM39" s="250">
        <f>SUMPRODUCT((RF!$A$2:$A$17=$A39)*(RFEmp=AM$1)*(RF!$H$21:$AO$21="RF Valet"),RF!$H$2:$AO$17)</f>
        <v>0</v>
      </c>
      <c r="AN39" s="250">
        <f>SUMPRODUCT((RF!$A$2:$A$17=$A39)*(RFEmp=AN$1)*(RF!$H$21:$AO$21="RF Valet"),RF!$H$2:$AO$17)</f>
        <v>0</v>
      </c>
      <c r="AO39" s="250">
        <f>SUMPRODUCT((RF!$A$2:$A$17=$A39)*(RFEmp=AO$1)*(RF!$H$21:$AO$21="RF Valet"),RF!$H$2:$AO$17)</f>
        <v>0</v>
      </c>
      <c r="AP39" s="250">
        <f>SUMPRODUCT((RF!$A$2:$A$17=$A39)*(RFEmp=AP$1)*(RF!$H$21:$AO$21="RF Valet"),RF!$H$2:$AO$17)</f>
        <v>0</v>
      </c>
      <c r="AQ39" s="250">
        <f>SUMPRODUCT((RF!$A$2:$A$17=$A39)*(RFEmp=AQ$1)*(RF!$H$21:$AO$21="RF Valet"),RF!$H$2:$AO$17)</f>
        <v>0</v>
      </c>
      <c r="AR39" s="496">
        <f>SUMPRODUCT((RF!$A$2:$A$17=$A39)*(RFEmp=AR$1)*(RF!$H$21:$AO$21="RF Valet"),RF!$H$2:$AO$17)</f>
        <v>0</v>
      </c>
      <c r="AT39" s="246"/>
    </row>
    <row r="40" spans="1:46" s="271" customFormat="1" x14ac:dyDescent="0.2">
      <c r="A40" s="247">
        <f>A39</f>
        <v>42464</v>
      </c>
      <c r="B40" s="255" t="s">
        <v>74</v>
      </c>
      <c r="C40" s="249">
        <f>SUMPRODUCT((TM!$A$2:$A$17=$A40)*(TMEmp=C$1),TM!$D$2:$AK$17)</f>
        <v>0</v>
      </c>
      <c r="D40" s="250">
        <f>SUMPRODUCT((TM!$A$2:$A$17=$A40)*(TMEmp=D$1),TM!$D$2:$AK$17)</f>
        <v>0</v>
      </c>
      <c r="E40" s="250">
        <f>SUMPRODUCT((TM!$A$2:$A$17=$A40)*(TMEmp=E$1),TM!$D$2:$AK$17)</f>
        <v>0</v>
      </c>
      <c r="F40" s="250">
        <f>SUMPRODUCT((TM!$A$2:$A$17=$A40)*(TMEmp=F$1),TM!$D$2:$AK$17)</f>
        <v>0</v>
      </c>
      <c r="G40" s="250">
        <f>SUMPRODUCT((TM!$A$2:$A$17=$A40)*(TMEmp=G$1),TM!$D$2:$AK$17)</f>
        <v>0</v>
      </c>
      <c r="H40" s="250">
        <f>SUMPRODUCT((TM!$A$2:$A$17=$A40)*(TMEmp=H$1),TM!$D$2:$AK$17)</f>
        <v>0</v>
      </c>
      <c r="I40" s="250">
        <f>SUMPRODUCT((TM!$A$2:$A$17=$A40)*(TMEmp=I$1),TM!$D$2:$AK$17)</f>
        <v>0</v>
      </c>
      <c r="J40" s="250">
        <f>SUMPRODUCT((TM!$A$2:$A$17=$A40)*(TMEmp=J$1),TM!$D$2:$AK$17)</f>
        <v>0</v>
      </c>
      <c r="K40" s="250">
        <f>SUMPRODUCT((TM!$A$2:$A$17=$A40)*(TMEmp=K$1),TM!$D$2:$AK$17)</f>
        <v>0</v>
      </c>
      <c r="L40" s="250">
        <f>SUMPRODUCT((TM!$A$2:$A$17=$A40)*(TMEmp=L$1),TM!$D$2:$AK$17)</f>
        <v>0</v>
      </c>
      <c r="M40" s="250">
        <f>SUMPRODUCT((TM!$A$2:$A$17=$A40)*(TMEmp=M$1),TM!$D$2:$AK$17)</f>
        <v>0</v>
      </c>
      <c r="N40" s="250">
        <f>SUMPRODUCT((TM!$A$2:$A$17=$A40)*(TMEmp=N$1),TM!$D$2:$AK$17)</f>
        <v>0</v>
      </c>
      <c r="O40" s="250">
        <f>SUMPRODUCT((TM!$A$2:$A$17=$A40)*(TMEmp=O$1),TM!$D$2:$AK$17)</f>
        <v>0</v>
      </c>
      <c r="P40" s="250">
        <f>SUMPRODUCT((TM!$A$2:$A$17=$A40)*(TMEmp=P$1),TM!$D$2:$AK$17)</f>
        <v>0</v>
      </c>
      <c r="Q40" s="250">
        <f>SUMPRODUCT((TM!$A$2:$A$17=$A40)*(TMEmp=Q$1),TM!$D$2:$AK$17)</f>
        <v>0</v>
      </c>
      <c r="R40" s="250">
        <f>SUMPRODUCT((TM!$A$2:$A$17=$A40)*(TMEmp=R$1),TM!$D$2:$AK$17)</f>
        <v>0</v>
      </c>
      <c r="S40" s="250">
        <f>SUMPRODUCT((TM!$A$2:$A$17=$A40)*(TMEmp=S$1),TM!$D$2:$AK$17)</f>
        <v>0</v>
      </c>
      <c r="T40" s="250">
        <f>SUMPRODUCT((TM!$A$2:$A$17=$A40)*(TMEmp=T$1),TM!$D$2:$AK$17)</f>
        <v>0</v>
      </c>
      <c r="U40" s="250">
        <f>SUMPRODUCT((TM!$A$2:$A$17=$A40)*(TMEmp=U$1),TM!$D$2:$AK$17)</f>
        <v>0</v>
      </c>
      <c r="V40" s="250">
        <f>SUMPRODUCT((TM!$A$2:$A$17=$A40)*(TMEmp=V$1),TM!$D$2:$AK$17)</f>
        <v>0</v>
      </c>
      <c r="W40" s="250">
        <f>SUMPRODUCT((TM!$A$2:$A$17=$A40)*(TMEmp=W$1),TM!$D$2:$AK$17)</f>
        <v>0</v>
      </c>
      <c r="X40" s="250">
        <f>SUMPRODUCT((TM!$A$2:$A$17=$A40)*(TMEmp=X$1),TM!$D$2:$AK$17)</f>
        <v>0</v>
      </c>
      <c r="Y40" s="250">
        <f>SUMPRODUCT((TM!$A$2:$A$17=$A40)*(TMEmp=Y$1),TM!$D$2:$AK$17)</f>
        <v>0</v>
      </c>
      <c r="Z40" s="250">
        <f>SUMPRODUCT((TM!$A$2:$A$17=$A40)*(TMEmp=Z$1),TM!$D$2:$AK$17)</f>
        <v>0</v>
      </c>
      <c r="AA40" s="250">
        <f>SUMPRODUCT((TM!$A$2:$A$17=$A40)*(TMEmp=AA$1),TM!$D$2:$AK$17)</f>
        <v>0</v>
      </c>
      <c r="AB40" s="250">
        <f>SUMPRODUCT((TM!$A$2:$A$17=$A40)*(TMEmp=AB$1),TM!$D$2:$AK$17)</f>
        <v>0</v>
      </c>
      <c r="AC40" s="250">
        <f>SUMPRODUCT((TM!$A$2:$A$17=$A40)*(TMEmp=AC$1),TM!$D$2:$AK$17)</f>
        <v>0</v>
      </c>
      <c r="AD40" s="250">
        <f>SUMPRODUCT((TM!$A$2:$A$17=$A40)*(TMEmp=AD$1),TM!$D$2:$AK$17)</f>
        <v>0</v>
      </c>
      <c r="AE40" s="250">
        <f>SUMPRODUCT((TM!$A$2:$A$17=$A40)*(TMEmp=AE$1),TM!$D$2:$AK$17)</f>
        <v>0</v>
      </c>
      <c r="AF40" s="250">
        <f>SUMPRODUCT((TM!$A$2:$A$17=$A40)*(TMEmp=AF$1),TM!$D$2:$AK$17)</f>
        <v>0</v>
      </c>
      <c r="AG40" s="250">
        <f>SUMPRODUCT((TM!$A$2:$A$17=$A40)*(TMEmp=AG$1),TM!$D$2:$AK$17)</f>
        <v>0</v>
      </c>
      <c r="AH40" s="250">
        <f>SUMPRODUCT((TM!$A$2:$A$17=$A40)*(TMEmp=AH$1),TM!$D$2:$AK$17)</f>
        <v>0</v>
      </c>
      <c r="AI40" s="250">
        <f>SUMPRODUCT((TM!$A$2:$A$17=$A40)*(TMEmp=AI$1),TM!$D$2:$AK$17)</f>
        <v>0</v>
      </c>
      <c r="AJ40" s="250">
        <f>SUMPRODUCT((TM!$A$2:$A$17=$A40)*(TMEmp=AJ$1),TM!$D$2:$AK$17)</f>
        <v>0</v>
      </c>
      <c r="AK40" s="250">
        <f>SUMPRODUCT((TM!$A$2:$A$17=$A40)*(TMEmp=AK$1),TM!$D$2:$AK$17)</f>
        <v>0</v>
      </c>
      <c r="AL40" s="250">
        <f>SUMPRODUCT((TM!$A$2:$A$17=$A40)*(TMEmp=AL$1),TM!$D$2:$AK$17)</f>
        <v>0</v>
      </c>
      <c r="AM40" s="250">
        <f>SUMPRODUCT((TM!$A$2:$A$17=$A40)*(TMEmp=AM$1),TM!$D$2:$AK$17)</f>
        <v>0</v>
      </c>
      <c r="AN40" s="250">
        <f>SUMPRODUCT((TM!$A$2:$A$17=$A40)*(TMEmp=AN$1),TM!$D$2:$AK$17)</f>
        <v>0</v>
      </c>
      <c r="AO40" s="250">
        <f>SUMPRODUCT((TM!$A$2:$A$17=$A40)*(TMEmp=AO$1),TM!$D$2:$AK$17)</f>
        <v>0</v>
      </c>
      <c r="AP40" s="250">
        <f>SUMPRODUCT((TM!$A$2:$A$17=$A40)*(TMEmp=AP$1),TM!$D$2:$AK$17)</f>
        <v>0</v>
      </c>
      <c r="AQ40" s="250">
        <f>SUMPRODUCT((TM!$A$2:$A$17=$A40)*(TMEmp=AQ$1),TM!$D$2:$AK$17)</f>
        <v>0</v>
      </c>
      <c r="AR40" s="496">
        <f>SUMPRODUCT((TM!$A$2:$A$17=$A40)*(TMEmp=AR$1),TM!$D$2:$AK$17)</f>
        <v>0</v>
      </c>
      <c r="AT40" s="246"/>
    </row>
    <row r="41" spans="1:46" s="271" customFormat="1" x14ac:dyDescent="0.2">
      <c r="A41" s="256">
        <f t="shared" si="21"/>
        <v>42464</v>
      </c>
      <c r="B41" s="257" t="s">
        <v>72</v>
      </c>
      <c r="C41" s="258">
        <f>SUMPRODUCT((PC!$A$2:$A$80=$A41)*(PCEmp=C$1),PC!$D$2:$BD$80)</f>
        <v>0</v>
      </c>
      <c r="D41" s="259">
        <f>SUMPRODUCT((PC!$A$2:$A$80=$A41)*(PCEmp=D$1),PC!$D$2:$BD$80)</f>
        <v>0</v>
      </c>
      <c r="E41" s="259">
        <f>SUMPRODUCT((PC!$A$2:$A$80=$A41)*(PCEmp=E$1),PC!$D$2:$BD$80)</f>
        <v>0</v>
      </c>
      <c r="F41" s="259">
        <f>SUMPRODUCT((PC!$A$2:$A$80=$A41)*(PCEmp=F$1),PC!$D$2:$BD$80)</f>
        <v>0</v>
      </c>
      <c r="G41" s="259">
        <f>SUMPRODUCT((PC!$A$2:$A$80=$A41)*(PCEmp=G$1),PC!$D$2:$BD$80)</f>
        <v>0</v>
      </c>
      <c r="H41" s="259">
        <f>SUMPRODUCT((PC!$A$2:$A$80=$A41)*(PCEmp=H$1),PC!$D$2:$BD$80)</f>
        <v>0</v>
      </c>
      <c r="I41" s="259">
        <f>SUMPRODUCT((PC!$A$2:$A$80=$A41)*(PCEmp=I$1),PC!$D$2:$BD$80)</f>
        <v>0</v>
      </c>
      <c r="J41" s="259">
        <f>SUMPRODUCT((PC!$A$2:$A$80=$A41)*(PCEmp=J$1),PC!$D$2:$BD$80)</f>
        <v>0</v>
      </c>
      <c r="K41" s="259">
        <f>SUMPRODUCT((PC!$A$2:$A$80=$A41)*(PCEmp=K$1),PC!$D$2:$BD$80)</f>
        <v>0</v>
      </c>
      <c r="L41" s="259">
        <f>SUMPRODUCT((PC!$A$2:$A$80=$A41)*(PCEmp=L$1),PC!$D$2:$BD$80)</f>
        <v>0</v>
      </c>
      <c r="M41" s="259">
        <f>SUMPRODUCT((PC!$A$2:$A$80=$A41)*(PCEmp=M$1),PC!$D$2:$BD$80)</f>
        <v>0</v>
      </c>
      <c r="N41" s="259">
        <f>SUMPRODUCT((PC!$A$2:$A$80=$A41)*(PCEmp=N$1),PC!$D$2:$BD$80)</f>
        <v>0</v>
      </c>
      <c r="O41" s="259">
        <f>SUMPRODUCT((PC!$A$2:$A$80=$A41)*(PCEmp=O$1),PC!$D$2:$BD$80)</f>
        <v>0</v>
      </c>
      <c r="P41" s="259">
        <f>SUMPRODUCT((PC!$A$2:$A$80=$A41)*(PCEmp=P$1),PC!$D$2:$BD$80)</f>
        <v>0</v>
      </c>
      <c r="Q41" s="259">
        <f>SUMPRODUCT((PC!$A$2:$A$80=$A41)*(PCEmp=Q$1),PC!$D$2:$BD$80)</f>
        <v>0</v>
      </c>
      <c r="R41" s="259">
        <f>SUMPRODUCT((PC!$A$2:$A$80=$A41)*(PCEmp=R$1),PC!$D$2:$BD$80)</f>
        <v>0</v>
      </c>
      <c r="S41" s="259">
        <f>SUMPRODUCT((PC!$A$2:$A$80=$A41)*(PCEmp=S$1),PC!$D$2:$BD$80)</f>
        <v>0</v>
      </c>
      <c r="T41" s="259">
        <f>SUMPRODUCT((PC!$A$2:$A$80=$A41)*(PCEmp=T$1),PC!$D$2:$BD$80)</f>
        <v>0</v>
      </c>
      <c r="U41" s="259">
        <f>SUMPRODUCT((PC!$A$2:$A$80=$A41)*(PCEmp=U$1),PC!$D$2:$BD$80)</f>
        <v>0</v>
      </c>
      <c r="V41" s="259">
        <f>SUMPRODUCT((PC!$A$2:$A$80=$A41)*(PCEmp=V$1),PC!$D$2:$BD$80)</f>
        <v>0</v>
      </c>
      <c r="W41" s="259">
        <f>SUMPRODUCT((PC!$A$2:$A$80=$A41)*(PCEmp=W$1),PC!$D$2:$BD$80)</f>
        <v>0</v>
      </c>
      <c r="X41" s="259">
        <f>SUMPRODUCT((PC!$A$2:$A$80=$A41)*(PCEmp=X$1),PC!$D$2:$BD$80)</f>
        <v>0</v>
      </c>
      <c r="Y41" s="259">
        <f>SUMPRODUCT((PC!$A$2:$A$80=$A41)*(PCEmp=Y$1),PC!$D$2:$BD$80)</f>
        <v>0</v>
      </c>
      <c r="Z41" s="259">
        <f>SUMPRODUCT((PC!$A$2:$A$80=$A41)*(PCEmp=Z$1),PC!$D$2:$BD$80)</f>
        <v>0</v>
      </c>
      <c r="AA41" s="259">
        <f>SUMPRODUCT((PC!$A$2:$A$80=$A41)*(PCEmp=AA$1),PC!$D$2:$BD$80)</f>
        <v>0</v>
      </c>
      <c r="AB41" s="259">
        <f>SUMPRODUCT((PC!$A$2:$A$80=$A41)*(PCEmp=AB$1),PC!$D$2:$BD$80)</f>
        <v>0</v>
      </c>
      <c r="AC41" s="259">
        <f>SUMPRODUCT((PC!$A$2:$A$80=$A41)*(PCEmp=AC$1),PC!$D$2:$BD$80)</f>
        <v>0</v>
      </c>
      <c r="AD41" s="259">
        <f>SUMPRODUCT((PC!$A$2:$A$80=$A41)*(PCEmp=AD$1),PC!$D$2:$BD$80)</f>
        <v>0</v>
      </c>
      <c r="AE41" s="259">
        <f>SUMPRODUCT((PC!$A$2:$A$80=$A41)*(PCEmp=AE$1),PC!$D$2:$BD$80)</f>
        <v>0</v>
      </c>
      <c r="AF41" s="259">
        <f>SUMPRODUCT((PC!$A$2:$A$80=$A41)*(PCEmp=AF$1),PC!$D$2:$BD$80)</f>
        <v>0</v>
      </c>
      <c r="AG41" s="259">
        <f>SUMPRODUCT((PC!$A$2:$A$80=$A41)*(PCEmp=AG$1),PC!$D$2:$BD$80)</f>
        <v>0</v>
      </c>
      <c r="AH41" s="259">
        <f>SUMPRODUCT((PC!$A$2:$A$80=$A41)*(PCEmp=AH$1),PC!$D$2:$BD$80)</f>
        <v>0</v>
      </c>
      <c r="AI41" s="259">
        <f>SUMPRODUCT((PC!$A$2:$A$80=$A41)*(PCEmp=AI$1),PC!$D$2:$BD$80)</f>
        <v>0</v>
      </c>
      <c r="AJ41" s="259">
        <f>SUMPRODUCT((PC!$A$2:$A$80=$A41)*(PCEmp=AJ$1),PC!$D$2:$BD$80)</f>
        <v>0</v>
      </c>
      <c r="AK41" s="259">
        <f>SUMPRODUCT((PC!$A$2:$A$80=$A41)*(PCEmp=AK$1),PC!$D$2:$BD$80)</f>
        <v>0</v>
      </c>
      <c r="AL41" s="259">
        <f>SUMPRODUCT((PC!$A$2:$A$80=$A41)*(PCEmp=AL$1),PC!$D$2:$BD$80)</f>
        <v>0</v>
      </c>
      <c r="AM41" s="259">
        <f>SUMPRODUCT((PC!$A$2:$A$80=$A41)*(PCEmp=AM$1),PC!$D$2:$BD$80)</f>
        <v>0</v>
      </c>
      <c r="AN41" s="259">
        <f>SUMPRODUCT((PC!$A$2:$A$80=$A41)*(PCEmp=AN$1),PC!$D$2:$BD$80)</f>
        <v>0</v>
      </c>
      <c r="AO41" s="259">
        <f>SUMPRODUCT((PC!$A$2:$A$80=$A41)*(PCEmp=AO$1),PC!$D$2:$BD$80)</f>
        <v>0</v>
      </c>
      <c r="AP41" s="259">
        <f>SUMPRODUCT((PC!$A$2:$A$80=$A41)*(PCEmp=AP$1),PC!$D$2:$BD$80)</f>
        <v>0</v>
      </c>
      <c r="AQ41" s="259">
        <f>SUMPRODUCT((PC!$A$2:$A$80=$A41)*(PCEmp=AQ$1),PC!$D$2:$BD$80)</f>
        <v>0</v>
      </c>
      <c r="AR41" s="497">
        <f>SUMPRODUCT((PC!$A$2:$A$80=$A41)*(PCEmp=AR$1),PC!$D$2:$BD$80)</f>
        <v>0</v>
      </c>
      <c r="AT41" s="246"/>
    </row>
    <row r="42" spans="1:46" s="271" customFormat="1" x14ac:dyDescent="0.2">
      <c r="A42" s="247">
        <f t="shared" si="21"/>
        <v>42464</v>
      </c>
      <c r="B42" s="254" t="s">
        <v>85</v>
      </c>
      <c r="C42" s="249">
        <f>SUMPRODUCT((RF!$A$2:$A$17=$A42)*(RFEmp=C$1)*(RF!$H$21:$AO$21="RF Lead"),RF!$H$2:$AO$17)</f>
        <v>0</v>
      </c>
      <c r="D42" s="250">
        <f>SUMPRODUCT((RF!$A$2:$A$17=$A42)*(RFEmp=D$1)*(RF!$H$21:$AO$21="RF Lead"),RF!$H$2:$AO$17)</f>
        <v>0</v>
      </c>
      <c r="E42" s="250">
        <f>SUMPRODUCT((RF!$A$2:$A$17=$A42)*(RFEmp=E$1)*(RF!$H$21:$AO$21="RF Lead"),RF!$H$2:$AO$17)</f>
        <v>0</v>
      </c>
      <c r="F42" s="250">
        <f>SUMPRODUCT((RF!$A$2:$A$17=$A42)*(RFEmp=F$1)*(RF!$H$21:$AO$21="RF Lead"),RF!$H$2:$AO$17)</f>
        <v>0</v>
      </c>
      <c r="G42" s="250">
        <f>SUMPRODUCT((RF!$A$2:$A$17=$A42)*(RFEmp=G$1)*(RF!$H$21:$AO$21="RF Lead"),RF!$H$2:$AO$17)</f>
        <v>0</v>
      </c>
      <c r="H42" s="250">
        <f>SUMPRODUCT((RF!$A$2:$A$17=$A42)*(RFEmp=H$1)*(RF!$H$21:$AO$21="RF Lead"),RF!$H$2:$AO$17)</f>
        <v>0</v>
      </c>
      <c r="I42" s="250">
        <f>SUMPRODUCT((RF!$A$2:$A$17=$A42)*(RFEmp=I$1)*(RF!$H$21:$AO$21="RF Lead"),RF!$H$2:$AO$17)</f>
        <v>0</v>
      </c>
      <c r="J42" s="250">
        <f>SUMPRODUCT((RF!$A$2:$A$17=$A42)*(RFEmp=J$1)*(RF!$H$21:$AO$21="RF Lead"),RF!$H$2:$AO$17)</f>
        <v>0</v>
      </c>
      <c r="K42" s="250">
        <f>SUMPRODUCT((RF!$A$2:$A$17=$A42)*(RFEmp=K$1)*(RF!$H$21:$AO$21="RF Lead"),RF!$H$2:$AO$17)</f>
        <v>0</v>
      </c>
      <c r="L42" s="250">
        <f>SUMPRODUCT((RF!$A$2:$A$17=$A42)*(RFEmp=L$1)*(RF!$H$21:$AO$21="RF Lead"),RF!$H$2:$AO$17)</f>
        <v>0</v>
      </c>
      <c r="M42" s="250">
        <f>SUMPRODUCT((RF!$A$2:$A$17=$A42)*(RFEmp=M$1)*(RF!$H$21:$AO$21="RF Lead"),RF!$H$2:$AO$17)</f>
        <v>0</v>
      </c>
      <c r="N42" s="250">
        <f>SUMPRODUCT((RF!$A$2:$A$17=$A42)*(RFEmp=N$1)*(RF!$H$21:$AO$21="RF Lead"),RF!$H$2:$AO$17)</f>
        <v>0</v>
      </c>
      <c r="O42" s="250">
        <f>SUMPRODUCT((RF!$A$2:$A$17=$A42)*(RFEmp=O$1)*(RF!$H$21:$AO$21="RF Lead"),RF!$H$2:$AO$17)</f>
        <v>0</v>
      </c>
      <c r="P42" s="250">
        <f>SUMPRODUCT((RF!$A$2:$A$17=$A42)*(RFEmp=P$1)*(RF!$H$21:$AO$21="RF Lead"),RF!$H$2:$AO$17)</f>
        <v>0</v>
      </c>
      <c r="Q42" s="250">
        <f>SUMPRODUCT((RF!$A$2:$A$17=$A42)*(RFEmp=Q$1)*(RF!$H$21:$AO$21="RF Lead"),RF!$H$2:$AO$17)</f>
        <v>0</v>
      </c>
      <c r="R42" s="250">
        <f>SUMPRODUCT((RF!$A$2:$A$17=$A42)*(RFEmp=R$1)*(RF!$H$21:$AO$21="RF Lead"),RF!$H$2:$AO$17)</f>
        <v>0</v>
      </c>
      <c r="S42" s="250">
        <f>SUMPRODUCT((RF!$A$2:$A$17=$A42)*(RFEmp=S$1)*(RF!$H$21:$AO$21="RF Lead"),RF!$H$2:$AO$17)</f>
        <v>0</v>
      </c>
      <c r="T42" s="250">
        <f>SUMPRODUCT((RF!$A$2:$A$17=$A42)*(RFEmp=T$1)*(RF!$H$21:$AO$21="RF Lead"),RF!$H$2:$AO$17)</f>
        <v>0</v>
      </c>
      <c r="U42" s="250">
        <f>SUMPRODUCT((RF!$A$2:$A$17=$A42)*(RFEmp=U$1)*(RF!$H$21:$AO$21="RF Lead"),RF!$H$2:$AO$17)</f>
        <v>0</v>
      </c>
      <c r="V42" s="250">
        <f>SUMPRODUCT((RF!$A$2:$A$17=$A42)*(RFEmp=V$1)*(RF!$H$21:$AO$21="RF Lead"),RF!$H$2:$AO$17)</f>
        <v>0</v>
      </c>
      <c r="W42" s="250">
        <f>SUMPRODUCT((RF!$A$2:$A$17=$A42)*(RFEmp=W$1)*(RF!$H$21:$AO$21="RF Lead"),RF!$H$2:$AO$17)</f>
        <v>0</v>
      </c>
      <c r="X42" s="250">
        <f>SUMPRODUCT((RF!$A$2:$A$17=$A42)*(RFEmp=X$1)*(RF!$H$21:$AO$21="RF Lead"),RF!$H$2:$AO$17)</f>
        <v>0</v>
      </c>
      <c r="Y42" s="250">
        <f>SUMPRODUCT((RF!$A$2:$A$17=$A42)*(RFEmp=Y$1)*(RF!$H$21:$AO$21="RF Lead"),RF!$H$2:$AO$17)</f>
        <v>0</v>
      </c>
      <c r="Z42" s="250">
        <f>SUMPRODUCT((RF!$A$2:$A$17=$A42)*(RFEmp=Z$1)*(RF!$H$21:$AO$21="RF Lead"),RF!$H$2:$AO$17)</f>
        <v>0</v>
      </c>
      <c r="AA42" s="250">
        <f>SUMPRODUCT((RF!$A$2:$A$17=$A42)*(RFEmp=AA$1)*(RF!$H$21:$AO$21="RF Lead"),RF!$H$2:$AO$17)</f>
        <v>0</v>
      </c>
      <c r="AB42" s="250">
        <f>SUMPRODUCT((RF!$A$2:$A$17=$A42)*(RFEmp=AB$1)*(RF!$H$21:$AO$21="RF Lead"),RF!$H$2:$AO$17)</f>
        <v>0</v>
      </c>
      <c r="AC42" s="250">
        <f>SUMPRODUCT((RF!$A$2:$A$17=$A42)*(RFEmp=AC$1)*(RF!$H$21:$AO$21="RF Lead"),RF!$H$2:$AO$17)</f>
        <v>0</v>
      </c>
      <c r="AD42" s="250">
        <f>SUMPRODUCT((RF!$A$2:$A$17=$A42)*(RFEmp=AD$1)*(RF!$H$21:$AO$21="RF Lead"),RF!$H$2:$AO$17)</f>
        <v>0</v>
      </c>
      <c r="AE42" s="250">
        <f>SUMPRODUCT((RF!$A$2:$A$17=$A42)*(RFEmp=AE$1)*(RF!$H$21:$AO$21="RF Lead"),RF!$H$2:$AO$17)</f>
        <v>0</v>
      </c>
      <c r="AF42" s="250">
        <f>SUMPRODUCT((RF!$A$2:$A$17=$A42)*(RFEmp=AF$1)*(RF!$H$21:$AO$21="RF Lead"),RF!$H$2:$AO$17)</f>
        <v>0</v>
      </c>
      <c r="AG42" s="250">
        <f>SUMPRODUCT((RF!$A$2:$A$17=$A42)*(RFEmp=AG$1)*(RF!$H$21:$AO$21="RF Lead"),RF!$H$2:$AO$17)</f>
        <v>0</v>
      </c>
      <c r="AH42" s="250">
        <f>SUMPRODUCT((RF!$A$2:$A$17=$A42)*(RFEmp=AH$1)*(RF!$H$21:$AO$21="RF Lead"),RF!$H$2:$AO$17)</f>
        <v>0</v>
      </c>
      <c r="AI42" s="250">
        <f>SUMPRODUCT((RF!$A$2:$A$17=$A42)*(RFEmp=AI$1)*(RF!$H$21:$AO$21="RF Lead"),RF!$H$2:$AO$17)</f>
        <v>0</v>
      </c>
      <c r="AJ42" s="250">
        <f>SUMPRODUCT((RF!$A$2:$A$17=$A42)*(RFEmp=AJ$1)*(RF!$H$21:$AO$21="RF Lead"),RF!$H$2:$AO$17)</f>
        <v>0</v>
      </c>
      <c r="AK42" s="250">
        <f>SUMPRODUCT((RF!$A$2:$A$17=$A42)*(RFEmp=AK$1)*(RF!$H$21:$AO$21="RF Lead"),RF!$H$2:$AO$17)</f>
        <v>0</v>
      </c>
      <c r="AL42" s="250">
        <f>SUMPRODUCT((RF!$A$2:$A$17=$A42)*(RFEmp=AL$1)*(RF!$H$21:$AO$21="RF Lead"),RF!$H$2:$AO$17)</f>
        <v>0</v>
      </c>
      <c r="AM42" s="250">
        <f>SUMPRODUCT((RF!$A$2:$A$17=$A42)*(RFEmp=AM$1)*(RF!$H$21:$AO$21="RF Lead"),RF!$H$2:$AO$17)</f>
        <v>0</v>
      </c>
      <c r="AN42" s="250">
        <f>SUMPRODUCT((RF!$A$2:$A$17=$A42)*(RFEmp=AN$1)*(RF!$H$21:$AO$21="RF Lead"),RF!$H$2:$AO$17)</f>
        <v>0</v>
      </c>
      <c r="AO42" s="250">
        <f>SUMPRODUCT((RF!$A$2:$A$17=$A42)*(RFEmp=AO$1)*(RF!$H$21:$AO$21="RF Lead"),RF!$H$2:$AO$17)</f>
        <v>0</v>
      </c>
      <c r="AP42" s="250">
        <f>SUMPRODUCT((RF!$A$2:$A$17=$A42)*(RFEmp=AP$1)*(RF!$H$21:$AO$21="RF Lead"),RF!$H$2:$AO$17)</f>
        <v>0</v>
      </c>
      <c r="AQ42" s="250">
        <f>SUMPRODUCT((RF!$A$2:$A$17=$A42)*(RFEmp=AQ$1)*(RF!$H$21:$AO$21="RF Lead"),RF!$H$2:$AO$17)</f>
        <v>0</v>
      </c>
      <c r="AR42" s="496">
        <f>SUMPRODUCT((RF!$A$2:$A$17=$A42)*(RFEmp=AR$1)*(RF!$H$21:$AO$21="RF Lead"),RF!$H$2:$AO$17)</f>
        <v>0</v>
      </c>
      <c r="AT42" s="246"/>
    </row>
    <row r="43" spans="1:46" s="271" customFormat="1" x14ac:dyDescent="0.2">
      <c r="A43" s="260">
        <f t="shared" si="21"/>
        <v>42464</v>
      </c>
      <c r="B43" s="261" t="str">
        <f>Total!$M$1</f>
        <v>SC</v>
      </c>
      <c r="C43" s="249">
        <f>SUMPRODUCT((SC!$A$2:$A$34=$A43)*(SCEmp=C$1),SC!$F$2:$Z$34)</f>
        <v>0</v>
      </c>
      <c r="D43" s="250">
        <f>SUMPRODUCT((SC!$A$2:$A$34=$A43)*(SCEmp=D$1),SC!$F$2:$Z$34)</f>
        <v>0</v>
      </c>
      <c r="E43" s="250">
        <f>SUMPRODUCT((SC!$A$2:$A$34=$A43)*(SCEmp=E$1),SC!$F$2:$Z$34)</f>
        <v>0</v>
      </c>
      <c r="F43" s="250">
        <f>SUMPRODUCT((SC!$A$2:$A$34=$A43)*(SCEmp=F$1),SC!$F$2:$Z$34)</f>
        <v>0</v>
      </c>
      <c r="G43" s="250">
        <f>SUMPRODUCT((SC!$A$2:$A$34=$A43)*(SCEmp=G$1),SC!$F$2:$Z$34)</f>
        <v>0</v>
      </c>
      <c r="H43" s="250">
        <f>SUMPRODUCT((SC!$A$2:$A$34=$A43)*(SCEmp=H$1),SC!$F$2:$Z$34)</f>
        <v>0</v>
      </c>
      <c r="I43" s="250">
        <f>SUMPRODUCT((SC!$A$2:$A$34=$A43)*(SCEmp=I$1),SC!$F$2:$Z$34)</f>
        <v>0</v>
      </c>
      <c r="J43" s="250">
        <f>SUMPRODUCT((SC!$A$2:$A$34=$A43)*(SCEmp=J$1),SC!$F$2:$Z$34)</f>
        <v>0</v>
      </c>
      <c r="K43" s="250">
        <f>SUMPRODUCT((SC!$A$2:$A$34=$A43)*(SCEmp=K$1),SC!$F$2:$Z$34)</f>
        <v>0</v>
      </c>
      <c r="L43" s="250">
        <f>SUMPRODUCT((SC!$A$2:$A$34=$A43)*(SCEmp=L$1),SC!$F$2:$Z$34)</f>
        <v>0</v>
      </c>
      <c r="M43" s="250">
        <f>SUMPRODUCT((SC!$A$2:$A$34=$A43)*(SCEmp=M$1),SC!$F$2:$Z$34)</f>
        <v>0</v>
      </c>
      <c r="N43" s="250">
        <f>SUMPRODUCT((SC!$A$2:$A$34=$A43)*(SCEmp=N$1),SC!$F$2:$Z$34)</f>
        <v>0</v>
      </c>
      <c r="O43" s="250">
        <f>SUMPRODUCT((SC!$A$2:$A$34=$A43)*(SCEmp=O$1),SC!$F$2:$Z$34)</f>
        <v>0</v>
      </c>
      <c r="P43" s="250">
        <f>SUMPRODUCT((SC!$A$2:$A$34=$A43)*(SCEmp=P$1),SC!$F$2:$Z$34)</f>
        <v>0</v>
      </c>
      <c r="Q43" s="250">
        <f>SUMPRODUCT((SC!$A$2:$A$34=$A43)*(SCEmp=Q$1),SC!$F$2:$Z$34)</f>
        <v>0</v>
      </c>
      <c r="R43" s="250">
        <f>SUMPRODUCT((SC!$A$2:$A$34=$A43)*(SCEmp=R$1),SC!$F$2:$Z$34)</f>
        <v>0</v>
      </c>
      <c r="S43" s="250">
        <f>SUMPRODUCT((SC!$A$2:$A$34=$A43)*(SCEmp=S$1),SC!$F$2:$Z$34)</f>
        <v>0</v>
      </c>
      <c r="T43" s="250">
        <f>SUMPRODUCT((SC!$A$2:$A$34=$A43)*(SCEmp=T$1),SC!$F$2:$Z$34)</f>
        <v>0</v>
      </c>
      <c r="U43" s="250">
        <f>SUMPRODUCT((SC!$A$2:$A$34=$A43)*(SCEmp=U$1),SC!$F$2:$Z$34)</f>
        <v>0</v>
      </c>
      <c r="V43" s="250">
        <f>SUMPRODUCT((SC!$A$2:$A$34=$A43)*(SCEmp=V$1),SC!$F$2:$Z$34)</f>
        <v>0</v>
      </c>
      <c r="W43" s="250">
        <f>SUMPRODUCT((SC!$A$2:$A$34=$A43)*(SCEmp=W$1),SC!$F$2:$Z$34)</f>
        <v>0</v>
      </c>
      <c r="X43" s="250">
        <f>SUMPRODUCT((SC!$A$2:$A$34=$A43)*(SCEmp=X$1),SC!$F$2:$Z$34)</f>
        <v>0</v>
      </c>
      <c r="Y43" s="250">
        <f>SUMPRODUCT((SC!$A$2:$A$34=$A43)*(SCEmp=Y$1),SC!$F$2:$Z$34)</f>
        <v>0</v>
      </c>
      <c r="Z43" s="250">
        <f>SUMPRODUCT((SC!$A$2:$A$34=$A43)*(SCEmp=Z$1),SC!$F$2:$Z$34)</f>
        <v>0</v>
      </c>
      <c r="AA43" s="250">
        <f>SUMPRODUCT((SC!$A$2:$A$34=$A43)*(SCEmp=AA$1),SC!$F$2:$Z$34)</f>
        <v>0</v>
      </c>
      <c r="AB43" s="250">
        <f>SUMPRODUCT((SC!$A$2:$A$34=$A43)*(SCEmp=AB$1),SC!$F$2:$Z$34)</f>
        <v>0</v>
      </c>
      <c r="AC43" s="250">
        <f>SUMPRODUCT((SC!$A$2:$A$34=$A43)*(SCEmp=AC$1),SC!$F$2:$Z$34)</f>
        <v>0</v>
      </c>
      <c r="AD43" s="250">
        <f>SUMPRODUCT((SC!$A$2:$A$34=$A43)*(SCEmp=AD$1),SC!$F$2:$Z$34)</f>
        <v>0</v>
      </c>
      <c r="AE43" s="250">
        <f>SUMPRODUCT((SC!$A$2:$A$34=$A43)*(SCEmp=AE$1),SC!$F$2:$Z$34)</f>
        <v>0</v>
      </c>
      <c r="AF43" s="250">
        <f>SUMPRODUCT((SC!$A$2:$A$34=$A43)*(SCEmp=AF$1),SC!$F$2:$Z$34)</f>
        <v>0</v>
      </c>
      <c r="AG43" s="250">
        <f>SUMPRODUCT((SC!$A$2:$A$34=$A43)*(SCEmp=AG$1),SC!$F$2:$Z$34)</f>
        <v>0</v>
      </c>
      <c r="AH43" s="250">
        <f>SUMPRODUCT((SC!$A$2:$A$34=$A43)*(SCEmp=AH$1),SC!$F$2:$Z$34)</f>
        <v>0</v>
      </c>
      <c r="AI43" s="250">
        <f>SUMPRODUCT((SC!$A$2:$A$34=$A43)*(SCEmp=AI$1),SC!$F$2:$Z$34)</f>
        <v>0</v>
      </c>
      <c r="AJ43" s="250">
        <f>SUMPRODUCT((SC!$A$2:$A$34=$A43)*(SCEmp=AJ$1),SC!$F$2:$Z$34)</f>
        <v>0</v>
      </c>
      <c r="AK43" s="250">
        <f>SUMPRODUCT((SC!$A$2:$A$34=$A43)*(SCEmp=AK$1),SC!$F$2:$Z$34)</f>
        <v>0</v>
      </c>
      <c r="AL43" s="250">
        <f>SUMPRODUCT((SC!$A$2:$A$34=$A43)*(SCEmp=AL$1),SC!$F$2:$Z$34)</f>
        <v>0</v>
      </c>
      <c r="AM43" s="250">
        <f>SUMPRODUCT((SC!$A$2:$A$34=$A43)*(SCEmp=AM$1),SC!$F$2:$Z$34)</f>
        <v>0</v>
      </c>
      <c r="AN43" s="250">
        <f>SUMPRODUCT((SC!$A$2:$A$34=$A43)*(SCEmp=AN$1),SC!$F$2:$Z$34)</f>
        <v>0</v>
      </c>
      <c r="AO43" s="250">
        <f>SUMPRODUCT((SC!$A$2:$A$34=$A43)*(SCEmp=AO$1),SC!$F$2:$Z$34)</f>
        <v>0</v>
      </c>
      <c r="AP43" s="250">
        <f>SUMPRODUCT((SC!$A$2:$A$34=$A43)*(SCEmp=AP$1),SC!$F$2:$Z$34)</f>
        <v>0</v>
      </c>
      <c r="AQ43" s="250">
        <f>SUMPRODUCT((SC!$A$2:$A$34=$A43)*(SCEmp=AQ$1),SC!$F$2:$Z$34)</f>
        <v>0</v>
      </c>
      <c r="AR43" s="496">
        <f>SUMPRODUCT((SC!$A$2:$A$34=$A43)*(SCEmp=AR$1),SC!$F$2:$Z$34)</f>
        <v>0</v>
      </c>
      <c r="AT43" s="246"/>
    </row>
    <row r="44" spans="1:46" s="271" customFormat="1" x14ac:dyDescent="0.2">
      <c r="A44" s="262">
        <f t="shared" si="21"/>
        <v>42464</v>
      </c>
      <c r="B44" s="263" t="s">
        <v>87</v>
      </c>
      <c r="C44" s="264">
        <f t="shared" ref="C44:AR44" si="22">IF(SUM(C35:C43)&gt;8,SUM(C35:C43)-8,0)+IF(SUM(C35:C43)&gt;12,SUM(C35:C43)-12,0)</f>
        <v>0</v>
      </c>
      <c r="D44" s="265">
        <f t="shared" si="22"/>
        <v>0</v>
      </c>
      <c r="E44" s="265">
        <f t="shared" si="22"/>
        <v>0</v>
      </c>
      <c r="F44" s="265">
        <f t="shared" si="22"/>
        <v>0</v>
      </c>
      <c r="G44" s="265">
        <f t="shared" si="22"/>
        <v>0</v>
      </c>
      <c r="H44" s="265">
        <f t="shared" si="22"/>
        <v>0</v>
      </c>
      <c r="I44" s="265">
        <f t="shared" si="22"/>
        <v>0</v>
      </c>
      <c r="J44" s="265">
        <f t="shared" si="22"/>
        <v>0</v>
      </c>
      <c r="K44" s="265">
        <f t="shared" si="22"/>
        <v>0</v>
      </c>
      <c r="L44" s="265">
        <f t="shared" si="22"/>
        <v>0</v>
      </c>
      <c r="M44" s="265">
        <f t="shared" si="22"/>
        <v>0</v>
      </c>
      <c r="N44" s="265">
        <f t="shared" si="22"/>
        <v>0</v>
      </c>
      <c r="O44" s="265">
        <f t="shared" si="22"/>
        <v>0</v>
      </c>
      <c r="P44" s="265">
        <f t="shared" si="22"/>
        <v>0</v>
      </c>
      <c r="Q44" s="265">
        <f t="shared" si="22"/>
        <v>0</v>
      </c>
      <c r="R44" s="265">
        <f t="shared" si="22"/>
        <v>0</v>
      </c>
      <c r="S44" s="265">
        <f t="shared" si="22"/>
        <v>0</v>
      </c>
      <c r="T44" s="265">
        <f t="shared" si="22"/>
        <v>0</v>
      </c>
      <c r="U44" s="265">
        <f t="shared" si="22"/>
        <v>0</v>
      </c>
      <c r="V44" s="265">
        <f t="shared" si="22"/>
        <v>0</v>
      </c>
      <c r="W44" s="265">
        <f t="shared" si="22"/>
        <v>0</v>
      </c>
      <c r="X44" s="265">
        <f t="shared" si="22"/>
        <v>0</v>
      </c>
      <c r="Y44" s="265">
        <f t="shared" si="22"/>
        <v>0</v>
      </c>
      <c r="Z44" s="265">
        <f t="shared" si="22"/>
        <v>0</v>
      </c>
      <c r="AA44" s="265">
        <f t="shared" si="22"/>
        <v>0</v>
      </c>
      <c r="AB44" s="265">
        <f t="shared" si="22"/>
        <v>0</v>
      </c>
      <c r="AC44" s="265">
        <f t="shared" si="22"/>
        <v>0</v>
      </c>
      <c r="AD44" s="265">
        <f t="shared" si="22"/>
        <v>0</v>
      </c>
      <c r="AE44" s="265">
        <f t="shared" si="22"/>
        <v>0</v>
      </c>
      <c r="AF44" s="265">
        <f t="shared" si="22"/>
        <v>0</v>
      </c>
      <c r="AG44" s="265">
        <f t="shared" si="22"/>
        <v>0</v>
      </c>
      <c r="AH44" s="265">
        <f t="shared" si="22"/>
        <v>0</v>
      </c>
      <c r="AI44" s="265">
        <f t="shared" si="22"/>
        <v>0</v>
      </c>
      <c r="AJ44" s="265">
        <f t="shared" si="22"/>
        <v>0</v>
      </c>
      <c r="AK44" s="265">
        <f t="shared" si="22"/>
        <v>0</v>
      </c>
      <c r="AL44" s="265">
        <f t="shared" si="22"/>
        <v>0</v>
      </c>
      <c r="AM44" s="265">
        <f t="shared" si="22"/>
        <v>0</v>
      </c>
      <c r="AN44" s="265">
        <f t="shared" si="22"/>
        <v>0</v>
      </c>
      <c r="AO44" s="265">
        <f t="shared" ref="AO44:AP44" si="23">IF(SUM(AO35:AO43)&gt;8,SUM(AO35:AO43)-8,0)+IF(SUM(AO35:AO43)&gt;12,SUM(AO35:AO43)-12,0)</f>
        <v>0</v>
      </c>
      <c r="AP44" s="265">
        <f t="shared" si="23"/>
        <v>0</v>
      </c>
      <c r="AQ44" s="265">
        <f t="shared" ref="AQ44" si="24">IF(SUM(AQ35:AQ43)&gt;8,SUM(AQ35:AQ43)-8,0)+IF(SUM(AQ35:AQ43)&gt;12,SUM(AQ35:AQ43)-12,0)</f>
        <v>0</v>
      </c>
      <c r="AR44" s="498">
        <f t="shared" si="22"/>
        <v>0</v>
      </c>
      <c r="AT44" s="246"/>
    </row>
    <row r="45" spans="1:46" s="271" customFormat="1" x14ac:dyDescent="0.2">
      <c r="A45" s="266">
        <f t="shared" si="21"/>
        <v>42464</v>
      </c>
      <c r="B45" s="267" t="s">
        <v>86</v>
      </c>
      <c r="C45" s="268">
        <f t="shared" ref="C45:AR45" si="25">IFERROR((C$179*SUM(C35:C40)+C$180*SUM(C41:C43))/SUM(C35:C43)/2,0)*C44</f>
        <v>0</v>
      </c>
      <c r="D45" s="269">
        <f t="shared" si="25"/>
        <v>0</v>
      </c>
      <c r="E45" s="269">
        <f t="shared" si="25"/>
        <v>0</v>
      </c>
      <c r="F45" s="269">
        <f t="shared" si="25"/>
        <v>0</v>
      </c>
      <c r="G45" s="269">
        <f t="shared" si="25"/>
        <v>0</v>
      </c>
      <c r="H45" s="269">
        <f t="shared" si="25"/>
        <v>0</v>
      </c>
      <c r="I45" s="269">
        <f t="shared" si="25"/>
        <v>0</v>
      </c>
      <c r="J45" s="269">
        <f t="shared" si="25"/>
        <v>0</v>
      </c>
      <c r="K45" s="269">
        <f t="shared" si="25"/>
        <v>0</v>
      </c>
      <c r="L45" s="269">
        <f t="shared" si="25"/>
        <v>0</v>
      </c>
      <c r="M45" s="269">
        <f t="shared" si="25"/>
        <v>0</v>
      </c>
      <c r="N45" s="269">
        <f t="shared" si="25"/>
        <v>0</v>
      </c>
      <c r="O45" s="269">
        <f t="shared" si="25"/>
        <v>0</v>
      </c>
      <c r="P45" s="269">
        <f t="shared" si="25"/>
        <v>0</v>
      </c>
      <c r="Q45" s="269">
        <f t="shared" si="25"/>
        <v>0</v>
      </c>
      <c r="R45" s="269">
        <f t="shared" si="25"/>
        <v>0</v>
      </c>
      <c r="S45" s="269">
        <f t="shared" si="25"/>
        <v>0</v>
      </c>
      <c r="T45" s="269">
        <f t="shared" si="25"/>
        <v>0</v>
      </c>
      <c r="U45" s="269">
        <f t="shared" si="25"/>
        <v>0</v>
      </c>
      <c r="V45" s="269">
        <f t="shared" si="25"/>
        <v>0</v>
      </c>
      <c r="W45" s="269">
        <f t="shared" si="25"/>
        <v>0</v>
      </c>
      <c r="X45" s="269">
        <f t="shared" si="25"/>
        <v>0</v>
      </c>
      <c r="Y45" s="269">
        <f t="shared" si="25"/>
        <v>0</v>
      </c>
      <c r="Z45" s="269">
        <f t="shared" si="25"/>
        <v>0</v>
      </c>
      <c r="AA45" s="269">
        <f t="shared" si="25"/>
        <v>0</v>
      </c>
      <c r="AB45" s="269">
        <f t="shared" si="25"/>
        <v>0</v>
      </c>
      <c r="AC45" s="269">
        <f t="shared" si="25"/>
        <v>0</v>
      </c>
      <c r="AD45" s="269">
        <f t="shared" si="25"/>
        <v>0</v>
      </c>
      <c r="AE45" s="269">
        <f t="shared" si="25"/>
        <v>0</v>
      </c>
      <c r="AF45" s="269">
        <f t="shared" si="25"/>
        <v>0</v>
      </c>
      <c r="AG45" s="269">
        <f t="shared" si="25"/>
        <v>0</v>
      </c>
      <c r="AH45" s="269">
        <f t="shared" si="25"/>
        <v>0</v>
      </c>
      <c r="AI45" s="269">
        <f t="shared" si="25"/>
        <v>0</v>
      </c>
      <c r="AJ45" s="269">
        <f t="shared" si="25"/>
        <v>0</v>
      </c>
      <c r="AK45" s="269">
        <f t="shared" si="25"/>
        <v>0</v>
      </c>
      <c r="AL45" s="269">
        <f t="shared" si="25"/>
        <v>0</v>
      </c>
      <c r="AM45" s="269">
        <f t="shared" si="25"/>
        <v>0</v>
      </c>
      <c r="AN45" s="269">
        <f t="shared" si="25"/>
        <v>0</v>
      </c>
      <c r="AO45" s="269">
        <f t="shared" ref="AO45:AP45" si="26">IFERROR((AO$179*SUM(AO35:AO40)+AO$180*SUM(AO41:AO43))/SUM(AO35:AO43)/2,0)*AO44</f>
        <v>0</v>
      </c>
      <c r="AP45" s="269">
        <f t="shared" si="26"/>
        <v>0</v>
      </c>
      <c r="AQ45" s="269">
        <f t="shared" ref="AQ45" si="27">IFERROR((AQ$179*SUM(AQ35:AQ40)+AQ$180*SUM(AQ41:AQ43))/SUM(AQ35:AQ43)/2,0)*AQ44</f>
        <v>0</v>
      </c>
      <c r="AR45" s="499">
        <f t="shared" si="25"/>
        <v>0</v>
      </c>
      <c r="AT45" s="246"/>
    </row>
    <row r="46" spans="1:46" s="271" customFormat="1" x14ac:dyDescent="0.2">
      <c r="A46" s="247">
        <f>A35+1</f>
        <v>42465</v>
      </c>
      <c r="B46" s="248" t="s">
        <v>77</v>
      </c>
      <c r="C46" s="249">
        <f>SUMPRODUCT((Driver!$A$2:$A$17=$A46)*(DriverEmp=C$1),Driver!$C$2:$V$17)</f>
        <v>0</v>
      </c>
      <c r="D46" s="250">
        <f>SUMPRODUCT((Driver!$A$2:$A$17=$A46)*(DriverEmp=D$1),Driver!$C$2:$V$17)</f>
        <v>0</v>
      </c>
      <c r="E46" s="250">
        <f>SUMPRODUCT((Driver!$A$2:$A$17=$A46)*(DriverEmp=E$1),Driver!$C$2:$V$17)</f>
        <v>0</v>
      </c>
      <c r="F46" s="250">
        <f>SUMPRODUCT((Driver!$A$2:$A$17=$A46)*(DriverEmp=F$1),Driver!$C$2:$V$17)</f>
        <v>0</v>
      </c>
      <c r="G46" s="250">
        <f>SUMPRODUCT((Driver!$A$2:$A$17=$A46)*(DriverEmp=G$1),Driver!$C$2:$V$17)</f>
        <v>0</v>
      </c>
      <c r="H46" s="250">
        <f>SUMPRODUCT((Driver!$A$2:$A$17=$A46)*(DriverEmp=H$1),Driver!$C$2:$V$17)</f>
        <v>0</v>
      </c>
      <c r="I46" s="250">
        <f>SUMPRODUCT((Driver!$A$2:$A$17=$A46)*(DriverEmp=I$1),Driver!$C$2:$V$17)</f>
        <v>0</v>
      </c>
      <c r="J46" s="250">
        <f>SUMPRODUCT((Driver!$A$2:$A$17=$A46)*(DriverEmp=J$1),Driver!$C$2:$V$17)</f>
        <v>0</v>
      </c>
      <c r="K46" s="250">
        <f>SUMPRODUCT((Driver!$A$2:$A$17=$A46)*(DriverEmp=K$1),Driver!$C$2:$V$17)</f>
        <v>0</v>
      </c>
      <c r="L46" s="250">
        <f>SUMPRODUCT((Driver!$A$2:$A$17=$A46)*(DriverEmp=L$1),Driver!$C$2:$V$17)</f>
        <v>0</v>
      </c>
      <c r="M46" s="250">
        <f>SUMPRODUCT((Driver!$A$2:$A$17=$A46)*(DriverEmp=M$1),Driver!$C$2:$V$17)</f>
        <v>0</v>
      </c>
      <c r="N46" s="250">
        <f>SUMPRODUCT((Driver!$A$2:$A$17=$A46)*(DriverEmp=N$1),Driver!$C$2:$V$17)</f>
        <v>0</v>
      </c>
      <c r="O46" s="250">
        <f>SUMPRODUCT((Driver!$A$2:$A$17=$A46)*(DriverEmp=O$1),Driver!$C$2:$V$17)</f>
        <v>0</v>
      </c>
      <c r="P46" s="250">
        <f>SUMPRODUCT((Driver!$A$2:$A$17=$A46)*(DriverEmp=P$1),Driver!$C$2:$V$17)</f>
        <v>0</v>
      </c>
      <c r="Q46" s="250">
        <f>SUMPRODUCT((Driver!$A$2:$A$17=$A46)*(DriverEmp=Q$1),Driver!$C$2:$V$17)</f>
        <v>0</v>
      </c>
      <c r="R46" s="250">
        <f>SUMPRODUCT((Driver!$A$2:$A$17=$A46)*(DriverEmp=R$1),Driver!$C$2:$V$17)</f>
        <v>0</v>
      </c>
      <c r="S46" s="250">
        <f>SUMPRODUCT((Driver!$A$2:$A$17=$A46)*(DriverEmp=S$1),Driver!$C$2:$V$17)</f>
        <v>0</v>
      </c>
      <c r="T46" s="250">
        <f>SUMPRODUCT((Driver!$A$2:$A$17=$A46)*(DriverEmp=T$1),Driver!$C$2:$V$17)</f>
        <v>0</v>
      </c>
      <c r="U46" s="250">
        <f>SUMPRODUCT((Driver!$A$2:$A$17=$A46)*(DriverEmp=U$1),Driver!$C$2:$V$17)</f>
        <v>0</v>
      </c>
      <c r="V46" s="250">
        <f>SUMPRODUCT((Driver!$A$2:$A$17=$A46)*(DriverEmp=V$1),Driver!$C$2:$V$17)</f>
        <v>0</v>
      </c>
      <c r="W46" s="250">
        <f>SUMPRODUCT((Driver!$A$2:$A$17=$A46)*(DriverEmp=W$1),Driver!$C$2:$V$17)</f>
        <v>0</v>
      </c>
      <c r="X46" s="250">
        <f>SUMPRODUCT((Driver!$A$2:$A$17=$A46)*(DriverEmp=X$1),Driver!$C$2:$V$17)</f>
        <v>0</v>
      </c>
      <c r="Y46" s="250">
        <f>SUMPRODUCT((Driver!$A$2:$A$17=$A46)*(DriverEmp=Y$1),Driver!$C$2:$V$17)</f>
        <v>0</v>
      </c>
      <c r="Z46" s="250">
        <f>SUMPRODUCT((Driver!$A$2:$A$17=$A46)*(DriverEmp=Z$1),Driver!$C$2:$V$17)</f>
        <v>0</v>
      </c>
      <c r="AA46" s="250">
        <f>SUMPRODUCT((Driver!$A$2:$A$17=$A46)*(DriverEmp=AA$1),Driver!$C$2:$V$17)</f>
        <v>0</v>
      </c>
      <c r="AB46" s="250">
        <f>SUMPRODUCT((Driver!$A$2:$A$17=$A46)*(DriverEmp=AB$1),Driver!$C$2:$V$17)</f>
        <v>0</v>
      </c>
      <c r="AC46" s="250">
        <f>SUMPRODUCT((Driver!$A$2:$A$17=$A46)*(DriverEmp=AC$1),Driver!$C$2:$V$17)</f>
        <v>0</v>
      </c>
      <c r="AD46" s="250">
        <f>SUMPRODUCT((Driver!$A$2:$A$17=$A46)*(DriverEmp=AD$1),Driver!$C$2:$V$17)</f>
        <v>0</v>
      </c>
      <c r="AE46" s="250">
        <f>SUMPRODUCT((Driver!$A$2:$A$17=$A46)*(DriverEmp=AE$1),Driver!$C$2:$V$17)</f>
        <v>0</v>
      </c>
      <c r="AF46" s="250">
        <f>SUMPRODUCT((Driver!$A$2:$A$17=$A46)*(DriverEmp=AF$1),Driver!$C$2:$V$17)</f>
        <v>0</v>
      </c>
      <c r="AG46" s="250">
        <f>SUMPRODUCT((Driver!$A$2:$A$17=$A46)*(DriverEmp=AG$1),Driver!$C$2:$V$17)</f>
        <v>0</v>
      </c>
      <c r="AH46" s="250">
        <f>SUMPRODUCT((Driver!$A$2:$A$17=$A46)*(DriverEmp=AH$1),Driver!$C$2:$V$17)</f>
        <v>0</v>
      </c>
      <c r="AI46" s="250">
        <f>SUMPRODUCT((Driver!$A$2:$A$17=$A46)*(DriverEmp=AI$1),Driver!$C$2:$V$17)</f>
        <v>0</v>
      </c>
      <c r="AJ46" s="250">
        <f>SUMPRODUCT((Driver!$A$2:$A$17=$A46)*(DriverEmp=AJ$1),Driver!$C$2:$V$17)</f>
        <v>0</v>
      </c>
      <c r="AK46" s="250">
        <f>SUMPRODUCT((Driver!$A$2:$A$17=$A46)*(DriverEmp=AK$1),Driver!$C$2:$V$17)</f>
        <v>0</v>
      </c>
      <c r="AL46" s="250">
        <f>SUMPRODUCT((Driver!$A$2:$A$17=$A46)*(DriverEmp=AL$1),Driver!$C$2:$V$17)</f>
        <v>0</v>
      </c>
      <c r="AM46" s="250">
        <f>SUMPRODUCT((Driver!$A$2:$A$17=$A46)*(DriverEmp=AM$1),Driver!$C$2:$V$17)</f>
        <v>0</v>
      </c>
      <c r="AN46" s="250">
        <f>SUMPRODUCT((Driver!$A$2:$A$17=$A46)*(DriverEmp=AN$1),Driver!$C$2:$V$17)</f>
        <v>0</v>
      </c>
      <c r="AO46" s="250">
        <f>SUMPRODUCT((Driver!$A$2:$A$17=$A46)*(DriverEmp=AO$1),Driver!$C$2:$V$17)</f>
        <v>0</v>
      </c>
      <c r="AP46" s="250">
        <f>SUMPRODUCT((Driver!$A$2:$A$17=$A46)*(DriverEmp=AP$1),Driver!$C$2:$V$17)</f>
        <v>0</v>
      </c>
      <c r="AQ46" s="250">
        <f>SUMPRODUCT((Driver!$A$2:$A$17=$A46)*(DriverEmp=AQ$1),Driver!$C$2:$V$17)</f>
        <v>0</v>
      </c>
      <c r="AR46" s="496">
        <f>SUMPRODUCT((Driver!$A$2:$A$17=$A46)*(DriverEmp=AR$1),Driver!$C$2:$V$17)</f>
        <v>0</v>
      </c>
      <c r="AT46" s="246"/>
    </row>
    <row r="47" spans="1:46" s="271" customFormat="1" x14ac:dyDescent="0.2">
      <c r="A47" s="247">
        <f t="shared" ref="A47:A56" si="28">A46</f>
        <v>42465</v>
      </c>
      <c r="B47" s="251" t="str">
        <f>Total!$H$1</f>
        <v>PP</v>
      </c>
      <c r="C47" s="249">
        <f>SUMPRODUCT((PP!$A$2:$A$80=$A47)*(PPEmp=C$1),PP!$D$2:$BD$80)</f>
        <v>0</v>
      </c>
      <c r="D47" s="250">
        <f>SUMPRODUCT((PP!$A$2:$A$80=$A47)*(PPEmp=D$1),PP!$D$2:$BD$80)</f>
        <v>0</v>
      </c>
      <c r="E47" s="250">
        <f>SUMPRODUCT((PP!$A$2:$A$80=$A47)*(PPEmp=E$1),PP!$D$2:$BD$80)</f>
        <v>0</v>
      </c>
      <c r="F47" s="250">
        <f>SUMPRODUCT((PP!$A$2:$A$80=$A47)*(PPEmp=F$1),PP!$D$2:$BD$80)</f>
        <v>0</v>
      </c>
      <c r="G47" s="250">
        <f>SUMPRODUCT((PP!$A$2:$A$80=$A47)*(PPEmp=G$1),PP!$D$2:$BD$80)</f>
        <v>0</v>
      </c>
      <c r="H47" s="250">
        <f>SUMPRODUCT((PP!$A$2:$A$80=$A47)*(PPEmp=H$1),PP!$D$2:$BD$80)</f>
        <v>0</v>
      </c>
      <c r="I47" s="250">
        <f>SUMPRODUCT((PP!$A$2:$A$80=$A47)*(PPEmp=I$1),PP!$D$2:$BD$80)</f>
        <v>0</v>
      </c>
      <c r="J47" s="250">
        <f>SUMPRODUCT((PP!$A$2:$A$80=$A47)*(PPEmp=J$1),PP!$D$2:$BD$80)</f>
        <v>0</v>
      </c>
      <c r="K47" s="250">
        <f>SUMPRODUCT((PP!$A$2:$A$80=$A47)*(PPEmp=K$1),PP!$D$2:$BD$80)</f>
        <v>0</v>
      </c>
      <c r="L47" s="250">
        <f>SUMPRODUCT((PP!$A$2:$A$80=$A47)*(PPEmp=L$1),PP!$D$2:$BD$80)</f>
        <v>0</v>
      </c>
      <c r="M47" s="250">
        <f>SUMPRODUCT((PP!$A$2:$A$80=$A47)*(PPEmp=M$1),PP!$D$2:$BD$80)</f>
        <v>0</v>
      </c>
      <c r="N47" s="250">
        <f>SUMPRODUCT((PP!$A$2:$A$80=$A47)*(PPEmp=N$1),PP!$D$2:$BD$80)</f>
        <v>0</v>
      </c>
      <c r="O47" s="250">
        <f>SUMPRODUCT((PP!$A$2:$A$80=$A47)*(PPEmp=O$1),PP!$D$2:$BD$80)</f>
        <v>0</v>
      </c>
      <c r="P47" s="250">
        <f>SUMPRODUCT((PP!$A$2:$A$80=$A47)*(PPEmp=P$1),PP!$D$2:$BD$80)</f>
        <v>0</v>
      </c>
      <c r="Q47" s="250">
        <f>SUMPRODUCT((PP!$A$2:$A$80=$A47)*(PPEmp=Q$1),PP!$D$2:$BD$80)</f>
        <v>0</v>
      </c>
      <c r="R47" s="250">
        <f>SUMPRODUCT((PP!$A$2:$A$80=$A47)*(PPEmp=R$1),PP!$D$2:$BD$80)</f>
        <v>0</v>
      </c>
      <c r="S47" s="250">
        <f>SUMPRODUCT((PP!$A$2:$A$80=$A47)*(PPEmp=S$1),PP!$D$2:$BD$80)</f>
        <v>0</v>
      </c>
      <c r="T47" s="250">
        <f>SUMPRODUCT((PP!$A$2:$A$80=$A47)*(PPEmp=T$1),PP!$D$2:$BD$80)</f>
        <v>0</v>
      </c>
      <c r="U47" s="250">
        <f>SUMPRODUCT((PP!$A$2:$A$80=$A47)*(PPEmp=U$1),PP!$D$2:$BD$80)</f>
        <v>0</v>
      </c>
      <c r="V47" s="250">
        <f>SUMPRODUCT((PP!$A$2:$A$80=$A47)*(PPEmp=V$1),PP!$D$2:$BD$80)</f>
        <v>0</v>
      </c>
      <c r="W47" s="250">
        <f>SUMPRODUCT((PP!$A$2:$A$80=$A47)*(PPEmp=W$1),PP!$D$2:$BD$80)</f>
        <v>0</v>
      </c>
      <c r="X47" s="250">
        <f>SUMPRODUCT((PP!$A$2:$A$80=$A47)*(PPEmp=X$1),PP!$D$2:$BD$80)</f>
        <v>0</v>
      </c>
      <c r="Y47" s="250">
        <f>SUMPRODUCT((PP!$A$2:$A$80=$A47)*(PPEmp=Y$1),PP!$D$2:$BD$80)</f>
        <v>0</v>
      </c>
      <c r="Z47" s="250">
        <f>SUMPRODUCT((PP!$A$2:$A$80=$A47)*(PPEmp=Z$1),PP!$D$2:$BD$80)</f>
        <v>0</v>
      </c>
      <c r="AA47" s="250">
        <f>SUMPRODUCT((PP!$A$2:$A$80=$A47)*(PPEmp=AA$1),PP!$D$2:$BD$80)</f>
        <v>0</v>
      </c>
      <c r="AB47" s="250">
        <f>SUMPRODUCT((PP!$A$2:$A$80=$A47)*(PPEmp=AB$1),PP!$D$2:$BD$80)</f>
        <v>0</v>
      </c>
      <c r="AC47" s="250">
        <f>SUMPRODUCT((PP!$A$2:$A$80=$A47)*(PPEmp=AC$1),PP!$D$2:$BD$80)</f>
        <v>0</v>
      </c>
      <c r="AD47" s="250">
        <f>SUMPRODUCT((PP!$A$2:$A$80=$A47)*(PPEmp=AD$1),PP!$D$2:$BD$80)</f>
        <v>0</v>
      </c>
      <c r="AE47" s="250">
        <f>SUMPRODUCT((PP!$A$2:$A$80=$A47)*(PPEmp=AE$1),PP!$D$2:$BD$80)</f>
        <v>0</v>
      </c>
      <c r="AF47" s="250">
        <f>SUMPRODUCT((PP!$A$2:$A$80=$A47)*(PPEmp=AF$1),PP!$D$2:$BD$80)</f>
        <v>0</v>
      </c>
      <c r="AG47" s="250">
        <f>SUMPRODUCT((PP!$A$2:$A$80=$A47)*(PPEmp=AG$1),PP!$D$2:$BD$80)</f>
        <v>0</v>
      </c>
      <c r="AH47" s="250">
        <f>SUMPRODUCT((PP!$A$2:$A$80=$A47)*(PPEmp=AH$1),PP!$D$2:$BD$80)</f>
        <v>0</v>
      </c>
      <c r="AI47" s="250">
        <f>SUMPRODUCT((PP!$A$2:$A$80=$A47)*(PPEmp=AI$1),PP!$D$2:$BD$80)</f>
        <v>0</v>
      </c>
      <c r="AJ47" s="250">
        <f>SUMPRODUCT((PP!$A$2:$A$80=$A47)*(PPEmp=AJ$1),PP!$D$2:$BD$80)</f>
        <v>0</v>
      </c>
      <c r="AK47" s="250">
        <f>SUMPRODUCT((PP!$A$2:$A$80=$A47)*(PPEmp=AK$1),PP!$D$2:$BD$80)</f>
        <v>0</v>
      </c>
      <c r="AL47" s="250">
        <f>SUMPRODUCT((PP!$A$2:$A$80=$A47)*(PPEmp=AL$1),PP!$D$2:$BD$80)</f>
        <v>0</v>
      </c>
      <c r="AM47" s="250">
        <f>SUMPRODUCT((PP!$A$2:$A$80=$A47)*(PPEmp=AM$1),PP!$D$2:$BD$80)</f>
        <v>0</v>
      </c>
      <c r="AN47" s="250">
        <f>SUMPRODUCT((PP!$A$2:$A$80=$A47)*(PPEmp=AN$1),PP!$D$2:$BD$80)</f>
        <v>0</v>
      </c>
      <c r="AO47" s="250">
        <f>SUMPRODUCT((PP!$A$2:$A$80=$A47)*(PPEmp=AO$1),PP!$D$2:$BD$80)</f>
        <v>0</v>
      </c>
      <c r="AP47" s="250">
        <f>SUMPRODUCT((PP!$A$2:$A$80=$A47)*(PPEmp=AP$1),PP!$D$2:$BD$80)</f>
        <v>0</v>
      </c>
      <c r="AQ47" s="250">
        <f>SUMPRODUCT((PP!$A$2:$A$80=$A47)*(PPEmp=AQ$1),PP!$D$2:$BD$80)</f>
        <v>0</v>
      </c>
      <c r="AR47" s="496">
        <f>SUMPRODUCT((PP!$A$2:$A$80=$A47)*(PPEmp=AR$1),PP!$D$2:$BD$80)</f>
        <v>0</v>
      </c>
      <c r="AT47" s="246"/>
    </row>
    <row r="48" spans="1:46" s="271" customFormat="1" x14ac:dyDescent="0.2">
      <c r="A48" s="247">
        <f t="shared" si="28"/>
        <v>42465</v>
      </c>
      <c r="B48" s="252" t="str">
        <f>Total!$J$1</f>
        <v>FH</v>
      </c>
      <c r="C48" s="249">
        <f>SUMPRODUCT((FH!$A$2:$A$97=$A48)*(FHEmp=C$1),FH!$E$2:$AZ$97)</f>
        <v>0</v>
      </c>
      <c r="D48" s="250">
        <f>SUMPRODUCT((FH!$A$2:$A$97=$A48)*(FHEmp=D$1),FH!$E$2:$AZ$97)</f>
        <v>0</v>
      </c>
      <c r="E48" s="250">
        <f>SUMPRODUCT((FH!$A$2:$A$97=$A48)*(FHEmp=E$1),FH!$E$2:$AZ$97)</f>
        <v>0</v>
      </c>
      <c r="F48" s="250">
        <f>SUMPRODUCT((FH!$A$2:$A$97=$A48)*(FHEmp=F$1),FH!$E$2:$AZ$97)</f>
        <v>0</v>
      </c>
      <c r="G48" s="250">
        <f>SUMPRODUCT((FH!$A$2:$A$97=$A48)*(FHEmp=G$1),FH!$E$2:$AZ$97)</f>
        <v>0</v>
      </c>
      <c r="H48" s="250">
        <f>SUMPRODUCT((FH!$A$2:$A$97=$A48)*(FHEmp=H$1),FH!$E$2:$AZ$97)</f>
        <v>0</v>
      </c>
      <c r="I48" s="250">
        <f>SUMPRODUCT((FH!$A$2:$A$97=$A48)*(FHEmp=I$1),FH!$E$2:$AZ$97)</f>
        <v>0</v>
      </c>
      <c r="J48" s="250">
        <f>SUMPRODUCT((FH!$A$2:$A$97=$A48)*(FHEmp=J$1),FH!$E$2:$AZ$97)</f>
        <v>0</v>
      </c>
      <c r="K48" s="250">
        <f>SUMPRODUCT((FH!$A$2:$A$97=$A48)*(FHEmp=K$1),FH!$E$2:$AZ$97)</f>
        <v>0</v>
      </c>
      <c r="L48" s="250">
        <f>SUMPRODUCT((FH!$A$2:$A$97=$A48)*(FHEmp=L$1),FH!$E$2:$AZ$97)</f>
        <v>0</v>
      </c>
      <c r="M48" s="250">
        <f>SUMPRODUCT((FH!$A$2:$A$97=$A48)*(FHEmp=M$1),FH!$E$2:$AZ$97)</f>
        <v>0</v>
      </c>
      <c r="N48" s="250">
        <f>SUMPRODUCT((FH!$A$2:$A$97=$A48)*(FHEmp=N$1),FH!$E$2:$AZ$97)</f>
        <v>0</v>
      </c>
      <c r="O48" s="250">
        <f>SUMPRODUCT((FH!$A$2:$A$97=$A48)*(FHEmp=O$1),FH!$E$2:$AZ$97)</f>
        <v>0</v>
      </c>
      <c r="P48" s="250">
        <f>SUMPRODUCT((FH!$A$2:$A$97=$A48)*(FHEmp=P$1),FH!$E$2:$AZ$97)</f>
        <v>0</v>
      </c>
      <c r="Q48" s="250">
        <f>SUMPRODUCT((FH!$A$2:$A$97=$A48)*(FHEmp=Q$1),FH!$E$2:$AZ$97)</f>
        <v>0</v>
      </c>
      <c r="R48" s="250">
        <f>SUMPRODUCT((FH!$A$2:$A$97=$A48)*(FHEmp=R$1),FH!$E$2:$AZ$97)</f>
        <v>0</v>
      </c>
      <c r="S48" s="250">
        <f>SUMPRODUCT((FH!$A$2:$A$97=$A48)*(FHEmp=S$1),FH!$E$2:$AZ$97)</f>
        <v>0</v>
      </c>
      <c r="T48" s="250">
        <f>SUMPRODUCT((FH!$A$2:$A$97=$A48)*(FHEmp=T$1),FH!$E$2:$AZ$97)</f>
        <v>0</v>
      </c>
      <c r="U48" s="250">
        <f>SUMPRODUCT((FH!$A$2:$A$97=$A48)*(FHEmp=U$1),FH!$E$2:$AZ$97)</f>
        <v>0</v>
      </c>
      <c r="V48" s="250">
        <f>SUMPRODUCT((FH!$A$2:$A$97=$A48)*(FHEmp=V$1),FH!$E$2:$AZ$97)</f>
        <v>0</v>
      </c>
      <c r="W48" s="250">
        <f>SUMPRODUCT((FH!$A$2:$A$97=$A48)*(FHEmp=W$1),FH!$E$2:$AZ$97)</f>
        <v>0</v>
      </c>
      <c r="X48" s="250">
        <f>SUMPRODUCT((FH!$A$2:$A$97=$A48)*(FHEmp=X$1),FH!$E$2:$AZ$97)</f>
        <v>0</v>
      </c>
      <c r="Y48" s="250">
        <f>SUMPRODUCT((FH!$A$2:$A$97=$A48)*(FHEmp=Y$1),FH!$E$2:$AZ$97)</f>
        <v>0</v>
      </c>
      <c r="Z48" s="250">
        <f>SUMPRODUCT((FH!$A$2:$A$97=$A48)*(FHEmp=Z$1),FH!$E$2:$AZ$97)</f>
        <v>0</v>
      </c>
      <c r="AA48" s="250">
        <f>SUMPRODUCT((FH!$A$2:$A$97=$A48)*(FHEmp=AA$1),FH!$E$2:$AZ$97)</f>
        <v>0</v>
      </c>
      <c r="AB48" s="250">
        <f>SUMPRODUCT((FH!$A$2:$A$97=$A48)*(FHEmp=AB$1),FH!$E$2:$AZ$97)</f>
        <v>0</v>
      </c>
      <c r="AC48" s="250">
        <f>SUMPRODUCT((FH!$A$2:$A$97=$A48)*(FHEmp=AC$1),FH!$E$2:$AZ$97)</f>
        <v>0</v>
      </c>
      <c r="AD48" s="250">
        <f>SUMPRODUCT((FH!$A$2:$A$97=$A48)*(FHEmp=AD$1),FH!$E$2:$AZ$97)</f>
        <v>0</v>
      </c>
      <c r="AE48" s="250">
        <f>SUMPRODUCT((FH!$A$2:$A$97=$A48)*(FHEmp=AE$1),FH!$E$2:$AZ$97)</f>
        <v>0</v>
      </c>
      <c r="AF48" s="250">
        <f>SUMPRODUCT((FH!$A$2:$A$97=$A48)*(FHEmp=AF$1),FH!$E$2:$AZ$97)</f>
        <v>0</v>
      </c>
      <c r="AG48" s="250">
        <f>SUMPRODUCT((FH!$A$2:$A$97=$A48)*(FHEmp=AG$1),FH!$E$2:$AZ$97)</f>
        <v>0</v>
      </c>
      <c r="AH48" s="250">
        <f>SUMPRODUCT((FH!$A$2:$A$97=$A48)*(FHEmp=AH$1),FH!$E$2:$AZ$97)</f>
        <v>0</v>
      </c>
      <c r="AI48" s="250">
        <f>SUMPRODUCT((FH!$A$2:$A$97=$A48)*(FHEmp=AI$1),FH!$E$2:$AZ$97)</f>
        <v>0</v>
      </c>
      <c r="AJ48" s="250">
        <f>SUMPRODUCT((FH!$A$2:$A$97=$A48)*(FHEmp=AJ$1),FH!$E$2:$AZ$97)</f>
        <v>0</v>
      </c>
      <c r="AK48" s="250">
        <f>SUMPRODUCT((FH!$A$2:$A$97=$A48)*(FHEmp=AK$1),FH!$E$2:$AZ$97)</f>
        <v>0</v>
      </c>
      <c r="AL48" s="250">
        <f>SUMPRODUCT((FH!$A$2:$A$97=$A48)*(FHEmp=AL$1),FH!$E$2:$AZ$97)</f>
        <v>0</v>
      </c>
      <c r="AM48" s="250">
        <f>SUMPRODUCT((FH!$A$2:$A$97=$A48)*(FHEmp=AM$1),FH!$E$2:$AZ$97)</f>
        <v>0</v>
      </c>
      <c r="AN48" s="250">
        <f>SUMPRODUCT((FH!$A$2:$A$97=$A48)*(FHEmp=AN$1),FH!$E$2:$AZ$97)</f>
        <v>0</v>
      </c>
      <c r="AO48" s="250">
        <f>SUMPRODUCT((FH!$A$2:$A$97=$A48)*(FHEmp=AO$1),FH!$E$2:$AZ$97)</f>
        <v>0</v>
      </c>
      <c r="AP48" s="250">
        <f>SUMPRODUCT((FH!$A$2:$A$97=$A48)*(FHEmp=AP$1),FH!$E$2:$AZ$97)</f>
        <v>0</v>
      </c>
      <c r="AQ48" s="250">
        <f>SUMPRODUCT((FH!$A$2:$A$97=$A48)*(FHEmp=AQ$1),FH!$E$2:$AZ$97)</f>
        <v>0</v>
      </c>
      <c r="AR48" s="496">
        <f>SUMPRODUCT((FH!$A$2:$A$97=$A48)*(FHEmp=AR$1),FH!$E$2:$AZ$97)</f>
        <v>0</v>
      </c>
      <c r="AT48" s="246"/>
    </row>
    <row r="49" spans="1:46" s="271" customFormat="1" x14ac:dyDescent="0.2">
      <c r="A49" s="247">
        <f t="shared" si="28"/>
        <v>42465</v>
      </c>
      <c r="B49" s="253" t="str">
        <f>Total!$K$1</f>
        <v>T22</v>
      </c>
      <c r="C49" s="249">
        <f>SUMPRODUCT(('T22'!$A$2:$A$97=$A49)*(T22Emp=C$1),'T22'!$E$2:$AZ$97)</f>
        <v>0</v>
      </c>
      <c r="D49" s="250">
        <f>SUMPRODUCT(('T22'!$A$2:$A$97=$A49)*(T22Emp=D$1),'T22'!$E$2:$AZ$97)</f>
        <v>0</v>
      </c>
      <c r="E49" s="250">
        <f>SUMPRODUCT(('T22'!$A$2:$A$97=$A49)*(T22Emp=E$1),'T22'!$E$2:$AZ$97)</f>
        <v>0</v>
      </c>
      <c r="F49" s="250">
        <f>SUMPRODUCT(('T22'!$A$2:$A$97=$A49)*(T22Emp=F$1),'T22'!$E$2:$AZ$97)</f>
        <v>0</v>
      </c>
      <c r="G49" s="250">
        <f>SUMPRODUCT(('T22'!$A$2:$A$97=$A49)*(T22Emp=G$1),'T22'!$E$2:$AZ$97)</f>
        <v>0</v>
      </c>
      <c r="H49" s="250">
        <f>SUMPRODUCT(('T22'!$A$2:$A$97=$A49)*(T22Emp=H$1),'T22'!$E$2:$AZ$97)</f>
        <v>0</v>
      </c>
      <c r="I49" s="250">
        <f>SUMPRODUCT(('T22'!$A$2:$A$97=$A49)*(T22Emp=I$1),'T22'!$E$2:$AZ$97)</f>
        <v>0</v>
      </c>
      <c r="J49" s="250">
        <f>SUMPRODUCT(('T22'!$A$2:$A$97=$A49)*(T22Emp=J$1),'T22'!$E$2:$AZ$97)</f>
        <v>0</v>
      </c>
      <c r="K49" s="250">
        <f>SUMPRODUCT(('T22'!$A$2:$A$97=$A49)*(T22Emp=K$1),'T22'!$E$2:$AZ$97)</f>
        <v>0</v>
      </c>
      <c r="L49" s="250">
        <f>SUMPRODUCT(('T22'!$A$2:$A$97=$A49)*(T22Emp=L$1),'T22'!$E$2:$AZ$97)</f>
        <v>0</v>
      </c>
      <c r="M49" s="250">
        <f>SUMPRODUCT(('T22'!$A$2:$A$97=$A49)*(T22Emp=M$1),'T22'!$E$2:$AZ$97)</f>
        <v>0</v>
      </c>
      <c r="N49" s="250">
        <f>SUMPRODUCT(('T22'!$A$2:$A$97=$A49)*(T22Emp=N$1),'T22'!$E$2:$AZ$97)</f>
        <v>0</v>
      </c>
      <c r="O49" s="250">
        <f>SUMPRODUCT(('T22'!$A$2:$A$97=$A49)*(T22Emp=O$1),'T22'!$E$2:$AZ$97)</f>
        <v>0</v>
      </c>
      <c r="P49" s="250">
        <f>SUMPRODUCT(('T22'!$A$2:$A$97=$A49)*(T22Emp=P$1),'T22'!$E$2:$AZ$97)</f>
        <v>0</v>
      </c>
      <c r="Q49" s="250">
        <f>SUMPRODUCT(('T22'!$A$2:$A$97=$A49)*(T22Emp=Q$1),'T22'!$E$2:$AZ$97)</f>
        <v>0</v>
      </c>
      <c r="R49" s="250">
        <f>SUMPRODUCT(('T22'!$A$2:$A$97=$A49)*(T22Emp=R$1),'T22'!$E$2:$AZ$97)</f>
        <v>0</v>
      </c>
      <c r="S49" s="250">
        <f>SUMPRODUCT(('T22'!$A$2:$A$97=$A49)*(T22Emp=S$1),'T22'!$E$2:$AZ$97)</f>
        <v>0</v>
      </c>
      <c r="T49" s="250">
        <f>SUMPRODUCT(('T22'!$A$2:$A$97=$A49)*(T22Emp=T$1),'T22'!$E$2:$AZ$97)</f>
        <v>0</v>
      </c>
      <c r="U49" s="250">
        <f>SUMPRODUCT(('T22'!$A$2:$A$97=$A49)*(T22Emp=U$1),'T22'!$E$2:$AZ$97)</f>
        <v>0</v>
      </c>
      <c r="V49" s="250">
        <f>SUMPRODUCT(('T22'!$A$2:$A$97=$A49)*(T22Emp=V$1),'T22'!$E$2:$AZ$97)</f>
        <v>0</v>
      </c>
      <c r="W49" s="250">
        <f>SUMPRODUCT(('T22'!$A$2:$A$97=$A49)*(T22Emp=W$1),'T22'!$E$2:$AZ$97)</f>
        <v>0</v>
      </c>
      <c r="X49" s="250">
        <f>SUMPRODUCT(('T22'!$A$2:$A$97=$A49)*(T22Emp=X$1),'T22'!$E$2:$AZ$97)</f>
        <v>0</v>
      </c>
      <c r="Y49" s="250">
        <f>SUMPRODUCT(('T22'!$A$2:$A$97=$A49)*(T22Emp=Y$1),'T22'!$E$2:$AZ$97)</f>
        <v>0</v>
      </c>
      <c r="Z49" s="250">
        <f>SUMPRODUCT(('T22'!$A$2:$A$97=$A49)*(T22Emp=Z$1),'T22'!$E$2:$AZ$97)</f>
        <v>0</v>
      </c>
      <c r="AA49" s="250">
        <f>SUMPRODUCT(('T22'!$A$2:$A$97=$A49)*(T22Emp=AA$1),'T22'!$E$2:$AZ$97)</f>
        <v>0</v>
      </c>
      <c r="AB49" s="250">
        <f>SUMPRODUCT(('T22'!$A$2:$A$97=$A49)*(T22Emp=AB$1),'T22'!$E$2:$AZ$97)</f>
        <v>0</v>
      </c>
      <c r="AC49" s="250">
        <f>SUMPRODUCT(('T22'!$A$2:$A$97=$A49)*(T22Emp=AC$1),'T22'!$E$2:$AZ$97)</f>
        <v>0</v>
      </c>
      <c r="AD49" s="250">
        <f>SUMPRODUCT(('T22'!$A$2:$A$97=$A49)*(T22Emp=AD$1),'T22'!$E$2:$AZ$97)</f>
        <v>0</v>
      </c>
      <c r="AE49" s="250">
        <f>SUMPRODUCT(('T22'!$A$2:$A$97=$A49)*(T22Emp=AE$1),'T22'!$E$2:$AZ$97)</f>
        <v>0</v>
      </c>
      <c r="AF49" s="250">
        <f>SUMPRODUCT(('T22'!$A$2:$A$97=$A49)*(T22Emp=AF$1),'T22'!$E$2:$AZ$97)</f>
        <v>0</v>
      </c>
      <c r="AG49" s="250">
        <f>SUMPRODUCT(('T22'!$A$2:$A$97=$A49)*(T22Emp=AG$1),'T22'!$E$2:$AZ$97)</f>
        <v>0</v>
      </c>
      <c r="AH49" s="250">
        <f>SUMPRODUCT(('T22'!$A$2:$A$97=$A49)*(T22Emp=AH$1),'T22'!$E$2:$AZ$97)</f>
        <v>0</v>
      </c>
      <c r="AI49" s="250">
        <f>SUMPRODUCT(('T22'!$A$2:$A$97=$A49)*(T22Emp=AI$1),'T22'!$E$2:$AZ$97)</f>
        <v>0</v>
      </c>
      <c r="AJ49" s="250">
        <f>SUMPRODUCT(('T22'!$A$2:$A$97=$A49)*(T22Emp=AJ$1),'T22'!$E$2:$AZ$97)</f>
        <v>0</v>
      </c>
      <c r="AK49" s="250">
        <f>SUMPRODUCT(('T22'!$A$2:$A$97=$A49)*(T22Emp=AK$1),'T22'!$E$2:$AZ$97)</f>
        <v>0</v>
      </c>
      <c r="AL49" s="250">
        <f>SUMPRODUCT(('T22'!$A$2:$A$97=$A49)*(T22Emp=AL$1),'T22'!$E$2:$AZ$97)</f>
        <v>0</v>
      </c>
      <c r="AM49" s="250">
        <f>SUMPRODUCT(('T22'!$A$2:$A$97=$A49)*(T22Emp=AM$1),'T22'!$E$2:$AZ$97)</f>
        <v>0</v>
      </c>
      <c r="AN49" s="250">
        <f>SUMPRODUCT(('T22'!$A$2:$A$97=$A49)*(T22Emp=AN$1),'T22'!$E$2:$AZ$97)</f>
        <v>0</v>
      </c>
      <c r="AO49" s="250">
        <f>SUMPRODUCT(('T22'!$A$2:$A$97=$A49)*(T22Emp=AO$1),'T22'!$E$2:$AZ$97)</f>
        <v>0</v>
      </c>
      <c r="AP49" s="250">
        <f>SUMPRODUCT(('T22'!$A$2:$A$97=$A49)*(T22Emp=AP$1),'T22'!$E$2:$AZ$97)</f>
        <v>0</v>
      </c>
      <c r="AQ49" s="250">
        <f>SUMPRODUCT(('T22'!$A$2:$A$97=$A49)*(T22Emp=AQ$1),'T22'!$E$2:$AZ$97)</f>
        <v>0</v>
      </c>
      <c r="AR49" s="496">
        <f>SUMPRODUCT(('T22'!$A$2:$A$97=$A49)*(T22Emp=AR$1),'T22'!$E$2:$AZ$97)</f>
        <v>0</v>
      </c>
      <c r="AT49" s="246"/>
    </row>
    <row r="50" spans="1:46" s="271" customFormat="1" x14ac:dyDescent="0.2">
      <c r="A50" s="247">
        <f t="shared" si="28"/>
        <v>42465</v>
      </c>
      <c r="B50" s="254" t="str">
        <f>Total!$L$1</f>
        <v>RF</v>
      </c>
      <c r="C50" s="249">
        <f>SUMPRODUCT((RF!$A$2:$A$17=$A50)*(RFEmp=C$1)*(RF!$H$21:$AO$21="RF Valet"),RF!$H$2:$AO$17)</f>
        <v>0</v>
      </c>
      <c r="D50" s="250">
        <f>SUMPRODUCT((RF!$A$2:$A$17=$A50)*(RFEmp=D$1)*(RF!$H$21:$AO$21="RF Valet"),RF!$H$2:$AO$17)</f>
        <v>0</v>
      </c>
      <c r="E50" s="250">
        <f>SUMPRODUCT((RF!$A$2:$A$17=$A50)*(RFEmp=E$1)*(RF!$H$21:$AO$21="RF Valet"),RF!$H$2:$AO$17)</f>
        <v>0</v>
      </c>
      <c r="F50" s="250">
        <f>SUMPRODUCT((RF!$A$2:$A$17=$A50)*(RFEmp=F$1)*(RF!$H$21:$AO$21="RF Valet"),RF!$H$2:$AO$17)</f>
        <v>0</v>
      </c>
      <c r="G50" s="250">
        <f>SUMPRODUCT((RF!$A$2:$A$17=$A50)*(RFEmp=G$1)*(RF!$H$21:$AO$21="RF Valet"),RF!$H$2:$AO$17)</f>
        <v>0</v>
      </c>
      <c r="H50" s="250">
        <f>SUMPRODUCT((RF!$A$2:$A$17=$A50)*(RFEmp=H$1)*(RF!$H$21:$AO$21="RF Valet"),RF!$H$2:$AO$17)</f>
        <v>0</v>
      </c>
      <c r="I50" s="250">
        <f>SUMPRODUCT((RF!$A$2:$A$17=$A50)*(RFEmp=I$1)*(RF!$H$21:$AO$21="RF Valet"),RF!$H$2:$AO$17)</f>
        <v>0</v>
      </c>
      <c r="J50" s="250">
        <f>SUMPRODUCT((RF!$A$2:$A$17=$A50)*(RFEmp=J$1)*(RF!$H$21:$AO$21="RF Valet"),RF!$H$2:$AO$17)</f>
        <v>0</v>
      </c>
      <c r="K50" s="250">
        <f>SUMPRODUCT((RF!$A$2:$A$17=$A50)*(RFEmp=K$1)*(RF!$H$21:$AO$21="RF Valet"),RF!$H$2:$AO$17)</f>
        <v>0</v>
      </c>
      <c r="L50" s="250">
        <f>SUMPRODUCT((RF!$A$2:$A$17=$A50)*(RFEmp=L$1)*(RF!$H$21:$AO$21="RF Valet"),RF!$H$2:$AO$17)</f>
        <v>0</v>
      </c>
      <c r="M50" s="250">
        <f>SUMPRODUCT((RF!$A$2:$A$17=$A50)*(RFEmp=M$1)*(RF!$H$21:$AO$21="RF Valet"),RF!$H$2:$AO$17)</f>
        <v>0</v>
      </c>
      <c r="N50" s="250">
        <f>SUMPRODUCT((RF!$A$2:$A$17=$A50)*(RFEmp=N$1)*(RF!$H$21:$AO$21="RF Valet"),RF!$H$2:$AO$17)</f>
        <v>0</v>
      </c>
      <c r="O50" s="250">
        <f>SUMPRODUCT((RF!$A$2:$A$17=$A50)*(RFEmp=O$1)*(RF!$H$21:$AO$21="RF Valet"),RF!$H$2:$AO$17)</f>
        <v>0</v>
      </c>
      <c r="P50" s="250">
        <f>SUMPRODUCT((RF!$A$2:$A$17=$A50)*(RFEmp=P$1)*(RF!$H$21:$AO$21="RF Valet"),RF!$H$2:$AO$17)</f>
        <v>0</v>
      </c>
      <c r="Q50" s="250">
        <f>SUMPRODUCT((RF!$A$2:$A$17=$A50)*(RFEmp=Q$1)*(RF!$H$21:$AO$21="RF Valet"),RF!$H$2:$AO$17)</f>
        <v>0</v>
      </c>
      <c r="R50" s="250">
        <f>SUMPRODUCT((RF!$A$2:$A$17=$A50)*(RFEmp=R$1)*(RF!$H$21:$AO$21="RF Valet"),RF!$H$2:$AO$17)</f>
        <v>0</v>
      </c>
      <c r="S50" s="250">
        <f>SUMPRODUCT((RF!$A$2:$A$17=$A50)*(RFEmp=S$1)*(RF!$H$21:$AO$21="RF Valet"),RF!$H$2:$AO$17)</f>
        <v>0</v>
      </c>
      <c r="T50" s="250">
        <f>SUMPRODUCT((RF!$A$2:$A$17=$A50)*(RFEmp=T$1)*(RF!$H$21:$AO$21="RF Valet"),RF!$H$2:$AO$17)</f>
        <v>0</v>
      </c>
      <c r="U50" s="250">
        <f>SUMPRODUCT((RF!$A$2:$A$17=$A50)*(RFEmp=U$1)*(RF!$H$21:$AO$21="RF Valet"),RF!$H$2:$AO$17)</f>
        <v>0</v>
      </c>
      <c r="V50" s="250">
        <f>SUMPRODUCT((RF!$A$2:$A$17=$A50)*(RFEmp=V$1)*(RF!$H$21:$AO$21="RF Valet"),RF!$H$2:$AO$17)</f>
        <v>0</v>
      </c>
      <c r="W50" s="250">
        <f>SUMPRODUCT((RF!$A$2:$A$17=$A50)*(RFEmp=W$1)*(RF!$H$21:$AO$21="RF Valet"),RF!$H$2:$AO$17)</f>
        <v>0</v>
      </c>
      <c r="X50" s="250">
        <f>SUMPRODUCT((RF!$A$2:$A$17=$A50)*(RFEmp=X$1)*(RF!$H$21:$AO$21="RF Valet"),RF!$H$2:$AO$17)</f>
        <v>0</v>
      </c>
      <c r="Y50" s="250">
        <f>SUMPRODUCT((RF!$A$2:$A$17=$A50)*(RFEmp=Y$1)*(RF!$H$21:$AO$21="RF Valet"),RF!$H$2:$AO$17)</f>
        <v>0</v>
      </c>
      <c r="Z50" s="250">
        <f>SUMPRODUCT((RF!$A$2:$A$17=$A50)*(RFEmp=Z$1)*(RF!$H$21:$AO$21="RF Valet"),RF!$H$2:$AO$17)</f>
        <v>0</v>
      </c>
      <c r="AA50" s="250">
        <f>SUMPRODUCT((RF!$A$2:$A$17=$A50)*(RFEmp=AA$1)*(RF!$H$21:$AO$21="RF Valet"),RF!$H$2:$AO$17)</f>
        <v>0</v>
      </c>
      <c r="AB50" s="250">
        <f>SUMPRODUCT((RF!$A$2:$A$17=$A50)*(RFEmp=AB$1)*(RF!$H$21:$AO$21="RF Valet"),RF!$H$2:$AO$17)</f>
        <v>0</v>
      </c>
      <c r="AC50" s="250">
        <f>SUMPRODUCT((RF!$A$2:$A$17=$A50)*(RFEmp=AC$1)*(RF!$H$21:$AO$21="RF Valet"),RF!$H$2:$AO$17)</f>
        <v>0</v>
      </c>
      <c r="AD50" s="250">
        <f>SUMPRODUCT((RF!$A$2:$A$17=$A50)*(RFEmp=AD$1)*(RF!$H$21:$AO$21="RF Valet"),RF!$H$2:$AO$17)</f>
        <v>0</v>
      </c>
      <c r="AE50" s="250">
        <f>SUMPRODUCT((RF!$A$2:$A$17=$A50)*(RFEmp=AE$1)*(RF!$H$21:$AO$21="RF Valet"),RF!$H$2:$AO$17)</f>
        <v>0</v>
      </c>
      <c r="AF50" s="250">
        <f>SUMPRODUCT((RF!$A$2:$A$17=$A50)*(RFEmp=AF$1)*(RF!$H$21:$AO$21="RF Valet"),RF!$H$2:$AO$17)</f>
        <v>0</v>
      </c>
      <c r="AG50" s="250">
        <f>SUMPRODUCT((RF!$A$2:$A$17=$A50)*(RFEmp=AG$1)*(RF!$H$21:$AO$21="RF Valet"),RF!$H$2:$AO$17)</f>
        <v>0</v>
      </c>
      <c r="AH50" s="250">
        <f>SUMPRODUCT((RF!$A$2:$A$17=$A50)*(RFEmp=AH$1)*(RF!$H$21:$AO$21="RF Valet"),RF!$H$2:$AO$17)</f>
        <v>0</v>
      </c>
      <c r="AI50" s="250">
        <f>SUMPRODUCT((RF!$A$2:$A$17=$A50)*(RFEmp=AI$1)*(RF!$H$21:$AO$21="RF Valet"),RF!$H$2:$AO$17)</f>
        <v>0</v>
      </c>
      <c r="AJ50" s="250">
        <f>SUMPRODUCT((RF!$A$2:$A$17=$A50)*(RFEmp=AJ$1)*(RF!$H$21:$AO$21="RF Valet"),RF!$H$2:$AO$17)</f>
        <v>0</v>
      </c>
      <c r="AK50" s="250">
        <f>SUMPRODUCT((RF!$A$2:$A$17=$A50)*(RFEmp=AK$1)*(RF!$H$21:$AO$21="RF Valet"),RF!$H$2:$AO$17)</f>
        <v>0</v>
      </c>
      <c r="AL50" s="250">
        <f>SUMPRODUCT((RF!$A$2:$A$17=$A50)*(RFEmp=AL$1)*(RF!$H$21:$AO$21="RF Valet"),RF!$H$2:$AO$17)</f>
        <v>0</v>
      </c>
      <c r="AM50" s="250">
        <f>SUMPRODUCT((RF!$A$2:$A$17=$A50)*(RFEmp=AM$1)*(RF!$H$21:$AO$21="RF Valet"),RF!$H$2:$AO$17)</f>
        <v>0</v>
      </c>
      <c r="AN50" s="250">
        <f>SUMPRODUCT((RF!$A$2:$A$17=$A50)*(RFEmp=AN$1)*(RF!$H$21:$AO$21="RF Valet"),RF!$H$2:$AO$17)</f>
        <v>0</v>
      </c>
      <c r="AO50" s="250">
        <f>SUMPRODUCT((RF!$A$2:$A$17=$A50)*(RFEmp=AO$1)*(RF!$H$21:$AO$21="RF Valet"),RF!$H$2:$AO$17)</f>
        <v>0</v>
      </c>
      <c r="AP50" s="250">
        <f>SUMPRODUCT((RF!$A$2:$A$17=$A50)*(RFEmp=AP$1)*(RF!$H$21:$AO$21="RF Valet"),RF!$H$2:$AO$17)</f>
        <v>0</v>
      </c>
      <c r="AQ50" s="250">
        <f>SUMPRODUCT((RF!$A$2:$A$17=$A50)*(RFEmp=AQ$1)*(RF!$H$21:$AO$21="RF Valet"),RF!$H$2:$AO$17)</f>
        <v>0</v>
      </c>
      <c r="AR50" s="496">
        <f>SUMPRODUCT((RF!$A$2:$A$17=$A50)*(RFEmp=AR$1)*(RF!$H$21:$AO$21="RF Valet"),RF!$H$2:$AO$17)</f>
        <v>0</v>
      </c>
      <c r="AT50" s="246"/>
    </row>
    <row r="51" spans="1:46" s="271" customFormat="1" x14ac:dyDescent="0.2">
      <c r="A51" s="247">
        <f>A50</f>
        <v>42465</v>
      </c>
      <c r="B51" s="255" t="s">
        <v>74</v>
      </c>
      <c r="C51" s="249">
        <f>SUMPRODUCT((TM!$A$2:$A$17=$A51)*(TMEmp=C$1),TM!$D$2:$AK$17)</f>
        <v>0</v>
      </c>
      <c r="D51" s="250">
        <f>SUMPRODUCT((TM!$A$2:$A$17=$A51)*(TMEmp=D$1),TM!$D$2:$AK$17)</f>
        <v>0</v>
      </c>
      <c r="E51" s="250">
        <f>SUMPRODUCT((TM!$A$2:$A$17=$A51)*(TMEmp=E$1),TM!$D$2:$AK$17)</f>
        <v>0</v>
      </c>
      <c r="F51" s="250">
        <f>SUMPRODUCT((TM!$A$2:$A$17=$A51)*(TMEmp=F$1),TM!$D$2:$AK$17)</f>
        <v>0</v>
      </c>
      <c r="G51" s="250">
        <f>SUMPRODUCT((TM!$A$2:$A$17=$A51)*(TMEmp=G$1),TM!$D$2:$AK$17)</f>
        <v>0</v>
      </c>
      <c r="H51" s="250">
        <f>SUMPRODUCT((TM!$A$2:$A$17=$A51)*(TMEmp=H$1),TM!$D$2:$AK$17)</f>
        <v>0</v>
      </c>
      <c r="I51" s="250">
        <f>SUMPRODUCT((TM!$A$2:$A$17=$A51)*(TMEmp=I$1),TM!$D$2:$AK$17)</f>
        <v>0</v>
      </c>
      <c r="J51" s="250">
        <f>SUMPRODUCT((TM!$A$2:$A$17=$A51)*(TMEmp=J$1),TM!$D$2:$AK$17)</f>
        <v>0</v>
      </c>
      <c r="K51" s="250">
        <f>SUMPRODUCT((TM!$A$2:$A$17=$A51)*(TMEmp=K$1),TM!$D$2:$AK$17)</f>
        <v>0</v>
      </c>
      <c r="L51" s="250">
        <f>SUMPRODUCT((TM!$A$2:$A$17=$A51)*(TMEmp=L$1),TM!$D$2:$AK$17)</f>
        <v>0</v>
      </c>
      <c r="M51" s="250">
        <f>SUMPRODUCT((TM!$A$2:$A$17=$A51)*(TMEmp=M$1),TM!$D$2:$AK$17)</f>
        <v>0</v>
      </c>
      <c r="N51" s="250">
        <f>SUMPRODUCT((TM!$A$2:$A$17=$A51)*(TMEmp=N$1),TM!$D$2:$AK$17)</f>
        <v>0</v>
      </c>
      <c r="O51" s="250">
        <f>SUMPRODUCT((TM!$A$2:$A$17=$A51)*(TMEmp=O$1),TM!$D$2:$AK$17)</f>
        <v>0</v>
      </c>
      <c r="P51" s="250">
        <f>SUMPRODUCT((TM!$A$2:$A$17=$A51)*(TMEmp=P$1),TM!$D$2:$AK$17)</f>
        <v>0</v>
      </c>
      <c r="Q51" s="250">
        <f>SUMPRODUCT((TM!$A$2:$A$17=$A51)*(TMEmp=Q$1),TM!$D$2:$AK$17)</f>
        <v>0</v>
      </c>
      <c r="R51" s="250">
        <f>SUMPRODUCT((TM!$A$2:$A$17=$A51)*(TMEmp=R$1),TM!$D$2:$AK$17)</f>
        <v>0</v>
      </c>
      <c r="S51" s="250">
        <f>SUMPRODUCT((TM!$A$2:$A$17=$A51)*(TMEmp=S$1),TM!$D$2:$AK$17)</f>
        <v>0</v>
      </c>
      <c r="T51" s="250">
        <f>SUMPRODUCT((TM!$A$2:$A$17=$A51)*(TMEmp=T$1),TM!$D$2:$AK$17)</f>
        <v>0</v>
      </c>
      <c r="U51" s="250">
        <f>SUMPRODUCT((TM!$A$2:$A$17=$A51)*(TMEmp=U$1),TM!$D$2:$AK$17)</f>
        <v>0</v>
      </c>
      <c r="V51" s="250">
        <f>SUMPRODUCT((TM!$A$2:$A$17=$A51)*(TMEmp=V$1),TM!$D$2:$AK$17)</f>
        <v>0</v>
      </c>
      <c r="W51" s="250">
        <f>SUMPRODUCT((TM!$A$2:$A$17=$A51)*(TMEmp=W$1),TM!$D$2:$AK$17)</f>
        <v>0</v>
      </c>
      <c r="X51" s="250">
        <f>SUMPRODUCT((TM!$A$2:$A$17=$A51)*(TMEmp=X$1),TM!$D$2:$AK$17)</f>
        <v>0</v>
      </c>
      <c r="Y51" s="250">
        <f>SUMPRODUCT((TM!$A$2:$A$17=$A51)*(TMEmp=Y$1),TM!$D$2:$AK$17)</f>
        <v>0</v>
      </c>
      <c r="Z51" s="250">
        <f>SUMPRODUCT((TM!$A$2:$A$17=$A51)*(TMEmp=Z$1),TM!$D$2:$AK$17)</f>
        <v>0</v>
      </c>
      <c r="AA51" s="250">
        <f>SUMPRODUCT((TM!$A$2:$A$17=$A51)*(TMEmp=AA$1),TM!$D$2:$AK$17)</f>
        <v>0</v>
      </c>
      <c r="AB51" s="250">
        <f>SUMPRODUCT((TM!$A$2:$A$17=$A51)*(TMEmp=AB$1),TM!$D$2:$AK$17)</f>
        <v>0</v>
      </c>
      <c r="AC51" s="250">
        <f>SUMPRODUCT((TM!$A$2:$A$17=$A51)*(TMEmp=AC$1),TM!$D$2:$AK$17)</f>
        <v>0</v>
      </c>
      <c r="AD51" s="250">
        <f>SUMPRODUCT((TM!$A$2:$A$17=$A51)*(TMEmp=AD$1),TM!$D$2:$AK$17)</f>
        <v>0</v>
      </c>
      <c r="AE51" s="250">
        <f>SUMPRODUCT((TM!$A$2:$A$17=$A51)*(TMEmp=AE$1),TM!$D$2:$AK$17)</f>
        <v>0</v>
      </c>
      <c r="AF51" s="250">
        <f>SUMPRODUCT((TM!$A$2:$A$17=$A51)*(TMEmp=AF$1),TM!$D$2:$AK$17)</f>
        <v>0</v>
      </c>
      <c r="AG51" s="250">
        <f>SUMPRODUCT((TM!$A$2:$A$17=$A51)*(TMEmp=AG$1),TM!$D$2:$AK$17)</f>
        <v>0</v>
      </c>
      <c r="AH51" s="250">
        <f>SUMPRODUCT((TM!$A$2:$A$17=$A51)*(TMEmp=AH$1),TM!$D$2:$AK$17)</f>
        <v>0</v>
      </c>
      <c r="AI51" s="250">
        <f>SUMPRODUCT((TM!$A$2:$A$17=$A51)*(TMEmp=AI$1),TM!$D$2:$AK$17)</f>
        <v>0</v>
      </c>
      <c r="AJ51" s="250">
        <f>SUMPRODUCT((TM!$A$2:$A$17=$A51)*(TMEmp=AJ$1),TM!$D$2:$AK$17)</f>
        <v>0</v>
      </c>
      <c r="AK51" s="250">
        <f>SUMPRODUCT((TM!$A$2:$A$17=$A51)*(TMEmp=AK$1),TM!$D$2:$AK$17)</f>
        <v>0</v>
      </c>
      <c r="AL51" s="250">
        <f>SUMPRODUCT((TM!$A$2:$A$17=$A51)*(TMEmp=AL$1),TM!$D$2:$AK$17)</f>
        <v>0</v>
      </c>
      <c r="AM51" s="250">
        <f>SUMPRODUCT((TM!$A$2:$A$17=$A51)*(TMEmp=AM$1),TM!$D$2:$AK$17)</f>
        <v>0</v>
      </c>
      <c r="AN51" s="250">
        <f>SUMPRODUCT((TM!$A$2:$A$17=$A51)*(TMEmp=AN$1),TM!$D$2:$AK$17)</f>
        <v>0</v>
      </c>
      <c r="AO51" s="250">
        <f>SUMPRODUCT((TM!$A$2:$A$17=$A51)*(TMEmp=AO$1),TM!$D$2:$AK$17)</f>
        <v>0</v>
      </c>
      <c r="AP51" s="250">
        <f>SUMPRODUCT((TM!$A$2:$A$17=$A51)*(TMEmp=AP$1),TM!$D$2:$AK$17)</f>
        <v>0</v>
      </c>
      <c r="AQ51" s="250">
        <f>SUMPRODUCT((TM!$A$2:$A$17=$A51)*(TMEmp=AQ$1),TM!$D$2:$AK$17)</f>
        <v>0</v>
      </c>
      <c r="AR51" s="496">
        <f>SUMPRODUCT((TM!$A$2:$A$17=$A51)*(TMEmp=AR$1),TM!$D$2:$AK$17)</f>
        <v>0</v>
      </c>
      <c r="AT51" s="246"/>
    </row>
    <row r="52" spans="1:46" s="271" customFormat="1" x14ac:dyDescent="0.2">
      <c r="A52" s="256">
        <f t="shared" si="28"/>
        <v>42465</v>
      </c>
      <c r="B52" s="257" t="s">
        <v>72</v>
      </c>
      <c r="C52" s="258">
        <f>SUMPRODUCT((PC!$A$2:$A$80=$A52)*(PCEmp=C$1),PC!$D$2:$BD$80)</f>
        <v>0</v>
      </c>
      <c r="D52" s="259">
        <f>SUMPRODUCT((PC!$A$2:$A$80=$A52)*(PCEmp=D$1),PC!$D$2:$BD$80)</f>
        <v>0</v>
      </c>
      <c r="E52" s="259">
        <f>SUMPRODUCT((PC!$A$2:$A$80=$A52)*(PCEmp=E$1),PC!$D$2:$BD$80)</f>
        <v>0</v>
      </c>
      <c r="F52" s="259">
        <f>SUMPRODUCT((PC!$A$2:$A$80=$A52)*(PCEmp=F$1),PC!$D$2:$BD$80)</f>
        <v>0</v>
      </c>
      <c r="G52" s="259">
        <f>SUMPRODUCT((PC!$A$2:$A$80=$A52)*(PCEmp=G$1),PC!$D$2:$BD$80)</f>
        <v>0</v>
      </c>
      <c r="H52" s="259">
        <f>SUMPRODUCT((PC!$A$2:$A$80=$A52)*(PCEmp=H$1),PC!$D$2:$BD$80)</f>
        <v>0</v>
      </c>
      <c r="I52" s="259">
        <f>SUMPRODUCT((PC!$A$2:$A$80=$A52)*(PCEmp=I$1),PC!$D$2:$BD$80)</f>
        <v>0</v>
      </c>
      <c r="J52" s="259">
        <f>SUMPRODUCT((PC!$A$2:$A$80=$A52)*(PCEmp=J$1),PC!$D$2:$BD$80)</f>
        <v>0</v>
      </c>
      <c r="K52" s="259">
        <f>SUMPRODUCT((PC!$A$2:$A$80=$A52)*(PCEmp=K$1),PC!$D$2:$BD$80)</f>
        <v>0</v>
      </c>
      <c r="L52" s="259">
        <f>SUMPRODUCT((PC!$A$2:$A$80=$A52)*(PCEmp=L$1),PC!$D$2:$BD$80)</f>
        <v>0</v>
      </c>
      <c r="M52" s="259">
        <f>SUMPRODUCT((PC!$A$2:$A$80=$A52)*(PCEmp=M$1),PC!$D$2:$BD$80)</f>
        <v>0</v>
      </c>
      <c r="N52" s="259">
        <f>SUMPRODUCT((PC!$A$2:$A$80=$A52)*(PCEmp=N$1),PC!$D$2:$BD$80)</f>
        <v>0</v>
      </c>
      <c r="O52" s="259">
        <f>SUMPRODUCT((PC!$A$2:$A$80=$A52)*(PCEmp=O$1),PC!$D$2:$BD$80)</f>
        <v>0</v>
      </c>
      <c r="P52" s="259">
        <f>SUMPRODUCT((PC!$A$2:$A$80=$A52)*(PCEmp=P$1),PC!$D$2:$BD$80)</f>
        <v>0</v>
      </c>
      <c r="Q52" s="259">
        <f>SUMPRODUCT((PC!$A$2:$A$80=$A52)*(PCEmp=Q$1),PC!$D$2:$BD$80)</f>
        <v>0</v>
      </c>
      <c r="R52" s="259">
        <f>SUMPRODUCT((PC!$A$2:$A$80=$A52)*(PCEmp=R$1),PC!$D$2:$BD$80)</f>
        <v>0</v>
      </c>
      <c r="S52" s="259">
        <f>SUMPRODUCT((PC!$A$2:$A$80=$A52)*(PCEmp=S$1),PC!$D$2:$BD$80)</f>
        <v>0</v>
      </c>
      <c r="T52" s="259">
        <f>SUMPRODUCT((PC!$A$2:$A$80=$A52)*(PCEmp=T$1),PC!$D$2:$BD$80)</f>
        <v>0</v>
      </c>
      <c r="U52" s="259">
        <f>SUMPRODUCT((PC!$A$2:$A$80=$A52)*(PCEmp=U$1),PC!$D$2:$BD$80)</f>
        <v>0</v>
      </c>
      <c r="V52" s="259">
        <f>SUMPRODUCT((PC!$A$2:$A$80=$A52)*(PCEmp=V$1),PC!$D$2:$BD$80)</f>
        <v>0</v>
      </c>
      <c r="W52" s="259">
        <f>SUMPRODUCT((PC!$A$2:$A$80=$A52)*(PCEmp=W$1),PC!$D$2:$BD$80)</f>
        <v>0</v>
      </c>
      <c r="X52" s="259">
        <f>SUMPRODUCT((PC!$A$2:$A$80=$A52)*(PCEmp=X$1),PC!$D$2:$BD$80)</f>
        <v>0</v>
      </c>
      <c r="Y52" s="259">
        <f>SUMPRODUCT((PC!$A$2:$A$80=$A52)*(PCEmp=Y$1),PC!$D$2:$BD$80)</f>
        <v>0</v>
      </c>
      <c r="Z52" s="259">
        <f>SUMPRODUCT((PC!$A$2:$A$80=$A52)*(PCEmp=Z$1),PC!$D$2:$BD$80)</f>
        <v>0</v>
      </c>
      <c r="AA52" s="259">
        <f>SUMPRODUCT((PC!$A$2:$A$80=$A52)*(PCEmp=AA$1),PC!$D$2:$BD$80)</f>
        <v>0</v>
      </c>
      <c r="AB52" s="259">
        <f>SUMPRODUCT((PC!$A$2:$A$80=$A52)*(PCEmp=AB$1),PC!$D$2:$BD$80)</f>
        <v>0</v>
      </c>
      <c r="AC52" s="259">
        <f>SUMPRODUCT((PC!$A$2:$A$80=$A52)*(PCEmp=AC$1),PC!$D$2:$BD$80)</f>
        <v>0</v>
      </c>
      <c r="AD52" s="259">
        <f>SUMPRODUCT((PC!$A$2:$A$80=$A52)*(PCEmp=AD$1),PC!$D$2:$BD$80)</f>
        <v>0</v>
      </c>
      <c r="AE52" s="259">
        <f>SUMPRODUCT((PC!$A$2:$A$80=$A52)*(PCEmp=AE$1),PC!$D$2:$BD$80)</f>
        <v>0</v>
      </c>
      <c r="AF52" s="259">
        <f>SUMPRODUCT((PC!$A$2:$A$80=$A52)*(PCEmp=AF$1),PC!$D$2:$BD$80)</f>
        <v>0</v>
      </c>
      <c r="AG52" s="259">
        <f>SUMPRODUCT((PC!$A$2:$A$80=$A52)*(PCEmp=AG$1),PC!$D$2:$BD$80)</f>
        <v>0</v>
      </c>
      <c r="AH52" s="259">
        <f>SUMPRODUCT((PC!$A$2:$A$80=$A52)*(PCEmp=AH$1),PC!$D$2:$BD$80)</f>
        <v>0</v>
      </c>
      <c r="AI52" s="259">
        <f>SUMPRODUCT((PC!$A$2:$A$80=$A52)*(PCEmp=AI$1),PC!$D$2:$BD$80)</f>
        <v>0</v>
      </c>
      <c r="AJ52" s="259">
        <f>SUMPRODUCT((PC!$A$2:$A$80=$A52)*(PCEmp=AJ$1),PC!$D$2:$BD$80)</f>
        <v>0</v>
      </c>
      <c r="AK52" s="259">
        <f>SUMPRODUCT((PC!$A$2:$A$80=$A52)*(PCEmp=AK$1),PC!$D$2:$BD$80)</f>
        <v>0</v>
      </c>
      <c r="AL52" s="259">
        <f>SUMPRODUCT((PC!$A$2:$A$80=$A52)*(PCEmp=AL$1),PC!$D$2:$BD$80)</f>
        <v>0</v>
      </c>
      <c r="AM52" s="259">
        <f>SUMPRODUCT((PC!$A$2:$A$80=$A52)*(PCEmp=AM$1),PC!$D$2:$BD$80)</f>
        <v>0</v>
      </c>
      <c r="AN52" s="259">
        <f>SUMPRODUCT((PC!$A$2:$A$80=$A52)*(PCEmp=AN$1),PC!$D$2:$BD$80)</f>
        <v>0</v>
      </c>
      <c r="AO52" s="259">
        <f>SUMPRODUCT((PC!$A$2:$A$80=$A52)*(PCEmp=AO$1),PC!$D$2:$BD$80)</f>
        <v>0</v>
      </c>
      <c r="AP52" s="259">
        <f>SUMPRODUCT((PC!$A$2:$A$80=$A52)*(PCEmp=AP$1),PC!$D$2:$BD$80)</f>
        <v>0</v>
      </c>
      <c r="AQ52" s="259">
        <f>SUMPRODUCT((PC!$A$2:$A$80=$A52)*(PCEmp=AQ$1),PC!$D$2:$BD$80)</f>
        <v>0</v>
      </c>
      <c r="AR52" s="497">
        <f>SUMPRODUCT((PC!$A$2:$A$80=$A52)*(PCEmp=AR$1),PC!$D$2:$BD$80)</f>
        <v>0</v>
      </c>
      <c r="AT52" s="246"/>
    </row>
    <row r="53" spans="1:46" s="271" customFormat="1" x14ac:dyDescent="0.2">
      <c r="A53" s="247">
        <f t="shared" si="28"/>
        <v>42465</v>
      </c>
      <c r="B53" s="254" t="s">
        <v>85</v>
      </c>
      <c r="C53" s="249">
        <f>SUMPRODUCT((RF!$A$2:$A$17=$A53)*(RFEmp=C$1)*(RF!$H$21:$AO$21="RF Lead"),RF!$H$2:$AO$17)</f>
        <v>0</v>
      </c>
      <c r="D53" s="250">
        <f>SUMPRODUCT((RF!$A$2:$A$17=$A53)*(RFEmp=D$1)*(RF!$H$21:$AO$21="RF Lead"),RF!$H$2:$AO$17)</f>
        <v>0</v>
      </c>
      <c r="E53" s="250">
        <f>SUMPRODUCT((RF!$A$2:$A$17=$A53)*(RFEmp=E$1)*(RF!$H$21:$AO$21="RF Lead"),RF!$H$2:$AO$17)</f>
        <v>0</v>
      </c>
      <c r="F53" s="250">
        <f>SUMPRODUCT((RF!$A$2:$A$17=$A53)*(RFEmp=F$1)*(RF!$H$21:$AO$21="RF Lead"),RF!$H$2:$AO$17)</f>
        <v>0</v>
      </c>
      <c r="G53" s="250">
        <f>SUMPRODUCT((RF!$A$2:$A$17=$A53)*(RFEmp=G$1)*(RF!$H$21:$AO$21="RF Lead"),RF!$H$2:$AO$17)</f>
        <v>0</v>
      </c>
      <c r="H53" s="250">
        <f>SUMPRODUCT((RF!$A$2:$A$17=$A53)*(RFEmp=H$1)*(RF!$H$21:$AO$21="RF Lead"),RF!$H$2:$AO$17)</f>
        <v>0</v>
      </c>
      <c r="I53" s="250">
        <f>SUMPRODUCT((RF!$A$2:$A$17=$A53)*(RFEmp=I$1)*(RF!$H$21:$AO$21="RF Lead"),RF!$H$2:$AO$17)</f>
        <v>0</v>
      </c>
      <c r="J53" s="250">
        <f>SUMPRODUCT((RF!$A$2:$A$17=$A53)*(RFEmp=J$1)*(RF!$H$21:$AO$21="RF Lead"),RF!$H$2:$AO$17)</f>
        <v>0</v>
      </c>
      <c r="K53" s="250">
        <f>SUMPRODUCT((RF!$A$2:$A$17=$A53)*(RFEmp=K$1)*(RF!$H$21:$AO$21="RF Lead"),RF!$H$2:$AO$17)</f>
        <v>0</v>
      </c>
      <c r="L53" s="250">
        <f>SUMPRODUCT((RF!$A$2:$A$17=$A53)*(RFEmp=L$1)*(RF!$H$21:$AO$21="RF Lead"),RF!$H$2:$AO$17)</f>
        <v>0</v>
      </c>
      <c r="M53" s="250">
        <f>SUMPRODUCT((RF!$A$2:$A$17=$A53)*(RFEmp=M$1)*(RF!$H$21:$AO$21="RF Lead"),RF!$H$2:$AO$17)</f>
        <v>0</v>
      </c>
      <c r="N53" s="250">
        <f>SUMPRODUCT((RF!$A$2:$A$17=$A53)*(RFEmp=N$1)*(RF!$H$21:$AO$21="RF Lead"),RF!$H$2:$AO$17)</f>
        <v>0</v>
      </c>
      <c r="O53" s="250">
        <f>SUMPRODUCT((RF!$A$2:$A$17=$A53)*(RFEmp=O$1)*(RF!$H$21:$AO$21="RF Lead"),RF!$H$2:$AO$17)</f>
        <v>0</v>
      </c>
      <c r="P53" s="250">
        <f>SUMPRODUCT((RF!$A$2:$A$17=$A53)*(RFEmp=P$1)*(RF!$H$21:$AO$21="RF Lead"),RF!$H$2:$AO$17)</f>
        <v>0</v>
      </c>
      <c r="Q53" s="250">
        <f>SUMPRODUCT((RF!$A$2:$A$17=$A53)*(RFEmp=Q$1)*(RF!$H$21:$AO$21="RF Lead"),RF!$H$2:$AO$17)</f>
        <v>0</v>
      </c>
      <c r="R53" s="250">
        <f>SUMPRODUCT((RF!$A$2:$A$17=$A53)*(RFEmp=R$1)*(RF!$H$21:$AO$21="RF Lead"),RF!$H$2:$AO$17)</f>
        <v>0</v>
      </c>
      <c r="S53" s="250">
        <f>SUMPRODUCT((RF!$A$2:$A$17=$A53)*(RFEmp=S$1)*(RF!$H$21:$AO$21="RF Lead"),RF!$H$2:$AO$17)</f>
        <v>0</v>
      </c>
      <c r="T53" s="250">
        <f>SUMPRODUCT((RF!$A$2:$A$17=$A53)*(RFEmp=T$1)*(RF!$H$21:$AO$21="RF Lead"),RF!$H$2:$AO$17)</f>
        <v>0</v>
      </c>
      <c r="U53" s="250">
        <f>SUMPRODUCT((RF!$A$2:$A$17=$A53)*(RFEmp=U$1)*(RF!$H$21:$AO$21="RF Lead"),RF!$H$2:$AO$17)</f>
        <v>0</v>
      </c>
      <c r="V53" s="250">
        <f>SUMPRODUCT((RF!$A$2:$A$17=$A53)*(RFEmp=V$1)*(RF!$H$21:$AO$21="RF Lead"),RF!$H$2:$AO$17)</f>
        <v>0</v>
      </c>
      <c r="W53" s="250">
        <f>SUMPRODUCT((RF!$A$2:$A$17=$A53)*(RFEmp=W$1)*(RF!$H$21:$AO$21="RF Lead"),RF!$H$2:$AO$17)</f>
        <v>0</v>
      </c>
      <c r="X53" s="250">
        <f>SUMPRODUCT((RF!$A$2:$A$17=$A53)*(RFEmp=X$1)*(RF!$H$21:$AO$21="RF Lead"),RF!$H$2:$AO$17)</f>
        <v>0</v>
      </c>
      <c r="Y53" s="250">
        <f>SUMPRODUCT((RF!$A$2:$A$17=$A53)*(RFEmp=Y$1)*(RF!$H$21:$AO$21="RF Lead"),RF!$H$2:$AO$17)</f>
        <v>0</v>
      </c>
      <c r="Z53" s="250">
        <f>SUMPRODUCT((RF!$A$2:$A$17=$A53)*(RFEmp=Z$1)*(RF!$H$21:$AO$21="RF Lead"),RF!$H$2:$AO$17)</f>
        <v>0</v>
      </c>
      <c r="AA53" s="250">
        <f>SUMPRODUCT((RF!$A$2:$A$17=$A53)*(RFEmp=AA$1)*(RF!$H$21:$AO$21="RF Lead"),RF!$H$2:$AO$17)</f>
        <v>0</v>
      </c>
      <c r="AB53" s="250">
        <f>SUMPRODUCT((RF!$A$2:$A$17=$A53)*(RFEmp=AB$1)*(RF!$H$21:$AO$21="RF Lead"),RF!$H$2:$AO$17)</f>
        <v>0</v>
      </c>
      <c r="AC53" s="250">
        <f>SUMPRODUCT((RF!$A$2:$A$17=$A53)*(RFEmp=AC$1)*(RF!$H$21:$AO$21="RF Lead"),RF!$H$2:$AO$17)</f>
        <v>0</v>
      </c>
      <c r="AD53" s="250">
        <f>SUMPRODUCT((RF!$A$2:$A$17=$A53)*(RFEmp=AD$1)*(RF!$H$21:$AO$21="RF Lead"),RF!$H$2:$AO$17)</f>
        <v>0</v>
      </c>
      <c r="AE53" s="250">
        <f>SUMPRODUCT((RF!$A$2:$A$17=$A53)*(RFEmp=AE$1)*(RF!$H$21:$AO$21="RF Lead"),RF!$H$2:$AO$17)</f>
        <v>0</v>
      </c>
      <c r="AF53" s="250">
        <f>SUMPRODUCT((RF!$A$2:$A$17=$A53)*(RFEmp=AF$1)*(RF!$H$21:$AO$21="RF Lead"),RF!$H$2:$AO$17)</f>
        <v>0</v>
      </c>
      <c r="AG53" s="250">
        <f>SUMPRODUCT((RF!$A$2:$A$17=$A53)*(RFEmp=AG$1)*(RF!$H$21:$AO$21="RF Lead"),RF!$H$2:$AO$17)</f>
        <v>0</v>
      </c>
      <c r="AH53" s="250">
        <f>SUMPRODUCT((RF!$A$2:$A$17=$A53)*(RFEmp=AH$1)*(RF!$H$21:$AO$21="RF Lead"),RF!$H$2:$AO$17)</f>
        <v>0</v>
      </c>
      <c r="AI53" s="250">
        <f>SUMPRODUCT((RF!$A$2:$A$17=$A53)*(RFEmp=AI$1)*(RF!$H$21:$AO$21="RF Lead"),RF!$H$2:$AO$17)</f>
        <v>0</v>
      </c>
      <c r="AJ53" s="250">
        <f>SUMPRODUCT((RF!$A$2:$A$17=$A53)*(RFEmp=AJ$1)*(RF!$H$21:$AO$21="RF Lead"),RF!$H$2:$AO$17)</f>
        <v>0</v>
      </c>
      <c r="AK53" s="250">
        <f>SUMPRODUCT((RF!$A$2:$A$17=$A53)*(RFEmp=AK$1)*(RF!$H$21:$AO$21="RF Lead"),RF!$H$2:$AO$17)</f>
        <v>0</v>
      </c>
      <c r="AL53" s="250">
        <f>SUMPRODUCT((RF!$A$2:$A$17=$A53)*(RFEmp=AL$1)*(RF!$H$21:$AO$21="RF Lead"),RF!$H$2:$AO$17)</f>
        <v>0</v>
      </c>
      <c r="AM53" s="250">
        <f>SUMPRODUCT((RF!$A$2:$A$17=$A53)*(RFEmp=AM$1)*(RF!$H$21:$AO$21="RF Lead"),RF!$H$2:$AO$17)</f>
        <v>0</v>
      </c>
      <c r="AN53" s="250">
        <f>SUMPRODUCT((RF!$A$2:$A$17=$A53)*(RFEmp=AN$1)*(RF!$H$21:$AO$21="RF Lead"),RF!$H$2:$AO$17)</f>
        <v>0</v>
      </c>
      <c r="AO53" s="250">
        <f>SUMPRODUCT((RF!$A$2:$A$17=$A53)*(RFEmp=AO$1)*(RF!$H$21:$AO$21="RF Lead"),RF!$H$2:$AO$17)</f>
        <v>0</v>
      </c>
      <c r="AP53" s="250">
        <f>SUMPRODUCT((RF!$A$2:$A$17=$A53)*(RFEmp=AP$1)*(RF!$H$21:$AO$21="RF Lead"),RF!$H$2:$AO$17)</f>
        <v>0</v>
      </c>
      <c r="AQ53" s="250">
        <f>SUMPRODUCT((RF!$A$2:$A$17=$A53)*(RFEmp=AQ$1)*(RF!$H$21:$AO$21="RF Lead"),RF!$H$2:$AO$17)</f>
        <v>0</v>
      </c>
      <c r="AR53" s="496">
        <f>SUMPRODUCT((RF!$A$2:$A$17=$A53)*(RFEmp=AR$1)*(RF!$H$21:$AO$21="RF Lead"),RF!$H$2:$AO$17)</f>
        <v>0</v>
      </c>
      <c r="AT53" s="246"/>
    </row>
    <row r="54" spans="1:46" s="271" customFormat="1" x14ac:dyDescent="0.2">
      <c r="A54" s="260">
        <f t="shared" si="28"/>
        <v>42465</v>
      </c>
      <c r="B54" s="261" t="str">
        <f>Total!$M$1</f>
        <v>SC</v>
      </c>
      <c r="C54" s="249">
        <f>SUMPRODUCT((SC!$A$2:$A$34=$A54)*(SCEmp=C$1),SC!$F$2:$Z$34)</f>
        <v>0</v>
      </c>
      <c r="D54" s="250">
        <f>SUMPRODUCT((SC!$A$2:$A$34=$A54)*(SCEmp=D$1),SC!$F$2:$Z$34)</f>
        <v>0</v>
      </c>
      <c r="E54" s="250">
        <f>SUMPRODUCT((SC!$A$2:$A$34=$A54)*(SCEmp=E$1),SC!$F$2:$Z$34)</f>
        <v>0</v>
      </c>
      <c r="F54" s="250">
        <f>SUMPRODUCT((SC!$A$2:$A$34=$A54)*(SCEmp=F$1),SC!$F$2:$Z$34)</f>
        <v>0</v>
      </c>
      <c r="G54" s="250">
        <f>SUMPRODUCT((SC!$A$2:$A$34=$A54)*(SCEmp=G$1),SC!$F$2:$Z$34)</f>
        <v>0</v>
      </c>
      <c r="H54" s="250">
        <f>SUMPRODUCT((SC!$A$2:$A$34=$A54)*(SCEmp=H$1),SC!$F$2:$Z$34)</f>
        <v>0</v>
      </c>
      <c r="I54" s="250">
        <f>SUMPRODUCT((SC!$A$2:$A$34=$A54)*(SCEmp=I$1),SC!$F$2:$Z$34)</f>
        <v>0</v>
      </c>
      <c r="J54" s="250">
        <f>SUMPRODUCT((SC!$A$2:$A$34=$A54)*(SCEmp=J$1),SC!$F$2:$Z$34)</f>
        <v>0</v>
      </c>
      <c r="K54" s="250">
        <f>SUMPRODUCT((SC!$A$2:$A$34=$A54)*(SCEmp=K$1),SC!$F$2:$Z$34)</f>
        <v>0</v>
      </c>
      <c r="L54" s="250">
        <f>SUMPRODUCT((SC!$A$2:$A$34=$A54)*(SCEmp=L$1),SC!$F$2:$Z$34)</f>
        <v>0</v>
      </c>
      <c r="M54" s="250">
        <f>SUMPRODUCT((SC!$A$2:$A$34=$A54)*(SCEmp=M$1),SC!$F$2:$Z$34)</f>
        <v>0</v>
      </c>
      <c r="N54" s="250">
        <f>SUMPRODUCT((SC!$A$2:$A$34=$A54)*(SCEmp=N$1),SC!$F$2:$Z$34)</f>
        <v>0</v>
      </c>
      <c r="O54" s="250">
        <f>SUMPRODUCT((SC!$A$2:$A$34=$A54)*(SCEmp=O$1),SC!$F$2:$Z$34)</f>
        <v>0</v>
      </c>
      <c r="P54" s="250">
        <f>SUMPRODUCT((SC!$A$2:$A$34=$A54)*(SCEmp=P$1),SC!$F$2:$Z$34)</f>
        <v>0</v>
      </c>
      <c r="Q54" s="250">
        <f>SUMPRODUCT((SC!$A$2:$A$34=$A54)*(SCEmp=Q$1),SC!$F$2:$Z$34)</f>
        <v>0</v>
      </c>
      <c r="R54" s="250">
        <f>SUMPRODUCT((SC!$A$2:$A$34=$A54)*(SCEmp=R$1),SC!$F$2:$Z$34)</f>
        <v>0</v>
      </c>
      <c r="S54" s="250">
        <f>SUMPRODUCT((SC!$A$2:$A$34=$A54)*(SCEmp=S$1),SC!$F$2:$Z$34)</f>
        <v>0</v>
      </c>
      <c r="T54" s="250">
        <f>SUMPRODUCT((SC!$A$2:$A$34=$A54)*(SCEmp=T$1),SC!$F$2:$Z$34)</f>
        <v>0</v>
      </c>
      <c r="U54" s="250">
        <f>SUMPRODUCT((SC!$A$2:$A$34=$A54)*(SCEmp=U$1),SC!$F$2:$Z$34)</f>
        <v>0</v>
      </c>
      <c r="V54" s="250">
        <f>SUMPRODUCT((SC!$A$2:$A$34=$A54)*(SCEmp=V$1),SC!$F$2:$Z$34)</f>
        <v>0</v>
      </c>
      <c r="W54" s="250">
        <f>SUMPRODUCT((SC!$A$2:$A$34=$A54)*(SCEmp=W$1),SC!$F$2:$Z$34)</f>
        <v>0</v>
      </c>
      <c r="X54" s="250">
        <f>SUMPRODUCT((SC!$A$2:$A$34=$A54)*(SCEmp=X$1),SC!$F$2:$Z$34)</f>
        <v>0</v>
      </c>
      <c r="Y54" s="250">
        <f>SUMPRODUCT((SC!$A$2:$A$34=$A54)*(SCEmp=Y$1),SC!$F$2:$Z$34)</f>
        <v>0</v>
      </c>
      <c r="Z54" s="250">
        <f>SUMPRODUCT((SC!$A$2:$A$34=$A54)*(SCEmp=Z$1),SC!$F$2:$Z$34)</f>
        <v>0</v>
      </c>
      <c r="AA54" s="250">
        <f>SUMPRODUCT((SC!$A$2:$A$34=$A54)*(SCEmp=AA$1),SC!$F$2:$Z$34)</f>
        <v>0</v>
      </c>
      <c r="AB54" s="250">
        <f>SUMPRODUCT((SC!$A$2:$A$34=$A54)*(SCEmp=AB$1),SC!$F$2:$Z$34)</f>
        <v>0</v>
      </c>
      <c r="AC54" s="250">
        <f>SUMPRODUCT((SC!$A$2:$A$34=$A54)*(SCEmp=AC$1),SC!$F$2:$Z$34)</f>
        <v>0</v>
      </c>
      <c r="AD54" s="250">
        <f>SUMPRODUCT((SC!$A$2:$A$34=$A54)*(SCEmp=AD$1),SC!$F$2:$Z$34)</f>
        <v>0</v>
      </c>
      <c r="AE54" s="250">
        <f>SUMPRODUCT((SC!$A$2:$A$34=$A54)*(SCEmp=AE$1),SC!$F$2:$Z$34)</f>
        <v>0</v>
      </c>
      <c r="AF54" s="250">
        <f>SUMPRODUCT((SC!$A$2:$A$34=$A54)*(SCEmp=AF$1),SC!$F$2:$Z$34)</f>
        <v>0</v>
      </c>
      <c r="AG54" s="250">
        <f>SUMPRODUCT((SC!$A$2:$A$34=$A54)*(SCEmp=AG$1),SC!$F$2:$Z$34)</f>
        <v>0</v>
      </c>
      <c r="AH54" s="250">
        <f>SUMPRODUCT((SC!$A$2:$A$34=$A54)*(SCEmp=AH$1),SC!$F$2:$Z$34)</f>
        <v>0</v>
      </c>
      <c r="AI54" s="250">
        <f>SUMPRODUCT((SC!$A$2:$A$34=$A54)*(SCEmp=AI$1),SC!$F$2:$Z$34)</f>
        <v>0</v>
      </c>
      <c r="AJ54" s="250">
        <f>SUMPRODUCT((SC!$A$2:$A$34=$A54)*(SCEmp=AJ$1),SC!$F$2:$Z$34)</f>
        <v>0</v>
      </c>
      <c r="AK54" s="250">
        <f>SUMPRODUCT((SC!$A$2:$A$34=$A54)*(SCEmp=AK$1),SC!$F$2:$Z$34)</f>
        <v>0</v>
      </c>
      <c r="AL54" s="250">
        <f>SUMPRODUCT((SC!$A$2:$A$34=$A54)*(SCEmp=AL$1),SC!$F$2:$Z$34)</f>
        <v>0</v>
      </c>
      <c r="AM54" s="250">
        <f>SUMPRODUCT((SC!$A$2:$A$34=$A54)*(SCEmp=AM$1),SC!$F$2:$Z$34)</f>
        <v>0</v>
      </c>
      <c r="AN54" s="250">
        <f>SUMPRODUCT((SC!$A$2:$A$34=$A54)*(SCEmp=AN$1),SC!$F$2:$Z$34)</f>
        <v>0</v>
      </c>
      <c r="AO54" s="250">
        <f>SUMPRODUCT((SC!$A$2:$A$34=$A54)*(SCEmp=AO$1),SC!$F$2:$Z$34)</f>
        <v>0</v>
      </c>
      <c r="AP54" s="250">
        <f>SUMPRODUCT((SC!$A$2:$A$34=$A54)*(SCEmp=AP$1),SC!$F$2:$Z$34)</f>
        <v>0</v>
      </c>
      <c r="AQ54" s="250">
        <f>SUMPRODUCT((SC!$A$2:$A$34=$A54)*(SCEmp=AQ$1),SC!$F$2:$Z$34)</f>
        <v>0</v>
      </c>
      <c r="AR54" s="496">
        <f>SUMPRODUCT((SC!$A$2:$A$34=$A54)*(SCEmp=AR$1),SC!$F$2:$Z$34)</f>
        <v>0</v>
      </c>
      <c r="AT54" s="246"/>
    </row>
    <row r="55" spans="1:46" s="271" customFormat="1" x14ac:dyDescent="0.2">
      <c r="A55" s="262">
        <f t="shared" si="28"/>
        <v>42465</v>
      </c>
      <c r="B55" s="263" t="s">
        <v>87</v>
      </c>
      <c r="C55" s="264">
        <f t="shared" ref="C55:AR55" si="29">IF(SUM(C46:C54)&gt;8,SUM(C46:C54)-8,0)+IF(SUM(C46:C54)&gt;12,SUM(C46:C54)-12,0)</f>
        <v>0</v>
      </c>
      <c r="D55" s="265">
        <f t="shared" si="29"/>
        <v>0</v>
      </c>
      <c r="E55" s="265">
        <f t="shared" si="29"/>
        <v>0</v>
      </c>
      <c r="F55" s="265">
        <f t="shared" si="29"/>
        <v>0</v>
      </c>
      <c r="G55" s="265">
        <f t="shared" si="29"/>
        <v>0</v>
      </c>
      <c r="H55" s="265">
        <f t="shared" si="29"/>
        <v>0</v>
      </c>
      <c r="I55" s="265">
        <f t="shared" si="29"/>
        <v>0</v>
      </c>
      <c r="J55" s="265">
        <f t="shared" si="29"/>
        <v>0</v>
      </c>
      <c r="K55" s="265">
        <f t="shared" si="29"/>
        <v>0</v>
      </c>
      <c r="L55" s="265">
        <f t="shared" si="29"/>
        <v>0</v>
      </c>
      <c r="M55" s="265">
        <f t="shared" si="29"/>
        <v>0</v>
      </c>
      <c r="N55" s="265">
        <f t="shared" si="29"/>
        <v>0</v>
      </c>
      <c r="O55" s="265">
        <f t="shared" si="29"/>
        <v>0</v>
      </c>
      <c r="P55" s="265">
        <f t="shared" si="29"/>
        <v>0</v>
      </c>
      <c r="Q55" s="265">
        <f t="shared" si="29"/>
        <v>0</v>
      </c>
      <c r="R55" s="265">
        <f t="shared" si="29"/>
        <v>0</v>
      </c>
      <c r="S55" s="265">
        <f t="shared" si="29"/>
        <v>0</v>
      </c>
      <c r="T55" s="265">
        <f t="shared" si="29"/>
        <v>0</v>
      </c>
      <c r="U55" s="265">
        <f t="shared" si="29"/>
        <v>0</v>
      </c>
      <c r="V55" s="265">
        <f t="shared" si="29"/>
        <v>0</v>
      </c>
      <c r="W55" s="265">
        <f t="shared" si="29"/>
        <v>0</v>
      </c>
      <c r="X55" s="265">
        <f t="shared" si="29"/>
        <v>0</v>
      </c>
      <c r="Y55" s="265">
        <f t="shared" si="29"/>
        <v>0</v>
      </c>
      <c r="Z55" s="265">
        <f t="shared" si="29"/>
        <v>0</v>
      </c>
      <c r="AA55" s="265">
        <f t="shared" si="29"/>
        <v>0</v>
      </c>
      <c r="AB55" s="265">
        <f t="shared" si="29"/>
        <v>0</v>
      </c>
      <c r="AC55" s="265">
        <f t="shared" si="29"/>
        <v>0</v>
      </c>
      <c r="AD55" s="265">
        <f t="shared" si="29"/>
        <v>0</v>
      </c>
      <c r="AE55" s="265">
        <f t="shared" si="29"/>
        <v>0</v>
      </c>
      <c r="AF55" s="265">
        <f t="shared" si="29"/>
        <v>0</v>
      </c>
      <c r="AG55" s="265">
        <f t="shared" si="29"/>
        <v>0</v>
      </c>
      <c r="AH55" s="265">
        <f t="shared" si="29"/>
        <v>0</v>
      </c>
      <c r="AI55" s="265">
        <f t="shared" si="29"/>
        <v>0</v>
      </c>
      <c r="AJ55" s="265">
        <f t="shared" si="29"/>
        <v>0</v>
      </c>
      <c r="AK55" s="265">
        <f t="shared" si="29"/>
        <v>0</v>
      </c>
      <c r="AL55" s="265">
        <f t="shared" si="29"/>
        <v>0</v>
      </c>
      <c r="AM55" s="265">
        <f t="shared" si="29"/>
        <v>0</v>
      </c>
      <c r="AN55" s="265">
        <f t="shared" si="29"/>
        <v>0</v>
      </c>
      <c r="AO55" s="265">
        <f t="shared" ref="AO55:AP55" si="30">IF(SUM(AO46:AO54)&gt;8,SUM(AO46:AO54)-8,0)+IF(SUM(AO46:AO54)&gt;12,SUM(AO46:AO54)-12,0)</f>
        <v>0</v>
      </c>
      <c r="AP55" s="265">
        <f t="shared" si="30"/>
        <v>0</v>
      </c>
      <c r="AQ55" s="265">
        <f t="shared" ref="AQ55" si="31">IF(SUM(AQ46:AQ54)&gt;8,SUM(AQ46:AQ54)-8,0)+IF(SUM(AQ46:AQ54)&gt;12,SUM(AQ46:AQ54)-12,0)</f>
        <v>0</v>
      </c>
      <c r="AR55" s="498">
        <f t="shared" si="29"/>
        <v>0</v>
      </c>
      <c r="AT55" s="246"/>
    </row>
    <row r="56" spans="1:46" s="271" customFormat="1" x14ac:dyDescent="0.2">
      <c r="A56" s="266">
        <f t="shared" si="28"/>
        <v>42465</v>
      </c>
      <c r="B56" s="267" t="s">
        <v>86</v>
      </c>
      <c r="C56" s="268">
        <f t="shared" ref="C56:AR56" si="32">IFERROR((C$179*SUM(C46:C51)+C$180*SUM(C52:C54))/SUM(C46:C54)/2,0)*C55</f>
        <v>0</v>
      </c>
      <c r="D56" s="269">
        <f t="shared" si="32"/>
        <v>0</v>
      </c>
      <c r="E56" s="269">
        <f t="shared" si="32"/>
        <v>0</v>
      </c>
      <c r="F56" s="269">
        <f t="shared" si="32"/>
        <v>0</v>
      </c>
      <c r="G56" s="269">
        <f t="shared" si="32"/>
        <v>0</v>
      </c>
      <c r="H56" s="269">
        <f t="shared" si="32"/>
        <v>0</v>
      </c>
      <c r="I56" s="269">
        <f t="shared" si="32"/>
        <v>0</v>
      </c>
      <c r="J56" s="269">
        <f t="shared" si="32"/>
        <v>0</v>
      </c>
      <c r="K56" s="269">
        <f t="shared" si="32"/>
        <v>0</v>
      </c>
      <c r="L56" s="269">
        <f t="shared" si="32"/>
        <v>0</v>
      </c>
      <c r="M56" s="269">
        <f t="shared" si="32"/>
        <v>0</v>
      </c>
      <c r="N56" s="269">
        <f t="shared" si="32"/>
        <v>0</v>
      </c>
      <c r="O56" s="269">
        <f t="shared" si="32"/>
        <v>0</v>
      </c>
      <c r="P56" s="269">
        <f t="shared" si="32"/>
        <v>0</v>
      </c>
      <c r="Q56" s="269">
        <f t="shared" si="32"/>
        <v>0</v>
      </c>
      <c r="R56" s="269">
        <f t="shared" si="32"/>
        <v>0</v>
      </c>
      <c r="S56" s="269">
        <f t="shared" si="32"/>
        <v>0</v>
      </c>
      <c r="T56" s="269">
        <f t="shared" si="32"/>
        <v>0</v>
      </c>
      <c r="U56" s="269">
        <f t="shared" si="32"/>
        <v>0</v>
      </c>
      <c r="V56" s="269">
        <f t="shared" si="32"/>
        <v>0</v>
      </c>
      <c r="W56" s="269">
        <f t="shared" si="32"/>
        <v>0</v>
      </c>
      <c r="X56" s="269">
        <f t="shared" si="32"/>
        <v>0</v>
      </c>
      <c r="Y56" s="269">
        <f t="shared" si="32"/>
        <v>0</v>
      </c>
      <c r="Z56" s="269">
        <f t="shared" si="32"/>
        <v>0</v>
      </c>
      <c r="AA56" s="269">
        <f t="shared" si="32"/>
        <v>0</v>
      </c>
      <c r="AB56" s="269">
        <f t="shared" si="32"/>
        <v>0</v>
      </c>
      <c r="AC56" s="269">
        <f t="shared" si="32"/>
        <v>0</v>
      </c>
      <c r="AD56" s="269">
        <f t="shared" si="32"/>
        <v>0</v>
      </c>
      <c r="AE56" s="269">
        <f t="shared" si="32"/>
        <v>0</v>
      </c>
      <c r="AF56" s="269">
        <f t="shared" si="32"/>
        <v>0</v>
      </c>
      <c r="AG56" s="269">
        <f t="shared" si="32"/>
        <v>0</v>
      </c>
      <c r="AH56" s="269">
        <f t="shared" si="32"/>
        <v>0</v>
      </c>
      <c r="AI56" s="269">
        <f t="shared" si="32"/>
        <v>0</v>
      </c>
      <c r="AJ56" s="269">
        <f t="shared" si="32"/>
        <v>0</v>
      </c>
      <c r="AK56" s="269">
        <f t="shared" si="32"/>
        <v>0</v>
      </c>
      <c r="AL56" s="269">
        <f t="shared" si="32"/>
        <v>0</v>
      </c>
      <c r="AM56" s="269">
        <f t="shared" si="32"/>
        <v>0</v>
      </c>
      <c r="AN56" s="269">
        <f t="shared" si="32"/>
        <v>0</v>
      </c>
      <c r="AO56" s="269">
        <f t="shared" ref="AO56:AP56" si="33">IFERROR((AO$179*SUM(AO46:AO51)+AO$180*SUM(AO52:AO54))/SUM(AO46:AO54)/2,0)*AO55</f>
        <v>0</v>
      </c>
      <c r="AP56" s="269">
        <f t="shared" si="33"/>
        <v>0</v>
      </c>
      <c r="AQ56" s="269">
        <f t="shared" ref="AQ56" si="34">IFERROR((AQ$179*SUM(AQ46:AQ51)+AQ$180*SUM(AQ52:AQ54))/SUM(AQ46:AQ54)/2,0)*AQ55</f>
        <v>0</v>
      </c>
      <c r="AR56" s="499">
        <f t="shared" si="32"/>
        <v>0</v>
      </c>
      <c r="AT56" s="246"/>
    </row>
    <row r="57" spans="1:46" s="271" customFormat="1" x14ac:dyDescent="0.2">
      <c r="A57" s="247">
        <f>A46+1</f>
        <v>42466</v>
      </c>
      <c r="B57" s="248" t="s">
        <v>77</v>
      </c>
      <c r="C57" s="249">
        <f>SUMPRODUCT((Driver!$A$2:$A$17=$A57)*(DriverEmp=C$1),Driver!$C$2:$V$17)</f>
        <v>0</v>
      </c>
      <c r="D57" s="250">
        <f>SUMPRODUCT((Driver!$A$2:$A$17=$A57)*(DriverEmp=D$1),Driver!$C$2:$V$17)</f>
        <v>0</v>
      </c>
      <c r="E57" s="250">
        <f>SUMPRODUCT((Driver!$A$2:$A$17=$A57)*(DriverEmp=E$1),Driver!$C$2:$V$17)</f>
        <v>0</v>
      </c>
      <c r="F57" s="250">
        <f>SUMPRODUCT((Driver!$A$2:$A$17=$A57)*(DriverEmp=F$1),Driver!$C$2:$V$17)</f>
        <v>0</v>
      </c>
      <c r="G57" s="250">
        <f>SUMPRODUCT((Driver!$A$2:$A$17=$A57)*(DriverEmp=G$1),Driver!$C$2:$V$17)</f>
        <v>0</v>
      </c>
      <c r="H57" s="250">
        <f>SUMPRODUCT((Driver!$A$2:$A$17=$A57)*(DriverEmp=H$1),Driver!$C$2:$V$17)</f>
        <v>0</v>
      </c>
      <c r="I57" s="250">
        <f>SUMPRODUCT((Driver!$A$2:$A$17=$A57)*(DriverEmp=I$1),Driver!$C$2:$V$17)</f>
        <v>0</v>
      </c>
      <c r="J57" s="250">
        <f>SUMPRODUCT((Driver!$A$2:$A$17=$A57)*(DriverEmp=J$1),Driver!$C$2:$V$17)</f>
        <v>0</v>
      </c>
      <c r="K57" s="250">
        <f>SUMPRODUCT((Driver!$A$2:$A$17=$A57)*(DriverEmp=K$1),Driver!$C$2:$V$17)</f>
        <v>0</v>
      </c>
      <c r="L57" s="250">
        <f>SUMPRODUCT((Driver!$A$2:$A$17=$A57)*(DriverEmp=L$1),Driver!$C$2:$V$17)</f>
        <v>0</v>
      </c>
      <c r="M57" s="250">
        <f>SUMPRODUCT((Driver!$A$2:$A$17=$A57)*(DriverEmp=M$1),Driver!$C$2:$V$17)</f>
        <v>0</v>
      </c>
      <c r="N57" s="250">
        <f>SUMPRODUCT((Driver!$A$2:$A$17=$A57)*(DriverEmp=N$1),Driver!$C$2:$V$17)</f>
        <v>0</v>
      </c>
      <c r="O57" s="250">
        <f>SUMPRODUCT((Driver!$A$2:$A$17=$A57)*(DriverEmp=O$1),Driver!$C$2:$V$17)</f>
        <v>0</v>
      </c>
      <c r="P57" s="250">
        <f>SUMPRODUCT((Driver!$A$2:$A$17=$A57)*(DriverEmp=P$1),Driver!$C$2:$V$17)</f>
        <v>0</v>
      </c>
      <c r="Q57" s="250">
        <f>SUMPRODUCT((Driver!$A$2:$A$17=$A57)*(DriverEmp=Q$1),Driver!$C$2:$V$17)</f>
        <v>0</v>
      </c>
      <c r="R57" s="250">
        <f>SUMPRODUCT((Driver!$A$2:$A$17=$A57)*(DriverEmp=R$1),Driver!$C$2:$V$17)</f>
        <v>0</v>
      </c>
      <c r="S57" s="250">
        <f>SUMPRODUCT((Driver!$A$2:$A$17=$A57)*(DriverEmp=S$1),Driver!$C$2:$V$17)</f>
        <v>0</v>
      </c>
      <c r="T57" s="250">
        <f>SUMPRODUCT((Driver!$A$2:$A$17=$A57)*(DriverEmp=T$1),Driver!$C$2:$V$17)</f>
        <v>0</v>
      </c>
      <c r="U57" s="250">
        <f>SUMPRODUCT((Driver!$A$2:$A$17=$A57)*(DriverEmp=U$1),Driver!$C$2:$V$17)</f>
        <v>0</v>
      </c>
      <c r="V57" s="250">
        <f>SUMPRODUCT((Driver!$A$2:$A$17=$A57)*(DriverEmp=V$1),Driver!$C$2:$V$17)</f>
        <v>0</v>
      </c>
      <c r="W57" s="250">
        <f>SUMPRODUCT((Driver!$A$2:$A$17=$A57)*(DriverEmp=W$1),Driver!$C$2:$V$17)</f>
        <v>0</v>
      </c>
      <c r="X57" s="250">
        <f>SUMPRODUCT((Driver!$A$2:$A$17=$A57)*(DriverEmp=X$1),Driver!$C$2:$V$17)</f>
        <v>0</v>
      </c>
      <c r="Y57" s="250">
        <f>SUMPRODUCT((Driver!$A$2:$A$17=$A57)*(DriverEmp=Y$1),Driver!$C$2:$V$17)</f>
        <v>0</v>
      </c>
      <c r="Z57" s="250">
        <f>SUMPRODUCT((Driver!$A$2:$A$17=$A57)*(DriverEmp=Z$1),Driver!$C$2:$V$17)</f>
        <v>0</v>
      </c>
      <c r="AA57" s="250">
        <f>SUMPRODUCT((Driver!$A$2:$A$17=$A57)*(DriverEmp=AA$1),Driver!$C$2:$V$17)</f>
        <v>0</v>
      </c>
      <c r="AB57" s="250">
        <f>SUMPRODUCT((Driver!$A$2:$A$17=$A57)*(DriverEmp=AB$1),Driver!$C$2:$V$17)</f>
        <v>0</v>
      </c>
      <c r="AC57" s="250">
        <f>SUMPRODUCT((Driver!$A$2:$A$17=$A57)*(DriverEmp=AC$1),Driver!$C$2:$V$17)</f>
        <v>0</v>
      </c>
      <c r="AD57" s="250">
        <f>SUMPRODUCT((Driver!$A$2:$A$17=$A57)*(DriverEmp=AD$1),Driver!$C$2:$V$17)</f>
        <v>0</v>
      </c>
      <c r="AE57" s="250">
        <f>SUMPRODUCT((Driver!$A$2:$A$17=$A57)*(DriverEmp=AE$1),Driver!$C$2:$V$17)</f>
        <v>0</v>
      </c>
      <c r="AF57" s="250">
        <f>SUMPRODUCT((Driver!$A$2:$A$17=$A57)*(DriverEmp=AF$1),Driver!$C$2:$V$17)</f>
        <v>0</v>
      </c>
      <c r="AG57" s="250">
        <f>SUMPRODUCT((Driver!$A$2:$A$17=$A57)*(DriverEmp=AG$1),Driver!$C$2:$V$17)</f>
        <v>0</v>
      </c>
      <c r="AH57" s="250">
        <f>SUMPRODUCT((Driver!$A$2:$A$17=$A57)*(DriverEmp=AH$1),Driver!$C$2:$V$17)</f>
        <v>0</v>
      </c>
      <c r="AI57" s="250">
        <f>SUMPRODUCT((Driver!$A$2:$A$17=$A57)*(DriverEmp=AI$1),Driver!$C$2:$V$17)</f>
        <v>0</v>
      </c>
      <c r="AJ57" s="250">
        <f>SUMPRODUCT((Driver!$A$2:$A$17=$A57)*(DriverEmp=AJ$1),Driver!$C$2:$V$17)</f>
        <v>0</v>
      </c>
      <c r="AK57" s="250">
        <f>SUMPRODUCT((Driver!$A$2:$A$17=$A57)*(DriverEmp=AK$1),Driver!$C$2:$V$17)</f>
        <v>0</v>
      </c>
      <c r="AL57" s="250">
        <f>SUMPRODUCT((Driver!$A$2:$A$17=$A57)*(DriverEmp=AL$1),Driver!$C$2:$V$17)</f>
        <v>0</v>
      </c>
      <c r="AM57" s="250">
        <f>SUMPRODUCT((Driver!$A$2:$A$17=$A57)*(DriverEmp=AM$1),Driver!$C$2:$V$17)</f>
        <v>0</v>
      </c>
      <c r="AN57" s="250">
        <f>SUMPRODUCT((Driver!$A$2:$A$17=$A57)*(DriverEmp=AN$1),Driver!$C$2:$V$17)</f>
        <v>0</v>
      </c>
      <c r="AO57" s="250">
        <f>SUMPRODUCT((Driver!$A$2:$A$17=$A57)*(DriverEmp=AO$1),Driver!$C$2:$V$17)</f>
        <v>0</v>
      </c>
      <c r="AP57" s="250">
        <f>SUMPRODUCT((Driver!$A$2:$A$17=$A57)*(DriverEmp=AP$1),Driver!$C$2:$V$17)</f>
        <v>0</v>
      </c>
      <c r="AQ57" s="250">
        <f>SUMPRODUCT((Driver!$A$2:$A$17=$A57)*(DriverEmp=AQ$1),Driver!$C$2:$V$17)</f>
        <v>0</v>
      </c>
      <c r="AR57" s="496">
        <f>SUMPRODUCT((Driver!$A$2:$A$17=$A57)*(DriverEmp=AR$1),Driver!$C$2:$V$17)</f>
        <v>0</v>
      </c>
      <c r="AT57" s="246"/>
    </row>
    <row r="58" spans="1:46" s="271" customFormat="1" x14ac:dyDescent="0.2">
      <c r="A58" s="247">
        <f t="shared" ref="A58:A67" si="35">A57</f>
        <v>42466</v>
      </c>
      <c r="B58" s="251" t="str">
        <f>Total!$H$1</f>
        <v>PP</v>
      </c>
      <c r="C58" s="249">
        <f>SUMPRODUCT((PP!$A$2:$A$80=$A58)*(PPEmp=C$1),PP!$D$2:$BD$80)</f>
        <v>0</v>
      </c>
      <c r="D58" s="250">
        <f>SUMPRODUCT((PP!$A$2:$A$80=$A58)*(PPEmp=D$1),PP!$D$2:$BD$80)</f>
        <v>0</v>
      </c>
      <c r="E58" s="250">
        <f>SUMPRODUCT((PP!$A$2:$A$80=$A58)*(PPEmp=E$1),PP!$D$2:$BD$80)</f>
        <v>0</v>
      </c>
      <c r="F58" s="250">
        <f>SUMPRODUCT((PP!$A$2:$A$80=$A58)*(PPEmp=F$1),PP!$D$2:$BD$80)</f>
        <v>0</v>
      </c>
      <c r="G58" s="250">
        <f>SUMPRODUCT((PP!$A$2:$A$80=$A58)*(PPEmp=G$1),PP!$D$2:$BD$80)</f>
        <v>0</v>
      </c>
      <c r="H58" s="250">
        <f>SUMPRODUCT((PP!$A$2:$A$80=$A58)*(PPEmp=H$1),PP!$D$2:$BD$80)</f>
        <v>0</v>
      </c>
      <c r="I58" s="250">
        <f>SUMPRODUCT((PP!$A$2:$A$80=$A58)*(PPEmp=I$1),PP!$D$2:$BD$80)</f>
        <v>0</v>
      </c>
      <c r="J58" s="250">
        <f>SUMPRODUCT((PP!$A$2:$A$80=$A58)*(PPEmp=J$1),PP!$D$2:$BD$80)</f>
        <v>0</v>
      </c>
      <c r="K58" s="250">
        <f>SUMPRODUCT((PP!$A$2:$A$80=$A58)*(PPEmp=K$1),PP!$D$2:$BD$80)</f>
        <v>0</v>
      </c>
      <c r="L58" s="250">
        <f>SUMPRODUCT((PP!$A$2:$A$80=$A58)*(PPEmp=L$1),PP!$D$2:$BD$80)</f>
        <v>0</v>
      </c>
      <c r="M58" s="250">
        <f>SUMPRODUCT((PP!$A$2:$A$80=$A58)*(PPEmp=M$1),PP!$D$2:$BD$80)</f>
        <v>0</v>
      </c>
      <c r="N58" s="250">
        <f>SUMPRODUCT((PP!$A$2:$A$80=$A58)*(PPEmp=N$1),PP!$D$2:$BD$80)</f>
        <v>0</v>
      </c>
      <c r="O58" s="250">
        <f>SUMPRODUCT((PP!$A$2:$A$80=$A58)*(PPEmp=O$1),PP!$D$2:$BD$80)</f>
        <v>0</v>
      </c>
      <c r="P58" s="250">
        <f>SUMPRODUCT((PP!$A$2:$A$80=$A58)*(PPEmp=P$1),PP!$D$2:$BD$80)</f>
        <v>0</v>
      </c>
      <c r="Q58" s="250">
        <f>SUMPRODUCT((PP!$A$2:$A$80=$A58)*(PPEmp=Q$1),PP!$D$2:$BD$80)</f>
        <v>0</v>
      </c>
      <c r="R58" s="250">
        <f>SUMPRODUCT((PP!$A$2:$A$80=$A58)*(PPEmp=R$1),PP!$D$2:$BD$80)</f>
        <v>0</v>
      </c>
      <c r="S58" s="250">
        <f>SUMPRODUCT((PP!$A$2:$A$80=$A58)*(PPEmp=S$1),PP!$D$2:$BD$80)</f>
        <v>0</v>
      </c>
      <c r="T58" s="250">
        <f>SUMPRODUCT((PP!$A$2:$A$80=$A58)*(PPEmp=T$1),PP!$D$2:$BD$80)</f>
        <v>0</v>
      </c>
      <c r="U58" s="250">
        <f>SUMPRODUCT((PP!$A$2:$A$80=$A58)*(PPEmp=U$1),PP!$D$2:$BD$80)</f>
        <v>0</v>
      </c>
      <c r="V58" s="250">
        <f>SUMPRODUCT((PP!$A$2:$A$80=$A58)*(PPEmp=V$1),PP!$D$2:$BD$80)</f>
        <v>0</v>
      </c>
      <c r="W58" s="250">
        <f>SUMPRODUCT((PP!$A$2:$A$80=$A58)*(PPEmp=W$1),PP!$D$2:$BD$80)</f>
        <v>0</v>
      </c>
      <c r="X58" s="250">
        <f>SUMPRODUCT((PP!$A$2:$A$80=$A58)*(PPEmp=X$1),PP!$D$2:$BD$80)</f>
        <v>0</v>
      </c>
      <c r="Y58" s="250">
        <f>SUMPRODUCT((PP!$A$2:$A$80=$A58)*(PPEmp=Y$1),PP!$D$2:$BD$80)</f>
        <v>0</v>
      </c>
      <c r="Z58" s="250">
        <f>SUMPRODUCT((PP!$A$2:$A$80=$A58)*(PPEmp=Z$1),PP!$D$2:$BD$80)</f>
        <v>0</v>
      </c>
      <c r="AA58" s="250">
        <f>SUMPRODUCT((PP!$A$2:$A$80=$A58)*(PPEmp=AA$1),PP!$D$2:$BD$80)</f>
        <v>0</v>
      </c>
      <c r="AB58" s="250">
        <f>SUMPRODUCT((PP!$A$2:$A$80=$A58)*(PPEmp=AB$1),PP!$D$2:$BD$80)</f>
        <v>0</v>
      </c>
      <c r="AC58" s="250">
        <f>SUMPRODUCT((PP!$A$2:$A$80=$A58)*(PPEmp=AC$1),PP!$D$2:$BD$80)</f>
        <v>0</v>
      </c>
      <c r="AD58" s="250">
        <f>SUMPRODUCT((PP!$A$2:$A$80=$A58)*(PPEmp=AD$1),PP!$D$2:$BD$80)</f>
        <v>0</v>
      </c>
      <c r="AE58" s="250">
        <f>SUMPRODUCT((PP!$A$2:$A$80=$A58)*(PPEmp=AE$1),PP!$D$2:$BD$80)</f>
        <v>0</v>
      </c>
      <c r="AF58" s="250">
        <f>SUMPRODUCT((PP!$A$2:$A$80=$A58)*(PPEmp=AF$1),PP!$D$2:$BD$80)</f>
        <v>0</v>
      </c>
      <c r="AG58" s="250">
        <f>SUMPRODUCT((PP!$A$2:$A$80=$A58)*(PPEmp=AG$1),PP!$D$2:$BD$80)</f>
        <v>0</v>
      </c>
      <c r="AH58" s="250">
        <f>SUMPRODUCT((PP!$A$2:$A$80=$A58)*(PPEmp=AH$1),PP!$D$2:$BD$80)</f>
        <v>0</v>
      </c>
      <c r="AI58" s="250">
        <f>SUMPRODUCT((PP!$A$2:$A$80=$A58)*(PPEmp=AI$1),PP!$D$2:$BD$80)</f>
        <v>0</v>
      </c>
      <c r="AJ58" s="250">
        <f>SUMPRODUCT((PP!$A$2:$A$80=$A58)*(PPEmp=AJ$1),PP!$D$2:$BD$80)</f>
        <v>0</v>
      </c>
      <c r="AK58" s="250">
        <f>SUMPRODUCT((PP!$A$2:$A$80=$A58)*(PPEmp=AK$1),PP!$D$2:$BD$80)</f>
        <v>0</v>
      </c>
      <c r="AL58" s="250">
        <f>SUMPRODUCT((PP!$A$2:$A$80=$A58)*(PPEmp=AL$1),PP!$D$2:$BD$80)</f>
        <v>0</v>
      </c>
      <c r="AM58" s="250">
        <f>SUMPRODUCT((PP!$A$2:$A$80=$A58)*(PPEmp=AM$1),PP!$D$2:$BD$80)</f>
        <v>0</v>
      </c>
      <c r="AN58" s="250">
        <f>SUMPRODUCT((PP!$A$2:$A$80=$A58)*(PPEmp=AN$1),PP!$D$2:$BD$80)</f>
        <v>0</v>
      </c>
      <c r="AO58" s="250">
        <f>SUMPRODUCT((PP!$A$2:$A$80=$A58)*(PPEmp=AO$1),PP!$D$2:$BD$80)</f>
        <v>0</v>
      </c>
      <c r="AP58" s="250">
        <f>SUMPRODUCT((PP!$A$2:$A$80=$A58)*(PPEmp=AP$1),PP!$D$2:$BD$80)</f>
        <v>0</v>
      </c>
      <c r="AQ58" s="250">
        <f>SUMPRODUCT((PP!$A$2:$A$80=$A58)*(PPEmp=AQ$1),PP!$D$2:$BD$80)</f>
        <v>0</v>
      </c>
      <c r="AR58" s="496">
        <f>SUMPRODUCT((PP!$A$2:$A$80=$A58)*(PPEmp=AR$1),PP!$D$2:$BD$80)</f>
        <v>0</v>
      </c>
      <c r="AT58" s="246"/>
    </row>
    <row r="59" spans="1:46" s="271" customFormat="1" x14ac:dyDescent="0.2">
      <c r="A59" s="247">
        <f t="shared" si="35"/>
        <v>42466</v>
      </c>
      <c r="B59" s="252" t="str">
        <f>Total!$J$1</f>
        <v>FH</v>
      </c>
      <c r="C59" s="249">
        <f>SUMPRODUCT((FH!$A$2:$A$97=$A59)*(FHEmp=C$1),FH!$E$2:$AZ$97)</f>
        <v>0</v>
      </c>
      <c r="D59" s="250">
        <f>SUMPRODUCT((FH!$A$2:$A$97=$A59)*(FHEmp=D$1),FH!$E$2:$AZ$97)</f>
        <v>0</v>
      </c>
      <c r="E59" s="250">
        <f>SUMPRODUCT((FH!$A$2:$A$97=$A59)*(FHEmp=E$1),FH!$E$2:$AZ$97)</f>
        <v>0</v>
      </c>
      <c r="F59" s="250">
        <f>SUMPRODUCT((FH!$A$2:$A$97=$A59)*(FHEmp=F$1),FH!$E$2:$AZ$97)</f>
        <v>0</v>
      </c>
      <c r="G59" s="250">
        <f>SUMPRODUCT((FH!$A$2:$A$97=$A59)*(FHEmp=G$1),FH!$E$2:$AZ$97)</f>
        <v>0</v>
      </c>
      <c r="H59" s="250">
        <f>SUMPRODUCT((FH!$A$2:$A$97=$A59)*(FHEmp=H$1),FH!$E$2:$AZ$97)</f>
        <v>0</v>
      </c>
      <c r="I59" s="250">
        <f>SUMPRODUCT((FH!$A$2:$A$97=$A59)*(FHEmp=I$1),FH!$E$2:$AZ$97)</f>
        <v>0</v>
      </c>
      <c r="J59" s="250">
        <f>SUMPRODUCT((FH!$A$2:$A$97=$A59)*(FHEmp=J$1),FH!$E$2:$AZ$97)</f>
        <v>0</v>
      </c>
      <c r="K59" s="250">
        <f>SUMPRODUCT((FH!$A$2:$A$97=$A59)*(FHEmp=K$1),FH!$E$2:$AZ$97)</f>
        <v>0</v>
      </c>
      <c r="L59" s="250">
        <f>SUMPRODUCT((FH!$A$2:$A$97=$A59)*(FHEmp=L$1),FH!$E$2:$AZ$97)</f>
        <v>0</v>
      </c>
      <c r="M59" s="250">
        <f>SUMPRODUCT((FH!$A$2:$A$97=$A59)*(FHEmp=M$1),FH!$E$2:$AZ$97)</f>
        <v>0</v>
      </c>
      <c r="N59" s="250">
        <f>SUMPRODUCT((FH!$A$2:$A$97=$A59)*(FHEmp=N$1),FH!$E$2:$AZ$97)</f>
        <v>0</v>
      </c>
      <c r="O59" s="250">
        <f>SUMPRODUCT((FH!$A$2:$A$97=$A59)*(FHEmp=O$1),FH!$E$2:$AZ$97)</f>
        <v>0</v>
      </c>
      <c r="P59" s="250">
        <f>SUMPRODUCT((FH!$A$2:$A$97=$A59)*(FHEmp=P$1),FH!$E$2:$AZ$97)</f>
        <v>0</v>
      </c>
      <c r="Q59" s="250">
        <f>SUMPRODUCT((FH!$A$2:$A$97=$A59)*(FHEmp=Q$1),FH!$E$2:$AZ$97)</f>
        <v>0</v>
      </c>
      <c r="R59" s="250">
        <f>SUMPRODUCT((FH!$A$2:$A$97=$A59)*(FHEmp=R$1),FH!$E$2:$AZ$97)</f>
        <v>0</v>
      </c>
      <c r="S59" s="250">
        <f>SUMPRODUCT((FH!$A$2:$A$97=$A59)*(FHEmp=S$1),FH!$E$2:$AZ$97)</f>
        <v>0</v>
      </c>
      <c r="T59" s="250">
        <f>SUMPRODUCT((FH!$A$2:$A$97=$A59)*(FHEmp=T$1),FH!$E$2:$AZ$97)</f>
        <v>0</v>
      </c>
      <c r="U59" s="250">
        <f>SUMPRODUCT((FH!$A$2:$A$97=$A59)*(FHEmp=U$1),FH!$E$2:$AZ$97)</f>
        <v>0</v>
      </c>
      <c r="V59" s="250">
        <f>SUMPRODUCT((FH!$A$2:$A$97=$A59)*(FHEmp=V$1),FH!$E$2:$AZ$97)</f>
        <v>0</v>
      </c>
      <c r="W59" s="250">
        <f>SUMPRODUCT((FH!$A$2:$A$97=$A59)*(FHEmp=W$1),FH!$E$2:$AZ$97)</f>
        <v>0</v>
      </c>
      <c r="X59" s="250">
        <f>SUMPRODUCT((FH!$A$2:$A$97=$A59)*(FHEmp=X$1),FH!$E$2:$AZ$97)</f>
        <v>0</v>
      </c>
      <c r="Y59" s="250">
        <f>SUMPRODUCT((FH!$A$2:$A$97=$A59)*(FHEmp=Y$1),FH!$E$2:$AZ$97)</f>
        <v>0</v>
      </c>
      <c r="Z59" s="250">
        <f>SUMPRODUCT((FH!$A$2:$A$97=$A59)*(FHEmp=Z$1),FH!$E$2:$AZ$97)</f>
        <v>0</v>
      </c>
      <c r="AA59" s="250">
        <f>SUMPRODUCT((FH!$A$2:$A$97=$A59)*(FHEmp=AA$1),FH!$E$2:$AZ$97)</f>
        <v>0</v>
      </c>
      <c r="AB59" s="250">
        <f>SUMPRODUCT((FH!$A$2:$A$97=$A59)*(FHEmp=AB$1),FH!$E$2:$AZ$97)</f>
        <v>0</v>
      </c>
      <c r="AC59" s="250">
        <f>SUMPRODUCT((FH!$A$2:$A$97=$A59)*(FHEmp=AC$1),FH!$E$2:$AZ$97)</f>
        <v>0</v>
      </c>
      <c r="AD59" s="250">
        <f>SUMPRODUCT((FH!$A$2:$A$97=$A59)*(FHEmp=AD$1),FH!$E$2:$AZ$97)</f>
        <v>0</v>
      </c>
      <c r="AE59" s="250">
        <f>SUMPRODUCT((FH!$A$2:$A$97=$A59)*(FHEmp=AE$1),FH!$E$2:$AZ$97)</f>
        <v>0</v>
      </c>
      <c r="AF59" s="250">
        <f>SUMPRODUCT((FH!$A$2:$A$97=$A59)*(FHEmp=AF$1),FH!$E$2:$AZ$97)</f>
        <v>0</v>
      </c>
      <c r="AG59" s="250">
        <f>SUMPRODUCT((FH!$A$2:$A$97=$A59)*(FHEmp=AG$1),FH!$E$2:$AZ$97)</f>
        <v>0</v>
      </c>
      <c r="AH59" s="250">
        <f>SUMPRODUCT((FH!$A$2:$A$97=$A59)*(FHEmp=AH$1),FH!$E$2:$AZ$97)</f>
        <v>0</v>
      </c>
      <c r="AI59" s="250">
        <f>SUMPRODUCT((FH!$A$2:$A$97=$A59)*(FHEmp=AI$1),FH!$E$2:$AZ$97)</f>
        <v>0</v>
      </c>
      <c r="AJ59" s="250">
        <f>SUMPRODUCT((FH!$A$2:$A$97=$A59)*(FHEmp=AJ$1),FH!$E$2:$AZ$97)</f>
        <v>0</v>
      </c>
      <c r="AK59" s="250">
        <f>SUMPRODUCT((FH!$A$2:$A$97=$A59)*(FHEmp=AK$1),FH!$E$2:$AZ$97)</f>
        <v>0</v>
      </c>
      <c r="AL59" s="250">
        <f>SUMPRODUCT((FH!$A$2:$A$97=$A59)*(FHEmp=AL$1),FH!$E$2:$AZ$97)</f>
        <v>0</v>
      </c>
      <c r="AM59" s="250">
        <f>SUMPRODUCT((FH!$A$2:$A$97=$A59)*(FHEmp=AM$1),FH!$E$2:$AZ$97)</f>
        <v>0</v>
      </c>
      <c r="AN59" s="250">
        <f>SUMPRODUCT((FH!$A$2:$A$97=$A59)*(FHEmp=AN$1),FH!$E$2:$AZ$97)</f>
        <v>0</v>
      </c>
      <c r="AO59" s="250">
        <f>SUMPRODUCT((FH!$A$2:$A$97=$A59)*(FHEmp=AO$1),FH!$E$2:$AZ$97)</f>
        <v>0</v>
      </c>
      <c r="AP59" s="250">
        <f>SUMPRODUCT((FH!$A$2:$A$97=$A59)*(FHEmp=AP$1),FH!$E$2:$AZ$97)</f>
        <v>0</v>
      </c>
      <c r="AQ59" s="250">
        <f>SUMPRODUCT((FH!$A$2:$A$97=$A59)*(FHEmp=AQ$1),FH!$E$2:$AZ$97)</f>
        <v>0</v>
      </c>
      <c r="AR59" s="496">
        <f>SUMPRODUCT((FH!$A$2:$A$97=$A59)*(FHEmp=AR$1),FH!$E$2:$AZ$97)</f>
        <v>0</v>
      </c>
      <c r="AT59" s="246"/>
    </row>
    <row r="60" spans="1:46" s="271" customFormat="1" x14ac:dyDescent="0.2">
      <c r="A60" s="247">
        <f t="shared" si="35"/>
        <v>42466</v>
      </c>
      <c r="B60" s="253" t="str">
        <f>Total!$K$1</f>
        <v>T22</v>
      </c>
      <c r="C60" s="249">
        <f>SUMPRODUCT(('T22'!$A$2:$A$97=$A60)*(T22Emp=C$1),'T22'!$E$2:$AZ$97)</f>
        <v>0</v>
      </c>
      <c r="D60" s="250">
        <f>SUMPRODUCT(('T22'!$A$2:$A$97=$A60)*(T22Emp=D$1),'T22'!$E$2:$AZ$97)</f>
        <v>0</v>
      </c>
      <c r="E60" s="250">
        <f>SUMPRODUCT(('T22'!$A$2:$A$97=$A60)*(T22Emp=E$1),'T22'!$E$2:$AZ$97)</f>
        <v>0</v>
      </c>
      <c r="F60" s="250">
        <f>SUMPRODUCT(('T22'!$A$2:$A$97=$A60)*(T22Emp=F$1),'T22'!$E$2:$AZ$97)</f>
        <v>0</v>
      </c>
      <c r="G60" s="250">
        <f>SUMPRODUCT(('T22'!$A$2:$A$97=$A60)*(T22Emp=G$1),'T22'!$E$2:$AZ$97)</f>
        <v>0</v>
      </c>
      <c r="H60" s="250">
        <f>SUMPRODUCT(('T22'!$A$2:$A$97=$A60)*(T22Emp=H$1),'T22'!$E$2:$AZ$97)</f>
        <v>0</v>
      </c>
      <c r="I60" s="250">
        <f>SUMPRODUCT(('T22'!$A$2:$A$97=$A60)*(T22Emp=I$1),'T22'!$E$2:$AZ$97)</f>
        <v>0</v>
      </c>
      <c r="J60" s="250">
        <f>SUMPRODUCT(('T22'!$A$2:$A$97=$A60)*(T22Emp=J$1),'T22'!$E$2:$AZ$97)</f>
        <v>0</v>
      </c>
      <c r="K60" s="250">
        <f>SUMPRODUCT(('T22'!$A$2:$A$97=$A60)*(T22Emp=K$1),'T22'!$E$2:$AZ$97)</f>
        <v>0</v>
      </c>
      <c r="L60" s="250">
        <f>SUMPRODUCT(('T22'!$A$2:$A$97=$A60)*(T22Emp=L$1),'T22'!$E$2:$AZ$97)</f>
        <v>0</v>
      </c>
      <c r="M60" s="250">
        <f>SUMPRODUCT(('T22'!$A$2:$A$97=$A60)*(T22Emp=M$1),'T22'!$E$2:$AZ$97)</f>
        <v>0</v>
      </c>
      <c r="N60" s="250">
        <f>SUMPRODUCT(('T22'!$A$2:$A$97=$A60)*(T22Emp=N$1),'T22'!$E$2:$AZ$97)</f>
        <v>0</v>
      </c>
      <c r="O60" s="250">
        <f>SUMPRODUCT(('T22'!$A$2:$A$97=$A60)*(T22Emp=O$1),'T22'!$E$2:$AZ$97)</f>
        <v>0</v>
      </c>
      <c r="P60" s="250">
        <f>SUMPRODUCT(('T22'!$A$2:$A$97=$A60)*(T22Emp=P$1),'T22'!$E$2:$AZ$97)</f>
        <v>0</v>
      </c>
      <c r="Q60" s="250">
        <f>SUMPRODUCT(('T22'!$A$2:$A$97=$A60)*(T22Emp=Q$1),'T22'!$E$2:$AZ$97)</f>
        <v>0</v>
      </c>
      <c r="R60" s="250">
        <f>SUMPRODUCT(('T22'!$A$2:$A$97=$A60)*(T22Emp=R$1),'T22'!$E$2:$AZ$97)</f>
        <v>0</v>
      </c>
      <c r="S60" s="250">
        <f>SUMPRODUCT(('T22'!$A$2:$A$97=$A60)*(T22Emp=S$1),'T22'!$E$2:$AZ$97)</f>
        <v>0</v>
      </c>
      <c r="T60" s="250">
        <f>SUMPRODUCT(('T22'!$A$2:$A$97=$A60)*(T22Emp=T$1),'T22'!$E$2:$AZ$97)</f>
        <v>0</v>
      </c>
      <c r="U60" s="250">
        <f>SUMPRODUCT(('T22'!$A$2:$A$97=$A60)*(T22Emp=U$1),'T22'!$E$2:$AZ$97)</f>
        <v>0</v>
      </c>
      <c r="V60" s="250">
        <f>SUMPRODUCT(('T22'!$A$2:$A$97=$A60)*(T22Emp=V$1),'T22'!$E$2:$AZ$97)</f>
        <v>0</v>
      </c>
      <c r="W60" s="250">
        <f>SUMPRODUCT(('T22'!$A$2:$A$97=$A60)*(T22Emp=W$1),'T22'!$E$2:$AZ$97)</f>
        <v>0</v>
      </c>
      <c r="X60" s="250">
        <f>SUMPRODUCT(('T22'!$A$2:$A$97=$A60)*(T22Emp=X$1),'T22'!$E$2:$AZ$97)</f>
        <v>0</v>
      </c>
      <c r="Y60" s="250">
        <f>SUMPRODUCT(('T22'!$A$2:$A$97=$A60)*(T22Emp=Y$1),'T22'!$E$2:$AZ$97)</f>
        <v>0</v>
      </c>
      <c r="Z60" s="250">
        <f>SUMPRODUCT(('T22'!$A$2:$A$97=$A60)*(T22Emp=Z$1),'T22'!$E$2:$AZ$97)</f>
        <v>0</v>
      </c>
      <c r="AA60" s="250">
        <f>SUMPRODUCT(('T22'!$A$2:$A$97=$A60)*(T22Emp=AA$1),'T22'!$E$2:$AZ$97)</f>
        <v>0</v>
      </c>
      <c r="AB60" s="250">
        <f>SUMPRODUCT(('T22'!$A$2:$A$97=$A60)*(T22Emp=AB$1),'T22'!$E$2:$AZ$97)</f>
        <v>0</v>
      </c>
      <c r="AC60" s="250">
        <f>SUMPRODUCT(('T22'!$A$2:$A$97=$A60)*(T22Emp=AC$1),'T22'!$E$2:$AZ$97)</f>
        <v>0</v>
      </c>
      <c r="AD60" s="250">
        <f>SUMPRODUCT(('T22'!$A$2:$A$97=$A60)*(T22Emp=AD$1),'T22'!$E$2:$AZ$97)</f>
        <v>0</v>
      </c>
      <c r="AE60" s="250">
        <f>SUMPRODUCT(('T22'!$A$2:$A$97=$A60)*(T22Emp=AE$1),'T22'!$E$2:$AZ$97)</f>
        <v>0</v>
      </c>
      <c r="AF60" s="250">
        <f>SUMPRODUCT(('T22'!$A$2:$A$97=$A60)*(T22Emp=AF$1),'T22'!$E$2:$AZ$97)</f>
        <v>0</v>
      </c>
      <c r="AG60" s="250">
        <f>SUMPRODUCT(('T22'!$A$2:$A$97=$A60)*(T22Emp=AG$1),'T22'!$E$2:$AZ$97)</f>
        <v>0</v>
      </c>
      <c r="AH60" s="250">
        <f>SUMPRODUCT(('T22'!$A$2:$A$97=$A60)*(T22Emp=AH$1),'T22'!$E$2:$AZ$97)</f>
        <v>0</v>
      </c>
      <c r="AI60" s="250">
        <f>SUMPRODUCT(('T22'!$A$2:$A$97=$A60)*(T22Emp=AI$1),'T22'!$E$2:$AZ$97)</f>
        <v>0</v>
      </c>
      <c r="AJ60" s="250">
        <f>SUMPRODUCT(('T22'!$A$2:$A$97=$A60)*(T22Emp=AJ$1),'T22'!$E$2:$AZ$97)</f>
        <v>0</v>
      </c>
      <c r="AK60" s="250">
        <f>SUMPRODUCT(('T22'!$A$2:$A$97=$A60)*(T22Emp=AK$1),'T22'!$E$2:$AZ$97)</f>
        <v>0</v>
      </c>
      <c r="AL60" s="250">
        <f>SUMPRODUCT(('T22'!$A$2:$A$97=$A60)*(T22Emp=AL$1),'T22'!$E$2:$AZ$97)</f>
        <v>0</v>
      </c>
      <c r="AM60" s="250">
        <f>SUMPRODUCT(('T22'!$A$2:$A$97=$A60)*(T22Emp=AM$1),'T22'!$E$2:$AZ$97)</f>
        <v>0</v>
      </c>
      <c r="AN60" s="250">
        <f>SUMPRODUCT(('T22'!$A$2:$A$97=$A60)*(T22Emp=AN$1),'T22'!$E$2:$AZ$97)</f>
        <v>0</v>
      </c>
      <c r="AO60" s="250">
        <f>SUMPRODUCT(('T22'!$A$2:$A$97=$A60)*(T22Emp=AO$1),'T22'!$E$2:$AZ$97)</f>
        <v>0</v>
      </c>
      <c r="AP60" s="250">
        <f>SUMPRODUCT(('T22'!$A$2:$A$97=$A60)*(T22Emp=AP$1),'T22'!$E$2:$AZ$97)</f>
        <v>0</v>
      </c>
      <c r="AQ60" s="250">
        <f>SUMPRODUCT(('T22'!$A$2:$A$97=$A60)*(T22Emp=AQ$1),'T22'!$E$2:$AZ$97)</f>
        <v>0</v>
      </c>
      <c r="AR60" s="496">
        <f>SUMPRODUCT(('T22'!$A$2:$A$97=$A60)*(T22Emp=AR$1),'T22'!$E$2:$AZ$97)</f>
        <v>0</v>
      </c>
      <c r="AT60" s="246"/>
    </row>
    <row r="61" spans="1:46" s="271" customFormat="1" x14ac:dyDescent="0.2">
      <c r="A61" s="247">
        <f t="shared" si="35"/>
        <v>42466</v>
      </c>
      <c r="B61" s="254" t="str">
        <f>Total!$L$1</f>
        <v>RF</v>
      </c>
      <c r="C61" s="249">
        <f>SUMPRODUCT((RF!$A$2:$A$17=$A61)*(RFEmp=C$1)*(RF!$H$21:$AO$21="RF Valet"),RF!$H$2:$AO$17)</f>
        <v>0</v>
      </c>
      <c r="D61" s="250">
        <f>SUMPRODUCT((RF!$A$2:$A$17=$A61)*(RFEmp=D$1)*(RF!$H$21:$AO$21="RF Valet"),RF!$H$2:$AO$17)</f>
        <v>0</v>
      </c>
      <c r="E61" s="250">
        <f>SUMPRODUCT((RF!$A$2:$A$17=$A61)*(RFEmp=E$1)*(RF!$H$21:$AO$21="RF Valet"),RF!$H$2:$AO$17)</f>
        <v>0</v>
      </c>
      <c r="F61" s="250">
        <f>SUMPRODUCT((RF!$A$2:$A$17=$A61)*(RFEmp=F$1)*(RF!$H$21:$AO$21="RF Valet"),RF!$H$2:$AO$17)</f>
        <v>0</v>
      </c>
      <c r="G61" s="250">
        <f>SUMPRODUCT((RF!$A$2:$A$17=$A61)*(RFEmp=G$1)*(RF!$H$21:$AO$21="RF Valet"),RF!$H$2:$AO$17)</f>
        <v>0</v>
      </c>
      <c r="H61" s="250">
        <f>SUMPRODUCT((RF!$A$2:$A$17=$A61)*(RFEmp=H$1)*(RF!$H$21:$AO$21="RF Valet"),RF!$H$2:$AO$17)</f>
        <v>0</v>
      </c>
      <c r="I61" s="250">
        <f>SUMPRODUCT((RF!$A$2:$A$17=$A61)*(RFEmp=I$1)*(RF!$H$21:$AO$21="RF Valet"),RF!$H$2:$AO$17)</f>
        <v>0</v>
      </c>
      <c r="J61" s="250">
        <f>SUMPRODUCT((RF!$A$2:$A$17=$A61)*(RFEmp=J$1)*(RF!$H$21:$AO$21="RF Valet"),RF!$H$2:$AO$17)</f>
        <v>0</v>
      </c>
      <c r="K61" s="250">
        <f>SUMPRODUCT((RF!$A$2:$A$17=$A61)*(RFEmp=K$1)*(RF!$H$21:$AO$21="RF Valet"),RF!$H$2:$AO$17)</f>
        <v>0</v>
      </c>
      <c r="L61" s="250">
        <f>SUMPRODUCT((RF!$A$2:$A$17=$A61)*(RFEmp=L$1)*(RF!$H$21:$AO$21="RF Valet"),RF!$H$2:$AO$17)</f>
        <v>0</v>
      </c>
      <c r="M61" s="250">
        <f>SUMPRODUCT((RF!$A$2:$A$17=$A61)*(RFEmp=M$1)*(RF!$H$21:$AO$21="RF Valet"),RF!$H$2:$AO$17)</f>
        <v>0</v>
      </c>
      <c r="N61" s="250">
        <f>SUMPRODUCT((RF!$A$2:$A$17=$A61)*(RFEmp=N$1)*(RF!$H$21:$AO$21="RF Valet"),RF!$H$2:$AO$17)</f>
        <v>0</v>
      </c>
      <c r="O61" s="250">
        <f>SUMPRODUCT((RF!$A$2:$A$17=$A61)*(RFEmp=O$1)*(RF!$H$21:$AO$21="RF Valet"),RF!$H$2:$AO$17)</f>
        <v>0</v>
      </c>
      <c r="P61" s="250">
        <f>SUMPRODUCT((RF!$A$2:$A$17=$A61)*(RFEmp=P$1)*(RF!$H$21:$AO$21="RF Valet"),RF!$H$2:$AO$17)</f>
        <v>0</v>
      </c>
      <c r="Q61" s="250">
        <f>SUMPRODUCT((RF!$A$2:$A$17=$A61)*(RFEmp=Q$1)*(RF!$H$21:$AO$21="RF Valet"),RF!$H$2:$AO$17)</f>
        <v>0</v>
      </c>
      <c r="R61" s="250">
        <f>SUMPRODUCT((RF!$A$2:$A$17=$A61)*(RFEmp=R$1)*(RF!$H$21:$AO$21="RF Valet"),RF!$H$2:$AO$17)</f>
        <v>0</v>
      </c>
      <c r="S61" s="250">
        <f>SUMPRODUCT((RF!$A$2:$A$17=$A61)*(RFEmp=S$1)*(RF!$H$21:$AO$21="RF Valet"),RF!$H$2:$AO$17)</f>
        <v>0</v>
      </c>
      <c r="T61" s="250">
        <f>SUMPRODUCT((RF!$A$2:$A$17=$A61)*(RFEmp=T$1)*(RF!$H$21:$AO$21="RF Valet"),RF!$H$2:$AO$17)</f>
        <v>0</v>
      </c>
      <c r="U61" s="250">
        <f>SUMPRODUCT((RF!$A$2:$A$17=$A61)*(RFEmp=U$1)*(RF!$H$21:$AO$21="RF Valet"),RF!$H$2:$AO$17)</f>
        <v>0</v>
      </c>
      <c r="V61" s="250">
        <f>SUMPRODUCT((RF!$A$2:$A$17=$A61)*(RFEmp=V$1)*(RF!$H$21:$AO$21="RF Valet"),RF!$H$2:$AO$17)</f>
        <v>0</v>
      </c>
      <c r="W61" s="250">
        <f>SUMPRODUCT((RF!$A$2:$A$17=$A61)*(RFEmp=W$1)*(RF!$H$21:$AO$21="RF Valet"),RF!$H$2:$AO$17)</f>
        <v>0</v>
      </c>
      <c r="X61" s="250">
        <f>SUMPRODUCT((RF!$A$2:$A$17=$A61)*(RFEmp=X$1)*(RF!$H$21:$AO$21="RF Valet"),RF!$H$2:$AO$17)</f>
        <v>0</v>
      </c>
      <c r="Y61" s="250">
        <f>SUMPRODUCT((RF!$A$2:$A$17=$A61)*(RFEmp=Y$1)*(RF!$H$21:$AO$21="RF Valet"),RF!$H$2:$AO$17)</f>
        <v>0</v>
      </c>
      <c r="Z61" s="250">
        <f>SUMPRODUCT((RF!$A$2:$A$17=$A61)*(RFEmp=Z$1)*(RF!$H$21:$AO$21="RF Valet"),RF!$H$2:$AO$17)</f>
        <v>0</v>
      </c>
      <c r="AA61" s="250">
        <f>SUMPRODUCT((RF!$A$2:$A$17=$A61)*(RFEmp=AA$1)*(RF!$H$21:$AO$21="RF Valet"),RF!$H$2:$AO$17)</f>
        <v>0</v>
      </c>
      <c r="AB61" s="250">
        <f>SUMPRODUCT((RF!$A$2:$A$17=$A61)*(RFEmp=AB$1)*(RF!$H$21:$AO$21="RF Valet"),RF!$H$2:$AO$17)</f>
        <v>0</v>
      </c>
      <c r="AC61" s="250">
        <f>SUMPRODUCT((RF!$A$2:$A$17=$A61)*(RFEmp=AC$1)*(RF!$H$21:$AO$21="RF Valet"),RF!$H$2:$AO$17)</f>
        <v>0</v>
      </c>
      <c r="AD61" s="250">
        <f>SUMPRODUCT((RF!$A$2:$A$17=$A61)*(RFEmp=AD$1)*(RF!$H$21:$AO$21="RF Valet"),RF!$H$2:$AO$17)</f>
        <v>0</v>
      </c>
      <c r="AE61" s="250">
        <f>SUMPRODUCT((RF!$A$2:$A$17=$A61)*(RFEmp=AE$1)*(RF!$H$21:$AO$21="RF Valet"),RF!$H$2:$AO$17)</f>
        <v>0</v>
      </c>
      <c r="AF61" s="250">
        <f>SUMPRODUCT((RF!$A$2:$A$17=$A61)*(RFEmp=AF$1)*(RF!$H$21:$AO$21="RF Valet"),RF!$H$2:$AO$17)</f>
        <v>0</v>
      </c>
      <c r="AG61" s="250">
        <f>SUMPRODUCT((RF!$A$2:$A$17=$A61)*(RFEmp=AG$1)*(RF!$H$21:$AO$21="RF Valet"),RF!$H$2:$AO$17)</f>
        <v>0</v>
      </c>
      <c r="AH61" s="250">
        <f>SUMPRODUCT((RF!$A$2:$A$17=$A61)*(RFEmp=AH$1)*(RF!$H$21:$AO$21="RF Valet"),RF!$H$2:$AO$17)</f>
        <v>0</v>
      </c>
      <c r="AI61" s="250">
        <f>SUMPRODUCT((RF!$A$2:$A$17=$A61)*(RFEmp=AI$1)*(RF!$H$21:$AO$21="RF Valet"),RF!$H$2:$AO$17)</f>
        <v>0</v>
      </c>
      <c r="AJ61" s="250">
        <f>SUMPRODUCT((RF!$A$2:$A$17=$A61)*(RFEmp=AJ$1)*(RF!$H$21:$AO$21="RF Valet"),RF!$H$2:$AO$17)</f>
        <v>0</v>
      </c>
      <c r="AK61" s="250">
        <f>SUMPRODUCT((RF!$A$2:$A$17=$A61)*(RFEmp=AK$1)*(RF!$H$21:$AO$21="RF Valet"),RF!$H$2:$AO$17)</f>
        <v>0</v>
      </c>
      <c r="AL61" s="250">
        <f>SUMPRODUCT((RF!$A$2:$A$17=$A61)*(RFEmp=AL$1)*(RF!$H$21:$AO$21="RF Valet"),RF!$H$2:$AO$17)</f>
        <v>0</v>
      </c>
      <c r="AM61" s="250">
        <f>SUMPRODUCT((RF!$A$2:$A$17=$A61)*(RFEmp=AM$1)*(RF!$H$21:$AO$21="RF Valet"),RF!$H$2:$AO$17)</f>
        <v>0</v>
      </c>
      <c r="AN61" s="250">
        <f>SUMPRODUCT((RF!$A$2:$A$17=$A61)*(RFEmp=AN$1)*(RF!$H$21:$AO$21="RF Valet"),RF!$H$2:$AO$17)</f>
        <v>0</v>
      </c>
      <c r="AO61" s="250">
        <f>SUMPRODUCT((RF!$A$2:$A$17=$A61)*(RFEmp=AO$1)*(RF!$H$21:$AO$21="RF Valet"),RF!$H$2:$AO$17)</f>
        <v>0</v>
      </c>
      <c r="AP61" s="250">
        <f>SUMPRODUCT((RF!$A$2:$A$17=$A61)*(RFEmp=AP$1)*(RF!$H$21:$AO$21="RF Valet"),RF!$H$2:$AO$17)</f>
        <v>0</v>
      </c>
      <c r="AQ61" s="250">
        <f>SUMPRODUCT((RF!$A$2:$A$17=$A61)*(RFEmp=AQ$1)*(RF!$H$21:$AO$21="RF Valet"),RF!$H$2:$AO$17)</f>
        <v>0</v>
      </c>
      <c r="AR61" s="496">
        <f>SUMPRODUCT((RF!$A$2:$A$17=$A61)*(RFEmp=AR$1)*(RF!$H$21:$AO$21="RF Valet"),RF!$H$2:$AO$17)</f>
        <v>0</v>
      </c>
      <c r="AT61" s="246"/>
    </row>
    <row r="62" spans="1:46" s="271" customFormat="1" x14ac:dyDescent="0.2">
      <c r="A62" s="247">
        <f>A61</f>
        <v>42466</v>
      </c>
      <c r="B62" s="255" t="s">
        <v>74</v>
      </c>
      <c r="C62" s="249">
        <f>SUMPRODUCT((TM!$A$2:$A$17=$A62)*(TMEmp=C$1),TM!$D$2:$AK$17)</f>
        <v>0</v>
      </c>
      <c r="D62" s="250">
        <f>SUMPRODUCT((TM!$A$2:$A$17=$A62)*(TMEmp=D$1),TM!$D$2:$AK$17)</f>
        <v>0</v>
      </c>
      <c r="E62" s="250">
        <f>SUMPRODUCT((TM!$A$2:$A$17=$A62)*(TMEmp=E$1),TM!$D$2:$AK$17)</f>
        <v>0</v>
      </c>
      <c r="F62" s="250">
        <f>SUMPRODUCT((TM!$A$2:$A$17=$A62)*(TMEmp=F$1),TM!$D$2:$AK$17)</f>
        <v>0</v>
      </c>
      <c r="G62" s="250">
        <f>SUMPRODUCT((TM!$A$2:$A$17=$A62)*(TMEmp=G$1),TM!$D$2:$AK$17)</f>
        <v>0</v>
      </c>
      <c r="H62" s="250">
        <f>SUMPRODUCT((TM!$A$2:$A$17=$A62)*(TMEmp=H$1),TM!$D$2:$AK$17)</f>
        <v>0</v>
      </c>
      <c r="I62" s="250">
        <f>SUMPRODUCT((TM!$A$2:$A$17=$A62)*(TMEmp=I$1),TM!$D$2:$AK$17)</f>
        <v>0</v>
      </c>
      <c r="J62" s="250">
        <f>SUMPRODUCT((TM!$A$2:$A$17=$A62)*(TMEmp=J$1),TM!$D$2:$AK$17)</f>
        <v>0</v>
      </c>
      <c r="K62" s="250">
        <f>SUMPRODUCT((TM!$A$2:$A$17=$A62)*(TMEmp=K$1),TM!$D$2:$AK$17)</f>
        <v>0</v>
      </c>
      <c r="L62" s="250">
        <f>SUMPRODUCT((TM!$A$2:$A$17=$A62)*(TMEmp=L$1),TM!$D$2:$AK$17)</f>
        <v>0</v>
      </c>
      <c r="M62" s="250">
        <f>SUMPRODUCT((TM!$A$2:$A$17=$A62)*(TMEmp=M$1),TM!$D$2:$AK$17)</f>
        <v>0</v>
      </c>
      <c r="N62" s="250">
        <f>SUMPRODUCT((TM!$A$2:$A$17=$A62)*(TMEmp=N$1),TM!$D$2:$AK$17)</f>
        <v>0</v>
      </c>
      <c r="O62" s="250">
        <f>SUMPRODUCT((TM!$A$2:$A$17=$A62)*(TMEmp=O$1),TM!$D$2:$AK$17)</f>
        <v>0</v>
      </c>
      <c r="P62" s="250">
        <f>SUMPRODUCT((TM!$A$2:$A$17=$A62)*(TMEmp=P$1),TM!$D$2:$AK$17)</f>
        <v>0</v>
      </c>
      <c r="Q62" s="250">
        <f>SUMPRODUCT((TM!$A$2:$A$17=$A62)*(TMEmp=Q$1),TM!$D$2:$AK$17)</f>
        <v>0</v>
      </c>
      <c r="R62" s="250">
        <f>SUMPRODUCT((TM!$A$2:$A$17=$A62)*(TMEmp=R$1),TM!$D$2:$AK$17)</f>
        <v>0</v>
      </c>
      <c r="S62" s="250">
        <f>SUMPRODUCT((TM!$A$2:$A$17=$A62)*(TMEmp=S$1),TM!$D$2:$AK$17)</f>
        <v>0</v>
      </c>
      <c r="T62" s="250">
        <f>SUMPRODUCT((TM!$A$2:$A$17=$A62)*(TMEmp=T$1),TM!$D$2:$AK$17)</f>
        <v>0</v>
      </c>
      <c r="U62" s="250">
        <f>SUMPRODUCT((TM!$A$2:$A$17=$A62)*(TMEmp=U$1),TM!$D$2:$AK$17)</f>
        <v>0</v>
      </c>
      <c r="V62" s="250">
        <f>SUMPRODUCT((TM!$A$2:$A$17=$A62)*(TMEmp=V$1),TM!$D$2:$AK$17)</f>
        <v>0</v>
      </c>
      <c r="W62" s="250">
        <f>SUMPRODUCT((TM!$A$2:$A$17=$A62)*(TMEmp=W$1),TM!$D$2:$AK$17)</f>
        <v>0</v>
      </c>
      <c r="X62" s="250">
        <f>SUMPRODUCT((TM!$A$2:$A$17=$A62)*(TMEmp=X$1),TM!$D$2:$AK$17)</f>
        <v>0</v>
      </c>
      <c r="Y62" s="250">
        <f>SUMPRODUCT((TM!$A$2:$A$17=$A62)*(TMEmp=Y$1),TM!$D$2:$AK$17)</f>
        <v>0</v>
      </c>
      <c r="Z62" s="250">
        <f>SUMPRODUCT((TM!$A$2:$A$17=$A62)*(TMEmp=Z$1),TM!$D$2:$AK$17)</f>
        <v>0</v>
      </c>
      <c r="AA62" s="250">
        <f>SUMPRODUCT((TM!$A$2:$A$17=$A62)*(TMEmp=AA$1),TM!$D$2:$AK$17)</f>
        <v>0</v>
      </c>
      <c r="AB62" s="250">
        <f>SUMPRODUCT((TM!$A$2:$A$17=$A62)*(TMEmp=AB$1),TM!$D$2:$AK$17)</f>
        <v>0</v>
      </c>
      <c r="AC62" s="250">
        <f>SUMPRODUCT((TM!$A$2:$A$17=$A62)*(TMEmp=AC$1),TM!$D$2:$AK$17)</f>
        <v>0</v>
      </c>
      <c r="AD62" s="250">
        <f>SUMPRODUCT((TM!$A$2:$A$17=$A62)*(TMEmp=AD$1),TM!$D$2:$AK$17)</f>
        <v>0</v>
      </c>
      <c r="AE62" s="250">
        <f>SUMPRODUCT((TM!$A$2:$A$17=$A62)*(TMEmp=AE$1),TM!$D$2:$AK$17)</f>
        <v>0</v>
      </c>
      <c r="AF62" s="250">
        <f>SUMPRODUCT((TM!$A$2:$A$17=$A62)*(TMEmp=AF$1),TM!$D$2:$AK$17)</f>
        <v>0</v>
      </c>
      <c r="AG62" s="250">
        <f>SUMPRODUCT((TM!$A$2:$A$17=$A62)*(TMEmp=AG$1),TM!$D$2:$AK$17)</f>
        <v>0</v>
      </c>
      <c r="AH62" s="250">
        <f>SUMPRODUCT((TM!$A$2:$A$17=$A62)*(TMEmp=AH$1),TM!$D$2:$AK$17)</f>
        <v>0</v>
      </c>
      <c r="AI62" s="250">
        <f>SUMPRODUCT((TM!$A$2:$A$17=$A62)*(TMEmp=AI$1),TM!$D$2:$AK$17)</f>
        <v>0</v>
      </c>
      <c r="AJ62" s="250">
        <f>SUMPRODUCT((TM!$A$2:$A$17=$A62)*(TMEmp=AJ$1),TM!$D$2:$AK$17)</f>
        <v>0</v>
      </c>
      <c r="AK62" s="250">
        <f>SUMPRODUCT((TM!$A$2:$A$17=$A62)*(TMEmp=AK$1),TM!$D$2:$AK$17)</f>
        <v>0</v>
      </c>
      <c r="AL62" s="250">
        <f>SUMPRODUCT((TM!$A$2:$A$17=$A62)*(TMEmp=AL$1),TM!$D$2:$AK$17)</f>
        <v>0</v>
      </c>
      <c r="AM62" s="250">
        <f>SUMPRODUCT((TM!$A$2:$A$17=$A62)*(TMEmp=AM$1),TM!$D$2:$AK$17)</f>
        <v>0</v>
      </c>
      <c r="AN62" s="250">
        <f>SUMPRODUCT((TM!$A$2:$A$17=$A62)*(TMEmp=AN$1),TM!$D$2:$AK$17)</f>
        <v>0</v>
      </c>
      <c r="AO62" s="250">
        <f>SUMPRODUCT((TM!$A$2:$A$17=$A62)*(TMEmp=AO$1),TM!$D$2:$AK$17)</f>
        <v>0</v>
      </c>
      <c r="AP62" s="250">
        <f>SUMPRODUCT((TM!$A$2:$A$17=$A62)*(TMEmp=AP$1),TM!$D$2:$AK$17)</f>
        <v>0</v>
      </c>
      <c r="AQ62" s="250">
        <f>SUMPRODUCT((TM!$A$2:$A$17=$A62)*(TMEmp=AQ$1),TM!$D$2:$AK$17)</f>
        <v>0</v>
      </c>
      <c r="AR62" s="496">
        <f>SUMPRODUCT((TM!$A$2:$A$17=$A62)*(TMEmp=AR$1),TM!$D$2:$AK$17)</f>
        <v>0</v>
      </c>
      <c r="AT62" s="246"/>
    </row>
    <row r="63" spans="1:46" s="271" customFormat="1" x14ac:dyDescent="0.2">
      <c r="A63" s="256">
        <f t="shared" si="35"/>
        <v>42466</v>
      </c>
      <c r="B63" s="257" t="s">
        <v>72</v>
      </c>
      <c r="C63" s="258">
        <f>SUMPRODUCT((PC!$A$2:$A$80=$A63)*(PCEmp=C$1),PC!$D$2:$BD$80)</f>
        <v>0</v>
      </c>
      <c r="D63" s="259">
        <f>SUMPRODUCT((PC!$A$2:$A$80=$A63)*(PCEmp=D$1),PC!$D$2:$BD$80)</f>
        <v>0</v>
      </c>
      <c r="E63" s="259">
        <f>SUMPRODUCT((PC!$A$2:$A$80=$A63)*(PCEmp=E$1),PC!$D$2:$BD$80)</f>
        <v>0</v>
      </c>
      <c r="F63" s="259">
        <f>SUMPRODUCT((PC!$A$2:$A$80=$A63)*(PCEmp=F$1),PC!$D$2:$BD$80)</f>
        <v>0</v>
      </c>
      <c r="G63" s="259">
        <f>SUMPRODUCT((PC!$A$2:$A$80=$A63)*(PCEmp=G$1),PC!$D$2:$BD$80)</f>
        <v>0</v>
      </c>
      <c r="H63" s="259">
        <f>SUMPRODUCT((PC!$A$2:$A$80=$A63)*(PCEmp=H$1),PC!$D$2:$BD$80)</f>
        <v>0</v>
      </c>
      <c r="I63" s="259">
        <f>SUMPRODUCT((PC!$A$2:$A$80=$A63)*(PCEmp=I$1),PC!$D$2:$BD$80)</f>
        <v>0</v>
      </c>
      <c r="J63" s="259">
        <f>SUMPRODUCT((PC!$A$2:$A$80=$A63)*(PCEmp=J$1),PC!$D$2:$BD$80)</f>
        <v>0</v>
      </c>
      <c r="K63" s="259">
        <f>SUMPRODUCT((PC!$A$2:$A$80=$A63)*(PCEmp=K$1),PC!$D$2:$BD$80)</f>
        <v>0</v>
      </c>
      <c r="L63" s="259">
        <f>SUMPRODUCT((PC!$A$2:$A$80=$A63)*(PCEmp=L$1),PC!$D$2:$BD$80)</f>
        <v>0</v>
      </c>
      <c r="M63" s="259">
        <f>SUMPRODUCT((PC!$A$2:$A$80=$A63)*(PCEmp=M$1),PC!$D$2:$BD$80)</f>
        <v>0</v>
      </c>
      <c r="N63" s="259">
        <f>SUMPRODUCT((PC!$A$2:$A$80=$A63)*(PCEmp=N$1),PC!$D$2:$BD$80)</f>
        <v>0</v>
      </c>
      <c r="O63" s="259">
        <f>SUMPRODUCT((PC!$A$2:$A$80=$A63)*(PCEmp=O$1),PC!$D$2:$BD$80)</f>
        <v>0</v>
      </c>
      <c r="P63" s="259">
        <f>SUMPRODUCT((PC!$A$2:$A$80=$A63)*(PCEmp=P$1),PC!$D$2:$BD$80)</f>
        <v>0</v>
      </c>
      <c r="Q63" s="259">
        <f>SUMPRODUCT((PC!$A$2:$A$80=$A63)*(PCEmp=Q$1),PC!$D$2:$BD$80)</f>
        <v>0</v>
      </c>
      <c r="R63" s="259">
        <f>SUMPRODUCT((PC!$A$2:$A$80=$A63)*(PCEmp=R$1),PC!$D$2:$BD$80)</f>
        <v>0</v>
      </c>
      <c r="S63" s="259">
        <f>SUMPRODUCT((PC!$A$2:$A$80=$A63)*(PCEmp=S$1),PC!$D$2:$BD$80)</f>
        <v>0</v>
      </c>
      <c r="T63" s="259">
        <f>SUMPRODUCT((PC!$A$2:$A$80=$A63)*(PCEmp=T$1),PC!$D$2:$BD$80)</f>
        <v>0</v>
      </c>
      <c r="U63" s="259">
        <f>SUMPRODUCT((PC!$A$2:$A$80=$A63)*(PCEmp=U$1),PC!$D$2:$BD$80)</f>
        <v>0</v>
      </c>
      <c r="V63" s="259">
        <f>SUMPRODUCT((PC!$A$2:$A$80=$A63)*(PCEmp=V$1),PC!$D$2:$BD$80)</f>
        <v>0</v>
      </c>
      <c r="W63" s="259">
        <f>SUMPRODUCT((PC!$A$2:$A$80=$A63)*(PCEmp=W$1),PC!$D$2:$BD$80)</f>
        <v>0</v>
      </c>
      <c r="X63" s="259">
        <f>SUMPRODUCT((PC!$A$2:$A$80=$A63)*(PCEmp=X$1),PC!$D$2:$BD$80)</f>
        <v>0</v>
      </c>
      <c r="Y63" s="259">
        <f>SUMPRODUCT((PC!$A$2:$A$80=$A63)*(PCEmp=Y$1),PC!$D$2:$BD$80)</f>
        <v>0</v>
      </c>
      <c r="Z63" s="259">
        <f>SUMPRODUCT((PC!$A$2:$A$80=$A63)*(PCEmp=Z$1),PC!$D$2:$BD$80)</f>
        <v>0</v>
      </c>
      <c r="AA63" s="259">
        <f>SUMPRODUCT((PC!$A$2:$A$80=$A63)*(PCEmp=AA$1),PC!$D$2:$BD$80)</f>
        <v>0</v>
      </c>
      <c r="AB63" s="259">
        <f>SUMPRODUCT((PC!$A$2:$A$80=$A63)*(PCEmp=AB$1),PC!$D$2:$BD$80)</f>
        <v>0</v>
      </c>
      <c r="AC63" s="259">
        <f>SUMPRODUCT((PC!$A$2:$A$80=$A63)*(PCEmp=AC$1),PC!$D$2:$BD$80)</f>
        <v>0</v>
      </c>
      <c r="AD63" s="259">
        <f>SUMPRODUCT((PC!$A$2:$A$80=$A63)*(PCEmp=AD$1),PC!$D$2:$BD$80)</f>
        <v>0</v>
      </c>
      <c r="AE63" s="259">
        <f>SUMPRODUCT((PC!$A$2:$A$80=$A63)*(PCEmp=AE$1),PC!$D$2:$BD$80)</f>
        <v>0</v>
      </c>
      <c r="AF63" s="259">
        <f>SUMPRODUCT((PC!$A$2:$A$80=$A63)*(PCEmp=AF$1),PC!$D$2:$BD$80)</f>
        <v>0</v>
      </c>
      <c r="AG63" s="259">
        <f>SUMPRODUCT((PC!$A$2:$A$80=$A63)*(PCEmp=AG$1),PC!$D$2:$BD$80)</f>
        <v>0</v>
      </c>
      <c r="AH63" s="259">
        <f>SUMPRODUCT((PC!$A$2:$A$80=$A63)*(PCEmp=AH$1),PC!$D$2:$BD$80)</f>
        <v>0</v>
      </c>
      <c r="AI63" s="259">
        <f>SUMPRODUCT((PC!$A$2:$A$80=$A63)*(PCEmp=AI$1),PC!$D$2:$BD$80)</f>
        <v>0</v>
      </c>
      <c r="AJ63" s="259">
        <f>SUMPRODUCT((PC!$A$2:$A$80=$A63)*(PCEmp=AJ$1),PC!$D$2:$BD$80)</f>
        <v>0</v>
      </c>
      <c r="AK63" s="259">
        <f>SUMPRODUCT((PC!$A$2:$A$80=$A63)*(PCEmp=AK$1),PC!$D$2:$BD$80)</f>
        <v>0</v>
      </c>
      <c r="AL63" s="259">
        <f>SUMPRODUCT((PC!$A$2:$A$80=$A63)*(PCEmp=AL$1),PC!$D$2:$BD$80)</f>
        <v>0</v>
      </c>
      <c r="AM63" s="259">
        <f>SUMPRODUCT((PC!$A$2:$A$80=$A63)*(PCEmp=AM$1),PC!$D$2:$BD$80)</f>
        <v>0</v>
      </c>
      <c r="AN63" s="259">
        <f>SUMPRODUCT((PC!$A$2:$A$80=$A63)*(PCEmp=AN$1),PC!$D$2:$BD$80)</f>
        <v>0</v>
      </c>
      <c r="AO63" s="259">
        <f>SUMPRODUCT((PC!$A$2:$A$80=$A63)*(PCEmp=AO$1),PC!$D$2:$BD$80)</f>
        <v>0</v>
      </c>
      <c r="AP63" s="259">
        <f>SUMPRODUCT((PC!$A$2:$A$80=$A63)*(PCEmp=AP$1),PC!$D$2:$BD$80)</f>
        <v>0</v>
      </c>
      <c r="AQ63" s="259">
        <f>SUMPRODUCT((PC!$A$2:$A$80=$A63)*(PCEmp=AQ$1),PC!$D$2:$BD$80)</f>
        <v>0</v>
      </c>
      <c r="AR63" s="497">
        <f>SUMPRODUCT((PC!$A$2:$A$80=$A63)*(PCEmp=AR$1),PC!$D$2:$BD$80)</f>
        <v>0</v>
      </c>
      <c r="AT63" s="246"/>
    </row>
    <row r="64" spans="1:46" s="271" customFormat="1" x14ac:dyDescent="0.2">
      <c r="A64" s="247">
        <f t="shared" si="35"/>
        <v>42466</v>
      </c>
      <c r="B64" s="254" t="s">
        <v>85</v>
      </c>
      <c r="C64" s="249">
        <f>SUMPRODUCT((RF!$A$2:$A$17=$A64)*(RFEmp=C$1)*(RF!$H$21:$AO$21="RF Lead"),RF!$H$2:$AO$17)</f>
        <v>0</v>
      </c>
      <c r="D64" s="250">
        <f>SUMPRODUCT((RF!$A$2:$A$17=$A64)*(RFEmp=D$1)*(RF!$H$21:$AO$21="RF Lead"),RF!$H$2:$AO$17)</f>
        <v>0</v>
      </c>
      <c r="E64" s="250">
        <f>SUMPRODUCT((RF!$A$2:$A$17=$A64)*(RFEmp=E$1)*(RF!$H$21:$AO$21="RF Lead"),RF!$H$2:$AO$17)</f>
        <v>0</v>
      </c>
      <c r="F64" s="250">
        <f>SUMPRODUCT((RF!$A$2:$A$17=$A64)*(RFEmp=F$1)*(RF!$H$21:$AO$21="RF Lead"),RF!$H$2:$AO$17)</f>
        <v>0</v>
      </c>
      <c r="G64" s="250">
        <f>SUMPRODUCT((RF!$A$2:$A$17=$A64)*(RFEmp=G$1)*(RF!$H$21:$AO$21="RF Lead"),RF!$H$2:$AO$17)</f>
        <v>0</v>
      </c>
      <c r="H64" s="250">
        <f>SUMPRODUCT((RF!$A$2:$A$17=$A64)*(RFEmp=H$1)*(RF!$H$21:$AO$21="RF Lead"),RF!$H$2:$AO$17)</f>
        <v>0</v>
      </c>
      <c r="I64" s="250">
        <f>SUMPRODUCT((RF!$A$2:$A$17=$A64)*(RFEmp=I$1)*(RF!$H$21:$AO$21="RF Lead"),RF!$H$2:$AO$17)</f>
        <v>0</v>
      </c>
      <c r="J64" s="250">
        <f>SUMPRODUCT((RF!$A$2:$A$17=$A64)*(RFEmp=J$1)*(RF!$H$21:$AO$21="RF Lead"),RF!$H$2:$AO$17)</f>
        <v>0</v>
      </c>
      <c r="K64" s="250">
        <f>SUMPRODUCT((RF!$A$2:$A$17=$A64)*(RFEmp=K$1)*(RF!$H$21:$AO$21="RF Lead"),RF!$H$2:$AO$17)</f>
        <v>0</v>
      </c>
      <c r="L64" s="250">
        <f>SUMPRODUCT((RF!$A$2:$A$17=$A64)*(RFEmp=L$1)*(RF!$H$21:$AO$21="RF Lead"),RF!$H$2:$AO$17)</f>
        <v>0</v>
      </c>
      <c r="M64" s="250">
        <f>SUMPRODUCT((RF!$A$2:$A$17=$A64)*(RFEmp=M$1)*(RF!$H$21:$AO$21="RF Lead"),RF!$H$2:$AO$17)</f>
        <v>0</v>
      </c>
      <c r="N64" s="250">
        <f>SUMPRODUCT((RF!$A$2:$A$17=$A64)*(RFEmp=N$1)*(RF!$H$21:$AO$21="RF Lead"),RF!$H$2:$AO$17)</f>
        <v>0</v>
      </c>
      <c r="O64" s="250">
        <f>SUMPRODUCT((RF!$A$2:$A$17=$A64)*(RFEmp=O$1)*(RF!$H$21:$AO$21="RF Lead"),RF!$H$2:$AO$17)</f>
        <v>0</v>
      </c>
      <c r="P64" s="250">
        <f>SUMPRODUCT((RF!$A$2:$A$17=$A64)*(RFEmp=P$1)*(RF!$H$21:$AO$21="RF Lead"),RF!$H$2:$AO$17)</f>
        <v>0</v>
      </c>
      <c r="Q64" s="250">
        <f>SUMPRODUCT((RF!$A$2:$A$17=$A64)*(RFEmp=Q$1)*(RF!$H$21:$AO$21="RF Lead"),RF!$H$2:$AO$17)</f>
        <v>0</v>
      </c>
      <c r="R64" s="250">
        <f>SUMPRODUCT((RF!$A$2:$A$17=$A64)*(RFEmp=R$1)*(RF!$H$21:$AO$21="RF Lead"),RF!$H$2:$AO$17)</f>
        <v>0</v>
      </c>
      <c r="S64" s="250">
        <f>SUMPRODUCT((RF!$A$2:$A$17=$A64)*(RFEmp=S$1)*(RF!$H$21:$AO$21="RF Lead"),RF!$H$2:$AO$17)</f>
        <v>0</v>
      </c>
      <c r="T64" s="250">
        <f>SUMPRODUCT((RF!$A$2:$A$17=$A64)*(RFEmp=T$1)*(RF!$H$21:$AO$21="RF Lead"),RF!$H$2:$AO$17)</f>
        <v>0</v>
      </c>
      <c r="U64" s="250">
        <f>SUMPRODUCT((RF!$A$2:$A$17=$A64)*(RFEmp=U$1)*(RF!$H$21:$AO$21="RF Lead"),RF!$H$2:$AO$17)</f>
        <v>0</v>
      </c>
      <c r="V64" s="250">
        <f>SUMPRODUCT((RF!$A$2:$A$17=$A64)*(RFEmp=V$1)*(RF!$H$21:$AO$21="RF Lead"),RF!$H$2:$AO$17)</f>
        <v>0</v>
      </c>
      <c r="W64" s="250">
        <f>SUMPRODUCT((RF!$A$2:$A$17=$A64)*(RFEmp=W$1)*(RF!$H$21:$AO$21="RF Lead"),RF!$H$2:$AO$17)</f>
        <v>0</v>
      </c>
      <c r="X64" s="250">
        <f>SUMPRODUCT((RF!$A$2:$A$17=$A64)*(RFEmp=X$1)*(RF!$H$21:$AO$21="RF Lead"),RF!$H$2:$AO$17)</f>
        <v>0</v>
      </c>
      <c r="Y64" s="250">
        <f>SUMPRODUCT((RF!$A$2:$A$17=$A64)*(RFEmp=Y$1)*(RF!$H$21:$AO$21="RF Lead"),RF!$H$2:$AO$17)</f>
        <v>0</v>
      </c>
      <c r="Z64" s="250">
        <f>SUMPRODUCT((RF!$A$2:$A$17=$A64)*(RFEmp=Z$1)*(RF!$H$21:$AO$21="RF Lead"),RF!$H$2:$AO$17)</f>
        <v>0</v>
      </c>
      <c r="AA64" s="250">
        <f>SUMPRODUCT((RF!$A$2:$A$17=$A64)*(RFEmp=AA$1)*(RF!$H$21:$AO$21="RF Lead"),RF!$H$2:$AO$17)</f>
        <v>0</v>
      </c>
      <c r="AB64" s="250">
        <f>SUMPRODUCT((RF!$A$2:$A$17=$A64)*(RFEmp=AB$1)*(RF!$H$21:$AO$21="RF Lead"),RF!$H$2:$AO$17)</f>
        <v>0</v>
      </c>
      <c r="AC64" s="250">
        <f>SUMPRODUCT((RF!$A$2:$A$17=$A64)*(RFEmp=AC$1)*(RF!$H$21:$AO$21="RF Lead"),RF!$H$2:$AO$17)</f>
        <v>0</v>
      </c>
      <c r="AD64" s="250">
        <f>SUMPRODUCT((RF!$A$2:$A$17=$A64)*(RFEmp=AD$1)*(RF!$H$21:$AO$21="RF Lead"),RF!$H$2:$AO$17)</f>
        <v>0</v>
      </c>
      <c r="AE64" s="250">
        <f>SUMPRODUCT((RF!$A$2:$A$17=$A64)*(RFEmp=AE$1)*(RF!$H$21:$AO$21="RF Lead"),RF!$H$2:$AO$17)</f>
        <v>0</v>
      </c>
      <c r="AF64" s="250">
        <f>SUMPRODUCT((RF!$A$2:$A$17=$A64)*(RFEmp=AF$1)*(RF!$H$21:$AO$21="RF Lead"),RF!$H$2:$AO$17)</f>
        <v>0</v>
      </c>
      <c r="AG64" s="250">
        <f>SUMPRODUCT((RF!$A$2:$A$17=$A64)*(RFEmp=AG$1)*(RF!$H$21:$AO$21="RF Lead"),RF!$H$2:$AO$17)</f>
        <v>0</v>
      </c>
      <c r="AH64" s="250">
        <f>SUMPRODUCT((RF!$A$2:$A$17=$A64)*(RFEmp=AH$1)*(RF!$H$21:$AO$21="RF Lead"),RF!$H$2:$AO$17)</f>
        <v>0</v>
      </c>
      <c r="AI64" s="250">
        <f>SUMPRODUCT((RF!$A$2:$A$17=$A64)*(RFEmp=AI$1)*(RF!$H$21:$AO$21="RF Lead"),RF!$H$2:$AO$17)</f>
        <v>0</v>
      </c>
      <c r="AJ64" s="250">
        <f>SUMPRODUCT((RF!$A$2:$A$17=$A64)*(RFEmp=AJ$1)*(RF!$H$21:$AO$21="RF Lead"),RF!$H$2:$AO$17)</f>
        <v>0</v>
      </c>
      <c r="AK64" s="250">
        <f>SUMPRODUCT((RF!$A$2:$A$17=$A64)*(RFEmp=AK$1)*(RF!$H$21:$AO$21="RF Lead"),RF!$H$2:$AO$17)</f>
        <v>0</v>
      </c>
      <c r="AL64" s="250">
        <f>SUMPRODUCT((RF!$A$2:$A$17=$A64)*(RFEmp=AL$1)*(RF!$H$21:$AO$21="RF Lead"),RF!$H$2:$AO$17)</f>
        <v>0</v>
      </c>
      <c r="AM64" s="250">
        <f>SUMPRODUCT((RF!$A$2:$A$17=$A64)*(RFEmp=AM$1)*(RF!$H$21:$AO$21="RF Lead"),RF!$H$2:$AO$17)</f>
        <v>0</v>
      </c>
      <c r="AN64" s="250">
        <f>SUMPRODUCT((RF!$A$2:$A$17=$A64)*(RFEmp=AN$1)*(RF!$H$21:$AO$21="RF Lead"),RF!$H$2:$AO$17)</f>
        <v>0</v>
      </c>
      <c r="AO64" s="250">
        <f>SUMPRODUCT((RF!$A$2:$A$17=$A64)*(RFEmp=AO$1)*(RF!$H$21:$AO$21="RF Lead"),RF!$H$2:$AO$17)</f>
        <v>0</v>
      </c>
      <c r="AP64" s="250">
        <f>SUMPRODUCT((RF!$A$2:$A$17=$A64)*(RFEmp=AP$1)*(RF!$H$21:$AO$21="RF Lead"),RF!$H$2:$AO$17)</f>
        <v>0</v>
      </c>
      <c r="AQ64" s="250">
        <f>SUMPRODUCT((RF!$A$2:$A$17=$A64)*(RFEmp=AQ$1)*(RF!$H$21:$AO$21="RF Lead"),RF!$H$2:$AO$17)</f>
        <v>0</v>
      </c>
      <c r="AR64" s="496">
        <f>SUMPRODUCT((RF!$A$2:$A$17=$A64)*(RFEmp=AR$1)*(RF!$H$21:$AO$21="RF Lead"),RF!$H$2:$AO$17)</f>
        <v>0</v>
      </c>
      <c r="AT64" s="246"/>
    </row>
    <row r="65" spans="1:46" s="271" customFormat="1" x14ac:dyDescent="0.2">
      <c r="A65" s="260">
        <f t="shared" si="35"/>
        <v>42466</v>
      </c>
      <c r="B65" s="261" t="str">
        <f>Total!$M$1</f>
        <v>SC</v>
      </c>
      <c r="C65" s="249">
        <f>SUMPRODUCT((SC!$A$2:$A$34=$A65)*(SCEmp=C$1),SC!$F$2:$Z$34)</f>
        <v>0</v>
      </c>
      <c r="D65" s="250">
        <f>SUMPRODUCT((SC!$A$2:$A$34=$A65)*(SCEmp=D$1),SC!$F$2:$Z$34)</f>
        <v>0</v>
      </c>
      <c r="E65" s="250">
        <f>SUMPRODUCT((SC!$A$2:$A$34=$A65)*(SCEmp=E$1),SC!$F$2:$Z$34)</f>
        <v>0</v>
      </c>
      <c r="F65" s="250">
        <f>SUMPRODUCT((SC!$A$2:$A$34=$A65)*(SCEmp=F$1),SC!$F$2:$Z$34)</f>
        <v>0</v>
      </c>
      <c r="G65" s="250">
        <f>SUMPRODUCT((SC!$A$2:$A$34=$A65)*(SCEmp=G$1),SC!$F$2:$Z$34)</f>
        <v>0</v>
      </c>
      <c r="H65" s="250">
        <f>SUMPRODUCT((SC!$A$2:$A$34=$A65)*(SCEmp=H$1),SC!$F$2:$Z$34)</f>
        <v>0</v>
      </c>
      <c r="I65" s="250">
        <f>SUMPRODUCT((SC!$A$2:$A$34=$A65)*(SCEmp=I$1),SC!$F$2:$Z$34)</f>
        <v>0</v>
      </c>
      <c r="J65" s="250">
        <f>SUMPRODUCT((SC!$A$2:$A$34=$A65)*(SCEmp=J$1),SC!$F$2:$Z$34)</f>
        <v>0</v>
      </c>
      <c r="K65" s="250">
        <f>SUMPRODUCT((SC!$A$2:$A$34=$A65)*(SCEmp=K$1),SC!$F$2:$Z$34)</f>
        <v>0</v>
      </c>
      <c r="L65" s="250">
        <f>SUMPRODUCT((SC!$A$2:$A$34=$A65)*(SCEmp=L$1),SC!$F$2:$Z$34)</f>
        <v>0</v>
      </c>
      <c r="M65" s="250">
        <f>SUMPRODUCT((SC!$A$2:$A$34=$A65)*(SCEmp=M$1),SC!$F$2:$Z$34)</f>
        <v>0</v>
      </c>
      <c r="N65" s="250">
        <f>SUMPRODUCT((SC!$A$2:$A$34=$A65)*(SCEmp=N$1),SC!$F$2:$Z$34)</f>
        <v>0</v>
      </c>
      <c r="O65" s="250">
        <f>SUMPRODUCT((SC!$A$2:$A$34=$A65)*(SCEmp=O$1),SC!$F$2:$Z$34)</f>
        <v>0</v>
      </c>
      <c r="P65" s="250">
        <f>SUMPRODUCT((SC!$A$2:$A$34=$A65)*(SCEmp=P$1),SC!$F$2:$Z$34)</f>
        <v>0</v>
      </c>
      <c r="Q65" s="250">
        <f>SUMPRODUCT((SC!$A$2:$A$34=$A65)*(SCEmp=Q$1),SC!$F$2:$Z$34)</f>
        <v>0</v>
      </c>
      <c r="R65" s="250">
        <f>SUMPRODUCT((SC!$A$2:$A$34=$A65)*(SCEmp=R$1),SC!$F$2:$Z$34)</f>
        <v>0</v>
      </c>
      <c r="S65" s="250">
        <f>SUMPRODUCT((SC!$A$2:$A$34=$A65)*(SCEmp=S$1),SC!$F$2:$Z$34)</f>
        <v>0</v>
      </c>
      <c r="T65" s="250">
        <f>SUMPRODUCT((SC!$A$2:$A$34=$A65)*(SCEmp=T$1),SC!$F$2:$Z$34)</f>
        <v>0</v>
      </c>
      <c r="U65" s="250">
        <f>SUMPRODUCT((SC!$A$2:$A$34=$A65)*(SCEmp=U$1),SC!$F$2:$Z$34)</f>
        <v>0</v>
      </c>
      <c r="V65" s="250">
        <f>SUMPRODUCT((SC!$A$2:$A$34=$A65)*(SCEmp=V$1),SC!$F$2:$Z$34)</f>
        <v>0</v>
      </c>
      <c r="W65" s="250">
        <f>SUMPRODUCT((SC!$A$2:$A$34=$A65)*(SCEmp=W$1),SC!$F$2:$Z$34)</f>
        <v>0</v>
      </c>
      <c r="X65" s="250">
        <f>SUMPRODUCT((SC!$A$2:$A$34=$A65)*(SCEmp=X$1),SC!$F$2:$Z$34)</f>
        <v>0</v>
      </c>
      <c r="Y65" s="250">
        <f>SUMPRODUCT((SC!$A$2:$A$34=$A65)*(SCEmp=Y$1),SC!$F$2:$Z$34)</f>
        <v>0</v>
      </c>
      <c r="Z65" s="250">
        <f>SUMPRODUCT((SC!$A$2:$A$34=$A65)*(SCEmp=Z$1),SC!$F$2:$Z$34)</f>
        <v>0</v>
      </c>
      <c r="AA65" s="250">
        <f>SUMPRODUCT((SC!$A$2:$A$34=$A65)*(SCEmp=AA$1),SC!$F$2:$Z$34)</f>
        <v>0</v>
      </c>
      <c r="AB65" s="250">
        <f>SUMPRODUCT((SC!$A$2:$A$34=$A65)*(SCEmp=AB$1),SC!$F$2:$Z$34)</f>
        <v>0</v>
      </c>
      <c r="AC65" s="250">
        <f>SUMPRODUCT((SC!$A$2:$A$34=$A65)*(SCEmp=AC$1),SC!$F$2:$Z$34)</f>
        <v>0</v>
      </c>
      <c r="AD65" s="250">
        <f>SUMPRODUCT((SC!$A$2:$A$34=$A65)*(SCEmp=AD$1),SC!$F$2:$Z$34)</f>
        <v>0</v>
      </c>
      <c r="AE65" s="250">
        <f>SUMPRODUCT((SC!$A$2:$A$34=$A65)*(SCEmp=AE$1),SC!$F$2:$Z$34)</f>
        <v>0</v>
      </c>
      <c r="AF65" s="250">
        <f>SUMPRODUCT((SC!$A$2:$A$34=$A65)*(SCEmp=AF$1),SC!$F$2:$Z$34)</f>
        <v>0</v>
      </c>
      <c r="AG65" s="250">
        <f>SUMPRODUCT((SC!$A$2:$A$34=$A65)*(SCEmp=AG$1),SC!$F$2:$Z$34)</f>
        <v>0</v>
      </c>
      <c r="AH65" s="250">
        <f>SUMPRODUCT((SC!$A$2:$A$34=$A65)*(SCEmp=AH$1),SC!$F$2:$Z$34)</f>
        <v>0</v>
      </c>
      <c r="AI65" s="250">
        <f>SUMPRODUCT((SC!$A$2:$A$34=$A65)*(SCEmp=AI$1),SC!$F$2:$Z$34)</f>
        <v>0</v>
      </c>
      <c r="AJ65" s="250">
        <f>SUMPRODUCT((SC!$A$2:$A$34=$A65)*(SCEmp=AJ$1),SC!$F$2:$Z$34)</f>
        <v>0</v>
      </c>
      <c r="AK65" s="250">
        <f>SUMPRODUCT((SC!$A$2:$A$34=$A65)*(SCEmp=AK$1),SC!$F$2:$Z$34)</f>
        <v>0</v>
      </c>
      <c r="AL65" s="250">
        <f>SUMPRODUCT((SC!$A$2:$A$34=$A65)*(SCEmp=AL$1),SC!$F$2:$Z$34)</f>
        <v>0</v>
      </c>
      <c r="AM65" s="250">
        <f>SUMPRODUCT((SC!$A$2:$A$34=$A65)*(SCEmp=AM$1),SC!$F$2:$Z$34)</f>
        <v>0</v>
      </c>
      <c r="AN65" s="250">
        <f>SUMPRODUCT((SC!$A$2:$A$34=$A65)*(SCEmp=AN$1),SC!$F$2:$Z$34)</f>
        <v>0</v>
      </c>
      <c r="AO65" s="250">
        <f>SUMPRODUCT((SC!$A$2:$A$34=$A65)*(SCEmp=AO$1),SC!$F$2:$Z$34)</f>
        <v>0</v>
      </c>
      <c r="AP65" s="250">
        <f>SUMPRODUCT((SC!$A$2:$A$34=$A65)*(SCEmp=AP$1),SC!$F$2:$Z$34)</f>
        <v>0</v>
      </c>
      <c r="AQ65" s="250">
        <f>SUMPRODUCT((SC!$A$2:$A$34=$A65)*(SCEmp=AQ$1),SC!$F$2:$Z$34)</f>
        <v>0</v>
      </c>
      <c r="AR65" s="496">
        <f>SUMPRODUCT((SC!$A$2:$A$34=$A65)*(SCEmp=AR$1),SC!$F$2:$Z$34)</f>
        <v>0</v>
      </c>
      <c r="AT65" s="246"/>
    </row>
    <row r="66" spans="1:46" s="271" customFormat="1" x14ac:dyDescent="0.2">
      <c r="A66" s="262">
        <f t="shared" si="35"/>
        <v>42466</v>
      </c>
      <c r="B66" s="263" t="s">
        <v>87</v>
      </c>
      <c r="C66" s="264">
        <f t="shared" ref="C66:AR66" si="36">IF(SUM(C57:C65)&gt;8,SUM(C57:C65)-8,0)+IF(SUM(C57:C65)&gt;12,SUM(C57:C65)-12,0)</f>
        <v>0</v>
      </c>
      <c r="D66" s="265">
        <f t="shared" si="36"/>
        <v>0</v>
      </c>
      <c r="E66" s="265">
        <f t="shared" si="36"/>
        <v>0</v>
      </c>
      <c r="F66" s="265">
        <f t="shared" si="36"/>
        <v>0</v>
      </c>
      <c r="G66" s="265">
        <f t="shared" si="36"/>
        <v>0</v>
      </c>
      <c r="H66" s="265">
        <f t="shared" si="36"/>
        <v>0</v>
      </c>
      <c r="I66" s="265">
        <f t="shared" si="36"/>
        <v>0</v>
      </c>
      <c r="J66" s="265">
        <f t="shared" si="36"/>
        <v>0</v>
      </c>
      <c r="K66" s="265">
        <f t="shared" si="36"/>
        <v>0</v>
      </c>
      <c r="L66" s="265">
        <f t="shared" si="36"/>
        <v>0</v>
      </c>
      <c r="M66" s="265">
        <f t="shared" si="36"/>
        <v>0</v>
      </c>
      <c r="N66" s="265">
        <f t="shared" si="36"/>
        <v>0</v>
      </c>
      <c r="O66" s="265">
        <f t="shared" si="36"/>
        <v>0</v>
      </c>
      <c r="P66" s="265">
        <f t="shared" si="36"/>
        <v>0</v>
      </c>
      <c r="Q66" s="265">
        <f t="shared" si="36"/>
        <v>0</v>
      </c>
      <c r="R66" s="265">
        <f t="shared" si="36"/>
        <v>0</v>
      </c>
      <c r="S66" s="265">
        <f t="shared" si="36"/>
        <v>0</v>
      </c>
      <c r="T66" s="265">
        <f t="shared" si="36"/>
        <v>0</v>
      </c>
      <c r="U66" s="265">
        <f t="shared" si="36"/>
        <v>0</v>
      </c>
      <c r="V66" s="265">
        <f t="shared" si="36"/>
        <v>0</v>
      </c>
      <c r="W66" s="265">
        <f t="shared" si="36"/>
        <v>0</v>
      </c>
      <c r="X66" s="265">
        <f t="shared" si="36"/>
        <v>0</v>
      </c>
      <c r="Y66" s="265">
        <f t="shared" si="36"/>
        <v>0</v>
      </c>
      <c r="Z66" s="265">
        <f t="shared" si="36"/>
        <v>0</v>
      </c>
      <c r="AA66" s="265">
        <f t="shared" si="36"/>
        <v>0</v>
      </c>
      <c r="AB66" s="265">
        <f t="shared" si="36"/>
        <v>0</v>
      </c>
      <c r="AC66" s="265">
        <f t="shared" si="36"/>
        <v>0</v>
      </c>
      <c r="AD66" s="265">
        <f t="shared" si="36"/>
        <v>0</v>
      </c>
      <c r="AE66" s="265">
        <f t="shared" si="36"/>
        <v>0</v>
      </c>
      <c r="AF66" s="265">
        <f t="shared" si="36"/>
        <v>0</v>
      </c>
      <c r="AG66" s="265">
        <f t="shared" si="36"/>
        <v>0</v>
      </c>
      <c r="AH66" s="265">
        <f t="shared" si="36"/>
        <v>0</v>
      </c>
      <c r="AI66" s="265">
        <f t="shared" si="36"/>
        <v>0</v>
      </c>
      <c r="AJ66" s="265">
        <f t="shared" si="36"/>
        <v>0</v>
      </c>
      <c r="AK66" s="265">
        <f t="shared" si="36"/>
        <v>0</v>
      </c>
      <c r="AL66" s="265">
        <f t="shared" si="36"/>
        <v>0</v>
      </c>
      <c r="AM66" s="265">
        <f t="shared" si="36"/>
        <v>0</v>
      </c>
      <c r="AN66" s="265">
        <f t="shared" si="36"/>
        <v>0</v>
      </c>
      <c r="AO66" s="265">
        <f t="shared" ref="AO66:AP66" si="37">IF(SUM(AO57:AO65)&gt;8,SUM(AO57:AO65)-8,0)+IF(SUM(AO57:AO65)&gt;12,SUM(AO57:AO65)-12,0)</f>
        <v>0</v>
      </c>
      <c r="AP66" s="265">
        <f t="shared" si="37"/>
        <v>0</v>
      </c>
      <c r="AQ66" s="265">
        <f t="shared" ref="AQ66" si="38">IF(SUM(AQ57:AQ65)&gt;8,SUM(AQ57:AQ65)-8,0)+IF(SUM(AQ57:AQ65)&gt;12,SUM(AQ57:AQ65)-12,0)</f>
        <v>0</v>
      </c>
      <c r="AR66" s="498">
        <f t="shared" si="36"/>
        <v>0</v>
      </c>
      <c r="AT66" s="246"/>
    </row>
    <row r="67" spans="1:46" s="271" customFormat="1" x14ac:dyDescent="0.2">
      <c r="A67" s="266">
        <f t="shared" si="35"/>
        <v>42466</v>
      </c>
      <c r="B67" s="267" t="s">
        <v>86</v>
      </c>
      <c r="C67" s="268">
        <f t="shared" ref="C67:AR67" si="39">IFERROR((C$179*SUM(C57:C62)+C$180*SUM(C63:C65))/SUM(C57:C65)/2,0)*C66</f>
        <v>0</v>
      </c>
      <c r="D67" s="269">
        <f t="shared" si="39"/>
        <v>0</v>
      </c>
      <c r="E67" s="269">
        <f t="shared" si="39"/>
        <v>0</v>
      </c>
      <c r="F67" s="269">
        <f t="shared" si="39"/>
        <v>0</v>
      </c>
      <c r="G67" s="269">
        <f t="shared" si="39"/>
        <v>0</v>
      </c>
      <c r="H67" s="269">
        <f t="shared" si="39"/>
        <v>0</v>
      </c>
      <c r="I67" s="269">
        <f t="shared" si="39"/>
        <v>0</v>
      </c>
      <c r="J67" s="269">
        <f t="shared" si="39"/>
        <v>0</v>
      </c>
      <c r="K67" s="269">
        <f t="shared" si="39"/>
        <v>0</v>
      </c>
      <c r="L67" s="269">
        <f t="shared" si="39"/>
        <v>0</v>
      </c>
      <c r="M67" s="269">
        <f t="shared" si="39"/>
        <v>0</v>
      </c>
      <c r="N67" s="269">
        <f t="shared" si="39"/>
        <v>0</v>
      </c>
      <c r="O67" s="269">
        <f t="shared" si="39"/>
        <v>0</v>
      </c>
      <c r="P67" s="269">
        <f t="shared" si="39"/>
        <v>0</v>
      </c>
      <c r="Q67" s="269">
        <f t="shared" si="39"/>
        <v>0</v>
      </c>
      <c r="R67" s="269">
        <f t="shared" si="39"/>
        <v>0</v>
      </c>
      <c r="S67" s="269">
        <f t="shared" si="39"/>
        <v>0</v>
      </c>
      <c r="T67" s="269">
        <f t="shared" si="39"/>
        <v>0</v>
      </c>
      <c r="U67" s="269">
        <f t="shared" si="39"/>
        <v>0</v>
      </c>
      <c r="V67" s="269">
        <f t="shared" si="39"/>
        <v>0</v>
      </c>
      <c r="W67" s="269">
        <f t="shared" si="39"/>
        <v>0</v>
      </c>
      <c r="X67" s="269">
        <f t="shared" si="39"/>
        <v>0</v>
      </c>
      <c r="Y67" s="269">
        <f t="shared" si="39"/>
        <v>0</v>
      </c>
      <c r="Z67" s="269">
        <f t="shared" si="39"/>
        <v>0</v>
      </c>
      <c r="AA67" s="269">
        <f t="shared" si="39"/>
        <v>0</v>
      </c>
      <c r="AB67" s="269">
        <f t="shared" si="39"/>
        <v>0</v>
      </c>
      <c r="AC67" s="269">
        <f t="shared" si="39"/>
        <v>0</v>
      </c>
      <c r="AD67" s="269">
        <f t="shared" si="39"/>
        <v>0</v>
      </c>
      <c r="AE67" s="269">
        <f t="shared" si="39"/>
        <v>0</v>
      </c>
      <c r="AF67" s="269">
        <f t="shared" si="39"/>
        <v>0</v>
      </c>
      <c r="AG67" s="269">
        <f t="shared" si="39"/>
        <v>0</v>
      </c>
      <c r="AH67" s="269">
        <f t="shared" si="39"/>
        <v>0</v>
      </c>
      <c r="AI67" s="269">
        <f t="shared" si="39"/>
        <v>0</v>
      </c>
      <c r="AJ67" s="269">
        <f t="shared" si="39"/>
        <v>0</v>
      </c>
      <c r="AK67" s="269">
        <f t="shared" si="39"/>
        <v>0</v>
      </c>
      <c r="AL67" s="269">
        <f t="shared" si="39"/>
        <v>0</v>
      </c>
      <c r="AM67" s="269">
        <f t="shared" si="39"/>
        <v>0</v>
      </c>
      <c r="AN67" s="269">
        <f t="shared" si="39"/>
        <v>0</v>
      </c>
      <c r="AO67" s="269">
        <f t="shared" ref="AO67:AP67" si="40">IFERROR((AO$179*SUM(AO57:AO62)+AO$180*SUM(AO63:AO65))/SUM(AO57:AO65)/2,0)*AO66</f>
        <v>0</v>
      </c>
      <c r="AP67" s="269">
        <f t="shared" si="40"/>
        <v>0</v>
      </c>
      <c r="AQ67" s="269">
        <f t="shared" ref="AQ67" si="41">IFERROR((AQ$179*SUM(AQ57:AQ62)+AQ$180*SUM(AQ63:AQ65))/SUM(AQ57:AQ65)/2,0)*AQ66</f>
        <v>0</v>
      </c>
      <c r="AR67" s="499">
        <f t="shared" si="39"/>
        <v>0</v>
      </c>
      <c r="AT67" s="246"/>
    </row>
    <row r="68" spans="1:46" s="271" customFormat="1" x14ac:dyDescent="0.2">
      <c r="A68" s="247">
        <f>A57+1</f>
        <v>42467</v>
      </c>
      <c r="B68" s="248" t="s">
        <v>77</v>
      </c>
      <c r="C68" s="249">
        <f>SUMPRODUCT((Driver!$A$2:$A$17=$A68)*(DriverEmp=C$1),Driver!$C$2:$V$17)</f>
        <v>0</v>
      </c>
      <c r="D68" s="250">
        <f>SUMPRODUCT((Driver!$A$2:$A$17=$A68)*(DriverEmp=D$1),Driver!$C$2:$V$17)</f>
        <v>0</v>
      </c>
      <c r="E68" s="250">
        <f>SUMPRODUCT((Driver!$A$2:$A$17=$A68)*(DriverEmp=E$1),Driver!$C$2:$V$17)</f>
        <v>0</v>
      </c>
      <c r="F68" s="250">
        <f>SUMPRODUCT((Driver!$A$2:$A$17=$A68)*(DriverEmp=F$1),Driver!$C$2:$V$17)</f>
        <v>0</v>
      </c>
      <c r="G68" s="250">
        <f>SUMPRODUCT((Driver!$A$2:$A$17=$A68)*(DriverEmp=G$1),Driver!$C$2:$V$17)</f>
        <v>0</v>
      </c>
      <c r="H68" s="250">
        <f>SUMPRODUCT((Driver!$A$2:$A$17=$A68)*(DriverEmp=H$1),Driver!$C$2:$V$17)</f>
        <v>0</v>
      </c>
      <c r="I68" s="250">
        <f>SUMPRODUCT((Driver!$A$2:$A$17=$A68)*(DriverEmp=I$1),Driver!$C$2:$V$17)</f>
        <v>0</v>
      </c>
      <c r="J68" s="250">
        <f>SUMPRODUCT((Driver!$A$2:$A$17=$A68)*(DriverEmp=J$1),Driver!$C$2:$V$17)</f>
        <v>0</v>
      </c>
      <c r="K68" s="250">
        <f>SUMPRODUCT((Driver!$A$2:$A$17=$A68)*(DriverEmp=K$1),Driver!$C$2:$V$17)</f>
        <v>0</v>
      </c>
      <c r="L68" s="250">
        <f>SUMPRODUCT((Driver!$A$2:$A$17=$A68)*(DriverEmp=L$1),Driver!$C$2:$V$17)</f>
        <v>0</v>
      </c>
      <c r="M68" s="250">
        <f>SUMPRODUCT((Driver!$A$2:$A$17=$A68)*(DriverEmp=M$1),Driver!$C$2:$V$17)</f>
        <v>0</v>
      </c>
      <c r="N68" s="250">
        <f>SUMPRODUCT((Driver!$A$2:$A$17=$A68)*(DriverEmp=N$1),Driver!$C$2:$V$17)</f>
        <v>0</v>
      </c>
      <c r="O68" s="250">
        <f>SUMPRODUCT((Driver!$A$2:$A$17=$A68)*(DriverEmp=O$1),Driver!$C$2:$V$17)</f>
        <v>0</v>
      </c>
      <c r="P68" s="250">
        <f>SUMPRODUCT((Driver!$A$2:$A$17=$A68)*(DriverEmp=P$1),Driver!$C$2:$V$17)</f>
        <v>0</v>
      </c>
      <c r="Q68" s="250">
        <f>SUMPRODUCT((Driver!$A$2:$A$17=$A68)*(DriverEmp=Q$1),Driver!$C$2:$V$17)</f>
        <v>0</v>
      </c>
      <c r="R68" s="250">
        <f>SUMPRODUCT((Driver!$A$2:$A$17=$A68)*(DriverEmp=R$1),Driver!$C$2:$V$17)</f>
        <v>0</v>
      </c>
      <c r="S68" s="250">
        <f>SUMPRODUCT((Driver!$A$2:$A$17=$A68)*(DriverEmp=S$1),Driver!$C$2:$V$17)</f>
        <v>0</v>
      </c>
      <c r="T68" s="250">
        <f>SUMPRODUCT((Driver!$A$2:$A$17=$A68)*(DriverEmp=T$1),Driver!$C$2:$V$17)</f>
        <v>0</v>
      </c>
      <c r="U68" s="250">
        <f>SUMPRODUCT((Driver!$A$2:$A$17=$A68)*(DriverEmp=U$1),Driver!$C$2:$V$17)</f>
        <v>0</v>
      </c>
      <c r="V68" s="250">
        <f>SUMPRODUCT((Driver!$A$2:$A$17=$A68)*(DriverEmp=V$1),Driver!$C$2:$V$17)</f>
        <v>0</v>
      </c>
      <c r="W68" s="250">
        <f>SUMPRODUCT((Driver!$A$2:$A$17=$A68)*(DriverEmp=W$1),Driver!$C$2:$V$17)</f>
        <v>0</v>
      </c>
      <c r="X68" s="250">
        <f>SUMPRODUCT((Driver!$A$2:$A$17=$A68)*(DriverEmp=X$1),Driver!$C$2:$V$17)</f>
        <v>0</v>
      </c>
      <c r="Y68" s="250">
        <f>SUMPRODUCT((Driver!$A$2:$A$17=$A68)*(DriverEmp=Y$1),Driver!$C$2:$V$17)</f>
        <v>0</v>
      </c>
      <c r="Z68" s="250">
        <f>SUMPRODUCT((Driver!$A$2:$A$17=$A68)*(DriverEmp=Z$1),Driver!$C$2:$V$17)</f>
        <v>0</v>
      </c>
      <c r="AA68" s="250">
        <f>SUMPRODUCT((Driver!$A$2:$A$17=$A68)*(DriverEmp=AA$1),Driver!$C$2:$V$17)</f>
        <v>0</v>
      </c>
      <c r="AB68" s="250">
        <f>SUMPRODUCT((Driver!$A$2:$A$17=$A68)*(DriverEmp=AB$1),Driver!$C$2:$V$17)</f>
        <v>0</v>
      </c>
      <c r="AC68" s="250">
        <f>SUMPRODUCT((Driver!$A$2:$A$17=$A68)*(DriverEmp=AC$1),Driver!$C$2:$V$17)</f>
        <v>0</v>
      </c>
      <c r="AD68" s="250">
        <f>SUMPRODUCT((Driver!$A$2:$A$17=$A68)*(DriverEmp=AD$1),Driver!$C$2:$V$17)</f>
        <v>0</v>
      </c>
      <c r="AE68" s="250">
        <f>SUMPRODUCT((Driver!$A$2:$A$17=$A68)*(DriverEmp=AE$1),Driver!$C$2:$V$17)</f>
        <v>0</v>
      </c>
      <c r="AF68" s="250">
        <f>SUMPRODUCT((Driver!$A$2:$A$17=$A68)*(DriverEmp=AF$1),Driver!$C$2:$V$17)</f>
        <v>0</v>
      </c>
      <c r="AG68" s="250">
        <f>SUMPRODUCT((Driver!$A$2:$A$17=$A68)*(DriverEmp=AG$1),Driver!$C$2:$V$17)</f>
        <v>0</v>
      </c>
      <c r="AH68" s="250">
        <f>SUMPRODUCT((Driver!$A$2:$A$17=$A68)*(DriverEmp=AH$1),Driver!$C$2:$V$17)</f>
        <v>0</v>
      </c>
      <c r="AI68" s="250">
        <f>SUMPRODUCT((Driver!$A$2:$A$17=$A68)*(DriverEmp=AI$1),Driver!$C$2:$V$17)</f>
        <v>0</v>
      </c>
      <c r="AJ68" s="250">
        <f>SUMPRODUCT((Driver!$A$2:$A$17=$A68)*(DriverEmp=AJ$1),Driver!$C$2:$V$17)</f>
        <v>0</v>
      </c>
      <c r="AK68" s="250">
        <f>SUMPRODUCT((Driver!$A$2:$A$17=$A68)*(DriverEmp=AK$1),Driver!$C$2:$V$17)</f>
        <v>0</v>
      </c>
      <c r="AL68" s="250">
        <f>SUMPRODUCT((Driver!$A$2:$A$17=$A68)*(DriverEmp=AL$1),Driver!$C$2:$V$17)</f>
        <v>0</v>
      </c>
      <c r="AM68" s="250">
        <f>SUMPRODUCT((Driver!$A$2:$A$17=$A68)*(DriverEmp=AM$1),Driver!$C$2:$V$17)</f>
        <v>0</v>
      </c>
      <c r="AN68" s="250">
        <f>SUMPRODUCT((Driver!$A$2:$A$17=$A68)*(DriverEmp=AN$1),Driver!$C$2:$V$17)</f>
        <v>0</v>
      </c>
      <c r="AO68" s="250">
        <f>SUMPRODUCT((Driver!$A$2:$A$17=$A68)*(DriverEmp=AO$1),Driver!$C$2:$V$17)</f>
        <v>0</v>
      </c>
      <c r="AP68" s="250">
        <f>SUMPRODUCT((Driver!$A$2:$A$17=$A68)*(DriverEmp=AP$1),Driver!$C$2:$V$17)</f>
        <v>0</v>
      </c>
      <c r="AQ68" s="250">
        <f>SUMPRODUCT((Driver!$A$2:$A$17=$A68)*(DriverEmp=AQ$1),Driver!$C$2:$V$17)</f>
        <v>0</v>
      </c>
      <c r="AR68" s="496">
        <f>SUMPRODUCT((Driver!$A$2:$A$17=$A68)*(DriverEmp=AR$1),Driver!$C$2:$V$17)</f>
        <v>0</v>
      </c>
      <c r="AT68" s="246"/>
    </row>
    <row r="69" spans="1:46" s="271" customFormat="1" x14ac:dyDescent="0.2">
      <c r="A69" s="247">
        <f t="shared" ref="A69:A78" si="42">A68</f>
        <v>42467</v>
      </c>
      <c r="B69" s="251" t="str">
        <f>Total!$H$1</f>
        <v>PP</v>
      </c>
      <c r="C69" s="249">
        <f>SUMPRODUCT((PP!$A$2:$A$80=$A69)*(PPEmp=C$1),PP!$D$2:$BD$80)</f>
        <v>0</v>
      </c>
      <c r="D69" s="250">
        <f>SUMPRODUCT((PP!$A$2:$A$80=$A69)*(PPEmp=D$1),PP!$D$2:$BD$80)</f>
        <v>0</v>
      </c>
      <c r="E69" s="250">
        <f>SUMPRODUCT((PP!$A$2:$A$80=$A69)*(PPEmp=E$1),PP!$D$2:$BD$80)</f>
        <v>0</v>
      </c>
      <c r="F69" s="250">
        <f>SUMPRODUCT((PP!$A$2:$A$80=$A69)*(PPEmp=F$1),PP!$D$2:$BD$80)</f>
        <v>0</v>
      </c>
      <c r="G69" s="250">
        <f>SUMPRODUCT((PP!$A$2:$A$80=$A69)*(PPEmp=G$1),PP!$D$2:$BD$80)</f>
        <v>0</v>
      </c>
      <c r="H69" s="250">
        <f>SUMPRODUCT((PP!$A$2:$A$80=$A69)*(PPEmp=H$1),PP!$D$2:$BD$80)</f>
        <v>0</v>
      </c>
      <c r="I69" s="250">
        <f>SUMPRODUCT((PP!$A$2:$A$80=$A69)*(PPEmp=I$1),PP!$D$2:$BD$80)</f>
        <v>0</v>
      </c>
      <c r="J69" s="250">
        <f>SUMPRODUCT((PP!$A$2:$A$80=$A69)*(PPEmp=J$1),PP!$D$2:$BD$80)</f>
        <v>0</v>
      </c>
      <c r="K69" s="250">
        <f>SUMPRODUCT((PP!$A$2:$A$80=$A69)*(PPEmp=K$1),PP!$D$2:$BD$80)</f>
        <v>0</v>
      </c>
      <c r="L69" s="250">
        <f>SUMPRODUCT((PP!$A$2:$A$80=$A69)*(PPEmp=L$1),PP!$D$2:$BD$80)</f>
        <v>0</v>
      </c>
      <c r="M69" s="250">
        <f>SUMPRODUCT((PP!$A$2:$A$80=$A69)*(PPEmp=M$1),PP!$D$2:$BD$80)</f>
        <v>0</v>
      </c>
      <c r="N69" s="250">
        <f>SUMPRODUCT((PP!$A$2:$A$80=$A69)*(PPEmp=N$1),PP!$D$2:$BD$80)</f>
        <v>0</v>
      </c>
      <c r="O69" s="250">
        <f>SUMPRODUCT((PP!$A$2:$A$80=$A69)*(PPEmp=O$1),PP!$D$2:$BD$80)</f>
        <v>0</v>
      </c>
      <c r="P69" s="250">
        <f>SUMPRODUCT((PP!$A$2:$A$80=$A69)*(PPEmp=P$1),PP!$D$2:$BD$80)</f>
        <v>0</v>
      </c>
      <c r="Q69" s="250">
        <f>SUMPRODUCT((PP!$A$2:$A$80=$A69)*(PPEmp=Q$1),PP!$D$2:$BD$80)</f>
        <v>0</v>
      </c>
      <c r="R69" s="250">
        <f>SUMPRODUCT((PP!$A$2:$A$80=$A69)*(PPEmp=R$1),PP!$D$2:$BD$80)</f>
        <v>0</v>
      </c>
      <c r="S69" s="250">
        <f>SUMPRODUCT((PP!$A$2:$A$80=$A69)*(PPEmp=S$1),PP!$D$2:$BD$80)</f>
        <v>0</v>
      </c>
      <c r="T69" s="250">
        <f>SUMPRODUCT((PP!$A$2:$A$80=$A69)*(PPEmp=T$1),PP!$D$2:$BD$80)</f>
        <v>0</v>
      </c>
      <c r="U69" s="250">
        <f>SUMPRODUCT((PP!$A$2:$A$80=$A69)*(PPEmp=U$1),PP!$D$2:$BD$80)</f>
        <v>0</v>
      </c>
      <c r="V69" s="250">
        <f>SUMPRODUCT((PP!$A$2:$A$80=$A69)*(PPEmp=V$1),PP!$D$2:$BD$80)</f>
        <v>0</v>
      </c>
      <c r="W69" s="250">
        <f>SUMPRODUCT((PP!$A$2:$A$80=$A69)*(PPEmp=W$1),PP!$D$2:$BD$80)</f>
        <v>0</v>
      </c>
      <c r="X69" s="250">
        <f>SUMPRODUCT((PP!$A$2:$A$80=$A69)*(PPEmp=X$1),PP!$D$2:$BD$80)</f>
        <v>0</v>
      </c>
      <c r="Y69" s="250">
        <f>SUMPRODUCT((PP!$A$2:$A$80=$A69)*(PPEmp=Y$1),PP!$D$2:$BD$80)</f>
        <v>0</v>
      </c>
      <c r="Z69" s="250">
        <f>SUMPRODUCT((PP!$A$2:$A$80=$A69)*(PPEmp=Z$1),PP!$D$2:$BD$80)</f>
        <v>0</v>
      </c>
      <c r="AA69" s="250">
        <f>SUMPRODUCT((PP!$A$2:$A$80=$A69)*(PPEmp=AA$1),PP!$D$2:$BD$80)</f>
        <v>0</v>
      </c>
      <c r="AB69" s="250">
        <f>SUMPRODUCT((PP!$A$2:$A$80=$A69)*(PPEmp=AB$1),PP!$D$2:$BD$80)</f>
        <v>0</v>
      </c>
      <c r="AC69" s="250">
        <f>SUMPRODUCT((PP!$A$2:$A$80=$A69)*(PPEmp=AC$1),PP!$D$2:$BD$80)</f>
        <v>0</v>
      </c>
      <c r="AD69" s="250">
        <f>SUMPRODUCT((PP!$A$2:$A$80=$A69)*(PPEmp=AD$1),PP!$D$2:$BD$80)</f>
        <v>0</v>
      </c>
      <c r="AE69" s="250">
        <f>SUMPRODUCT((PP!$A$2:$A$80=$A69)*(PPEmp=AE$1),PP!$D$2:$BD$80)</f>
        <v>0</v>
      </c>
      <c r="AF69" s="250">
        <f>SUMPRODUCT((PP!$A$2:$A$80=$A69)*(PPEmp=AF$1),PP!$D$2:$BD$80)</f>
        <v>0</v>
      </c>
      <c r="AG69" s="250">
        <f>SUMPRODUCT((PP!$A$2:$A$80=$A69)*(PPEmp=AG$1),PP!$D$2:$BD$80)</f>
        <v>0</v>
      </c>
      <c r="AH69" s="250">
        <f>SUMPRODUCT((PP!$A$2:$A$80=$A69)*(PPEmp=AH$1),PP!$D$2:$BD$80)</f>
        <v>0</v>
      </c>
      <c r="AI69" s="250">
        <f>SUMPRODUCT((PP!$A$2:$A$80=$A69)*(PPEmp=AI$1),PP!$D$2:$BD$80)</f>
        <v>0</v>
      </c>
      <c r="AJ69" s="250">
        <f>SUMPRODUCT((PP!$A$2:$A$80=$A69)*(PPEmp=AJ$1),PP!$D$2:$BD$80)</f>
        <v>0</v>
      </c>
      <c r="AK69" s="250">
        <f>SUMPRODUCT((PP!$A$2:$A$80=$A69)*(PPEmp=AK$1),PP!$D$2:$BD$80)</f>
        <v>0</v>
      </c>
      <c r="AL69" s="250">
        <f>SUMPRODUCT((PP!$A$2:$A$80=$A69)*(PPEmp=AL$1),PP!$D$2:$BD$80)</f>
        <v>0</v>
      </c>
      <c r="AM69" s="250">
        <f>SUMPRODUCT((PP!$A$2:$A$80=$A69)*(PPEmp=AM$1),PP!$D$2:$BD$80)</f>
        <v>0</v>
      </c>
      <c r="AN69" s="250">
        <f>SUMPRODUCT((PP!$A$2:$A$80=$A69)*(PPEmp=AN$1),PP!$D$2:$BD$80)</f>
        <v>0</v>
      </c>
      <c r="AO69" s="250">
        <f>SUMPRODUCT((PP!$A$2:$A$80=$A69)*(PPEmp=AO$1),PP!$D$2:$BD$80)</f>
        <v>0</v>
      </c>
      <c r="AP69" s="250">
        <f>SUMPRODUCT((PP!$A$2:$A$80=$A69)*(PPEmp=AP$1),PP!$D$2:$BD$80)</f>
        <v>0</v>
      </c>
      <c r="AQ69" s="250">
        <f>SUMPRODUCT((PP!$A$2:$A$80=$A69)*(PPEmp=AQ$1),PP!$D$2:$BD$80)</f>
        <v>0</v>
      </c>
      <c r="AR69" s="496">
        <f>SUMPRODUCT((PP!$A$2:$A$80=$A69)*(PPEmp=AR$1),PP!$D$2:$BD$80)</f>
        <v>0</v>
      </c>
      <c r="AT69" s="246"/>
    </row>
    <row r="70" spans="1:46" s="271" customFormat="1" x14ac:dyDescent="0.2">
      <c r="A70" s="247">
        <f t="shared" si="42"/>
        <v>42467</v>
      </c>
      <c r="B70" s="252" t="str">
        <f>Total!$J$1</f>
        <v>FH</v>
      </c>
      <c r="C70" s="249">
        <f>SUMPRODUCT((FH!$A$2:$A$97=$A70)*(FHEmp=C$1),FH!$E$2:$AZ$97)</f>
        <v>0</v>
      </c>
      <c r="D70" s="250">
        <f>SUMPRODUCT((FH!$A$2:$A$97=$A70)*(FHEmp=D$1),FH!$E$2:$AZ$97)</f>
        <v>0</v>
      </c>
      <c r="E70" s="250">
        <f>SUMPRODUCT((FH!$A$2:$A$97=$A70)*(FHEmp=E$1),FH!$E$2:$AZ$97)</f>
        <v>0</v>
      </c>
      <c r="F70" s="250">
        <f>SUMPRODUCT((FH!$A$2:$A$97=$A70)*(FHEmp=F$1),FH!$E$2:$AZ$97)</f>
        <v>0</v>
      </c>
      <c r="G70" s="250">
        <f>SUMPRODUCT((FH!$A$2:$A$97=$A70)*(FHEmp=G$1),FH!$E$2:$AZ$97)</f>
        <v>0</v>
      </c>
      <c r="H70" s="250">
        <f>SUMPRODUCT((FH!$A$2:$A$97=$A70)*(FHEmp=H$1),FH!$E$2:$AZ$97)</f>
        <v>0</v>
      </c>
      <c r="I70" s="250">
        <f>SUMPRODUCT((FH!$A$2:$A$97=$A70)*(FHEmp=I$1),FH!$E$2:$AZ$97)</f>
        <v>0</v>
      </c>
      <c r="J70" s="250">
        <f>SUMPRODUCT((FH!$A$2:$A$97=$A70)*(FHEmp=J$1),FH!$E$2:$AZ$97)</f>
        <v>0</v>
      </c>
      <c r="K70" s="250">
        <f>SUMPRODUCT((FH!$A$2:$A$97=$A70)*(FHEmp=K$1),FH!$E$2:$AZ$97)</f>
        <v>0</v>
      </c>
      <c r="L70" s="250">
        <f>SUMPRODUCT((FH!$A$2:$A$97=$A70)*(FHEmp=L$1),FH!$E$2:$AZ$97)</f>
        <v>0</v>
      </c>
      <c r="M70" s="250">
        <f>SUMPRODUCT((FH!$A$2:$A$97=$A70)*(FHEmp=M$1),FH!$E$2:$AZ$97)</f>
        <v>0</v>
      </c>
      <c r="N70" s="250">
        <f>SUMPRODUCT((FH!$A$2:$A$97=$A70)*(FHEmp=N$1),FH!$E$2:$AZ$97)</f>
        <v>0</v>
      </c>
      <c r="O70" s="250">
        <f>SUMPRODUCT((FH!$A$2:$A$97=$A70)*(FHEmp=O$1),FH!$E$2:$AZ$97)</f>
        <v>0</v>
      </c>
      <c r="P70" s="250">
        <f>SUMPRODUCT((FH!$A$2:$A$97=$A70)*(FHEmp=P$1),FH!$E$2:$AZ$97)</f>
        <v>0</v>
      </c>
      <c r="Q70" s="250">
        <f>SUMPRODUCT((FH!$A$2:$A$97=$A70)*(FHEmp=Q$1),FH!$E$2:$AZ$97)</f>
        <v>0</v>
      </c>
      <c r="R70" s="250">
        <f>SUMPRODUCT((FH!$A$2:$A$97=$A70)*(FHEmp=R$1),FH!$E$2:$AZ$97)</f>
        <v>0</v>
      </c>
      <c r="S70" s="250">
        <f>SUMPRODUCT((FH!$A$2:$A$97=$A70)*(FHEmp=S$1),FH!$E$2:$AZ$97)</f>
        <v>0</v>
      </c>
      <c r="T70" s="250">
        <f>SUMPRODUCT((FH!$A$2:$A$97=$A70)*(FHEmp=T$1),FH!$E$2:$AZ$97)</f>
        <v>0</v>
      </c>
      <c r="U70" s="250">
        <f>SUMPRODUCT((FH!$A$2:$A$97=$A70)*(FHEmp=U$1),FH!$E$2:$AZ$97)</f>
        <v>0</v>
      </c>
      <c r="V70" s="250">
        <f>SUMPRODUCT((FH!$A$2:$A$97=$A70)*(FHEmp=V$1),FH!$E$2:$AZ$97)</f>
        <v>0</v>
      </c>
      <c r="W70" s="250">
        <f>SUMPRODUCT((FH!$A$2:$A$97=$A70)*(FHEmp=W$1),FH!$E$2:$AZ$97)</f>
        <v>0</v>
      </c>
      <c r="X70" s="250">
        <f>SUMPRODUCT((FH!$A$2:$A$97=$A70)*(FHEmp=X$1),FH!$E$2:$AZ$97)</f>
        <v>0</v>
      </c>
      <c r="Y70" s="250">
        <f>SUMPRODUCT((FH!$A$2:$A$97=$A70)*(FHEmp=Y$1),FH!$E$2:$AZ$97)</f>
        <v>0</v>
      </c>
      <c r="Z70" s="250">
        <f>SUMPRODUCT((FH!$A$2:$A$97=$A70)*(FHEmp=Z$1),FH!$E$2:$AZ$97)</f>
        <v>0</v>
      </c>
      <c r="AA70" s="250">
        <f>SUMPRODUCT((FH!$A$2:$A$97=$A70)*(FHEmp=AA$1),FH!$E$2:$AZ$97)</f>
        <v>0</v>
      </c>
      <c r="AB70" s="250">
        <f>SUMPRODUCT((FH!$A$2:$A$97=$A70)*(FHEmp=AB$1),FH!$E$2:$AZ$97)</f>
        <v>0</v>
      </c>
      <c r="AC70" s="250">
        <f>SUMPRODUCT((FH!$A$2:$A$97=$A70)*(FHEmp=AC$1),FH!$E$2:$AZ$97)</f>
        <v>0</v>
      </c>
      <c r="AD70" s="250">
        <f>SUMPRODUCT((FH!$A$2:$A$97=$A70)*(FHEmp=AD$1),FH!$E$2:$AZ$97)</f>
        <v>0</v>
      </c>
      <c r="AE70" s="250">
        <f>SUMPRODUCT((FH!$A$2:$A$97=$A70)*(FHEmp=AE$1),FH!$E$2:$AZ$97)</f>
        <v>0</v>
      </c>
      <c r="AF70" s="250">
        <f>SUMPRODUCT((FH!$A$2:$A$97=$A70)*(FHEmp=AF$1),FH!$E$2:$AZ$97)</f>
        <v>0</v>
      </c>
      <c r="AG70" s="250">
        <f>SUMPRODUCT((FH!$A$2:$A$97=$A70)*(FHEmp=AG$1),FH!$E$2:$AZ$97)</f>
        <v>0</v>
      </c>
      <c r="AH70" s="250">
        <f>SUMPRODUCT((FH!$A$2:$A$97=$A70)*(FHEmp=AH$1),FH!$E$2:$AZ$97)</f>
        <v>0</v>
      </c>
      <c r="AI70" s="250">
        <f>SUMPRODUCT((FH!$A$2:$A$97=$A70)*(FHEmp=AI$1),FH!$E$2:$AZ$97)</f>
        <v>0</v>
      </c>
      <c r="AJ70" s="250">
        <f>SUMPRODUCT((FH!$A$2:$A$97=$A70)*(FHEmp=AJ$1),FH!$E$2:$AZ$97)</f>
        <v>0</v>
      </c>
      <c r="AK70" s="250">
        <f>SUMPRODUCT((FH!$A$2:$A$97=$A70)*(FHEmp=AK$1),FH!$E$2:$AZ$97)</f>
        <v>0</v>
      </c>
      <c r="AL70" s="250">
        <f>SUMPRODUCT((FH!$A$2:$A$97=$A70)*(FHEmp=AL$1),FH!$E$2:$AZ$97)</f>
        <v>0</v>
      </c>
      <c r="AM70" s="250">
        <f>SUMPRODUCT((FH!$A$2:$A$97=$A70)*(FHEmp=AM$1),FH!$E$2:$AZ$97)</f>
        <v>0</v>
      </c>
      <c r="AN70" s="250">
        <f>SUMPRODUCT((FH!$A$2:$A$97=$A70)*(FHEmp=AN$1),FH!$E$2:$AZ$97)</f>
        <v>0</v>
      </c>
      <c r="AO70" s="250">
        <f>SUMPRODUCT((FH!$A$2:$A$97=$A70)*(FHEmp=AO$1),FH!$E$2:$AZ$97)</f>
        <v>0</v>
      </c>
      <c r="AP70" s="250">
        <f>SUMPRODUCT((FH!$A$2:$A$97=$A70)*(FHEmp=AP$1),FH!$E$2:$AZ$97)</f>
        <v>0</v>
      </c>
      <c r="AQ70" s="250">
        <f>SUMPRODUCT((FH!$A$2:$A$97=$A70)*(FHEmp=AQ$1),FH!$E$2:$AZ$97)</f>
        <v>0</v>
      </c>
      <c r="AR70" s="496">
        <f>SUMPRODUCT((FH!$A$2:$A$97=$A70)*(FHEmp=AR$1),FH!$E$2:$AZ$97)</f>
        <v>0</v>
      </c>
      <c r="AT70" s="246"/>
    </row>
    <row r="71" spans="1:46" s="271" customFormat="1" x14ac:dyDescent="0.2">
      <c r="A71" s="247">
        <f t="shared" si="42"/>
        <v>42467</v>
      </c>
      <c r="B71" s="253" t="str">
        <f>Total!$K$1</f>
        <v>T22</v>
      </c>
      <c r="C71" s="249">
        <f>SUMPRODUCT(('T22'!$A$2:$A$97=$A71)*(T22Emp=C$1),'T22'!$E$2:$AZ$97)</f>
        <v>0</v>
      </c>
      <c r="D71" s="250">
        <f>SUMPRODUCT(('T22'!$A$2:$A$97=$A71)*(T22Emp=D$1),'T22'!$E$2:$AZ$97)</f>
        <v>0</v>
      </c>
      <c r="E71" s="250">
        <f>SUMPRODUCT(('T22'!$A$2:$A$97=$A71)*(T22Emp=E$1),'T22'!$E$2:$AZ$97)</f>
        <v>0</v>
      </c>
      <c r="F71" s="250">
        <f>SUMPRODUCT(('T22'!$A$2:$A$97=$A71)*(T22Emp=F$1),'T22'!$E$2:$AZ$97)</f>
        <v>0</v>
      </c>
      <c r="G71" s="250">
        <f>SUMPRODUCT(('T22'!$A$2:$A$97=$A71)*(T22Emp=G$1),'T22'!$E$2:$AZ$97)</f>
        <v>0</v>
      </c>
      <c r="H71" s="250">
        <f>SUMPRODUCT(('T22'!$A$2:$A$97=$A71)*(T22Emp=H$1),'T22'!$E$2:$AZ$97)</f>
        <v>0</v>
      </c>
      <c r="I71" s="250">
        <f>SUMPRODUCT(('T22'!$A$2:$A$97=$A71)*(T22Emp=I$1),'T22'!$E$2:$AZ$97)</f>
        <v>0</v>
      </c>
      <c r="J71" s="250">
        <f>SUMPRODUCT(('T22'!$A$2:$A$97=$A71)*(T22Emp=J$1),'T22'!$E$2:$AZ$97)</f>
        <v>0</v>
      </c>
      <c r="K71" s="250">
        <f>SUMPRODUCT(('T22'!$A$2:$A$97=$A71)*(T22Emp=K$1),'T22'!$E$2:$AZ$97)</f>
        <v>0</v>
      </c>
      <c r="L71" s="250">
        <f>SUMPRODUCT(('T22'!$A$2:$A$97=$A71)*(T22Emp=L$1),'T22'!$E$2:$AZ$97)</f>
        <v>0</v>
      </c>
      <c r="M71" s="250">
        <f>SUMPRODUCT(('T22'!$A$2:$A$97=$A71)*(T22Emp=M$1),'T22'!$E$2:$AZ$97)</f>
        <v>0</v>
      </c>
      <c r="N71" s="250">
        <f>SUMPRODUCT(('T22'!$A$2:$A$97=$A71)*(T22Emp=N$1),'T22'!$E$2:$AZ$97)</f>
        <v>0</v>
      </c>
      <c r="O71" s="250">
        <f>SUMPRODUCT(('T22'!$A$2:$A$97=$A71)*(T22Emp=O$1),'T22'!$E$2:$AZ$97)</f>
        <v>0</v>
      </c>
      <c r="P71" s="250">
        <f>SUMPRODUCT(('T22'!$A$2:$A$97=$A71)*(T22Emp=P$1),'T22'!$E$2:$AZ$97)</f>
        <v>0</v>
      </c>
      <c r="Q71" s="250">
        <f>SUMPRODUCT(('T22'!$A$2:$A$97=$A71)*(T22Emp=Q$1),'T22'!$E$2:$AZ$97)</f>
        <v>0</v>
      </c>
      <c r="R71" s="250">
        <f>SUMPRODUCT(('T22'!$A$2:$A$97=$A71)*(T22Emp=R$1),'T22'!$E$2:$AZ$97)</f>
        <v>0</v>
      </c>
      <c r="S71" s="250">
        <f>SUMPRODUCT(('T22'!$A$2:$A$97=$A71)*(T22Emp=S$1),'T22'!$E$2:$AZ$97)</f>
        <v>0</v>
      </c>
      <c r="T71" s="250">
        <f>SUMPRODUCT(('T22'!$A$2:$A$97=$A71)*(T22Emp=T$1),'T22'!$E$2:$AZ$97)</f>
        <v>0</v>
      </c>
      <c r="U71" s="250">
        <f>SUMPRODUCT(('T22'!$A$2:$A$97=$A71)*(T22Emp=U$1),'T22'!$E$2:$AZ$97)</f>
        <v>0</v>
      </c>
      <c r="V71" s="250">
        <f>SUMPRODUCT(('T22'!$A$2:$A$97=$A71)*(T22Emp=V$1),'T22'!$E$2:$AZ$97)</f>
        <v>0</v>
      </c>
      <c r="W71" s="250">
        <f>SUMPRODUCT(('T22'!$A$2:$A$97=$A71)*(T22Emp=W$1),'T22'!$E$2:$AZ$97)</f>
        <v>0</v>
      </c>
      <c r="X71" s="250">
        <f>SUMPRODUCT(('T22'!$A$2:$A$97=$A71)*(T22Emp=X$1),'T22'!$E$2:$AZ$97)</f>
        <v>0</v>
      </c>
      <c r="Y71" s="250">
        <f>SUMPRODUCT(('T22'!$A$2:$A$97=$A71)*(T22Emp=Y$1),'T22'!$E$2:$AZ$97)</f>
        <v>0</v>
      </c>
      <c r="Z71" s="250">
        <f>SUMPRODUCT(('T22'!$A$2:$A$97=$A71)*(T22Emp=Z$1),'T22'!$E$2:$AZ$97)</f>
        <v>0</v>
      </c>
      <c r="AA71" s="250">
        <f>SUMPRODUCT(('T22'!$A$2:$A$97=$A71)*(T22Emp=AA$1),'T22'!$E$2:$AZ$97)</f>
        <v>0</v>
      </c>
      <c r="AB71" s="250">
        <f>SUMPRODUCT(('T22'!$A$2:$A$97=$A71)*(T22Emp=AB$1),'T22'!$E$2:$AZ$97)</f>
        <v>0</v>
      </c>
      <c r="AC71" s="250">
        <f>SUMPRODUCT(('T22'!$A$2:$A$97=$A71)*(T22Emp=AC$1),'T22'!$E$2:$AZ$97)</f>
        <v>0</v>
      </c>
      <c r="AD71" s="250">
        <f>SUMPRODUCT(('T22'!$A$2:$A$97=$A71)*(T22Emp=AD$1),'T22'!$E$2:$AZ$97)</f>
        <v>0</v>
      </c>
      <c r="AE71" s="250">
        <f>SUMPRODUCT(('T22'!$A$2:$A$97=$A71)*(T22Emp=AE$1),'T22'!$E$2:$AZ$97)</f>
        <v>0</v>
      </c>
      <c r="AF71" s="250">
        <f>SUMPRODUCT(('T22'!$A$2:$A$97=$A71)*(T22Emp=AF$1),'T22'!$E$2:$AZ$97)</f>
        <v>0</v>
      </c>
      <c r="AG71" s="250">
        <f>SUMPRODUCT(('T22'!$A$2:$A$97=$A71)*(T22Emp=AG$1),'T22'!$E$2:$AZ$97)</f>
        <v>0</v>
      </c>
      <c r="AH71" s="250">
        <f>SUMPRODUCT(('T22'!$A$2:$A$97=$A71)*(T22Emp=AH$1),'T22'!$E$2:$AZ$97)</f>
        <v>0</v>
      </c>
      <c r="AI71" s="250">
        <f>SUMPRODUCT(('T22'!$A$2:$A$97=$A71)*(T22Emp=AI$1),'T22'!$E$2:$AZ$97)</f>
        <v>0</v>
      </c>
      <c r="AJ71" s="250">
        <f>SUMPRODUCT(('T22'!$A$2:$A$97=$A71)*(T22Emp=AJ$1),'T22'!$E$2:$AZ$97)</f>
        <v>0</v>
      </c>
      <c r="AK71" s="250">
        <f>SUMPRODUCT(('T22'!$A$2:$A$97=$A71)*(T22Emp=AK$1),'T22'!$E$2:$AZ$97)</f>
        <v>0</v>
      </c>
      <c r="AL71" s="250">
        <f>SUMPRODUCT(('T22'!$A$2:$A$97=$A71)*(T22Emp=AL$1),'T22'!$E$2:$AZ$97)</f>
        <v>0</v>
      </c>
      <c r="AM71" s="250">
        <f>SUMPRODUCT(('T22'!$A$2:$A$97=$A71)*(T22Emp=AM$1),'T22'!$E$2:$AZ$97)</f>
        <v>0</v>
      </c>
      <c r="AN71" s="250">
        <f>SUMPRODUCT(('T22'!$A$2:$A$97=$A71)*(T22Emp=AN$1),'T22'!$E$2:$AZ$97)</f>
        <v>0</v>
      </c>
      <c r="AO71" s="250">
        <f>SUMPRODUCT(('T22'!$A$2:$A$97=$A71)*(T22Emp=AO$1),'T22'!$E$2:$AZ$97)</f>
        <v>0</v>
      </c>
      <c r="AP71" s="250">
        <f>SUMPRODUCT(('T22'!$A$2:$A$97=$A71)*(T22Emp=AP$1),'T22'!$E$2:$AZ$97)</f>
        <v>0</v>
      </c>
      <c r="AQ71" s="250">
        <f>SUMPRODUCT(('T22'!$A$2:$A$97=$A71)*(T22Emp=AQ$1),'T22'!$E$2:$AZ$97)</f>
        <v>0</v>
      </c>
      <c r="AR71" s="496">
        <f>SUMPRODUCT(('T22'!$A$2:$A$97=$A71)*(T22Emp=AR$1),'T22'!$E$2:$AZ$97)</f>
        <v>0</v>
      </c>
      <c r="AT71" s="246"/>
    </row>
    <row r="72" spans="1:46" s="271" customFormat="1" x14ac:dyDescent="0.2">
      <c r="A72" s="247">
        <f t="shared" si="42"/>
        <v>42467</v>
      </c>
      <c r="B72" s="254" t="str">
        <f>Total!$L$1</f>
        <v>RF</v>
      </c>
      <c r="C72" s="249">
        <f>SUMPRODUCT((RF!$A$2:$A$17=$A72)*(RFEmp=C$1)*(RF!$H$21:$AO$21="RF Valet"),RF!$H$2:$AO$17)</f>
        <v>0</v>
      </c>
      <c r="D72" s="250">
        <f>SUMPRODUCT((RF!$A$2:$A$17=$A72)*(RFEmp=D$1)*(RF!$H$21:$AO$21="RF Valet"),RF!$H$2:$AO$17)</f>
        <v>0</v>
      </c>
      <c r="E72" s="250">
        <f>SUMPRODUCT((RF!$A$2:$A$17=$A72)*(RFEmp=E$1)*(RF!$H$21:$AO$21="RF Valet"),RF!$H$2:$AO$17)</f>
        <v>0</v>
      </c>
      <c r="F72" s="250">
        <f>SUMPRODUCT((RF!$A$2:$A$17=$A72)*(RFEmp=F$1)*(RF!$H$21:$AO$21="RF Valet"),RF!$H$2:$AO$17)</f>
        <v>0</v>
      </c>
      <c r="G72" s="250">
        <f>SUMPRODUCT((RF!$A$2:$A$17=$A72)*(RFEmp=G$1)*(RF!$H$21:$AO$21="RF Valet"),RF!$H$2:$AO$17)</f>
        <v>0</v>
      </c>
      <c r="H72" s="250">
        <f>SUMPRODUCT((RF!$A$2:$A$17=$A72)*(RFEmp=H$1)*(RF!$H$21:$AO$21="RF Valet"),RF!$H$2:$AO$17)</f>
        <v>0</v>
      </c>
      <c r="I72" s="250">
        <f>SUMPRODUCT((RF!$A$2:$A$17=$A72)*(RFEmp=I$1)*(RF!$H$21:$AO$21="RF Valet"),RF!$H$2:$AO$17)</f>
        <v>0</v>
      </c>
      <c r="J72" s="250">
        <f>SUMPRODUCT((RF!$A$2:$A$17=$A72)*(RFEmp=J$1)*(RF!$H$21:$AO$21="RF Valet"),RF!$H$2:$AO$17)</f>
        <v>0</v>
      </c>
      <c r="K72" s="250">
        <f>SUMPRODUCT((RF!$A$2:$A$17=$A72)*(RFEmp=K$1)*(RF!$H$21:$AO$21="RF Valet"),RF!$H$2:$AO$17)</f>
        <v>0</v>
      </c>
      <c r="L72" s="250">
        <f>SUMPRODUCT((RF!$A$2:$A$17=$A72)*(RFEmp=L$1)*(RF!$H$21:$AO$21="RF Valet"),RF!$H$2:$AO$17)</f>
        <v>0</v>
      </c>
      <c r="M72" s="250">
        <f>SUMPRODUCT((RF!$A$2:$A$17=$A72)*(RFEmp=M$1)*(RF!$H$21:$AO$21="RF Valet"),RF!$H$2:$AO$17)</f>
        <v>0</v>
      </c>
      <c r="N72" s="250">
        <f>SUMPRODUCT((RF!$A$2:$A$17=$A72)*(RFEmp=N$1)*(RF!$H$21:$AO$21="RF Valet"),RF!$H$2:$AO$17)</f>
        <v>0</v>
      </c>
      <c r="O72" s="250">
        <f>SUMPRODUCT((RF!$A$2:$A$17=$A72)*(RFEmp=O$1)*(RF!$H$21:$AO$21="RF Valet"),RF!$H$2:$AO$17)</f>
        <v>0</v>
      </c>
      <c r="P72" s="250">
        <f>SUMPRODUCT((RF!$A$2:$A$17=$A72)*(RFEmp=P$1)*(RF!$H$21:$AO$21="RF Valet"),RF!$H$2:$AO$17)</f>
        <v>0</v>
      </c>
      <c r="Q72" s="250">
        <f>SUMPRODUCT((RF!$A$2:$A$17=$A72)*(RFEmp=Q$1)*(RF!$H$21:$AO$21="RF Valet"),RF!$H$2:$AO$17)</f>
        <v>0</v>
      </c>
      <c r="R72" s="250">
        <f>SUMPRODUCT((RF!$A$2:$A$17=$A72)*(RFEmp=R$1)*(RF!$H$21:$AO$21="RF Valet"),RF!$H$2:$AO$17)</f>
        <v>0</v>
      </c>
      <c r="S72" s="250">
        <f>SUMPRODUCT((RF!$A$2:$A$17=$A72)*(RFEmp=S$1)*(RF!$H$21:$AO$21="RF Valet"),RF!$H$2:$AO$17)</f>
        <v>0</v>
      </c>
      <c r="T72" s="250">
        <f>SUMPRODUCT((RF!$A$2:$A$17=$A72)*(RFEmp=T$1)*(RF!$H$21:$AO$21="RF Valet"),RF!$H$2:$AO$17)</f>
        <v>0</v>
      </c>
      <c r="U72" s="250">
        <f>SUMPRODUCT((RF!$A$2:$A$17=$A72)*(RFEmp=U$1)*(RF!$H$21:$AO$21="RF Valet"),RF!$H$2:$AO$17)</f>
        <v>0</v>
      </c>
      <c r="V72" s="250">
        <f>SUMPRODUCT((RF!$A$2:$A$17=$A72)*(RFEmp=V$1)*(RF!$H$21:$AO$21="RF Valet"),RF!$H$2:$AO$17)</f>
        <v>0</v>
      </c>
      <c r="W72" s="250">
        <f>SUMPRODUCT((RF!$A$2:$A$17=$A72)*(RFEmp=W$1)*(RF!$H$21:$AO$21="RF Valet"),RF!$H$2:$AO$17)</f>
        <v>0</v>
      </c>
      <c r="X72" s="250">
        <f>SUMPRODUCT((RF!$A$2:$A$17=$A72)*(RFEmp=X$1)*(RF!$H$21:$AO$21="RF Valet"),RF!$H$2:$AO$17)</f>
        <v>0</v>
      </c>
      <c r="Y72" s="250">
        <f>SUMPRODUCT((RF!$A$2:$A$17=$A72)*(RFEmp=Y$1)*(RF!$H$21:$AO$21="RF Valet"),RF!$H$2:$AO$17)</f>
        <v>0</v>
      </c>
      <c r="Z72" s="250">
        <f>SUMPRODUCT((RF!$A$2:$A$17=$A72)*(RFEmp=Z$1)*(RF!$H$21:$AO$21="RF Valet"),RF!$H$2:$AO$17)</f>
        <v>0</v>
      </c>
      <c r="AA72" s="250">
        <f>SUMPRODUCT((RF!$A$2:$A$17=$A72)*(RFEmp=AA$1)*(RF!$H$21:$AO$21="RF Valet"),RF!$H$2:$AO$17)</f>
        <v>0</v>
      </c>
      <c r="AB72" s="250">
        <f>SUMPRODUCT((RF!$A$2:$A$17=$A72)*(RFEmp=AB$1)*(RF!$H$21:$AO$21="RF Valet"),RF!$H$2:$AO$17)</f>
        <v>0</v>
      </c>
      <c r="AC72" s="250">
        <f>SUMPRODUCT((RF!$A$2:$A$17=$A72)*(RFEmp=AC$1)*(RF!$H$21:$AO$21="RF Valet"),RF!$H$2:$AO$17)</f>
        <v>0</v>
      </c>
      <c r="AD72" s="250">
        <f>SUMPRODUCT((RF!$A$2:$A$17=$A72)*(RFEmp=AD$1)*(RF!$H$21:$AO$21="RF Valet"),RF!$H$2:$AO$17)</f>
        <v>0</v>
      </c>
      <c r="AE72" s="250">
        <f>SUMPRODUCT((RF!$A$2:$A$17=$A72)*(RFEmp=AE$1)*(RF!$H$21:$AO$21="RF Valet"),RF!$H$2:$AO$17)</f>
        <v>0</v>
      </c>
      <c r="AF72" s="250">
        <f>SUMPRODUCT((RF!$A$2:$A$17=$A72)*(RFEmp=AF$1)*(RF!$H$21:$AO$21="RF Valet"),RF!$H$2:$AO$17)</f>
        <v>0</v>
      </c>
      <c r="AG72" s="250">
        <f>SUMPRODUCT((RF!$A$2:$A$17=$A72)*(RFEmp=AG$1)*(RF!$H$21:$AO$21="RF Valet"),RF!$H$2:$AO$17)</f>
        <v>0</v>
      </c>
      <c r="AH72" s="250">
        <f>SUMPRODUCT((RF!$A$2:$A$17=$A72)*(RFEmp=AH$1)*(RF!$H$21:$AO$21="RF Valet"),RF!$H$2:$AO$17)</f>
        <v>0</v>
      </c>
      <c r="AI72" s="250">
        <f>SUMPRODUCT((RF!$A$2:$A$17=$A72)*(RFEmp=AI$1)*(RF!$H$21:$AO$21="RF Valet"),RF!$H$2:$AO$17)</f>
        <v>0</v>
      </c>
      <c r="AJ72" s="250">
        <f>SUMPRODUCT((RF!$A$2:$A$17=$A72)*(RFEmp=AJ$1)*(RF!$H$21:$AO$21="RF Valet"),RF!$H$2:$AO$17)</f>
        <v>0</v>
      </c>
      <c r="AK72" s="250">
        <f>SUMPRODUCT((RF!$A$2:$A$17=$A72)*(RFEmp=AK$1)*(RF!$H$21:$AO$21="RF Valet"),RF!$H$2:$AO$17)</f>
        <v>0</v>
      </c>
      <c r="AL72" s="250">
        <f>SUMPRODUCT((RF!$A$2:$A$17=$A72)*(RFEmp=AL$1)*(RF!$H$21:$AO$21="RF Valet"),RF!$H$2:$AO$17)</f>
        <v>0</v>
      </c>
      <c r="AM72" s="250">
        <f>SUMPRODUCT((RF!$A$2:$A$17=$A72)*(RFEmp=AM$1)*(RF!$H$21:$AO$21="RF Valet"),RF!$H$2:$AO$17)</f>
        <v>0</v>
      </c>
      <c r="AN72" s="250">
        <f>SUMPRODUCT((RF!$A$2:$A$17=$A72)*(RFEmp=AN$1)*(RF!$H$21:$AO$21="RF Valet"),RF!$H$2:$AO$17)</f>
        <v>0</v>
      </c>
      <c r="AO72" s="250">
        <f>SUMPRODUCT((RF!$A$2:$A$17=$A72)*(RFEmp=AO$1)*(RF!$H$21:$AO$21="RF Valet"),RF!$H$2:$AO$17)</f>
        <v>0</v>
      </c>
      <c r="AP72" s="250">
        <f>SUMPRODUCT((RF!$A$2:$A$17=$A72)*(RFEmp=AP$1)*(RF!$H$21:$AO$21="RF Valet"),RF!$H$2:$AO$17)</f>
        <v>0</v>
      </c>
      <c r="AQ72" s="250">
        <f>SUMPRODUCT((RF!$A$2:$A$17=$A72)*(RFEmp=AQ$1)*(RF!$H$21:$AO$21="RF Valet"),RF!$H$2:$AO$17)</f>
        <v>0</v>
      </c>
      <c r="AR72" s="496">
        <f>SUMPRODUCT((RF!$A$2:$A$17=$A72)*(RFEmp=AR$1)*(RF!$H$21:$AO$21="RF Valet"),RF!$H$2:$AO$17)</f>
        <v>0</v>
      </c>
      <c r="AT72" s="246"/>
    </row>
    <row r="73" spans="1:46" s="271" customFormat="1" x14ac:dyDescent="0.2">
      <c r="A73" s="247">
        <f>A72</f>
        <v>42467</v>
      </c>
      <c r="B73" s="255" t="s">
        <v>74</v>
      </c>
      <c r="C73" s="249">
        <f>SUMPRODUCT((TM!$A$2:$A$17=$A73)*(TMEmp=C$1),TM!$D$2:$AK$17)</f>
        <v>0</v>
      </c>
      <c r="D73" s="250">
        <f>SUMPRODUCT((TM!$A$2:$A$17=$A73)*(TMEmp=D$1),TM!$D$2:$AK$17)</f>
        <v>0</v>
      </c>
      <c r="E73" s="250">
        <f>SUMPRODUCT((TM!$A$2:$A$17=$A73)*(TMEmp=E$1),TM!$D$2:$AK$17)</f>
        <v>0</v>
      </c>
      <c r="F73" s="250">
        <f>SUMPRODUCT((TM!$A$2:$A$17=$A73)*(TMEmp=F$1),TM!$D$2:$AK$17)</f>
        <v>0</v>
      </c>
      <c r="G73" s="250">
        <f>SUMPRODUCT((TM!$A$2:$A$17=$A73)*(TMEmp=G$1),TM!$D$2:$AK$17)</f>
        <v>0</v>
      </c>
      <c r="H73" s="250">
        <f>SUMPRODUCT((TM!$A$2:$A$17=$A73)*(TMEmp=H$1),TM!$D$2:$AK$17)</f>
        <v>0</v>
      </c>
      <c r="I73" s="250">
        <f>SUMPRODUCT((TM!$A$2:$A$17=$A73)*(TMEmp=I$1),TM!$D$2:$AK$17)</f>
        <v>0</v>
      </c>
      <c r="J73" s="250">
        <f>SUMPRODUCT((TM!$A$2:$A$17=$A73)*(TMEmp=J$1),TM!$D$2:$AK$17)</f>
        <v>0</v>
      </c>
      <c r="K73" s="250">
        <f>SUMPRODUCT((TM!$A$2:$A$17=$A73)*(TMEmp=K$1),TM!$D$2:$AK$17)</f>
        <v>0</v>
      </c>
      <c r="L73" s="250">
        <f>SUMPRODUCT((TM!$A$2:$A$17=$A73)*(TMEmp=L$1),TM!$D$2:$AK$17)</f>
        <v>0</v>
      </c>
      <c r="M73" s="250">
        <f>SUMPRODUCT((TM!$A$2:$A$17=$A73)*(TMEmp=M$1),TM!$D$2:$AK$17)</f>
        <v>0</v>
      </c>
      <c r="N73" s="250">
        <f>SUMPRODUCT((TM!$A$2:$A$17=$A73)*(TMEmp=N$1),TM!$D$2:$AK$17)</f>
        <v>0</v>
      </c>
      <c r="O73" s="250">
        <f>SUMPRODUCT((TM!$A$2:$A$17=$A73)*(TMEmp=O$1),TM!$D$2:$AK$17)</f>
        <v>0</v>
      </c>
      <c r="P73" s="250">
        <f>SUMPRODUCT((TM!$A$2:$A$17=$A73)*(TMEmp=P$1),TM!$D$2:$AK$17)</f>
        <v>0</v>
      </c>
      <c r="Q73" s="250">
        <f>SUMPRODUCT((TM!$A$2:$A$17=$A73)*(TMEmp=Q$1),TM!$D$2:$AK$17)</f>
        <v>0</v>
      </c>
      <c r="R73" s="250">
        <f>SUMPRODUCT((TM!$A$2:$A$17=$A73)*(TMEmp=R$1),TM!$D$2:$AK$17)</f>
        <v>0</v>
      </c>
      <c r="S73" s="250">
        <f>SUMPRODUCT((TM!$A$2:$A$17=$A73)*(TMEmp=S$1),TM!$D$2:$AK$17)</f>
        <v>0</v>
      </c>
      <c r="T73" s="250">
        <f>SUMPRODUCT((TM!$A$2:$A$17=$A73)*(TMEmp=T$1),TM!$D$2:$AK$17)</f>
        <v>0</v>
      </c>
      <c r="U73" s="250">
        <f>SUMPRODUCT((TM!$A$2:$A$17=$A73)*(TMEmp=U$1),TM!$D$2:$AK$17)</f>
        <v>0</v>
      </c>
      <c r="V73" s="250">
        <f>SUMPRODUCT((TM!$A$2:$A$17=$A73)*(TMEmp=V$1),TM!$D$2:$AK$17)</f>
        <v>0</v>
      </c>
      <c r="W73" s="250">
        <f>SUMPRODUCT((TM!$A$2:$A$17=$A73)*(TMEmp=W$1),TM!$D$2:$AK$17)</f>
        <v>0</v>
      </c>
      <c r="X73" s="250">
        <f>SUMPRODUCT((TM!$A$2:$A$17=$A73)*(TMEmp=X$1),TM!$D$2:$AK$17)</f>
        <v>0</v>
      </c>
      <c r="Y73" s="250">
        <f>SUMPRODUCT((TM!$A$2:$A$17=$A73)*(TMEmp=Y$1),TM!$D$2:$AK$17)</f>
        <v>0</v>
      </c>
      <c r="Z73" s="250">
        <f>SUMPRODUCT((TM!$A$2:$A$17=$A73)*(TMEmp=Z$1),TM!$D$2:$AK$17)</f>
        <v>0</v>
      </c>
      <c r="AA73" s="250">
        <f>SUMPRODUCT((TM!$A$2:$A$17=$A73)*(TMEmp=AA$1),TM!$D$2:$AK$17)</f>
        <v>0</v>
      </c>
      <c r="AB73" s="250">
        <f>SUMPRODUCT((TM!$A$2:$A$17=$A73)*(TMEmp=AB$1),TM!$D$2:$AK$17)</f>
        <v>0</v>
      </c>
      <c r="AC73" s="250">
        <f>SUMPRODUCT((TM!$A$2:$A$17=$A73)*(TMEmp=AC$1),TM!$D$2:$AK$17)</f>
        <v>0</v>
      </c>
      <c r="AD73" s="250">
        <f>SUMPRODUCT((TM!$A$2:$A$17=$A73)*(TMEmp=AD$1),TM!$D$2:$AK$17)</f>
        <v>0</v>
      </c>
      <c r="AE73" s="250">
        <f>SUMPRODUCT((TM!$A$2:$A$17=$A73)*(TMEmp=AE$1),TM!$D$2:$AK$17)</f>
        <v>0</v>
      </c>
      <c r="AF73" s="250">
        <f>SUMPRODUCT((TM!$A$2:$A$17=$A73)*(TMEmp=AF$1),TM!$D$2:$AK$17)</f>
        <v>0</v>
      </c>
      <c r="AG73" s="250">
        <f>SUMPRODUCT((TM!$A$2:$A$17=$A73)*(TMEmp=AG$1),TM!$D$2:$AK$17)</f>
        <v>0</v>
      </c>
      <c r="AH73" s="250">
        <f>SUMPRODUCT((TM!$A$2:$A$17=$A73)*(TMEmp=AH$1),TM!$D$2:$AK$17)</f>
        <v>0</v>
      </c>
      <c r="AI73" s="250">
        <f>SUMPRODUCT((TM!$A$2:$A$17=$A73)*(TMEmp=AI$1),TM!$D$2:$AK$17)</f>
        <v>0</v>
      </c>
      <c r="AJ73" s="250">
        <f>SUMPRODUCT((TM!$A$2:$A$17=$A73)*(TMEmp=AJ$1),TM!$D$2:$AK$17)</f>
        <v>0</v>
      </c>
      <c r="AK73" s="250">
        <f>SUMPRODUCT((TM!$A$2:$A$17=$A73)*(TMEmp=AK$1),TM!$D$2:$AK$17)</f>
        <v>0</v>
      </c>
      <c r="AL73" s="250">
        <f>SUMPRODUCT((TM!$A$2:$A$17=$A73)*(TMEmp=AL$1),TM!$D$2:$AK$17)</f>
        <v>0</v>
      </c>
      <c r="AM73" s="250">
        <f>SUMPRODUCT((TM!$A$2:$A$17=$A73)*(TMEmp=AM$1),TM!$D$2:$AK$17)</f>
        <v>0</v>
      </c>
      <c r="AN73" s="250">
        <f>SUMPRODUCT((TM!$A$2:$A$17=$A73)*(TMEmp=AN$1),TM!$D$2:$AK$17)</f>
        <v>0</v>
      </c>
      <c r="AO73" s="250">
        <f>SUMPRODUCT((TM!$A$2:$A$17=$A73)*(TMEmp=AO$1),TM!$D$2:$AK$17)</f>
        <v>0</v>
      </c>
      <c r="AP73" s="250">
        <f>SUMPRODUCT((TM!$A$2:$A$17=$A73)*(TMEmp=AP$1),TM!$D$2:$AK$17)</f>
        <v>0</v>
      </c>
      <c r="AQ73" s="250">
        <f>SUMPRODUCT((TM!$A$2:$A$17=$A73)*(TMEmp=AQ$1),TM!$D$2:$AK$17)</f>
        <v>0</v>
      </c>
      <c r="AR73" s="496">
        <f>SUMPRODUCT((TM!$A$2:$A$17=$A73)*(TMEmp=AR$1),TM!$D$2:$AK$17)</f>
        <v>0</v>
      </c>
      <c r="AT73" s="246"/>
    </row>
    <row r="74" spans="1:46" s="271" customFormat="1" x14ac:dyDescent="0.2">
      <c r="A74" s="256">
        <f t="shared" si="42"/>
        <v>42467</v>
      </c>
      <c r="B74" s="257" t="s">
        <v>72</v>
      </c>
      <c r="C74" s="258">
        <f>SUMPRODUCT((PC!$A$2:$A$80=$A74)*(PCEmp=C$1),PC!$D$2:$BD$80)</f>
        <v>0</v>
      </c>
      <c r="D74" s="259">
        <f>SUMPRODUCT((PC!$A$2:$A$80=$A74)*(PCEmp=D$1),PC!$D$2:$BD$80)</f>
        <v>0</v>
      </c>
      <c r="E74" s="259">
        <f>SUMPRODUCT((PC!$A$2:$A$80=$A74)*(PCEmp=E$1),PC!$D$2:$BD$80)</f>
        <v>0</v>
      </c>
      <c r="F74" s="259">
        <f>SUMPRODUCT((PC!$A$2:$A$80=$A74)*(PCEmp=F$1),PC!$D$2:$BD$80)</f>
        <v>0</v>
      </c>
      <c r="G74" s="259">
        <f>SUMPRODUCT((PC!$A$2:$A$80=$A74)*(PCEmp=G$1),PC!$D$2:$BD$80)</f>
        <v>0</v>
      </c>
      <c r="H74" s="259">
        <f>SUMPRODUCT((PC!$A$2:$A$80=$A74)*(PCEmp=H$1),PC!$D$2:$BD$80)</f>
        <v>0</v>
      </c>
      <c r="I74" s="259">
        <f>SUMPRODUCT((PC!$A$2:$A$80=$A74)*(PCEmp=I$1),PC!$D$2:$BD$80)</f>
        <v>0</v>
      </c>
      <c r="J74" s="259">
        <f>SUMPRODUCT((PC!$A$2:$A$80=$A74)*(PCEmp=J$1),PC!$D$2:$BD$80)</f>
        <v>0</v>
      </c>
      <c r="K74" s="259">
        <f>SUMPRODUCT((PC!$A$2:$A$80=$A74)*(PCEmp=K$1),PC!$D$2:$BD$80)</f>
        <v>0</v>
      </c>
      <c r="L74" s="259">
        <f>SUMPRODUCT((PC!$A$2:$A$80=$A74)*(PCEmp=L$1),PC!$D$2:$BD$80)</f>
        <v>0</v>
      </c>
      <c r="M74" s="259">
        <f>SUMPRODUCT((PC!$A$2:$A$80=$A74)*(PCEmp=M$1),PC!$D$2:$BD$80)</f>
        <v>0</v>
      </c>
      <c r="N74" s="259">
        <f>SUMPRODUCT((PC!$A$2:$A$80=$A74)*(PCEmp=N$1),PC!$D$2:$BD$80)</f>
        <v>0</v>
      </c>
      <c r="O74" s="259">
        <f>SUMPRODUCT((PC!$A$2:$A$80=$A74)*(PCEmp=O$1),PC!$D$2:$BD$80)</f>
        <v>0</v>
      </c>
      <c r="P74" s="259">
        <f>SUMPRODUCT((PC!$A$2:$A$80=$A74)*(PCEmp=P$1),PC!$D$2:$BD$80)</f>
        <v>0</v>
      </c>
      <c r="Q74" s="259">
        <f>SUMPRODUCT((PC!$A$2:$A$80=$A74)*(PCEmp=Q$1),PC!$D$2:$BD$80)</f>
        <v>0</v>
      </c>
      <c r="R74" s="259">
        <f>SUMPRODUCT((PC!$A$2:$A$80=$A74)*(PCEmp=R$1),PC!$D$2:$BD$80)</f>
        <v>0</v>
      </c>
      <c r="S74" s="259">
        <f>SUMPRODUCT((PC!$A$2:$A$80=$A74)*(PCEmp=S$1),PC!$D$2:$BD$80)</f>
        <v>0</v>
      </c>
      <c r="T74" s="259">
        <f>SUMPRODUCT((PC!$A$2:$A$80=$A74)*(PCEmp=T$1),PC!$D$2:$BD$80)</f>
        <v>0</v>
      </c>
      <c r="U74" s="259">
        <f>SUMPRODUCT((PC!$A$2:$A$80=$A74)*(PCEmp=U$1),PC!$D$2:$BD$80)</f>
        <v>0</v>
      </c>
      <c r="V74" s="259">
        <f>SUMPRODUCT((PC!$A$2:$A$80=$A74)*(PCEmp=V$1),PC!$D$2:$BD$80)</f>
        <v>0</v>
      </c>
      <c r="W74" s="259">
        <f>SUMPRODUCT((PC!$A$2:$A$80=$A74)*(PCEmp=W$1),PC!$D$2:$BD$80)</f>
        <v>0</v>
      </c>
      <c r="X74" s="259">
        <f>SUMPRODUCT((PC!$A$2:$A$80=$A74)*(PCEmp=X$1),PC!$D$2:$BD$80)</f>
        <v>0</v>
      </c>
      <c r="Y74" s="259">
        <f>SUMPRODUCT((PC!$A$2:$A$80=$A74)*(PCEmp=Y$1),PC!$D$2:$BD$80)</f>
        <v>0</v>
      </c>
      <c r="Z74" s="259">
        <f>SUMPRODUCT((PC!$A$2:$A$80=$A74)*(PCEmp=Z$1),PC!$D$2:$BD$80)</f>
        <v>0</v>
      </c>
      <c r="AA74" s="259">
        <f>SUMPRODUCT((PC!$A$2:$A$80=$A74)*(PCEmp=AA$1),PC!$D$2:$BD$80)</f>
        <v>0</v>
      </c>
      <c r="AB74" s="259">
        <f>SUMPRODUCT((PC!$A$2:$A$80=$A74)*(PCEmp=AB$1),PC!$D$2:$BD$80)</f>
        <v>0</v>
      </c>
      <c r="AC74" s="259">
        <f>SUMPRODUCT((PC!$A$2:$A$80=$A74)*(PCEmp=AC$1),PC!$D$2:$BD$80)</f>
        <v>0</v>
      </c>
      <c r="AD74" s="259">
        <f>SUMPRODUCT((PC!$A$2:$A$80=$A74)*(PCEmp=AD$1),PC!$D$2:$BD$80)</f>
        <v>0</v>
      </c>
      <c r="AE74" s="259">
        <f>SUMPRODUCT((PC!$A$2:$A$80=$A74)*(PCEmp=AE$1),PC!$D$2:$BD$80)</f>
        <v>0</v>
      </c>
      <c r="AF74" s="259">
        <f>SUMPRODUCT((PC!$A$2:$A$80=$A74)*(PCEmp=AF$1),PC!$D$2:$BD$80)</f>
        <v>0</v>
      </c>
      <c r="AG74" s="259">
        <f>SUMPRODUCT((PC!$A$2:$A$80=$A74)*(PCEmp=AG$1),PC!$D$2:$BD$80)</f>
        <v>0</v>
      </c>
      <c r="AH74" s="259">
        <f>SUMPRODUCT((PC!$A$2:$A$80=$A74)*(PCEmp=AH$1),PC!$D$2:$BD$80)</f>
        <v>0</v>
      </c>
      <c r="AI74" s="259">
        <f>SUMPRODUCT((PC!$A$2:$A$80=$A74)*(PCEmp=AI$1),PC!$D$2:$BD$80)</f>
        <v>0</v>
      </c>
      <c r="AJ74" s="259">
        <f>SUMPRODUCT((PC!$A$2:$A$80=$A74)*(PCEmp=AJ$1),PC!$D$2:$BD$80)</f>
        <v>0</v>
      </c>
      <c r="AK74" s="259">
        <f>SUMPRODUCT((PC!$A$2:$A$80=$A74)*(PCEmp=AK$1),PC!$D$2:$BD$80)</f>
        <v>0</v>
      </c>
      <c r="AL74" s="259">
        <f>SUMPRODUCT((PC!$A$2:$A$80=$A74)*(PCEmp=AL$1),PC!$D$2:$BD$80)</f>
        <v>0</v>
      </c>
      <c r="AM74" s="259">
        <f>SUMPRODUCT((PC!$A$2:$A$80=$A74)*(PCEmp=AM$1),PC!$D$2:$BD$80)</f>
        <v>0</v>
      </c>
      <c r="AN74" s="259">
        <f>SUMPRODUCT((PC!$A$2:$A$80=$A74)*(PCEmp=AN$1),PC!$D$2:$BD$80)</f>
        <v>0</v>
      </c>
      <c r="AO74" s="259">
        <f>SUMPRODUCT((PC!$A$2:$A$80=$A74)*(PCEmp=AO$1),PC!$D$2:$BD$80)</f>
        <v>0</v>
      </c>
      <c r="AP74" s="259">
        <f>SUMPRODUCT((PC!$A$2:$A$80=$A74)*(PCEmp=AP$1),PC!$D$2:$BD$80)</f>
        <v>0</v>
      </c>
      <c r="AQ74" s="259">
        <f>SUMPRODUCT((PC!$A$2:$A$80=$A74)*(PCEmp=AQ$1),PC!$D$2:$BD$80)</f>
        <v>0</v>
      </c>
      <c r="AR74" s="497">
        <f>SUMPRODUCT((PC!$A$2:$A$80=$A74)*(PCEmp=AR$1),PC!$D$2:$BD$80)</f>
        <v>0</v>
      </c>
      <c r="AT74" s="246"/>
    </row>
    <row r="75" spans="1:46" s="271" customFormat="1" x14ac:dyDescent="0.2">
      <c r="A75" s="247">
        <f t="shared" si="42"/>
        <v>42467</v>
      </c>
      <c r="B75" s="254" t="s">
        <v>85</v>
      </c>
      <c r="C75" s="249">
        <f>SUMPRODUCT((RF!$A$2:$A$17=$A75)*(RFEmp=C$1)*(RF!$H$21:$AO$21="RF Lead"),RF!$H$2:$AO$17)</f>
        <v>0</v>
      </c>
      <c r="D75" s="250">
        <f>SUMPRODUCT((RF!$A$2:$A$17=$A75)*(RFEmp=D$1)*(RF!$H$21:$AO$21="RF Lead"),RF!$H$2:$AO$17)</f>
        <v>0</v>
      </c>
      <c r="E75" s="250">
        <f>SUMPRODUCT((RF!$A$2:$A$17=$A75)*(RFEmp=E$1)*(RF!$H$21:$AO$21="RF Lead"),RF!$H$2:$AO$17)</f>
        <v>0</v>
      </c>
      <c r="F75" s="250">
        <f>SUMPRODUCT((RF!$A$2:$A$17=$A75)*(RFEmp=F$1)*(RF!$H$21:$AO$21="RF Lead"),RF!$H$2:$AO$17)</f>
        <v>0</v>
      </c>
      <c r="G75" s="250">
        <f>SUMPRODUCT((RF!$A$2:$A$17=$A75)*(RFEmp=G$1)*(RF!$H$21:$AO$21="RF Lead"),RF!$H$2:$AO$17)</f>
        <v>0</v>
      </c>
      <c r="H75" s="250">
        <f>SUMPRODUCT((RF!$A$2:$A$17=$A75)*(RFEmp=H$1)*(RF!$H$21:$AO$21="RF Lead"),RF!$H$2:$AO$17)</f>
        <v>0</v>
      </c>
      <c r="I75" s="250">
        <f>SUMPRODUCT((RF!$A$2:$A$17=$A75)*(RFEmp=I$1)*(RF!$H$21:$AO$21="RF Lead"),RF!$H$2:$AO$17)</f>
        <v>0</v>
      </c>
      <c r="J75" s="250">
        <f>SUMPRODUCT((RF!$A$2:$A$17=$A75)*(RFEmp=J$1)*(RF!$H$21:$AO$21="RF Lead"),RF!$H$2:$AO$17)</f>
        <v>0</v>
      </c>
      <c r="K75" s="250">
        <f>SUMPRODUCT((RF!$A$2:$A$17=$A75)*(RFEmp=K$1)*(RF!$H$21:$AO$21="RF Lead"),RF!$H$2:$AO$17)</f>
        <v>0</v>
      </c>
      <c r="L75" s="250">
        <f>SUMPRODUCT((RF!$A$2:$A$17=$A75)*(RFEmp=L$1)*(RF!$H$21:$AO$21="RF Lead"),RF!$H$2:$AO$17)</f>
        <v>0</v>
      </c>
      <c r="M75" s="250">
        <f>SUMPRODUCT((RF!$A$2:$A$17=$A75)*(RFEmp=M$1)*(RF!$H$21:$AO$21="RF Lead"),RF!$H$2:$AO$17)</f>
        <v>0</v>
      </c>
      <c r="N75" s="250">
        <f>SUMPRODUCT((RF!$A$2:$A$17=$A75)*(RFEmp=N$1)*(RF!$H$21:$AO$21="RF Lead"),RF!$H$2:$AO$17)</f>
        <v>0</v>
      </c>
      <c r="O75" s="250">
        <f>SUMPRODUCT((RF!$A$2:$A$17=$A75)*(RFEmp=O$1)*(RF!$H$21:$AO$21="RF Lead"),RF!$H$2:$AO$17)</f>
        <v>0</v>
      </c>
      <c r="P75" s="250">
        <f>SUMPRODUCT((RF!$A$2:$A$17=$A75)*(RFEmp=P$1)*(RF!$H$21:$AO$21="RF Lead"),RF!$H$2:$AO$17)</f>
        <v>0</v>
      </c>
      <c r="Q75" s="250">
        <f>SUMPRODUCT((RF!$A$2:$A$17=$A75)*(RFEmp=Q$1)*(RF!$H$21:$AO$21="RF Lead"),RF!$H$2:$AO$17)</f>
        <v>0</v>
      </c>
      <c r="R75" s="250">
        <f>SUMPRODUCT((RF!$A$2:$A$17=$A75)*(RFEmp=R$1)*(RF!$H$21:$AO$21="RF Lead"),RF!$H$2:$AO$17)</f>
        <v>0</v>
      </c>
      <c r="S75" s="250">
        <f>SUMPRODUCT((RF!$A$2:$A$17=$A75)*(RFEmp=S$1)*(RF!$H$21:$AO$21="RF Lead"),RF!$H$2:$AO$17)</f>
        <v>0</v>
      </c>
      <c r="T75" s="250">
        <f>SUMPRODUCT((RF!$A$2:$A$17=$A75)*(RFEmp=T$1)*(RF!$H$21:$AO$21="RF Lead"),RF!$H$2:$AO$17)</f>
        <v>0</v>
      </c>
      <c r="U75" s="250">
        <f>SUMPRODUCT((RF!$A$2:$A$17=$A75)*(RFEmp=U$1)*(RF!$H$21:$AO$21="RF Lead"),RF!$H$2:$AO$17)</f>
        <v>0</v>
      </c>
      <c r="V75" s="250">
        <f>SUMPRODUCT((RF!$A$2:$A$17=$A75)*(RFEmp=V$1)*(RF!$H$21:$AO$21="RF Lead"),RF!$H$2:$AO$17)</f>
        <v>0</v>
      </c>
      <c r="W75" s="250">
        <f>SUMPRODUCT((RF!$A$2:$A$17=$A75)*(RFEmp=W$1)*(RF!$H$21:$AO$21="RF Lead"),RF!$H$2:$AO$17)</f>
        <v>0</v>
      </c>
      <c r="X75" s="250">
        <f>SUMPRODUCT((RF!$A$2:$A$17=$A75)*(RFEmp=X$1)*(RF!$H$21:$AO$21="RF Lead"),RF!$H$2:$AO$17)</f>
        <v>0</v>
      </c>
      <c r="Y75" s="250">
        <f>SUMPRODUCT((RF!$A$2:$A$17=$A75)*(RFEmp=Y$1)*(RF!$H$21:$AO$21="RF Lead"),RF!$H$2:$AO$17)</f>
        <v>0</v>
      </c>
      <c r="Z75" s="250">
        <f>SUMPRODUCT((RF!$A$2:$A$17=$A75)*(RFEmp=Z$1)*(RF!$H$21:$AO$21="RF Lead"),RF!$H$2:$AO$17)</f>
        <v>0</v>
      </c>
      <c r="AA75" s="250">
        <f>SUMPRODUCT((RF!$A$2:$A$17=$A75)*(RFEmp=AA$1)*(RF!$H$21:$AO$21="RF Lead"),RF!$H$2:$AO$17)</f>
        <v>0</v>
      </c>
      <c r="AB75" s="250">
        <f>SUMPRODUCT((RF!$A$2:$A$17=$A75)*(RFEmp=AB$1)*(RF!$H$21:$AO$21="RF Lead"),RF!$H$2:$AO$17)</f>
        <v>0</v>
      </c>
      <c r="AC75" s="250">
        <f>SUMPRODUCT((RF!$A$2:$A$17=$A75)*(RFEmp=AC$1)*(RF!$H$21:$AO$21="RF Lead"),RF!$H$2:$AO$17)</f>
        <v>0</v>
      </c>
      <c r="AD75" s="250">
        <f>SUMPRODUCT((RF!$A$2:$A$17=$A75)*(RFEmp=AD$1)*(RF!$H$21:$AO$21="RF Lead"),RF!$H$2:$AO$17)</f>
        <v>0</v>
      </c>
      <c r="AE75" s="250">
        <f>SUMPRODUCT((RF!$A$2:$A$17=$A75)*(RFEmp=AE$1)*(RF!$H$21:$AO$21="RF Lead"),RF!$H$2:$AO$17)</f>
        <v>0</v>
      </c>
      <c r="AF75" s="250">
        <f>SUMPRODUCT((RF!$A$2:$A$17=$A75)*(RFEmp=AF$1)*(RF!$H$21:$AO$21="RF Lead"),RF!$H$2:$AO$17)</f>
        <v>0</v>
      </c>
      <c r="AG75" s="250">
        <f>SUMPRODUCT((RF!$A$2:$A$17=$A75)*(RFEmp=AG$1)*(RF!$H$21:$AO$21="RF Lead"),RF!$H$2:$AO$17)</f>
        <v>0</v>
      </c>
      <c r="AH75" s="250">
        <f>SUMPRODUCT((RF!$A$2:$A$17=$A75)*(RFEmp=AH$1)*(RF!$H$21:$AO$21="RF Lead"),RF!$H$2:$AO$17)</f>
        <v>0</v>
      </c>
      <c r="AI75" s="250">
        <f>SUMPRODUCT((RF!$A$2:$A$17=$A75)*(RFEmp=AI$1)*(RF!$H$21:$AO$21="RF Lead"),RF!$H$2:$AO$17)</f>
        <v>0</v>
      </c>
      <c r="AJ75" s="250">
        <f>SUMPRODUCT((RF!$A$2:$A$17=$A75)*(RFEmp=AJ$1)*(RF!$H$21:$AO$21="RF Lead"),RF!$H$2:$AO$17)</f>
        <v>0</v>
      </c>
      <c r="AK75" s="250">
        <f>SUMPRODUCT((RF!$A$2:$A$17=$A75)*(RFEmp=AK$1)*(RF!$H$21:$AO$21="RF Lead"),RF!$H$2:$AO$17)</f>
        <v>0</v>
      </c>
      <c r="AL75" s="250">
        <f>SUMPRODUCT((RF!$A$2:$A$17=$A75)*(RFEmp=AL$1)*(RF!$H$21:$AO$21="RF Lead"),RF!$H$2:$AO$17)</f>
        <v>0</v>
      </c>
      <c r="AM75" s="250">
        <f>SUMPRODUCT((RF!$A$2:$A$17=$A75)*(RFEmp=AM$1)*(RF!$H$21:$AO$21="RF Lead"),RF!$H$2:$AO$17)</f>
        <v>0</v>
      </c>
      <c r="AN75" s="250">
        <f>SUMPRODUCT((RF!$A$2:$A$17=$A75)*(RFEmp=AN$1)*(RF!$H$21:$AO$21="RF Lead"),RF!$H$2:$AO$17)</f>
        <v>0</v>
      </c>
      <c r="AO75" s="250">
        <f>SUMPRODUCT((RF!$A$2:$A$17=$A75)*(RFEmp=AO$1)*(RF!$H$21:$AO$21="RF Lead"),RF!$H$2:$AO$17)</f>
        <v>0</v>
      </c>
      <c r="AP75" s="250">
        <f>SUMPRODUCT((RF!$A$2:$A$17=$A75)*(RFEmp=AP$1)*(RF!$H$21:$AO$21="RF Lead"),RF!$H$2:$AO$17)</f>
        <v>0</v>
      </c>
      <c r="AQ75" s="250">
        <f>SUMPRODUCT((RF!$A$2:$A$17=$A75)*(RFEmp=AQ$1)*(RF!$H$21:$AO$21="RF Lead"),RF!$H$2:$AO$17)</f>
        <v>0</v>
      </c>
      <c r="AR75" s="496">
        <f>SUMPRODUCT((RF!$A$2:$A$17=$A75)*(RFEmp=AR$1)*(RF!$H$21:$AO$21="RF Lead"),RF!$H$2:$AO$17)</f>
        <v>0</v>
      </c>
      <c r="AT75" s="246"/>
    </row>
    <row r="76" spans="1:46" s="271" customFormat="1" x14ac:dyDescent="0.2">
      <c r="A76" s="260">
        <f t="shared" si="42"/>
        <v>42467</v>
      </c>
      <c r="B76" s="261" t="str">
        <f>Total!$M$1</f>
        <v>SC</v>
      </c>
      <c r="C76" s="249">
        <f>SUMPRODUCT((SC!$A$2:$A$34=$A76)*(SCEmp=C$1),SC!$F$2:$Z$34)</f>
        <v>0</v>
      </c>
      <c r="D76" s="250">
        <f>SUMPRODUCT((SC!$A$2:$A$34=$A76)*(SCEmp=D$1),SC!$F$2:$Z$34)</f>
        <v>0</v>
      </c>
      <c r="E76" s="250">
        <f>SUMPRODUCT((SC!$A$2:$A$34=$A76)*(SCEmp=E$1),SC!$F$2:$Z$34)</f>
        <v>0</v>
      </c>
      <c r="F76" s="250">
        <f>SUMPRODUCT((SC!$A$2:$A$34=$A76)*(SCEmp=F$1),SC!$F$2:$Z$34)</f>
        <v>0</v>
      </c>
      <c r="G76" s="250">
        <f>SUMPRODUCT((SC!$A$2:$A$34=$A76)*(SCEmp=G$1),SC!$F$2:$Z$34)</f>
        <v>0</v>
      </c>
      <c r="H76" s="250">
        <f>SUMPRODUCT((SC!$A$2:$A$34=$A76)*(SCEmp=H$1),SC!$F$2:$Z$34)</f>
        <v>0</v>
      </c>
      <c r="I76" s="250">
        <f>SUMPRODUCT((SC!$A$2:$A$34=$A76)*(SCEmp=I$1),SC!$F$2:$Z$34)</f>
        <v>0</v>
      </c>
      <c r="J76" s="250">
        <f>SUMPRODUCT((SC!$A$2:$A$34=$A76)*(SCEmp=J$1),SC!$F$2:$Z$34)</f>
        <v>0</v>
      </c>
      <c r="K76" s="250">
        <f>SUMPRODUCT((SC!$A$2:$A$34=$A76)*(SCEmp=K$1),SC!$F$2:$Z$34)</f>
        <v>0</v>
      </c>
      <c r="L76" s="250">
        <f>SUMPRODUCT((SC!$A$2:$A$34=$A76)*(SCEmp=L$1),SC!$F$2:$Z$34)</f>
        <v>0</v>
      </c>
      <c r="M76" s="250">
        <f>SUMPRODUCT((SC!$A$2:$A$34=$A76)*(SCEmp=M$1),SC!$F$2:$Z$34)</f>
        <v>0</v>
      </c>
      <c r="N76" s="250">
        <f>SUMPRODUCT((SC!$A$2:$A$34=$A76)*(SCEmp=N$1),SC!$F$2:$Z$34)</f>
        <v>0</v>
      </c>
      <c r="O76" s="250">
        <f>SUMPRODUCT((SC!$A$2:$A$34=$A76)*(SCEmp=O$1),SC!$F$2:$Z$34)</f>
        <v>0</v>
      </c>
      <c r="P76" s="250">
        <f>SUMPRODUCT((SC!$A$2:$A$34=$A76)*(SCEmp=P$1),SC!$F$2:$Z$34)</f>
        <v>0</v>
      </c>
      <c r="Q76" s="250">
        <f>SUMPRODUCT((SC!$A$2:$A$34=$A76)*(SCEmp=Q$1),SC!$F$2:$Z$34)</f>
        <v>0</v>
      </c>
      <c r="R76" s="250">
        <f>SUMPRODUCT((SC!$A$2:$A$34=$A76)*(SCEmp=R$1),SC!$F$2:$Z$34)</f>
        <v>0</v>
      </c>
      <c r="S76" s="250">
        <f>SUMPRODUCT((SC!$A$2:$A$34=$A76)*(SCEmp=S$1),SC!$F$2:$Z$34)</f>
        <v>0</v>
      </c>
      <c r="T76" s="250">
        <f>SUMPRODUCT((SC!$A$2:$A$34=$A76)*(SCEmp=T$1),SC!$F$2:$Z$34)</f>
        <v>0</v>
      </c>
      <c r="U76" s="250">
        <f>SUMPRODUCT((SC!$A$2:$A$34=$A76)*(SCEmp=U$1),SC!$F$2:$Z$34)</f>
        <v>0</v>
      </c>
      <c r="V76" s="250">
        <f>SUMPRODUCT((SC!$A$2:$A$34=$A76)*(SCEmp=V$1),SC!$F$2:$Z$34)</f>
        <v>0</v>
      </c>
      <c r="W76" s="250">
        <f>SUMPRODUCT((SC!$A$2:$A$34=$A76)*(SCEmp=W$1),SC!$F$2:$Z$34)</f>
        <v>0</v>
      </c>
      <c r="X76" s="250">
        <f>SUMPRODUCT((SC!$A$2:$A$34=$A76)*(SCEmp=X$1),SC!$F$2:$Z$34)</f>
        <v>0</v>
      </c>
      <c r="Y76" s="250">
        <f>SUMPRODUCT((SC!$A$2:$A$34=$A76)*(SCEmp=Y$1),SC!$F$2:$Z$34)</f>
        <v>0</v>
      </c>
      <c r="Z76" s="250">
        <f>SUMPRODUCT((SC!$A$2:$A$34=$A76)*(SCEmp=Z$1),SC!$F$2:$Z$34)</f>
        <v>0</v>
      </c>
      <c r="AA76" s="250">
        <f>SUMPRODUCT((SC!$A$2:$A$34=$A76)*(SCEmp=AA$1),SC!$F$2:$Z$34)</f>
        <v>0</v>
      </c>
      <c r="AB76" s="250">
        <f>SUMPRODUCT((SC!$A$2:$A$34=$A76)*(SCEmp=AB$1),SC!$F$2:$Z$34)</f>
        <v>0</v>
      </c>
      <c r="AC76" s="250">
        <f>SUMPRODUCT((SC!$A$2:$A$34=$A76)*(SCEmp=AC$1),SC!$F$2:$Z$34)</f>
        <v>0</v>
      </c>
      <c r="AD76" s="250">
        <f>SUMPRODUCT((SC!$A$2:$A$34=$A76)*(SCEmp=AD$1),SC!$F$2:$Z$34)</f>
        <v>0</v>
      </c>
      <c r="AE76" s="250">
        <f>SUMPRODUCT((SC!$A$2:$A$34=$A76)*(SCEmp=AE$1),SC!$F$2:$Z$34)</f>
        <v>0</v>
      </c>
      <c r="AF76" s="250">
        <f>SUMPRODUCT((SC!$A$2:$A$34=$A76)*(SCEmp=AF$1),SC!$F$2:$Z$34)</f>
        <v>0</v>
      </c>
      <c r="AG76" s="250">
        <f>SUMPRODUCT((SC!$A$2:$A$34=$A76)*(SCEmp=AG$1),SC!$F$2:$Z$34)</f>
        <v>0</v>
      </c>
      <c r="AH76" s="250">
        <f>SUMPRODUCT((SC!$A$2:$A$34=$A76)*(SCEmp=AH$1),SC!$F$2:$Z$34)</f>
        <v>0</v>
      </c>
      <c r="AI76" s="250">
        <f>SUMPRODUCT((SC!$A$2:$A$34=$A76)*(SCEmp=AI$1),SC!$F$2:$Z$34)</f>
        <v>0</v>
      </c>
      <c r="AJ76" s="250">
        <f>SUMPRODUCT((SC!$A$2:$A$34=$A76)*(SCEmp=AJ$1),SC!$F$2:$Z$34)</f>
        <v>0</v>
      </c>
      <c r="AK76" s="250">
        <f>SUMPRODUCT((SC!$A$2:$A$34=$A76)*(SCEmp=AK$1),SC!$F$2:$Z$34)</f>
        <v>0</v>
      </c>
      <c r="AL76" s="250">
        <f>SUMPRODUCT((SC!$A$2:$A$34=$A76)*(SCEmp=AL$1),SC!$F$2:$Z$34)</f>
        <v>0</v>
      </c>
      <c r="AM76" s="250">
        <f>SUMPRODUCT((SC!$A$2:$A$34=$A76)*(SCEmp=AM$1),SC!$F$2:$Z$34)</f>
        <v>0</v>
      </c>
      <c r="AN76" s="250">
        <f>SUMPRODUCT((SC!$A$2:$A$34=$A76)*(SCEmp=AN$1),SC!$F$2:$Z$34)</f>
        <v>0</v>
      </c>
      <c r="AO76" s="250">
        <f>SUMPRODUCT((SC!$A$2:$A$34=$A76)*(SCEmp=AO$1),SC!$F$2:$Z$34)</f>
        <v>0</v>
      </c>
      <c r="AP76" s="250">
        <f>SUMPRODUCT((SC!$A$2:$A$34=$A76)*(SCEmp=AP$1),SC!$F$2:$Z$34)</f>
        <v>0</v>
      </c>
      <c r="AQ76" s="250">
        <f>SUMPRODUCT((SC!$A$2:$A$34=$A76)*(SCEmp=AQ$1),SC!$F$2:$Z$34)</f>
        <v>0</v>
      </c>
      <c r="AR76" s="496">
        <f>SUMPRODUCT((SC!$A$2:$A$34=$A76)*(SCEmp=AR$1),SC!$F$2:$Z$34)</f>
        <v>0</v>
      </c>
      <c r="AT76" s="246"/>
    </row>
    <row r="77" spans="1:46" s="271" customFormat="1" x14ac:dyDescent="0.2">
      <c r="A77" s="262">
        <f t="shared" si="42"/>
        <v>42467</v>
      </c>
      <c r="B77" s="263" t="s">
        <v>87</v>
      </c>
      <c r="C77" s="264">
        <f t="shared" ref="C77:AR77" si="43">IF(SUM(C68:C76)&gt;8,SUM(C68:C76)-8,0)+IF(SUM(C68:C76)&gt;12,SUM(C68:C76)-12,0)</f>
        <v>0</v>
      </c>
      <c r="D77" s="265">
        <f t="shared" si="43"/>
        <v>0</v>
      </c>
      <c r="E77" s="265">
        <f t="shared" si="43"/>
        <v>0</v>
      </c>
      <c r="F77" s="265">
        <f t="shared" si="43"/>
        <v>0</v>
      </c>
      <c r="G77" s="265">
        <f t="shared" si="43"/>
        <v>0</v>
      </c>
      <c r="H77" s="265">
        <f t="shared" si="43"/>
        <v>0</v>
      </c>
      <c r="I77" s="265">
        <f t="shared" si="43"/>
        <v>0</v>
      </c>
      <c r="J77" s="265">
        <f t="shared" si="43"/>
        <v>0</v>
      </c>
      <c r="K77" s="265">
        <f t="shared" si="43"/>
        <v>0</v>
      </c>
      <c r="L77" s="265">
        <f t="shared" si="43"/>
        <v>0</v>
      </c>
      <c r="M77" s="265">
        <f t="shared" si="43"/>
        <v>0</v>
      </c>
      <c r="N77" s="265">
        <f t="shared" si="43"/>
        <v>0</v>
      </c>
      <c r="O77" s="265">
        <f t="shared" si="43"/>
        <v>0</v>
      </c>
      <c r="P77" s="265">
        <f t="shared" si="43"/>
        <v>0</v>
      </c>
      <c r="Q77" s="265">
        <f t="shared" si="43"/>
        <v>0</v>
      </c>
      <c r="R77" s="265">
        <f t="shared" si="43"/>
        <v>0</v>
      </c>
      <c r="S77" s="265">
        <f t="shared" si="43"/>
        <v>0</v>
      </c>
      <c r="T77" s="265">
        <f t="shared" si="43"/>
        <v>0</v>
      </c>
      <c r="U77" s="265">
        <f t="shared" si="43"/>
        <v>0</v>
      </c>
      <c r="V77" s="265">
        <f t="shared" si="43"/>
        <v>0</v>
      </c>
      <c r="W77" s="265">
        <f t="shared" si="43"/>
        <v>0</v>
      </c>
      <c r="X77" s="265">
        <f t="shared" si="43"/>
        <v>0</v>
      </c>
      <c r="Y77" s="265">
        <f t="shared" si="43"/>
        <v>0</v>
      </c>
      <c r="Z77" s="265">
        <f t="shared" si="43"/>
        <v>0</v>
      </c>
      <c r="AA77" s="265">
        <f t="shared" si="43"/>
        <v>0</v>
      </c>
      <c r="AB77" s="265">
        <f t="shared" si="43"/>
        <v>0</v>
      </c>
      <c r="AC77" s="265">
        <f t="shared" si="43"/>
        <v>0</v>
      </c>
      <c r="AD77" s="265">
        <f t="shared" si="43"/>
        <v>0</v>
      </c>
      <c r="AE77" s="265">
        <f t="shared" si="43"/>
        <v>0</v>
      </c>
      <c r="AF77" s="265">
        <f t="shared" si="43"/>
        <v>0</v>
      </c>
      <c r="AG77" s="265">
        <f t="shared" si="43"/>
        <v>0</v>
      </c>
      <c r="AH77" s="265">
        <f t="shared" si="43"/>
        <v>0</v>
      </c>
      <c r="AI77" s="265">
        <f t="shared" si="43"/>
        <v>0</v>
      </c>
      <c r="AJ77" s="265">
        <f t="shared" si="43"/>
        <v>0</v>
      </c>
      <c r="AK77" s="265">
        <f t="shared" si="43"/>
        <v>0</v>
      </c>
      <c r="AL77" s="265">
        <f t="shared" si="43"/>
        <v>0</v>
      </c>
      <c r="AM77" s="265">
        <f t="shared" si="43"/>
        <v>0</v>
      </c>
      <c r="AN77" s="265">
        <f t="shared" si="43"/>
        <v>0</v>
      </c>
      <c r="AO77" s="265">
        <f t="shared" ref="AO77:AP77" si="44">IF(SUM(AO68:AO76)&gt;8,SUM(AO68:AO76)-8,0)+IF(SUM(AO68:AO76)&gt;12,SUM(AO68:AO76)-12,0)</f>
        <v>0</v>
      </c>
      <c r="AP77" s="265">
        <f t="shared" si="44"/>
        <v>0</v>
      </c>
      <c r="AQ77" s="265">
        <f t="shared" ref="AQ77" si="45">IF(SUM(AQ68:AQ76)&gt;8,SUM(AQ68:AQ76)-8,0)+IF(SUM(AQ68:AQ76)&gt;12,SUM(AQ68:AQ76)-12,0)</f>
        <v>0</v>
      </c>
      <c r="AR77" s="498">
        <f t="shared" si="43"/>
        <v>0</v>
      </c>
      <c r="AT77" s="246"/>
    </row>
    <row r="78" spans="1:46" s="271" customFormat="1" x14ac:dyDescent="0.2">
      <c r="A78" s="266">
        <f t="shared" si="42"/>
        <v>42467</v>
      </c>
      <c r="B78" s="267" t="s">
        <v>86</v>
      </c>
      <c r="C78" s="268">
        <f t="shared" ref="C78:AR78" si="46">IFERROR((C$179*SUM(C68:C73)+C$180*SUM(C74:C76))/SUM(C68:C76)/2,0)*C77</f>
        <v>0</v>
      </c>
      <c r="D78" s="269">
        <f t="shared" si="46"/>
        <v>0</v>
      </c>
      <c r="E78" s="269">
        <f t="shared" si="46"/>
        <v>0</v>
      </c>
      <c r="F78" s="269">
        <f t="shared" si="46"/>
        <v>0</v>
      </c>
      <c r="G78" s="269">
        <f t="shared" si="46"/>
        <v>0</v>
      </c>
      <c r="H78" s="269">
        <f t="shared" si="46"/>
        <v>0</v>
      </c>
      <c r="I78" s="269">
        <f t="shared" si="46"/>
        <v>0</v>
      </c>
      <c r="J78" s="269">
        <f t="shared" si="46"/>
        <v>0</v>
      </c>
      <c r="K78" s="269">
        <f t="shared" si="46"/>
        <v>0</v>
      </c>
      <c r="L78" s="269">
        <f t="shared" si="46"/>
        <v>0</v>
      </c>
      <c r="M78" s="269">
        <f t="shared" si="46"/>
        <v>0</v>
      </c>
      <c r="N78" s="269">
        <f t="shared" si="46"/>
        <v>0</v>
      </c>
      <c r="O78" s="269">
        <f t="shared" si="46"/>
        <v>0</v>
      </c>
      <c r="P78" s="269">
        <f t="shared" si="46"/>
        <v>0</v>
      </c>
      <c r="Q78" s="269">
        <f t="shared" si="46"/>
        <v>0</v>
      </c>
      <c r="R78" s="269">
        <f t="shared" si="46"/>
        <v>0</v>
      </c>
      <c r="S78" s="269">
        <f t="shared" si="46"/>
        <v>0</v>
      </c>
      <c r="T78" s="269">
        <f t="shared" si="46"/>
        <v>0</v>
      </c>
      <c r="U78" s="269">
        <f t="shared" si="46"/>
        <v>0</v>
      </c>
      <c r="V78" s="269">
        <f t="shared" si="46"/>
        <v>0</v>
      </c>
      <c r="W78" s="269">
        <f t="shared" si="46"/>
        <v>0</v>
      </c>
      <c r="X78" s="269">
        <f t="shared" si="46"/>
        <v>0</v>
      </c>
      <c r="Y78" s="269">
        <f t="shared" si="46"/>
        <v>0</v>
      </c>
      <c r="Z78" s="269">
        <f t="shared" si="46"/>
        <v>0</v>
      </c>
      <c r="AA78" s="269">
        <f t="shared" si="46"/>
        <v>0</v>
      </c>
      <c r="AB78" s="269">
        <f t="shared" si="46"/>
        <v>0</v>
      </c>
      <c r="AC78" s="269">
        <f t="shared" si="46"/>
        <v>0</v>
      </c>
      <c r="AD78" s="269">
        <f t="shared" si="46"/>
        <v>0</v>
      </c>
      <c r="AE78" s="269">
        <f t="shared" si="46"/>
        <v>0</v>
      </c>
      <c r="AF78" s="269">
        <f t="shared" si="46"/>
        <v>0</v>
      </c>
      <c r="AG78" s="269">
        <f t="shared" si="46"/>
        <v>0</v>
      </c>
      <c r="AH78" s="269">
        <f t="shared" si="46"/>
        <v>0</v>
      </c>
      <c r="AI78" s="269">
        <f t="shared" si="46"/>
        <v>0</v>
      </c>
      <c r="AJ78" s="269">
        <f t="shared" si="46"/>
        <v>0</v>
      </c>
      <c r="AK78" s="269">
        <f t="shared" si="46"/>
        <v>0</v>
      </c>
      <c r="AL78" s="269">
        <f t="shared" si="46"/>
        <v>0</v>
      </c>
      <c r="AM78" s="269">
        <f t="shared" si="46"/>
        <v>0</v>
      </c>
      <c r="AN78" s="269">
        <f t="shared" si="46"/>
        <v>0</v>
      </c>
      <c r="AO78" s="269">
        <f t="shared" ref="AO78:AP78" si="47">IFERROR((AO$179*SUM(AO68:AO73)+AO$180*SUM(AO74:AO76))/SUM(AO68:AO76)/2,0)*AO77</f>
        <v>0</v>
      </c>
      <c r="AP78" s="269">
        <f t="shared" si="47"/>
        <v>0</v>
      </c>
      <c r="AQ78" s="269">
        <f t="shared" ref="AQ78" si="48">IFERROR((AQ$179*SUM(AQ68:AQ73)+AQ$180*SUM(AQ74:AQ76))/SUM(AQ68:AQ76)/2,0)*AQ77</f>
        <v>0</v>
      </c>
      <c r="AR78" s="499">
        <f t="shared" si="46"/>
        <v>0</v>
      </c>
      <c r="AT78" s="246"/>
    </row>
    <row r="79" spans="1:46" s="271" customFormat="1" x14ac:dyDescent="0.2">
      <c r="A79" s="247">
        <f>A68+1</f>
        <v>42468</v>
      </c>
      <c r="B79" s="248" t="s">
        <v>77</v>
      </c>
      <c r="C79" s="249">
        <f>SUMPRODUCT((Driver!$A$2:$A$17=$A79)*(DriverEmp=C$1),Driver!$C$2:$V$17)</f>
        <v>0</v>
      </c>
      <c r="D79" s="250">
        <f>SUMPRODUCT((Driver!$A$2:$A$17=$A79)*(DriverEmp=D$1),Driver!$C$2:$V$17)</f>
        <v>0</v>
      </c>
      <c r="E79" s="250">
        <f>SUMPRODUCT((Driver!$A$2:$A$17=$A79)*(DriverEmp=E$1),Driver!$C$2:$V$17)</f>
        <v>0</v>
      </c>
      <c r="F79" s="250">
        <f>SUMPRODUCT((Driver!$A$2:$A$17=$A79)*(DriverEmp=F$1),Driver!$C$2:$V$17)</f>
        <v>0</v>
      </c>
      <c r="G79" s="250">
        <f>SUMPRODUCT((Driver!$A$2:$A$17=$A79)*(DriverEmp=G$1),Driver!$C$2:$V$17)</f>
        <v>0</v>
      </c>
      <c r="H79" s="250">
        <f>SUMPRODUCT((Driver!$A$2:$A$17=$A79)*(DriverEmp=H$1),Driver!$C$2:$V$17)</f>
        <v>0</v>
      </c>
      <c r="I79" s="250">
        <f>SUMPRODUCT((Driver!$A$2:$A$17=$A79)*(DriverEmp=I$1),Driver!$C$2:$V$17)</f>
        <v>0</v>
      </c>
      <c r="J79" s="250">
        <f>SUMPRODUCT((Driver!$A$2:$A$17=$A79)*(DriverEmp=J$1),Driver!$C$2:$V$17)</f>
        <v>0</v>
      </c>
      <c r="K79" s="250">
        <f>SUMPRODUCT((Driver!$A$2:$A$17=$A79)*(DriverEmp=K$1),Driver!$C$2:$V$17)</f>
        <v>0</v>
      </c>
      <c r="L79" s="250">
        <f>SUMPRODUCT((Driver!$A$2:$A$17=$A79)*(DriverEmp=L$1),Driver!$C$2:$V$17)</f>
        <v>0</v>
      </c>
      <c r="M79" s="250">
        <f>SUMPRODUCT((Driver!$A$2:$A$17=$A79)*(DriverEmp=M$1),Driver!$C$2:$V$17)</f>
        <v>0</v>
      </c>
      <c r="N79" s="250">
        <f>SUMPRODUCT((Driver!$A$2:$A$17=$A79)*(DriverEmp=N$1),Driver!$C$2:$V$17)</f>
        <v>0</v>
      </c>
      <c r="O79" s="250">
        <f>SUMPRODUCT((Driver!$A$2:$A$17=$A79)*(DriverEmp=O$1),Driver!$C$2:$V$17)</f>
        <v>0</v>
      </c>
      <c r="P79" s="250">
        <f>SUMPRODUCT((Driver!$A$2:$A$17=$A79)*(DriverEmp=P$1),Driver!$C$2:$V$17)</f>
        <v>0</v>
      </c>
      <c r="Q79" s="250">
        <f>SUMPRODUCT((Driver!$A$2:$A$17=$A79)*(DriverEmp=Q$1),Driver!$C$2:$V$17)</f>
        <v>0</v>
      </c>
      <c r="R79" s="250">
        <f>SUMPRODUCT((Driver!$A$2:$A$17=$A79)*(DriverEmp=R$1),Driver!$C$2:$V$17)</f>
        <v>0</v>
      </c>
      <c r="S79" s="250">
        <f>SUMPRODUCT((Driver!$A$2:$A$17=$A79)*(DriverEmp=S$1),Driver!$C$2:$V$17)</f>
        <v>0</v>
      </c>
      <c r="T79" s="250">
        <f>SUMPRODUCT((Driver!$A$2:$A$17=$A79)*(DriverEmp=T$1),Driver!$C$2:$V$17)</f>
        <v>0</v>
      </c>
      <c r="U79" s="250">
        <f>SUMPRODUCT((Driver!$A$2:$A$17=$A79)*(DriverEmp=U$1),Driver!$C$2:$V$17)</f>
        <v>0</v>
      </c>
      <c r="V79" s="250">
        <f>SUMPRODUCT((Driver!$A$2:$A$17=$A79)*(DriverEmp=V$1),Driver!$C$2:$V$17)</f>
        <v>0</v>
      </c>
      <c r="W79" s="250">
        <f>SUMPRODUCT((Driver!$A$2:$A$17=$A79)*(DriverEmp=W$1),Driver!$C$2:$V$17)</f>
        <v>0</v>
      </c>
      <c r="X79" s="250">
        <f>SUMPRODUCT((Driver!$A$2:$A$17=$A79)*(DriverEmp=X$1),Driver!$C$2:$V$17)</f>
        <v>0</v>
      </c>
      <c r="Y79" s="250">
        <f>SUMPRODUCT((Driver!$A$2:$A$17=$A79)*(DriverEmp=Y$1),Driver!$C$2:$V$17)</f>
        <v>0</v>
      </c>
      <c r="Z79" s="250">
        <f>SUMPRODUCT((Driver!$A$2:$A$17=$A79)*(DriverEmp=Z$1),Driver!$C$2:$V$17)</f>
        <v>0</v>
      </c>
      <c r="AA79" s="250">
        <f>SUMPRODUCT((Driver!$A$2:$A$17=$A79)*(DriverEmp=AA$1),Driver!$C$2:$V$17)</f>
        <v>0</v>
      </c>
      <c r="AB79" s="250">
        <f>SUMPRODUCT((Driver!$A$2:$A$17=$A79)*(DriverEmp=AB$1),Driver!$C$2:$V$17)</f>
        <v>0</v>
      </c>
      <c r="AC79" s="250">
        <f>SUMPRODUCT((Driver!$A$2:$A$17=$A79)*(DriverEmp=AC$1),Driver!$C$2:$V$17)</f>
        <v>0</v>
      </c>
      <c r="AD79" s="250">
        <f>SUMPRODUCT((Driver!$A$2:$A$17=$A79)*(DriverEmp=AD$1),Driver!$C$2:$V$17)</f>
        <v>0</v>
      </c>
      <c r="AE79" s="250">
        <f>SUMPRODUCT((Driver!$A$2:$A$17=$A79)*(DriverEmp=AE$1),Driver!$C$2:$V$17)</f>
        <v>0</v>
      </c>
      <c r="AF79" s="250">
        <f>SUMPRODUCT((Driver!$A$2:$A$17=$A79)*(DriverEmp=AF$1),Driver!$C$2:$V$17)</f>
        <v>0</v>
      </c>
      <c r="AG79" s="250">
        <f>SUMPRODUCT((Driver!$A$2:$A$17=$A79)*(DriverEmp=AG$1),Driver!$C$2:$V$17)</f>
        <v>0</v>
      </c>
      <c r="AH79" s="250">
        <f>SUMPRODUCT((Driver!$A$2:$A$17=$A79)*(DriverEmp=AH$1),Driver!$C$2:$V$17)</f>
        <v>0</v>
      </c>
      <c r="AI79" s="250">
        <f>SUMPRODUCT((Driver!$A$2:$A$17=$A79)*(DriverEmp=AI$1),Driver!$C$2:$V$17)</f>
        <v>0</v>
      </c>
      <c r="AJ79" s="250">
        <f>SUMPRODUCT((Driver!$A$2:$A$17=$A79)*(DriverEmp=AJ$1),Driver!$C$2:$V$17)</f>
        <v>0</v>
      </c>
      <c r="AK79" s="250">
        <f>SUMPRODUCT((Driver!$A$2:$A$17=$A79)*(DriverEmp=AK$1),Driver!$C$2:$V$17)</f>
        <v>0</v>
      </c>
      <c r="AL79" s="250">
        <f>SUMPRODUCT((Driver!$A$2:$A$17=$A79)*(DriverEmp=AL$1),Driver!$C$2:$V$17)</f>
        <v>0</v>
      </c>
      <c r="AM79" s="250">
        <f>SUMPRODUCT((Driver!$A$2:$A$17=$A79)*(DriverEmp=AM$1),Driver!$C$2:$V$17)</f>
        <v>0</v>
      </c>
      <c r="AN79" s="250">
        <f>SUMPRODUCT((Driver!$A$2:$A$17=$A79)*(DriverEmp=AN$1),Driver!$C$2:$V$17)</f>
        <v>0</v>
      </c>
      <c r="AO79" s="250">
        <f>SUMPRODUCT((Driver!$A$2:$A$17=$A79)*(DriverEmp=AO$1),Driver!$C$2:$V$17)</f>
        <v>0</v>
      </c>
      <c r="AP79" s="250">
        <f>SUMPRODUCT((Driver!$A$2:$A$17=$A79)*(DriverEmp=AP$1),Driver!$C$2:$V$17)</f>
        <v>0</v>
      </c>
      <c r="AQ79" s="250">
        <f>SUMPRODUCT((Driver!$A$2:$A$17=$A79)*(DriverEmp=AQ$1),Driver!$C$2:$V$17)</f>
        <v>0</v>
      </c>
      <c r="AR79" s="496">
        <f>SUMPRODUCT((Driver!$A$2:$A$17=$A79)*(DriverEmp=AR$1),Driver!$C$2:$V$17)</f>
        <v>0</v>
      </c>
      <c r="AT79" s="246"/>
    </row>
    <row r="80" spans="1:46" s="271" customFormat="1" x14ac:dyDescent="0.2">
      <c r="A80" s="247">
        <f t="shared" ref="A80:A89" si="49">A79</f>
        <v>42468</v>
      </c>
      <c r="B80" s="251" t="str">
        <f>Total!$H$1</f>
        <v>PP</v>
      </c>
      <c r="C80" s="249">
        <f>SUMPRODUCT((PP!$A$2:$A$80=$A80)*(PPEmp=C$1),PP!$D$2:$BD$80)</f>
        <v>0</v>
      </c>
      <c r="D80" s="250">
        <f>SUMPRODUCT((PP!$A$2:$A$80=$A80)*(PPEmp=D$1),PP!$D$2:$BD$80)</f>
        <v>0</v>
      </c>
      <c r="E80" s="250">
        <f>SUMPRODUCT((PP!$A$2:$A$80=$A80)*(PPEmp=E$1),PP!$D$2:$BD$80)</f>
        <v>0</v>
      </c>
      <c r="F80" s="250">
        <f>SUMPRODUCT((PP!$A$2:$A$80=$A80)*(PPEmp=F$1),PP!$D$2:$BD$80)</f>
        <v>0</v>
      </c>
      <c r="G80" s="250">
        <f>SUMPRODUCT((PP!$A$2:$A$80=$A80)*(PPEmp=G$1),PP!$D$2:$BD$80)</f>
        <v>0</v>
      </c>
      <c r="H80" s="250">
        <f>SUMPRODUCT((PP!$A$2:$A$80=$A80)*(PPEmp=H$1),PP!$D$2:$BD$80)</f>
        <v>0</v>
      </c>
      <c r="I80" s="250">
        <f>SUMPRODUCT((PP!$A$2:$A$80=$A80)*(PPEmp=I$1),PP!$D$2:$BD$80)</f>
        <v>0</v>
      </c>
      <c r="J80" s="250">
        <f>SUMPRODUCT((PP!$A$2:$A$80=$A80)*(PPEmp=J$1),PP!$D$2:$BD$80)</f>
        <v>0</v>
      </c>
      <c r="K80" s="250">
        <f>SUMPRODUCT((PP!$A$2:$A$80=$A80)*(PPEmp=K$1),PP!$D$2:$BD$80)</f>
        <v>0</v>
      </c>
      <c r="L80" s="250">
        <f>SUMPRODUCT((PP!$A$2:$A$80=$A80)*(PPEmp=L$1),PP!$D$2:$BD$80)</f>
        <v>0</v>
      </c>
      <c r="M80" s="250">
        <f>SUMPRODUCT((PP!$A$2:$A$80=$A80)*(PPEmp=M$1),PP!$D$2:$BD$80)</f>
        <v>0</v>
      </c>
      <c r="N80" s="250">
        <f>SUMPRODUCT((PP!$A$2:$A$80=$A80)*(PPEmp=N$1),PP!$D$2:$BD$80)</f>
        <v>0</v>
      </c>
      <c r="O80" s="250">
        <f>SUMPRODUCT((PP!$A$2:$A$80=$A80)*(PPEmp=O$1),PP!$D$2:$BD$80)</f>
        <v>0</v>
      </c>
      <c r="P80" s="250">
        <f>SUMPRODUCT((PP!$A$2:$A$80=$A80)*(PPEmp=P$1),PP!$D$2:$BD$80)</f>
        <v>0</v>
      </c>
      <c r="Q80" s="250">
        <f>SUMPRODUCT((PP!$A$2:$A$80=$A80)*(PPEmp=Q$1),PP!$D$2:$BD$80)</f>
        <v>0</v>
      </c>
      <c r="R80" s="250">
        <f>SUMPRODUCT((PP!$A$2:$A$80=$A80)*(PPEmp=R$1),PP!$D$2:$BD$80)</f>
        <v>0</v>
      </c>
      <c r="S80" s="250">
        <f>SUMPRODUCT((PP!$A$2:$A$80=$A80)*(PPEmp=S$1),PP!$D$2:$BD$80)</f>
        <v>0</v>
      </c>
      <c r="T80" s="250">
        <f>SUMPRODUCT((PP!$A$2:$A$80=$A80)*(PPEmp=T$1),PP!$D$2:$BD$80)</f>
        <v>0</v>
      </c>
      <c r="U80" s="250">
        <f>SUMPRODUCT((PP!$A$2:$A$80=$A80)*(PPEmp=U$1),PP!$D$2:$BD$80)</f>
        <v>0</v>
      </c>
      <c r="V80" s="250">
        <f>SUMPRODUCT((PP!$A$2:$A$80=$A80)*(PPEmp=V$1),PP!$D$2:$BD$80)</f>
        <v>0</v>
      </c>
      <c r="W80" s="250">
        <f>SUMPRODUCT((PP!$A$2:$A$80=$A80)*(PPEmp=W$1),PP!$D$2:$BD$80)</f>
        <v>0</v>
      </c>
      <c r="X80" s="250">
        <f>SUMPRODUCT((PP!$A$2:$A$80=$A80)*(PPEmp=X$1),PP!$D$2:$BD$80)</f>
        <v>0</v>
      </c>
      <c r="Y80" s="250">
        <f>SUMPRODUCT((PP!$A$2:$A$80=$A80)*(PPEmp=Y$1),PP!$D$2:$BD$80)</f>
        <v>0</v>
      </c>
      <c r="Z80" s="250">
        <f>SUMPRODUCT((PP!$A$2:$A$80=$A80)*(PPEmp=Z$1),PP!$D$2:$BD$80)</f>
        <v>0</v>
      </c>
      <c r="AA80" s="250">
        <f>SUMPRODUCT((PP!$A$2:$A$80=$A80)*(PPEmp=AA$1),PP!$D$2:$BD$80)</f>
        <v>0</v>
      </c>
      <c r="AB80" s="250">
        <f>SUMPRODUCT((PP!$A$2:$A$80=$A80)*(PPEmp=AB$1),PP!$D$2:$BD$80)</f>
        <v>0</v>
      </c>
      <c r="AC80" s="250">
        <f>SUMPRODUCT((PP!$A$2:$A$80=$A80)*(PPEmp=AC$1),PP!$D$2:$BD$80)</f>
        <v>0</v>
      </c>
      <c r="AD80" s="250">
        <f>SUMPRODUCT((PP!$A$2:$A$80=$A80)*(PPEmp=AD$1),PP!$D$2:$BD$80)</f>
        <v>0</v>
      </c>
      <c r="AE80" s="250">
        <f>SUMPRODUCT((PP!$A$2:$A$80=$A80)*(PPEmp=AE$1),PP!$D$2:$BD$80)</f>
        <v>0</v>
      </c>
      <c r="AF80" s="250">
        <f>SUMPRODUCT((PP!$A$2:$A$80=$A80)*(PPEmp=AF$1),PP!$D$2:$BD$80)</f>
        <v>0</v>
      </c>
      <c r="AG80" s="250">
        <f>SUMPRODUCT((PP!$A$2:$A$80=$A80)*(PPEmp=AG$1),PP!$D$2:$BD$80)</f>
        <v>0</v>
      </c>
      <c r="AH80" s="250">
        <f>SUMPRODUCT((PP!$A$2:$A$80=$A80)*(PPEmp=AH$1),PP!$D$2:$BD$80)</f>
        <v>0</v>
      </c>
      <c r="AI80" s="250">
        <f>SUMPRODUCT((PP!$A$2:$A$80=$A80)*(PPEmp=AI$1),PP!$D$2:$BD$80)</f>
        <v>0</v>
      </c>
      <c r="AJ80" s="250">
        <f>SUMPRODUCT((PP!$A$2:$A$80=$A80)*(PPEmp=AJ$1),PP!$D$2:$BD$80)</f>
        <v>0</v>
      </c>
      <c r="AK80" s="250">
        <f>SUMPRODUCT((PP!$A$2:$A$80=$A80)*(PPEmp=AK$1),PP!$D$2:$BD$80)</f>
        <v>0</v>
      </c>
      <c r="AL80" s="250">
        <f>SUMPRODUCT((PP!$A$2:$A$80=$A80)*(PPEmp=AL$1),PP!$D$2:$BD$80)</f>
        <v>0</v>
      </c>
      <c r="AM80" s="250">
        <f>SUMPRODUCT((PP!$A$2:$A$80=$A80)*(PPEmp=AM$1),PP!$D$2:$BD$80)</f>
        <v>0</v>
      </c>
      <c r="AN80" s="250">
        <f>SUMPRODUCT((PP!$A$2:$A$80=$A80)*(PPEmp=AN$1),PP!$D$2:$BD$80)</f>
        <v>0</v>
      </c>
      <c r="AO80" s="250">
        <f>SUMPRODUCT((PP!$A$2:$A$80=$A80)*(PPEmp=AO$1),PP!$D$2:$BD$80)</f>
        <v>0</v>
      </c>
      <c r="AP80" s="250">
        <f>SUMPRODUCT((PP!$A$2:$A$80=$A80)*(PPEmp=AP$1),PP!$D$2:$BD$80)</f>
        <v>0</v>
      </c>
      <c r="AQ80" s="250">
        <f>SUMPRODUCT((PP!$A$2:$A$80=$A80)*(PPEmp=AQ$1),PP!$D$2:$BD$80)</f>
        <v>0</v>
      </c>
      <c r="AR80" s="496">
        <f>SUMPRODUCT((PP!$A$2:$A$80=$A80)*(PPEmp=AR$1),PP!$D$2:$BD$80)</f>
        <v>0</v>
      </c>
      <c r="AT80" s="246"/>
    </row>
    <row r="81" spans="1:46" s="271" customFormat="1" x14ac:dyDescent="0.2">
      <c r="A81" s="247">
        <f t="shared" si="49"/>
        <v>42468</v>
      </c>
      <c r="B81" s="252" t="str">
        <f>Total!$J$1</f>
        <v>FH</v>
      </c>
      <c r="C81" s="249">
        <f>SUMPRODUCT((FH!$A$2:$A$97=$A81)*(FHEmp=C$1),FH!$E$2:$AZ$97)</f>
        <v>0</v>
      </c>
      <c r="D81" s="250">
        <f>SUMPRODUCT((FH!$A$2:$A$97=$A81)*(FHEmp=D$1),FH!$E$2:$AZ$97)</f>
        <v>0</v>
      </c>
      <c r="E81" s="250">
        <f>SUMPRODUCT((FH!$A$2:$A$97=$A81)*(FHEmp=E$1),FH!$E$2:$AZ$97)</f>
        <v>0</v>
      </c>
      <c r="F81" s="250">
        <f>SUMPRODUCT((FH!$A$2:$A$97=$A81)*(FHEmp=F$1),FH!$E$2:$AZ$97)</f>
        <v>0</v>
      </c>
      <c r="G81" s="250">
        <f>SUMPRODUCT((FH!$A$2:$A$97=$A81)*(FHEmp=G$1),FH!$E$2:$AZ$97)</f>
        <v>0</v>
      </c>
      <c r="H81" s="250">
        <f>SUMPRODUCT((FH!$A$2:$A$97=$A81)*(FHEmp=H$1),FH!$E$2:$AZ$97)</f>
        <v>0</v>
      </c>
      <c r="I81" s="250">
        <f>SUMPRODUCT((FH!$A$2:$A$97=$A81)*(FHEmp=I$1),FH!$E$2:$AZ$97)</f>
        <v>0</v>
      </c>
      <c r="J81" s="250">
        <f>SUMPRODUCT((FH!$A$2:$A$97=$A81)*(FHEmp=J$1),FH!$E$2:$AZ$97)</f>
        <v>0</v>
      </c>
      <c r="K81" s="250">
        <f>SUMPRODUCT((FH!$A$2:$A$97=$A81)*(FHEmp=K$1),FH!$E$2:$AZ$97)</f>
        <v>0</v>
      </c>
      <c r="L81" s="250">
        <f>SUMPRODUCT((FH!$A$2:$A$97=$A81)*(FHEmp=L$1),FH!$E$2:$AZ$97)</f>
        <v>0</v>
      </c>
      <c r="M81" s="250">
        <f>SUMPRODUCT((FH!$A$2:$A$97=$A81)*(FHEmp=M$1),FH!$E$2:$AZ$97)</f>
        <v>0</v>
      </c>
      <c r="N81" s="250">
        <f>SUMPRODUCT((FH!$A$2:$A$97=$A81)*(FHEmp=N$1),FH!$E$2:$AZ$97)</f>
        <v>0</v>
      </c>
      <c r="O81" s="250">
        <f>SUMPRODUCT((FH!$A$2:$A$97=$A81)*(FHEmp=O$1),FH!$E$2:$AZ$97)</f>
        <v>0</v>
      </c>
      <c r="P81" s="250">
        <f>SUMPRODUCT((FH!$A$2:$A$97=$A81)*(FHEmp=P$1),FH!$E$2:$AZ$97)</f>
        <v>0</v>
      </c>
      <c r="Q81" s="250">
        <f>SUMPRODUCT((FH!$A$2:$A$97=$A81)*(FHEmp=Q$1),FH!$E$2:$AZ$97)</f>
        <v>0</v>
      </c>
      <c r="R81" s="250">
        <f>SUMPRODUCT((FH!$A$2:$A$97=$A81)*(FHEmp=R$1),FH!$E$2:$AZ$97)</f>
        <v>0</v>
      </c>
      <c r="S81" s="250">
        <f>SUMPRODUCT((FH!$A$2:$A$97=$A81)*(FHEmp=S$1),FH!$E$2:$AZ$97)</f>
        <v>0</v>
      </c>
      <c r="T81" s="250">
        <f>SUMPRODUCT((FH!$A$2:$A$97=$A81)*(FHEmp=T$1),FH!$E$2:$AZ$97)</f>
        <v>0</v>
      </c>
      <c r="U81" s="250">
        <f>SUMPRODUCT((FH!$A$2:$A$97=$A81)*(FHEmp=U$1),FH!$E$2:$AZ$97)</f>
        <v>0</v>
      </c>
      <c r="V81" s="250">
        <f>SUMPRODUCT((FH!$A$2:$A$97=$A81)*(FHEmp=V$1),FH!$E$2:$AZ$97)</f>
        <v>0</v>
      </c>
      <c r="W81" s="250">
        <f>SUMPRODUCT((FH!$A$2:$A$97=$A81)*(FHEmp=W$1),FH!$E$2:$AZ$97)</f>
        <v>0</v>
      </c>
      <c r="X81" s="250">
        <f>SUMPRODUCT((FH!$A$2:$A$97=$A81)*(FHEmp=X$1),FH!$E$2:$AZ$97)</f>
        <v>0</v>
      </c>
      <c r="Y81" s="250">
        <f>SUMPRODUCT((FH!$A$2:$A$97=$A81)*(FHEmp=Y$1),FH!$E$2:$AZ$97)</f>
        <v>0</v>
      </c>
      <c r="Z81" s="250">
        <f>SUMPRODUCT((FH!$A$2:$A$97=$A81)*(FHEmp=Z$1),FH!$E$2:$AZ$97)</f>
        <v>0</v>
      </c>
      <c r="AA81" s="250">
        <f>SUMPRODUCT((FH!$A$2:$A$97=$A81)*(FHEmp=AA$1),FH!$E$2:$AZ$97)</f>
        <v>0</v>
      </c>
      <c r="AB81" s="250">
        <f>SUMPRODUCT((FH!$A$2:$A$97=$A81)*(FHEmp=AB$1),FH!$E$2:$AZ$97)</f>
        <v>0</v>
      </c>
      <c r="AC81" s="250">
        <f>SUMPRODUCT((FH!$A$2:$A$97=$A81)*(FHEmp=AC$1),FH!$E$2:$AZ$97)</f>
        <v>0</v>
      </c>
      <c r="AD81" s="250">
        <f>SUMPRODUCT((FH!$A$2:$A$97=$A81)*(FHEmp=AD$1),FH!$E$2:$AZ$97)</f>
        <v>0</v>
      </c>
      <c r="AE81" s="250">
        <f>SUMPRODUCT((FH!$A$2:$A$97=$A81)*(FHEmp=AE$1),FH!$E$2:$AZ$97)</f>
        <v>0</v>
      </c>
      <c r="AF81" s="250">
        <f>SUMPRODUCT((FH!$A$2:$A$97=$A81)*(FHEmp=AF$1),FH!$E$2:$AZ$97)</f>
        <v>0</v>
      </c>
      <c r="AG81" s="250">
        <f>SUMPRODUCT((FH!$A$2:$A$97=$A81)*(FHEmp=AG$1),FH!$E$2:$AZ$97)</f>
        <v>0</v>
      </c>
      <c r="AH81" s="250">
        <f>SUMPRODUCT((FH!$A$2:$A$97=$A81)*(FHEmp=AH$1),FH!$E$2:$AZ$97)</f>
        <v>0</v>
      </c>
      <c r="AI81" s="250">
        <f>SUMPRODUCT((FH!$A$2:$A$97=$A81)*(FHEmp=AI$1),FH!$E$2:$AZ$97)</f>
        <v>0</v>
      </c>
      <c r="AJ81" s="250">
        <f>SUMPRODUCT((FH!$A$2:$A$97=$A81)*(FHEmp=AJ$1),FH!$E$2:$AZ$97)</f>
        <v>0</v>
      </c>
      <c r="AK81" s="250">
        <f>SUMPRODUCT((FH!$A$2:$A$97=$A81)*(FHEmp=AK$1),FH!$E$2:$AZ$97)</f>
        <v>0</v>
      </c>
      <c r="AL81" s="250">
        <f>SUMPRODUCT((FH!$A$2:$A$97=$A81)*(FHEmp=AL$1),FH!$E$2:$AZ$97)</f>
        <v>0</v>
      </c>
      <c r="AM81" s="250">
        <f>SUMPRODUCT((FH!$A$2:$A$97=$A81)*(FHEmp=AM$1),FH!$E$2:$AZ$97)</f>
        <v>0</v>
      </c>
      <c r="AN81" s="250">
        <f>SUMPRODUCT((FH!$A$2:$A$97=$A81)*(FHEmp=AN$1),FH!$E$2:$AZ$97)</f>
        <v>0</v>
      </c>
      <c r="AO81" s="250">
        <f>SUMPRODUCT((FH!$A$2:$A$97=$A81)*(FHEmp=AO$1),FH!$E$2:$AZ$97)</f>
        <v>0</v>
      </c>
      <c r="AP81" s="250">
        <f>SUMPRODUCT((FH!$A$2:$A$97=$A81)*(FHEmp=AP$1),FH!$E$2:$AZ$97)</f>
        <v>0</v>
      </c>
      <c r="AQ81" s="250">
        <f>SUMPRODUCT((FH!$A$2:$A$97=$A81)*(FHEmp=AQ$1),FH!$E$2:$AZ$97)</f>
        <v>0</v>
      </c>
      <c r="AR81" s="496">
        <f>SUMPRODUCT((FH!$A$2:$A$97=$A81)*(FHEmp=AR$1),FH!$E$2:$AZ$97)</f>
        <v>0</v>
      </c>
      <c r="AT81" s="246"/>
    </row>
    <row r="82" spans="1:46" s="271" customFormat="1" x14ac:dyDescent="0.2">
      <c r="A82" s="247">
        <f t="shared" si="49"/>
        <v>42468</v>
      </c>
      <c r="B82" s="253" t="str">
        <f>Total!$K$1</f>
        <v>T22</v>
      </c>
      <c r="C82" s="249">
        <f>SUMPRODUCT(('T22'!$A$2:$A$97=$A82)*(T22Emp=C$1),'T22'!$E$2:$AZ$97)</f>
        <v>0</v>
      </c>
      <c r="D82" s="250">
        <f>SUMPRODUCT(('T22'!$A$2:$A$97=$A82)*(T22Emp=D$1),'T22'!$E$2:$AZ$97)</f>
        <v>0</v>
      </c>
      <c r="E82" s="250">
        <f>SUMPRODUCT(('T22'!$A$2:$A$97=$A82)*(T22Emp=E$1),'T22'!$E$2:$AZ$97)</f>
        <v>0</v>
      </c>
      <c r="F82" s="250">
        <f>SUMPRODUCT(('T22'!$A$2:$A$97=$A82)*(T22Emp=F$1),'T22'!$E$2:$AZ$97)</f>
        <v>0</v>
      </c>
      <c r="G82" s="250">
        <f>SUMPRODUCT(('T22'!$A$2:$A$97=$A82)*(T22Emp=G$1),'T22'!$E$2:$AZ$97)</f>
        <v>0</v>
      </c>
      <c r="H82" s="250">
        <f>SUMPRODUCT(('T22'!$A$2:$A$97=$A82)*(T22Emp=H$1),'T22'!$E$2:$AZ$97)</f>
        <v>0</v>
      </c>
      <c r="I82" s="250">
        <f>SUMPRODUCT(('T22'!$A$2:$A$97=$A82)*(T22Emp=I$1),'T22'!$E$2:$AZ$97)</f>
        <v>0</v>
      </c>
      <c r="J82" s="250">
        <f>SUMPRODUCT(('T22'!$A$2:$A$97=$A82)*(T22Emp=J$1),'T22'!$E$2:$AZ$97)</f>
        <v>0</v>
      </c>
      <c r="K82" s="250">
        <f>SUMPRODUCT(('T22'!$A$2:$A$97=$A82)*(T22Emp=K$1),'T22'!$E$2:$AZ$97)</f>
        <v>0</v>
      </c>
      <c r="L82" s="250">
        <f>SUMPRODUCT(('T22'!$A$2:$A$97=$A82)*(T22Emp=L$1),'T22'!$E$2:$AZ$97)</f>
        <v>0</v>
      </c>
      <c r="M82" s="250">
        <f>SUMPRODUCT(('T22'!$A$2:$A$97=$A82)*(T22Emp=M$1),'T22'!$E$2:$AZ$97)</f>
        <v>0</v>
      </c>
      <c r="N82" s="250">
        <f>SUMPRODUCT(('T22'!$A$2:$A$97=$A82)*(T22Emp=N$1),'T22'!$E$2:$AZ$97)</f>
        <v>0</v>
      </c>
      <c r="O82" s="250">
        <f>SUMPRODUCT(('T22'!$A$2:$A$97=$A82)*(T22Emp=O$1),'T22'!$E$2:$AZ$97)</f>
        <v>0</v>
      </c>
      <c r="P82" s="250">
        <f>SUMPRODUCT(('T22'!$A$2:$A$97=$A82)*(T22Emp=P$1),'T22'!$E$2:$AZ$97)</f>
        <v>0</v>
      </c>
      <c r="Q82" s="250">
        <f>SUMPRODUCT(('T22'!$A$2:$A$97=$A82)*(T22Emp=Q$1),'T22'!$E$2:$AZ$97)</f>
        <v>0</v>
      </c>
      <c r="R82" s="250">
        <f>SUMPRODUCT(('T22'!$A$2:$A$97=$A82)*(T22Emp=R$1),'T22'!$E$2:$AZ$97)</f>
        <v>0</v>
      </c>
      <c r="S82" s="250">
        <f>SUMPRODUCT(('T22'!$A$2:$A$97=$A82)*(T22Emp=S$1),'T22'!$E$2:$AZ$97)</f>
        <v>0</v>
      </c>
      <c r="T82" s="250">
        <f>SUMPRODUCT(('T22'!$A$2:$A$97=$A82)*(T22Emp=T$1),'T22'!$E$2:$AZ$97)</f>
        <v>0</v>
      </c>
      <c r="U82" s="250">
        <f>SUMPRODUCT(('T22'!$A$2:$A$97=$A82)*(T22Emp=U$1),'T22'!$E$2:$AZ$97)</f>
        <v>0</v>
      </c>
      <c r="V82" s="250">
        <f>SUMPRODUCT(('T22'!$A$2:$A$97=$A82)*(T22Emp=V$1),'T22'!$E$2:$AZ$97)</f>
        <v>0</v>
      </c>
      <c r="W82" s="250">
        <f>SUMPRODUCT(('T22'!$A$2:$A$97=$A82)*(T22Emp=W$1),'T22'!$E$2:$AZ$97)</f>
        <v>0</v>
      </c>
      <c r="X82" s="250">
        <f>SUMPRODUCT(('T22'!$A$2:$A$97=$A82)*(T22Emp=X$1),'T22'!$E$2:$AZ$97)</f>
        <v>0</v>
      </c>
      <c r="Y82" s="250">
        <f>SUMPRODUCT(('T22'!$A$2:$A$97=$A82)*(T22Emp=Y$1),'T22'!$E$2:$AZ$97)</f>
        <v>0</v>
      </c>
      <c r="Z82" s="250">
        <f>SUMPRODUCT(('T22'!$A$2:$A$97=$A82)*(T22Emp=Z$1),'T22'!$E$2:$AZ$97)</f>
        <v>0</v>
      </c>
      <c r="AA82" s="250">
        <f>SUMPRODUCT(('T22'!$A$2:$A$97=$A82)*(T22Emp=AA$1),'T22'!$E$2:$AZ$97)</f>
        <v>0</v>
      </c>
      <c r="AB82" s="250">
        <f>SUMPRODUCT(('T22'!$A$2:$A$97=$A82)*(T22Emp=AB$1),'T22'!$E$2:$AZ$97)</f>
        <v>0</v>
      </c>
      <c r="AC82" s="250">
        <f>SUMPRODUCT(('T22'!$A$2:$A$97=$A82)*(T22Emp=AC$1),'T22'!$E$2:$AZ$97)</f>
        <v>0</v>
      </c>
      <c r="AD82" s="250">
        <f>SUMPRODUCT(('T22'!$A$2:$A$97=$A82)*(T22Emp=AD$1),'T22'!$E$2:$AZ$97)</f>
        <v>0</v>
      </c>
      <c r="AE82" s="250">
        <f>SUMPRODUCT(('T22'!$A$2:$A$97=$A82)*(T22Emp=AE$1),'T22'!$E$2:$AZ$97)</f>
        <v>0</v>
      </c>
      <c r="AF82" s="250">
        <f>SUMPRODUCT(('T22'!$A$2:$A$97=$A82)*(T22Emp=AF$1),'T22'!$E$2:$AZ$97)</f>
        <v>0</v>
      </c>
      <c r="AG82" s="250">
        <f>SUMPRODUCT(('T22'!$A$2:$A$97=$A82)*(T22Emp=AG$1),'T22'!$E$2:$AZ$97)</f>
        <v>0</v>
      </c>
      <c r="AH82" s="250">
        <f>SUMPRODUCT(('T22'!$A$2:$A$97=$A82)*(T22Emp=AH$1),'T22'!$E$2:$AZ$97)</f>
        <v>0</v>
      </c>
      <c r="AI82" s="250">
        <f>SUMPRODUCT(('T22'!$A$2:$A$97=$A82)*(T22Emp=AI$1),'T22'!$E$2:$AZ$97)</f>
        <v>0</v>
      </c>
      <c r="AJ82" s="250">
        <f>SUMPRODUCT(('T22'!$A$2:$A$97=$A82)*(T22Emp=AJ$1),'T22'!$E$2:$AZ$97)</f>
        <v>0</v>
      </c>
      <c r="AK82" s="250">
        <f>SUMPRODUCT(('T22'!$A$2:$A$97=$A82)*(T22Emp=AK$1),'T22'!$E$2:$AZ$97)</f>
        <v>0</v>
      </c>
      <c r="AL82" s="250">
        <f>SUMPRODUCT(('T22'!$A$2:$A$97=$A82)*(T22Emp=AL$1),'T22'!$E$2:$AZ$97)</f>
        <v>0</v>
      </c>
      <c r="AM82" s="250">
        <f>SUMPRODUCT(('T22'!$A$2:$A$97=$A82)*(T22Emp=AM$1),'T22'!$E$2:$AZ$97)</f>
        <v>0</v>
      </c>
      <c r="AN82" s="250">
        <f>SUMPRODUCT(('T22'!$A$2:$A$97=$A82)*(T22Emp=AN$1),'T22'!$E$2:$AZ$97)</f>
        <v>0</v>
      </c>
      <c r="AO82" s="250">
        <f>SUMPRODUCT(('T22'!$A$2:$A$97=$A82)*(T22Emp=AO$1),'T22'!$E$2:$AZ$97)</f>
        <v>0</v>
      </c>
      <c r="AP82" s="250">
        <f>SUMPRODUCT(('T22'!$A$2:$A$97=$A82)*(T22Emp=AP$1),'T22'!$E$2:$AZ$97)</f>
        <v>0</v>
      </c>
      <c r="AQ82" s="250">
        <f>SUMPRODUCT(('T22'!$A$2:$A$97=$A82)*(T22Emp=AQ$1),'T22'!$E$2:$AZ$97)</f>
        <v>0</v>
      </c>
      <c r="AR82" s="496">
        <f>SUMPRODUCT(('T22'!$A$2:$A$97=$A82)*(T22Emp=AR$1),'T22'!$E$2:$AZ$97)</f>
        <v>0</v>
      </c>
      <c r="AT82" s="246"/>
    </row>
    <row r="83" spans="1:46" s="271" customFormat="1" x14ac:dyDescent="0.2">
      <c r="A83" s="247">
        <f t="shared" si="49"/>
        <v>42468</v>
      </c>
      <c r="B83" s="254" t="str">
        <f>Total!$L$1</f>
        <v>RF</v>
      </c>
      <c r="C83" s="249">
        <f>SUMPRODUCT((RF!$A$2:$A$17=$A83)*(RFEmp=C$1)*(RF!$H$21:$AO$21="RF Valet"),RF!$H$2:$AO$17)</f>
        <v>0</v>
      </c>
      <c r="D83" s="250">
        <f>SUMPRODUCT((RF!$A$2:$A$17=$A83)*(RFEmp=D$1)*(RF!$H$21:$AO$21="RF Valet"),RF!$H$2:$AO$17)</f>
        <v>0</v>
      </c>
      <c r="E83" s="250">
        <f>SUMPRODUCT((RF!$A$2:$A$17=$A83)*(RFEmp=E$1)*(RF!$H$21:$AO$21="RF Valet"),RF!$H$2:$AO$17)</f>
        <v>0</v>
      </c>
      <c r="F83" s="250">
        <f>SUMPRODUCT((RF!$A$2:$A$17=$A83)*(RFEmp=F$1)*(RF!$H$21:$AO$21="RF Valet"),RF!$H$2:$AO$17)</f>
        <v>0</v>
      </c>
      <c r="G83" s="250">
        <f>SUMPRODUCT((RF!$A$2:$A$17=$A83)*(RFEmp=G$1)*(RF!$H$21:$AO$21="RF Valet"),RF!$H$2:$AO$17)</f>
        <v>0</v>
      </c>
      <c r="H83" s="250">
        <f>SUMPRODUCT((RF!$A$2:$A$17=$A83)*(RFEmp=H$1)*(RF!$H$21:$AO$21="RF Valet"),RF!$H$2:$AO$17)</f>
        <v>0</v>
      </c>
      <c r="I83" s="250">
        <f>SUMPRODUCT((RF!$A$2:$A$17=$A83)*(RFEmp=I$1)*(RF!$H$21:$AO$21="RF Valet"),RF!$H$2:$AO$17)</f>
        <v>0</v>
      </c>
      <c r="J83" s="250">
        <f>SUMPRODUCT((RF!$A$2:$A$17=$A83)*(RFEmp=J$1)*(RF!$H$21:$AO$21="RF Valet"),RF!$H$2:$AO$17)</f>
        <v>0</v>
      </c>
      <c r="K83" s="250">
        <f>SUMPRODUCT((RF!$A$2:$A$17=$A83)*(RFEmp=K$1)*(RF!$H$21:$AO$21="RF Valet"),RF!$H$2:$AO$17)</f>
        <v>0</v>
      </c>
      <c r="L83" s="250">
        <f>SUMPRODUCT((RF!$A$2:$A$17=$A83)*(RFEmp=L$1)*(RF!$H$21:$AO$21="RF Valet"),RF!$H$2:$AO$17)</f>
        <v>0</v>
      </c>
      <c r="M83" s="250">
        <f>SUMPRODUCT((RF!$A$2:$A$17=$A83)*(RFEmp=M$1)*(RF!$H$21:$AO$21="RF Valet"),RF!$H$2:$AO$17)</f>
        <v>0</v>
      </c>
      <c r="N83" s="250">
        <f>SUMPRODUCT((RF!$A$2:$A$17=$A83)*(RFEmp=N$1)*(RF!$H$21:$AO$21="RF Valet"),RF!$H$2:$AO$17)</f>
        <v>0</v>
      </c>
      <c r="O83" s="250">
        <f>SUMPRODUCT((RF!$A$2:$A$17=$A83)*(RFEmp=O$1)*(RF!$H$21:$AO$21="RF Valet"),RF!$H$2:$AO$17)</f>
        <v>0</v>
      </c>
      <c r="P83" s="250">
        <f>SUMPRODUCT((RF!$A$2:$A$17=$A83)*(RFEmp=P$1)*(RF!$H$21:$AO$21="RF Valet"),RF!$H$2:$AO$17)</f>
        <v>0</v>
      </c>
      <c r="Q83" s="250">
        <f>SUMPRODUCT((RF!$A$2:$A$17=$A83)*(RFEmp=Q$1)*(RF!$H$21:$AO$21="RF Valet"),RF!$H$2:$AO$17)</f>
        <v>0</v>
      </c>
      <c r="R83" s="250">
        <f>SUMPRODUCT((RF!$A$2:$A$17=$A83)*(RFEmp=R$1)*(RF!$H$21:$AO$21="RF Valet"),RF!$H$2:$AO$17)</f>
        <v>0</v>
      </c>
      <c r="S83" s="250">
        <f>SUMPRODUCT((RF!$A$2:$A$17=$A83)*(RFEmp=S$1)*(RF!$H$21:$AO$21="RF Valet"),RF!$H$2:$AO$17)</f>
        <v>0</v>
      </c>
      <c r="T83" s="250">
        <f>SUMPRODUCT((RF!$A$2:$A$17=$A83)*(RFEmp=T$1)*(RF!$H$21:$AO$21="RF Valet"),RF!$H$2:$AO$17)</f>
        <v>0</v>
      </c>
      <c r="U83" s="250">
        <f>SUMPRODUCT((RF!$A$2:$A$17=$A83)*(RFEmp=U$1)*(RF!$H$21:$AO$21="RF Valet"),RF!$H$2:$AO$17)</f>
        <v>0</v>
      </c>
      <c r="V83" s="250">
        <f>SUMPRODUCT((RF!$A$2:$A$17=$A83)*(RFEmp=V$1)*(RF!$H$21:$AO$21="RF Valet"),RF!$H$2:$AO$17)</f>
        <v>0</v>
      </c>
      <c r="W83" s="250">
        <f>SUMPRODUCT((RF!$A$2:$A$17=$A83)*(RFEmp=W$1)*(RF!$H$21:$AO$21="RF Valet"),RF!$H$2:$AO$17)</f>
        <v>0</v>
      </c>
      <c r="X83" s="250">
        <f>SUMPRODUCT((RF!$A$2:$A$17=$A83)*(RFEmp=X$1)*(RF!$H$21:$AO$21="RF Valet"),RF!$H$2:$AO$17)</f>
        <v>0</v>
      </c>
      <c r="Y83" s="250">
        <f>SUMPRODUCT((RF!$A$2:$A$17=$A83)*(RFEmp=Y$1)*(RF!$H$21:$AO$21="RF Valet"),RF!$H$2:$AO$17)</f>
        <v>0</v>
      </c>
      <c r="Z83" s="250">
        <f>SUMPRODUCT((RF!$A$2:$A$17=$A83)*(RFEmp=Z$1)*(RF!$H$21:$AO$21="RF Valet"),RF!$H$2:$AO$17)</f>
        <v>0</v>
      </c>
      <c r="AA83" s="250">
        <f>SUMPRODUCT((RF!$A$2:$A$17=$A83)*(RFEmp=AA$1)*(RF!$H$21:$AO$21="RF Valet"),RF!$H$2:$AO$17)</f>
        <v>0</v>
      </c>
      <c r="AB83" s="250">
        <f>SUMPRODUCT((RF!$A$2:$A$17=$A83)*(RFEmp=AB$1)*(RF!$H$21:$AO$21="RF Valet"),RF!$H$2:$AO$17)</f>
        <v>0</v>
      </c>
      <c r="AC83" s="250">
        <f>SUMPRODUCT((RF!$A$2:$A$17=$A83)*(RFEmp=AC$1)*(RF!$H$21:$AO$21="RF Valet"),RF!$H$2:$AO$17)</f>
        <v>0</v>
      </c>
      <c r="AD83" s="250">
        <f>SUMPRODUCT((RF!$A$2:$A$17=$A83)*(RFEmp=AD$1)*(RF!$H$21:$AO$21="RF Valet"),RF!$H$2:$AO$17)</f>
        <v>0</v>
      </c>
      <c r="AE83" s="250">
        <f>SUMPRODUCT((RF!$A$2:$A$17=$A83)*(RFEmp=AE$1)*(RF!$H$21:$AO$21="RF Valet"),RF!$H$2:$AO$17)</f>
        <v>0</v>
      </c>
      <c r="AF83" s="250">
        <f>SUMPRODUCT((RF!$A$2:$A$17=$A83)*(RFEmp=AF$1)*(RF!$H$21:$AO$21="RF Valet"),RF!$H$2:$AO$17)</f>
        <v>0</v>
      </c>
      <c r="AG83" s="250">
        <f>SUMPRODUCT((RF!$A$2:$A$17=$A83)*(RFEmp=AG$1)*(RF!$H$21:$AO$21="RF Valet"),RF!$H$2:$AO$17)</f>
        <v>0</v>
      </c>
      <c r="AH83" s="250">
        <f>SUMPRODUCT((RF!$A$2:$A$17=$A83)*(RFEmp=AH$1)*(RF!$H$21:$AO$21="RF Valet"),RF!$H$2:$AO$17)</f>
        <v>0</v>
      </c>
      <c r="AI83" s="250">
        <f>SUMPRODUCT((RF!$A$2:$A$17=$A83)*(RFEmp=AI$1)*(RF!$H$21:$AO$21="RF Valet"),RF!$H$2:$AO$17)</f>
        <v>0</v>
      </c>
      <c r="AJ83" s="250">
        <f>SUMPRODUCT((RF!$A$2:$A$17=$A83)*(RFEmp=AJ$1)*(RF!$H$21:$AO$21="RF Valet"),RF!$H$2:$AO$17)</f>
        <v>0</v>
      </c>
      <c r="AK83" s="250">
        <f>SUMPRODUCT((RF!$A$2:$A$17=$A83)*(RFEmp=AK$1)*(RF!$H$21:$AO$21="RF Valet"),RF!$H$2:$AO$17)</f>
        <v>0</v>
      </c>
      <c r="AL83" s="250">
        <f>SUMPRODUCT((RF!$A$2:$A$17=$A83)*(RFEmp=AL$1)*(RF!$H$21:$AO$21="RF Valet"),RF!$H$2:$AO$17)</f>
        <v>0</v>
      </c>
      <c r="AM83" s="250">
        <f>SUMPRODUCT((RF!$A$2:$A$17=$A83)*(RFEmp=AM$1)*(RF!$H$21:$AO$21="RF Valet"),RF!$H$2:$AO$17)</f>
        <v>0</v>
      </c>
      <c r="AN83" s="250">
        <f>SUMPRODUCT((RF!$A$2:$A$17=$A83)*(RFEmp=AN$1)*(RF!$H$21:$AO$21="RF Valet"),RF!$H$2:$AO$17)</f>
        <v>0</v>
      </c>
      <c r="AO83" s="250">
        <f>SUMPRODUCT((RF!$A$2:$A$17=$A83)*(RFEmp=AO$1)*(RF!$H$21:$AO$21="RF Valet"),RF!$H$2:$AO$17)</f>
        <v>0</v>
      </c>
      <c r="AP83" s="250">
        <f>SUMPRODUCT((RF!$A$2:$A$17=$A83)*(RFEmp=AP$1)*(RF!$H$21:$AO$21="RF Valet"),RF!$H$2:$AO$17)</f>
        <v>0</v>
      </c>
      <c r="AQ83" s="250">
        <f>SUMPRODUCT((RF!$A$2:$A$17=$A83)*(RFEmp=AQ$1)*(RF!$H$21:$AO$21="RF Valet"),RF!$H$2:$AO$17)</f>
        <v>0</v>
      </c>
      <c r="AR83" s="496">
        <f>SUMPRODUCT((RF!$A$2:$A$17=$A83)*(RFEmp=AR$1)*(RF!$H$21:$AO$21="RF Valet"),RF!$H$2:$AO$17)</f>
        <v>0</v>
      </c>
      <c r="AT83" s="246"/>
    </row>
    <row r="84" spans="1:46" s="271" customFormat="1" x14ac:dyDescent="0.2">
      <c r="A84" s="247">
        <f>A83</f>
        <v>42468</v>
      </c>
      <c r="B84" s="255" t="s">
        <v>74</v>
      </c>
      <c r="C84" s="249">
        <f>SUMPRODUCT((TM!$A$2:$A$17=$A84)*(TMEmp=C$1),TM!$D$2:$AK$17)</f>
        <v>0</v>
      </c>
      <c r="D84" s="250">
        <f>SUMPRODUCT((TM!$A$2:$A$17=$A84)*(TMEmp=D$1),TM!$D$2:$AK$17)</f>
        <v>0</v>
      </c>
      <c r="E84" s="250">
        <f>SUMPRODUCT((TM!$A$2:$A$17=$A84)*(TMEmp=E$1),TM!$D$2:$AK$17)</f>
        <v>0</v>
      </c>
      <c r="F84" s="250">
        <f>SUMPRODUCT((TM!$A$2:$A$17=$A84)*(TMEmp=F$1),TM!$D$2:$AK$17)</f>
        <v>0</v>
      </c>
      <c r="G84" s="250">
        <f>SUMPRODUCT((TM!$A$2:$A$17=$A84)*(TMEmp=G$1),TM!$D$2:$AK$17)</f>
        <v>0</v>
      </c>
      <c r="H84" s="250">
        <f>SUMPRODUCT((TM!$A$2:$A$17=$A84)*(TMEmp=H$1),TM!$D$2:$AK$17)</f>
        <v>0</v>
      </c>
      <c r="I84" s="250">
        <f>SUMPRODUCT((TM!$A$2:$A$17=$A84)*(TMEmp=I$1),TM!$D$2:$AK$17)</f>
        <v>0</v>
      </c>
      <c r="J84" s="250">
        <f>SUMPRODUCT((TM!$A$2:$A$17=$A84)*(TMEmp=J$1),TM!$D$2:$AK$17)</f>
        <v>0</v>
      </c>
      <c r="K84" s="250">
        <f>SUMPRODUCT((TM!$A$2:$A$17=$A84)*(TMEmp=K$1),TM!$D$2:$AK$17)</f>
        <v>0</v>
      </c>
      <c r="L84" s="250">
        <f>SUMPRODUCT((TM!$A$2:$A$17=$A84)*(TMEmp=L$1),TM!$D$2:$AK$17)</f>
        <v>0</v>
      </c>
      <c r="M84" s="250">
        <f>SUMPRODUCT((TM!$A$2:$A$17=$A84)*(TMEmp=M$1),TM!$D$2:$AK$17)</f>
        <v>0</v>
      </c>
      <c r="N84" s="250">
        <f>SUMPRODUCT((TM!$A$2:$A$17=$A84)*(TMEmp=N$1),TM!$D$2:$AK$17)</f>
        <v>0</v>
      </c>
      <c r="O84" s="250">
        <f>SUMPRODUCT((TM!$A$2:$A$17=$A84)*(TMEmp=O$1),TM!$D$2:$AK$17)</f>
        <v>0</v>
      </c>
      <c r="P84" s="250">
        <f>SUMPRODUCT((TM!$A$2:$A$17=$A84)*(TMEmp=P$1),TM!$D$2:$AK$17)</f>
        <v>0</v>
      </c>
      <c r="Q84" s="250">
        <f>SUMPRODUCT((TM!$A$2:$A$17=$A84)*(TMEmp=Q$1),TM!$D$2:$AK$17)</f>
        <v>0</v>
      </c>
      <c r="R84" s="250">
        <f>SUMPRODUCT((TM!$A$2:$A$17=$A84)*(TMEmp=R$1),TM!$D$2:$AK$17)</f>
        <v>0</v>
      </c>
      <c r="S84" s="250">
        <f>SUMPRODUCT((TM!$A$2:$A$17=$A84)*(TMEmp=S$1),TM!$D$2:$AK$17)</f>
        <v>0</v>
      </c>
      <c r="T84" s="250">
        <f>SUMPRODUCT((TM!$A$2:$A$17=$A84)*(TMEmp=T$1),TM!$D$2:$AK$17)</f>
        <v>0</v>
      </c>
      <c r="U84" s="250">
        <f>SUMPRODUCT((TM!$A$2:$A$17=$A84)*(TMEmp=U$1),TM!$D$2:$AK$17)</f>
        <v>0</v>
      </c>
      <c r="V84" s="250">
        <f>SUMPRODUCT((TM!$A$2:$A$17=$A84)*(TMEmp=V$1),TM!$D$2:$AK$17)</f>
        <v>0</v>
      </c>
      <c r="W84" s="250">
        <f>SUMPRODUCT((TM!$A$2:$A$17=$A84)*(TMEmp=W$1),TM!$D$2:$AK$17)</f>
        <v>0</v>
      </c>
      <c r="X84" s="250">
        <f>SUMPRODUCT((TM!$A$2:$A$17=$A84)*(TMEmp=X$1),TM!$D$2:$AK$17)</f>
        <v>0</v>
      </c>
      <c r="Y84" s="250">
        <f>SUMPRODUCT((TM!$A$2:$A$17=$A84)*(TMEmp=Y$1),TM!$D$2:$AK$17)</f>
        <v>0</v>
      </c>
      <c r="Z84" s="250">
        <f>SUMPRODUCT((TM!$A$2:$A$17=$A84)*(TMEmp=Z$1),TM!$D$2:$AK$17)</f>
        <v>0</v>
      </c>
      <c r="AA84" s="250">
        <f>SUMPRODUCT((TM!$A$2:$A$17=$A84)*(TMEmp=AA$1),TM!$D$2:$AK$17)</f>
        <v>0</v>
      </c>
      <c r="AB84" s="250">
        <f>SUMPRODUCT((TM!$A$2:$A$17=$A84)*(TMEmp=AB$1),TM!$D$2:$AK$17)</f>
        <v>0</v>
      </c>
      <c r="AC84" s="250">
        <f>SUMPRODUCT((TM!$A$2:$A$17=$A84)*(TMEmp=AC$1),TM!$D$2:$AK$17)</f>
        <v>0</v>
      </c>
      <c r="AD84" s="250">
        <f>SUMPRODUCT((TM!$A$2:$A$17=$A84)*(TMEmp=AD$1),TM!$D$2:$AK$17)</f>
        <v>0</v>
      </c>
      <c r="AE84" s="250">
        <f>SUMPRODUCT((TM!$A$2:$A$17=$A84)*(TMEmp=AE$1),TM!$D$2:$AK$17)</f>
        <v>0</v>
      </c>
      <c r="AF84" s="250">
        <f>SUMPRODUCT((TM!$A$2:$A$17=$A84)*(TMEmp=AF$1),TM!$D$2:$AK$17)</f>
        <v>0</v>
      </c>
      <c r="AG84" s="250">
        <f>SUMPRODUCT((TM!$A$2:$A$17=$A84)*(TMEmp=AG$1),TM!$D$2:$AK$17)</f>
        <v>0</v>
      </c>
      <c r="AH84" s="250">
        <f>SUMPRODUCT((TM!$A$2:$A$17=$A84)*(TMEmp=AH$1),TM!$D$2:$AK$17)</f>
        <v>0</v>
      </c>
      <c r="AI84" s="250">
        <f>SUMPRODUCT((TM!$A$2:$A$17=$A84)*(TMEmp=AI$1),TM!$D$2:$AK$17)</f>
        <v>0</v>
      </c>
      <c r="AJ84" s="250">
        <f>SUMPRODUCT((TM!$A$2:$A$17=$A84)*(TMEmp=AJ$1),TM!$D$2:$AK$17)</f>
        <v>0</v>
      </c>
      <c r="AK84" s="250">
        <f>SUMPRODUCT((TM!$A$2:$A$17=$A84)*(TMEmp=AK$1),TM!$D$2:$AK$17)</f>
        <v>0</v>
      </c>
      <c r="AL84" s="250">
        <f>SUMPRODUCT((TM!$A$2:$A$17=$A84)*(TMEmp=AL$1),TM!$D$2:$AK$17)</f>
        <v>0</v>
      </c>
      <c r="AM84" s="250">
        <f>SUMPRODUCT((TM!$A$2:$A$17=$A84)*(TMEmp=AM$1),TM!$D$2:$AK$17)</f>
        <v>0</v>
      </c>
      <c r="AN84" s="250">
        <f>SUMPRODUCT((TM!$A$2:$A$17=$A84)*(TMEmp=AN$1),TM!$D$2:$AK$17)</f>
        <v>0</v>
      </c>
      <c r="AO84" s="250">
        <f>SUMPRODUCT((TM!$A$2:$A$17=$A84)*(TMEmp=AO$1),TM!$D$2:$AK$17)</f>
        <v>0</v>
      </c>
      <c r="AP84" s="250">
        <f>SUMPRODUCT((TM!$A$2:$A$17=$A84)*(TMEmp=AP$1),TM!$D$2:$AK$17)</f>
        <v>0</v>
      </c>
      <c r="AQ84" s="250">
        <f>SUMPRODUCT((TM!$A$2:$A$17=$A84)*(TMEmp=AQ$1),TM!$D$2:$AK$17)</f>
        <v>0</v>
      </c>
      <c r="AR84" s="496">
        <f>SUMPRODUCT((TM!$A$2:$A$17=$A84)*(TMEmp=AR$1),TM!$D$2:$AK$17)</f>
        <v>0</v>
      </c>
      <c r="AT84" s="246"/>
    </row>
    <row r="85" spans="1:46" s="271" customFormat="1" x14ac:dyDescent="0.2">
      <c r="A85" s="256">
        <f t="shared" si="49"/>
        <v>42468</v>
      </c>
      <c r="B85" s="257" t="s">
        <v>72</v>
      </c>
      <c r="C85" s="258">
        <f>SUMPRODUCT((PC!$A$2:$A$80=$A85)*(PCEmp=C$1),PC!$D$2:$BD$80)</f>
        <v>0</v>
      </c>
      <c r="D85" s="259">
        <f>SUMPRODUCT((PC!$A$2:$A$80=$A85)*(PCEmp=D$1),PC!$D$2:$BD$80)</f>
        <v>0</v>
      </c>
      <c r="E85" s="259">
        <f>SUMPRODUCT((PC!$A$2:$A$80=$A85)*(PCEmp=E$1),PC!$D$2:$BD$80)</f>
        <v>0</v>
      </c>
      <c r="F85" s="259">
        <f>SUMPRODUCT((PC!$A$2:$A$80=$A85)*(PCEmp=F$1),PC!$D$2:$BD$80)</f>
        <v>0</v>
      </c>
      <c r="G85" s="259">
        <f>SUMPRODUCT((PC!$A$2:$A$80=$A85)*(PCEmp=G$1),PC!$D$2:$BD$80)</f>
        <v>0</v>
      </c>
      <c r="H85" s="259">
        <f>SUMPRODUCT((PC!$A$2:$A$80=$A85)*(PCEmp=H$1),PC!$D$2:$BD$80)</f>
        <v>0</v>
      </c>
      <c r="I85" s="259">
        <f>SUMPRODUCT((PC!$A$2:$A$80=$A85)*(PCEmp=I$1),PC!$D$2:$BD$80)</f>
        <v>0</v>
      </c>
      <c r="J85" s="259">
        <f>SUMPRODUCT((PC!$A$2:$A$80=$A85)*(PCEmp=J$1),PC!$D$2:$BD$80)</f>
        <v>0</v>
      </c>
      <c r="K85" s="259">
        <f>SUMPRODUCT((PC!$A$2:$A$80=$A85)*(PCEmp=K$1),PC!$D$2:$BD$80)</f>
        <v>0</v>
      </c>
      <c r="L85" s="259">
        <f>SUMPRODUCT((PC!$A$2:$A$80=$A85)*(PCEmp=L$1),PC!$D$2:$BD$80)</f>
        <v>0</v>
      </c>
      <c r="M85" s="259">
        <f>SUMPRODUCT((PC!$A$2:$A$80=$A85)*(PCEmp=M$1),PC!$D$2:$BD$80)</f>
        <v>0</v>
      </c>
      <c r="N85" s="259">
        <f>SUMPRODUCT((PC!$A$2:$A$80=$A85)*(PCEmp=N$1),PC!$D$2:$BD$80)</f>
        <v>0</v>
      </c>
      <c r="O85" s="259">
        <f>SUMPRODUCT((PC!$A$2:$A$80=$A85)*(PCEmp=O$1),PC!$D$2:$BD$80)</f>
        <v>0</v>
      </c>
      <c r="P85" s="259">
        <f>SUMPRODUCT((PC!$A$2:$A$80=$A85)*(PCEmp=P$1),PC!$D$2:$BD$80)</f>
        <v>0</v>
      </c>
      <c r="Q85" s="259">
        <f>SUMPRODUCT((PC!$A$2:$A$80=$A85)*(PCEmp=Q$1),PC!$D$2:$BD$80)</f>
        <v>0</v>
      </c>
      <c r="R85" s="259">
        <f>SUMPRODUCT((PC!$A$2:$A$80=$A85)*(PCEmp=R$1),PC!$D$2:$BD$80)</f>
        <v>0</v>
      </c>
      <c r="S85" s="259">
        <f>SUMPRODUCT((PC!$A$2:$A$80=$A85)*(PCEmp=S$1),PC!$D$2:$BD$80)</f>
        <v>0</v>
      </c>
      <c r="T85" s="259">
        <f>SUMPRODUCT((PC!$A$2:$A$80=$A85)*(PCEmp=T$1),PC!$D$2:$BD$80)</f>
        <v>0</v>
      </c>
      <c r="U85" s="259">
        <f>SUMPRODUCT((PC!$A$2:$A$80=$A85)*(PCEmp=U$1),PC!$D$2:$BD$80)</f>
        <v>0</v>
      </c>
      <c r="V85" s="259">
        <f>SUMPRODUCT((PC!$A$2:$A$80=$A85)*(PCEmp=V$1),PC!$D$2:$BD$80)</f>
        <v>0</v>
      </c>
      <c r="W85" s="259">
        <f>SUMPRODUCT((PC!$A$2:$A$80=$A85)*(PCEmp=W$1),PC!$D$2:$BD$80)</f>
        <v>0</v>
      </c>
      <c r="X85" s="259">
        <f>SUMPRODUCT((PC!$A$2:$A$80=$A85)*(PCEmp=X$1),PC!$D$2:$BD$80)</f>
        <v>0</v>
      </c>
      <c r="Y85" s="259">
        <f>SUMPRODUCT((PC!$A$2:$A$80=$A85)*(PCEmp=Y$1),PC!$D$2:$BD$80)</f>
        <v>0</v>
      </c>
      <c r="Z85" s="259">
        <f>SUMPRODUCT((PC!$A$2:$A$80=$A85)*(PCEmp=Z$1),PC!$D$2:$BD$80)</f>
        <v>0</v>
      </c>
      <c r="AA85" s="259">
        <f>SUMPRODUCT((PC!$A$2:$A$80=$A85)*(PCEmp=AA$1),PC!$D$2:$BD$80)</f>
        <v>0</v>
      </c>
      <c r="AB85" s="259">
        <f>SUMPRODUCT((PC!$A$2:$A$80=$A85)*(PCEmp=AB$1),PC!$D$2:$BD$80)</f>
        <v>0</v>
      </c>
      <c r="AC85" s="259">
        <f>SUMPRODUCT((PC!$A$2:$A$80=$A85)*(PCEmp=AC$1),PC!$D$2:$BD$80)</f>
        <v>0</v>
      </c>
      <c r="AD85" s="259">
        <f>SUMPRODUCT((PC!$A$2:$A$80=$A85)*(PCEmp=AD$1),PC!$D$2:$BD$80)</f>
        <v>0</v>
      </c>
      <c r="AE85" s="259">
        <f>SUMPRODUCT((PC!$A$2:$A$80=$A85)*(PCEmp=AE$1),PC!$D$2:$BD$80)</f>
        <v>0</v>
      </c>
      <c r="AF85" s="259">
        <f>SUMPRODUCT((PC!$A$2:$A$80=$A85)*(PCEmp=AF$1),PC!$D$2:$BD$80)</f>
        <v>0</v>
      </c>
      <c r="AG85" s="259">
        <f>SUMPRODUCT((PC!$A$2:$A$80=$A85)*(PCEmp=AG$1),PC!$D$2:$BD$80)</f>
        <v>0</v>
      </c>
      <c r="AH85" s="259">
        <f>SUMPRODUCT((PC!$A$2:$A$80=$A85)*(PCEmp=AH$1),PC!$D$2:$BD$80)</f>
        <v>0</v>
      </c>
      <c r="AI85" s="259">
        <f>SUMPRODUCT((PC!$A$2:$A$80=$A85)*(PCEmp=AI$1),PC!$D$2:$BD$80)</f>
        <v>0</v>
      </c>
      <c r="AJ85" s="259">
        <f>SUMPRODUCT((PC!$A$2:$A$80=$A85)*(PCEmp=AJ$1),PC!$D$2:$BD$80)</f>
        <v>0</v>
      </c>
      <c r="AK85" s="259">
        <f>SUMPRODUCT((PC!$A$2:$A$80=$A85)*(PCEmp=AK$1),PC!$D$2:$BD$80)</f>
        <v>0</v>
      </c>
      <c r="AL85" s="259">
        <f>SUMPRODUCT((PC!$A$2:$A$80=$A85)*(PCEmp=AL$1),PC!$D$2:$BD$80)</f>
        <v>0</v>
      </c>
      <c r="AM85" s="259">
        <f>SUMPRODUCT((PC!$A$2:$A$80=$A85)*(PCEmp=AM$1),PC!$D$2:$BD$80)</f>
        <v>0</v>
      </c>
      <c r="AN85" s="259">
        <f>SUMPRODUCT((PC!$A$2:$A$80=$A85)*(PCEmp=AN$1),PC!$D$2:$BD$80)</f>
        <v>0</v>
      </c>
      <c r="AO85" s="259">
        <f>SUMPRODUCT((PC!$A$2:$A$80=$A85)*(PCEmp=AO$1),PC!$D$2:$BD$80)</f>
        <v>0</v>
      </c>
      <c r="AP85" s="259">
        <f>SUMPRODUCT((PC!$A$2:$A$80=$A85)*(PCEmp=AP$1),PC!$D$2:$BD$80)</f>
        <v>0</v>
      </c>
      <c r="AQ85" s="259">
        <f>SUMPRODUCT((PC!$A$2:$A$80=$A85)*(PCEmp=AQ$1),PC!$D$2:$BD$80)</f>
        <v>0</v>
      </c>
      <c r="AR85" s="497">
        <f>SUMPRODUCT((PC!$A$2:$A$80=$A85)*(PCEmp=AR$1),PC!$D$2:$BD$80)</f>
        <v>0</v>
      </c>
      <c r="AT85" s="246"/>
    </row>
    <row r="86" spans="1:46" s="271" customFormat="1" x14ac:dyDescent="0.2">
      <c r="A86" s="247">
        <f t="shared" si="49"/>
        <v>42468</v>
      </c>
      <c r="B86" s="254" t="s">
        <v>85</v>
      </c>
      <c r="C86" s="249">
        <f>SUMPRODUCT((RF!$A$2:$A$17=$A86)*(RFEmp=C$1)*(RF!$H$21:$AO$21="RF Lead"),RF!$H$2:$AO$17)</f>
        <v>0</v>
      </c>
      <c r="D86" s="250">
        <f>SUMPRODUCT((RF!$A$2:$A$17=$A86)*(RFEmp=D$1)*(RF!$H$21:$AO$21="RF Lead"),RF!$H$2:$AO$17)</f>
        <v>0</v>
      </c>
      <c r="E86" s="250">
        <f>SUMPRODUCT((RF!$A$2:$A$17=$A86)*(RFEmp=E$1)*(RF!$H$21:$AO$21="RF Lead"),RF!$H$2:$AO$17)</f>
        <v>0</v>
      </c>
      <c r="F86" s="250">
        <f>SUMPRODUCT((RF!$A$2:$A$17=$A86)*(RFEmp=F$1)*(RF!$H$21:$AO$21="RF Lead"),RF!$H$2:$AO$17)</f>
        <v>0</v>
      </c>
      <c r="G86" s="250">
        <f>SUMPRODUCT((RF!$A$2:$A$17=$A86)*(RFEmp=G$1)*(RF!$H$21:$AO$21="RF Lead"),RF!$H$2:$AO$17)</f>
        <v>0</v>
      </c>
      <c r="H86" s="250">
        <f>SUMPRODUCT((RF!$A$2:$A$17=$A86)*(RFEmp=H$1)*(RF!$H$21:$AO$21="RF Lead"),RF!$H$2:$AO$17)</f>
        <v>0</v>
      </c>
      <c r="I86" s="250">
        <f>SUMPRODUCT((RF!$A$2:$A$17=$A86)*(RFEmp=I$1)*(RF!$H$21:$AO$21="RF Lead"),RF!$H$2:$AO$17)</f>
        <v>0</v>
      </c>
      <c r="J86" s="250">
        <f>SUMPRODUCT((RF!$A$2:$A$17=$A86)*(RFEmp=J$1)*(RF!$H$21:$AO$21="RF Lead"),RF!$H$2:$AO$17)</f>
        <v>0</v>
      </c>
      <c r="K86" s="250">
        <f>SUMPRODUCT((RF!$A$2:$A$17=$A86)*(RFEmp=K$1)*(RF!$H$21:$AO$21="RF Lead"),RF!$H$2:$AO$17)</f>
        <v>0</v>
      </c>
      <c r="L86" s="250">
        <f>SUMPRODUCT((RF!$A$2:$A$17=$A86)*(RFEmp=L$1)*(RF!$H$21:$AO$21="RF Lead"),RF!$H$2:$AO$17)</f>
        <v>0</v>
      </c>
      <c r="M86" s="250">
        <f>SUMPRODUCT((RF!$A$2:$A$17=$A86)*(RFEmp=M$1)*(RF!$H$21:$AO$21="RF Lead"),RF!$H$2:$AO$17)</f>
        <v>0</v>
      </c>
      <c r="N86" s="250">
        <f>SUMPRODUCT((RF!$A$2:$A$17=$A86)*(RFEmp=N$1)*(RF!$H$21:$AO$21="RF Lead"),RF!$H$2:$AO$17)</f>
        <v>0</v>
      </c>
      <c r="O86" s="250">
        <f>SUMPRODUCT((RF!$A$2:$A$17=$A86)*(RFEmp=O$1)*(RF!$H$21:$AO$21="RF Lead"),RF!$H$2:$AO$17)</f>
        <v>0</v>
      </c>
      <c r="P86" s="250">
        <f>SUMPRODUCT((RF!$A$2:$A$17=$A86)*(RFEmp=P$1)*(RF!$H$21:$AO$21="RF Lead"),RF!$H$2:$AO$17)</f>
        <v>0</v>
      </c>
      <c r="Q86" s="250">
        <f>SUMPRODUCT((RF!$A$2:$A$17=$A86)*(RFEmp=Q$1)*(RF!$H$21:$AO$21="RF Lead"),RF!$H$2:$AO$17)</f>
        <v>0</v>
      </c>
      <c r="R86" s="250">
        <f>SUMPRODUCT((RF!$A$2:$A$17=$A86)*(RFEmp=R$1)*(RF!$H$21:$AO$21="RF Lead"),RF!$H$2:$AO$17)</f>
        <v>0</v>
      </c>
      <c r="S86" s="250">
        <f>SUMPRODUCT((RF!$A$2:$A$17=$A86)*(RFEmp=S$1)*(RF!$H$21:$AO$21="RF Lead"),RF!$H$2:$AO$17)</f>
        <v>0</v>
      </c>
      <c r="T86" s="250">
        <f>SUMPRODUCT((RF!$A$2:$A$17=$A86)*(RFEmp=T$1)*(RF!$H$21:$AO$21="RF Lead"),RF!$H$2:$AO$17)</f>
        <v>0</v>
      </c>
      <c r="U86" s="250">
        <f>SUMPRODUCT((RF!$A$2:$A$17=$A86)*(RFEmp=U$1)*(RF!$H$21:$AO$21="RF Lead"),RF!$H$2:$AO$17)</f>
        <v>0</v>
      </c>
      <c r="V86" s="250">
        <f>SUMPRODUCT((RF!$A$2:$A$17=$A86)*(RFEmp=V$1)*(RF!$H$21:$AO$21="RF Lead"),RF!$H$2:$AO$17)</f>
        <v>0</v>
      </c>
      <c r="W86" s="250">
        <f>SUMPRODUCT((RF!$A$2:$A$17=$A86)*(RFEmp=W$1)*(RF!$H$21:$AO$21="RF Lead"),RF!$H$2:$AO$17)</f>
        <v>0</v>
      </c>
      <c r="X86" s="250">
        <f>SUMPRODUCT((RF!$A$2:$A$17=$A86)*(RFEmp=X$1)*(RF!$H$21:$AO$21="RF Lead"),RF!$H$2:$AO$17)</f>
        <v>0</v>
      </c>
      <c r="Y86" s="250">
        <f>SUMPRODUCT((RF!$A$2:$A$17=$A86)*(RFEmp=Y$1)*(RF!$H$21:$AO$21="RF Lead"),RF!$H$2:$AO$17)</f>
        <v>0</v>
      </c>
      <c r="Z86" s="250">
        <f>SUMPRODUCT((RF!$A$2:$A$17=$A86)*(RFEmp=Z$1)*(RF!$H$21:$AO$21="RF Lead"),RF!$H$2:$AO$17)</f>
        <v>0</v>
      </c>
      <c r="AA86" s="250">
        <f>SUMPRODUCT((RF!$A$2:$A$17=$A86)*(RFEmp=AA$1)*(RF!$H$21:$AO$21="RF Lead"),RF!$H$2:$AO$17)</f>
        <v>0</v>
      </c>
      <c r="AB86" s="250">
        <f>SUMPRODUCT((RF!$A$2:$A$17=$A86)*(RFEmp=AB$1)*(RF!$H$21:$AO$21="RF Lead"),RF!$H$2:$AO$17)</f>
        <v>0</v>
      </c>
      <c r="AC86" s="250">
        <f>SUMPRODUCT((RF!$A$2:$A$17=$A86)*(RFEmp=AC$1)*(RF!$H$21:$AO$21="RF Lead"),RF!$H$2:$AO$17)</f>
        <v>0</v>
      </c>
      <c r="AD86" s="250">
        <f>SUMPRODUCT((RF!$A$2:$A$17=$A86)*(RFEmp=AD$1)*(RF!$H$21:$AO$21="RF Lead"),RF!$H$2:$AO$17)</f>
        <v>0</v>
      </c>
      <c r="AE86" s="250">
        <f>SUMPRODUCT((RF!$A$2:$A$17=$A86)*(RFEmp=AE$1)*(RF!$H$21:$AO$21="RF Lead"),RF!$H$2:$AO$17)</f>
        <v>0</v>
      </c>
      <c r="AF86" s="250">
        <f>SUMPRODUCT((RF!$A$2:$A$17=$A86)*(RFEmp=AF$1)*(RF!$H$21:$AO$21="RF Lead"),RF!$H$2:$AO$17)</f>
        <v>0</v>
      </c>
      <c r="AG86" s="250">
        <f>SUMPRODUCT((RF!$A$2:$A$17=$A86)*(RFEmp=AG$1)*(RF!$H$21:$AO$21="RF Lead"),RF!$H$2:$AO$17)</f>
        <v>0</v>
      </c>
      <c r="AH86" s="250">
        <f>SUMPRODUCT((RF!$A$2:$A$17=$A86)*(RFEmp=AH$1)*(RF!$H$21:$AO$21="RF Lead"),RF!$H$2:$AO$17)</f>
        <v>0</v>
      </c>
      <c r="AI86" s="250">
        <f>SUMPRODUCT((RF!$A$2:$A$17=$A86)*(RFEmp=AI$1)*(RF!$H$21:$AO$21="RF Lead"),RF!$H$2:$AO$17)</f>
        <v>0</v>
      </c>
      <c r="AJ86" s="250">
        <f>SUMPRODUCT((RF!$A$2:$A$17=$A86)*(RFEmp=AJ$1)*(RF!$H$21:$AO$21="RF Lead"),RF!$H$2:$AO$17)</f>
        <v>0</v>
      </c>
      <c r="AK86" s="250">
        <f>SUMPRODUCT((RF!$A$2:$A$17=$A86)*(RFEmp=AK$1)*(RF!$H$21:$AO$21="RF Lead"),RF!$H$2:$AO$17)</f>
        <v>0</v>
      </c>
      <c r="AL86" s="250">
        <f>SUMPRODUCT((RF!$A$2:$A$17=$A86)*(RFEmp=AL$1)*(RF!$H$21:$AO$21="RF Lead"),RF!$H$2:$AO$17)</f>
        <v>0</v>
      </c>
      <c r="AM86" s="250">
        <f>SUMPRODUCT((RF!$A$2:$A$17=$A86)*(RFEmp=AM$1)*(RF!$H$21:$AO$21="RF Lead"),RF!$H$2:$AO$17)</f>
        <v>0</v>
      </c>
      <c r="AN86" s="250">
        <f>SUMPRODUCT((RF!$A$2:$A$17=$A86)*(RFEmp=AN$1)*(RF!$H$21:$AO$21="RF Lead"),RF!$H$2:$AO$17)</f>
        <v>0</v>
      </c>
      <c r="AO86" s="250">
        <f>SUMPRODUCT((RF!$A$2:$A$17=$A86)*(RFEmp=AO$1)*(RF!$H$21:$AO$21="RF Lead"),RF!$H$2:$AO$17)</f>
        <v>0</v>
      </c>
      <c r="AP86" s="250">
        <f>SUMPRODUCT((RF!$A$2:$A$17=$A86)*(RFEmp=AP$1)*(RF!$H$21:$AO$21="RF Lead"),RF!$H$2:$AO$17)</f>
        <v>0</v>
      </c>
      <c r="AQ86" s="250">
        <f>SUMPRODUCT((RF!$A$2:$A$17=$A86)*(RFEmp=AQ$1)*(RF!$H$21:$AO$21="RF Lead"),RF!$H$2:$AO$17)</f>
        <v>0</v>
      </c>
      <c r="AR86" s="496">
        <f>SUMPRODUCT((RF!$A$2:$A$17=$A86)*(RFEmp=AR$1)*(RF!$H$21:$AO$21="RF Lead"),RF!$H$2:$AO$17)</f>
        <v>0</v>
      </c>
      <c r="AT86" s="246"/>
    </row>
    <row r="87" spans="1:46" s="271" customFormat="1" x14ac:dyDescent="0.2">
      <c r="A87" s="260">
        <f t="shared" si="49"/>
        <v>42468</v>
      </c>
      <c r="B87" s="261" t="str">
        <f>Total!$M$1</f>
        <v>SC</v>
      </c>
      <c r="C87" s="249">
        <f>SUMPRODUCT((SC!$A$2:$A$34=$A87)*(SCEmp=C$1),SC!$F$2:$Z$34)</f>
        <v>0</v>
      </c>
      <c r="D87" s="250">
        <f>SUMPRODUCT((SC!$A$2:$A$34=$A87)*(SCEmp=D$1),SC!$F$2:$Z$34)</f>
        <v>0</v>
      </c>
      <c r="E87" s="250">
        <f>SUMPRODUCT((SC!$A$2:$A$34=$A87)*(SCEmp=E$1),SC!$F$2:$Z$34)</f>
        <v>0</v>
      </c>
      <c r="F87" s="250">
        <f>SUMPRODUCT((SC!$A$2:$A$34=$A87)*(SCEmp=F$1),SC!$F$2:$Z$34)</f>
        <v>0</v>
      </c>
      <c r="G87" s="250">
        <f>SUMPRODUCT((SC!$A$2:$A$34=$A87)*(SCEmp=G$1),SC!$F$2:$Z$34)</f>
        <v>0</v>
      </c>
      <c r="H87" s="250">
        <f>SUMPRODUCT((SC!$A$2:$A$34=$A87)*(SCEmp=H$1),SC!$F$2:$Z$34)</f>
        <v>0</v>
      </c>
      <c r="I87" s="250">
        <f>SUMPRODUCT((SC!$A$2:$A$34=$A87)*(SCEmp=I$1),SC!$F$2:$Z$34)</f>
        <v>0</v>
      </c>
      <c r="J87" s="250">
        <f>SUMPRODUCT((SC!$A$2:$A$34=$A87)*(SCEmp=J$1),SC!$F$2:$Z$34)</f>
        <v>0</v>
      </c>
      <c r="K87" s="250">
        <f>SUMPRODUCT((SC!$A$2:$A$34=$A87)*(SCEmp=K$1),SC!$F$2:$Z$34)</f>
        <v>0</v>
      </c>
      <c r="L87" s="250">
        <f>SUMPRODUCT((SC!$A$2:$A$34=$A87)*(SCEmp=L$1),SC!$F$2:$Z$34)</f>
        <v>0</v>
      </c>
      <c r="M87" s="250">
        <f>SUMPRODUCT((SC!$A$2:$A$34=$A87)*(SCEmp=M$1),SC!$F$2:$Z$34)</f>
        <v>0</v>
      </c>
      <c r="N87" s="250">
        <f>SUMPRODUCT((SC!$A$2:$A$34=$A87)*(SCEmp=N$1),SC!$F$2:$Z$34)</f>
        <v>0</v>
      </c>
      <c r="O87" s="250">
        <f>SUMPRODUCT((SC!$A$2:$A$34=$A87)*(SCEmp=O$1),SC!$F$2:$Z$34)</f>
        <v>0</v>
      </c>
      <c r="P87" s="250">
        <f>SUMPRODUCT((SC!$A$2:$A$34=$A87)*(SCEmp=P$1),SC!$F$2:$Z$34)</f>
        <v>0</v>
      </c>
      <c r="Q87" s="250">
        <f>SUMPRODUCT((SC!$A$2:$A$34=$A87)*(SCEmp=Q$1),SC!$F$2:$Z$34)</f>
        <v>0</v>
      </c>
      <c r="R87" s="250">
        <f>SUMPRODUCT((SC!$A$2:$A$34=$A87)*(SCEmp=R$1),SC!$F$2:$Z$34)</f>
        <v>0</v>
      </c>
      <c r="S87" s="250">
        <f>SUMPRODUCT((SC!$A$2:$A$34=$A87)*(SCEmp=S$1),SC!$F$2:$Z$34)</f>
        <v>0</v>
      </c>
      <c r="T87" s="250">
        <f>SUMPRODUCT((SC!$A$2:$A$34=$A87)*(SCEmp=T$1),SC!$F$2:$Z$34)</f>
        <v>0</v>
      </c>
      <c r="U87" s="250">
        <f>SUMPRODUCT((SC!$A$2:$A$34=$A87)*(SCEmp=U$1),SC!$F$2:$Z$34)</f>
        <v>0</v>
      </c>
      <c r="V87" s="250">
        <f>SUMPRODUCT((SC!$A$2:$A$34=$A87)*(SCEmp=V$1),SC!$F$2:$Z$34)</f>
        <v>0</v>
      </c>
      <c r="W87" s="250">
        <f>SUMPRODUCT((SC!$A$2:$A$34=$A87)*(SCEmp=W$1),SC!$F$2:$Z$34)</f>
        <v>0</v>
      </c>
      <c r="X87" s="250">
        <f>SUMPRODUCT((SC!$A$2:$A$34=$A87)*(SCEmp=X$1),SC!$F$2:$Z$34)</f>
        <v>0</v>
      </c>
      <c r="Y87" s="250">
        <f>SUMPRODUCT((SC!$A$2:$A$34=$A87)*(SCEmp=Y$1),SC!$F$2:$Z$34)</f>
        <v>0</v>
      </c>
      <c r="Z87" s="250">
        <f>SUMPRODUCT((SC!$A$2:$A$34=$A87)*(SCEmp=Z$1),SC!$F$2:$Z$34)</f>
        <v>0</v>
      </c>
      <c r="AA87" s="250">
        <f>SUMPRODUCT((SC!$A$2:$A$34=$A87)*(SCEmp=AA$1),SC!$F$2:$Z$34)</f>
        <v>0</v>
      </c>
      <c r="AB87" s="250">
        <f>SUMPRODUCT((SC!$A$2:$A$34=$A87)*(SCEmp=AB$1),SC!$F$2:$Z$34)</f>
        <v>0</v>
      </c>
      <c r="AC87" s="250">
        <f>SUMPRODUCT((SC!$A$2:$A$34=$A87)*(SCEmp=AC$1),SC!$F$2:$Z$34)</f>
        <v>0</v>
      </c>
      <c r="AD87" s="250">
        <f>SUMPRODUCT((SC!$A$2:$A$34=$A87)*(SCEmp=AD$1),SC!$F$2:$Z$34)</f>
        <v>0</v>
      </c>
      <c r="AE87" s="250">
        <f>SUMPRODUCT((SC!$A$2:$A$34=$A87)*(SCEmp=AE$1),SC!$F$2:$Z$34)</f>
        <v>0</v>
      </c>
      <c r="AF87" s="250">
        <f>SUMPRODUCT((SC!$A$2:$A$34=$A87)*(SCEmp=AF$1),SC!$F$2:$Z$34)</f>
        <v>0</v>
      </c>
      <c r="AG87" s="250">
        <f>SUMPRODUCT((SC!$A$2:$A$34=$A87)*(SCEmp=AG$1),SC!$F$2:$Z$34)</f>
        <v>0</v>
      </c>
      <c r="AH87" s="250">
        <f>SUMPRODUCT((SC!$A$2:$A$34=$A87)*(SCEmp=AH$1),SC!$F$2:$Z$34)</f>
        <v>0</v>
      </c>
      <c r="AI87" s="250">
        <f>SUMPRODUCT((SC!$A$2:$A$34=$A87)*(SCEmp=AI$1),SC!$F$2:$Z$34)</f>
        <v>0</v>
      </c>
      <c r="AJ87" s="250">
        <f>SUMPRODUCT((SC!$A$2:$A$34=$A87)*(SCEmp=AJ$1),SC!$F$2:$Z$34)</f>
        <v>0</v>
      </c>
      <c r="AK87" s="250">
        <f>SUMPRODUCT((SC!$A$2:$A$34=$A87)*(SCEmp=AK$1),SC!$F$2:$Z$34)</f>
        <v>0</v>
      </c>
      <c r="AL87" s="250">
        <f>SUMPRODUCT((SC!$A$2:$A$34=$A87)*(SCEmp=AL$1),SC!$F$2:$Z$34)</f>
        <v>0</v>
      </c>
      <c r="AM87" s="250">
        <f>SUMPRODUCT((SC!$A$2:$A$34=$A87)*(SCEmp=AM$1),SC!$F$2:$Z$34)</f>
        <v>0</v>
      </c>
      <c r="AN87" s="250">
        <f>SUMPRODUCT((SC!$A$2:$A$34=$A87)*(SCEmp=AN$1),SC!$F$2:$Z$34)</f>
        <v>0</v>
      </c>
      <c r="AO87" s="250">
        <f>SUMPRODUCT((SC!$A$2:$A$34=$A87)*(SCEmp=AO$1),SC!$F$2:$Z$34)</f>
        <v>0</v>
      </c>
      <c r="AP87" s="250">
        <f>SUMPRODUCT((SC!$A$2:$A$34=$A87)*(SCEmp=AP$1),SC!$F$2:$Z$34)</f>
        <v>0</v>
      </c>
      <c r="AQ87" s="250">
        <f>SUMPRODUCT((SC!$A$2:$A$34=$A87)*(SCEmp=AQ$1),SC!$F$2:$Z$34)</f>
        <v>0</v>
      </c>
      <c r="AR87" s="496">
        <f>SUMPRODUCT((SC!$A$2:$A$34=$A87)*(SCEmp=AR$1),SC!$F$2:$Z$34)</f>
        <v>0</v>
      </c>
      <c r="AT87" s="246"/>
    </row>
    <row r="88" spans="1:46" s="271" customFormat="1" x14ac:dyDescent="0.2">
      <c r="A88" s="262">
        <f t="shared" si="49"/>
        <v>42468</v>
      </c>
      <c r="B88" s="263" t="s">
        <v>87</v>
      </c>
      <c r="C88" s="264">
        <f t="shared" ref="C88:AR88" si="50">IF(SUM(C79:C87)&gt;8,SUM(C79:C87)-8,0)+IF(SUM(C79:C87)&gt;12,SUM(C79:C87)-12,0)</f>
        <v>0</v>
      </c>
      <c r="D88" s="265">
        <f t="shared" si="50"/>
        <v>0</v>
      </c>
      <c r="E88" s="265">
        <f t="shared" si="50"/>
        <v>0</v>
      </c>
      <c r="F88" s="265">
        <f t="shared" si="50"/>
        <v>0</v>
      </c>
      <c r="G88" s="265">
        <f t="shared" si="50"/>
        <v>0</v>
      </c>
      <c r="H88" s="265">
        <f t="shared" si="50"/>
        <v>0</v>
      </c>
      <c r="I88" s="265">
        <f t="shared" si="50"/>
        <v>0</v>
      </c>
      <c r="J88" s="265">
        <f t="shared" si="50"/>
        <v>0</v>
      </c>
      <c r="K88" s="265">
        <f t="shared" si="50"/>
        <v>0</v>
      </c>
      <c r="L88" s="265">
        <f t="shared" si="50"/>
        <v>0</v>
      </c>
      <c r="M88" s="265">
        <f t="shared" si="50"/>
        <v>0</v>
      </c>
      <c r="N88" s="265">
        <f t="shared" si="50"/>
        <v>0</v>
      </c>
      <c r="O88" s="265">
        <f t="shared" si="50"/>
        <v>0</v>
      </c>
      <c r="P88" s="265">
        <f t="shared" si="50"/>
        <v>0</v>
      </c>
      <c r="Q88" s="265">
        <f t="shared" si="50"/>
        <v>0</v>
      </c>
      <c r="R88" s="265">
        <f t="shared" si="50"/>
        <v>0</v>
      </c>
      <c r="S88" s="265">
        <f t="shared" si="50"/>
        <v>0</v>
      </c>
      <c r="T88" s="265">
        <f t="shared" si="50"/>
        <v>0</v>
      </c>
      <c r="U88" s="265">
        <f t="shared" si="50"/>
        <v>0</v>
      </c>
      <c r="V88" s="265">
        <f t="shared" si="50"/>
        <v>0</v>
      </c>
      <c r="W88" s="265">
        <f t="shared" si="50"/>
        <v>0</v>
      </c>
      <c r="X88" s="265">
        <f t="shared" si="50"/>
        <v>0</v>
      </c>
      <c r="Y88" s="265">
        <f t="shared" si="50"/>
        <v>0</v>
      </c>
      <c r="Z88" s="265">
        <f t="shared" si="50"/>
        <v>0</v>
      </c>
      <c r="AA88" s="265">
        <f t="shared" si="50"/>
        <v>0</v>
      </c>
      <c r="AB88" s="265">
        <f t="shared" si="50"/>
        <v>0</v>
      </c>
      <c r="AC88" s="265">
        <f t="shared" si="50"/>
        <v>0</v>
      </c>
      <c r="AD88" s="265">
        <f t="shared" si="50"/>
        <v>0</v>
      </c>
      <c r="AE88" s="265">
        <f t="shared" si="50"/>
        <v>0</v>
      </c>
      <c r="AF88" s="265">
        <f t="shared" si="50"/>
        <v>0</v>
      </c>
      <c r="AG88" s="265">
        <f t="shared" si="50"/>
        <v>0</v>
      </c>
      <c r="AH88" s="265">
        <f t="shared" si="50"/>
        <v>0</v>
      </c>
      <c r="AI88" s="265">
        <f t="shared" si="50"/>
        <v>0</v>
      </c>
      <c r="AJ88" s="265">
        <f t="shared" si="50"/>
        <v>0</v>
      </c>
      <c r="AK88" s="265">
        <f t="shared" si="50"/>
        <v>0</v>
      </c>
      <c r="AL88" s="265">
        <f t="shared" si="50"/>
        <v>0</v>
      </c>
      <c r="AM88" s="265">
        <f t="shared" si="50"/>
        <v>0</v>
      </c>
      <c r="AN88" s="265">
        <f t="shared" si="50"/>
        <v>0</v>
      </c>
      <c r="AO88" s="265">
        <f t="shared" ref="AO88:AP88" si="51">IF(SUM(AO79:AO87)&gt;8,SUM(AO79:AO87)-8,0)+IF(SUM(AO79:AO87)&gt;12,SUM(AO79:AO87)-12,0)</f>
        <v>0</v>
      </c>
      <c r="AP88" s="265">
        <f t="shared" si="51"/>
        <v>0</v>
      </c>
      <c r="AQ88" s="265">
        <f t="shared" ref="AQ88" si="52">IF(SUM(AQ79:AQ87)&gt;8,SUM(AQ79:AQ87)-8,0)+IF(SUM(AQ79:AQ87)&gt;12,SUM(AQ79:AQ87)-12,0)</f>
        <v>0</v>
      </c>
      <c r="AR88" s="498">
        <f t="shared" si="50"/>
        <v>0</v>
      </c>
      <c r="AT88" s="246"/>
    </row>
    <row r="89" spans="1:46" s="271" customFormat="1" x14ac:dyDescent="0.2">
      <c r="A89" s="266">
        <f t="shared" si="49"/>
        <v>42468</v>
      </c>
      <c r="B89" s="267" t="s">
        <v>86</v>
      </c>
      <c r="C89" s="268">
        <f t="shared" ref="C89:AR89" si="53">IFERROR((C$179*SUM(C79:C84)+C$180*SUM(C85:C87))/SUM(C79:C87)/2,0)*C88</f>
        <v>0</v>
      </c>
      <c r="D89" s="269">
        <f t="shared" si="53"/>
        <v>0</v>
      </c>
      <c r="E89" s="269">
        <f t="shared" si="53"/>
        <v>0</v>
      </c>
      <c r="F89" s="269">
        <f t="shared" si="53"/>
        <v>0</v>
      </c>
      <c r="G89" s="269">
        <f t="shared" si="53"/>
        <v>0</v>
      </c>
      <c r="H89" s="269">
        <f t="shared" si="53"/>
        <v>0</v>
      </c>
      <c r="I89" s="269">
        <f t="shared" si="53"/>
        <v>0</v>
      </c>
      <c r="J89" s="269">
        <f t="shared" si="53"/>
        <v>0</v>
      </c>
      <c r="K89" s="269">
        <f t="shared" si="53"/>
        <v>0</v>
      </c>
      <c r="L89" s="269">
        <f t="shared" si="53"/>
        <v>0</v>
      </c>
      <c r="M89" s="269">
        <f t="shared" si="53"/>
        <v>0</v>
      </c>
      <c r="N89" s="269">
        <f t="shared" si="53"/>
        <v>0</v>
      </c>
      <c r="O89" s="269">
        <f t="shared" si="53"/>
        <v>0</v>
      </c>
      <c r="P89" s="269">
        <f t="shared" si="53"/>
        <v>0</v>
      </c>
      <c r="Q89" s="269">
        <f t="shared" si="53"/>
        <v>0</v>
      </c>
      <c r="R89" s="269">
        <f t="shared" si="53"/>
        <v>0</v>
      </c>
      <c r="S89" s="269">
        <f t="shared" si="53"/>
        <v>0</v>
      </c>
      <c r="T89" s="269">
        <f t="shared" si="53"/>
        <v>0</v>
      </c>
      <c r="U89" s="269">
        <f t="shared" si="53"/>
        <v>0</v>
      </c>
      <c r="V89" s="269">
        <f t="shared" si="53"/>
        <v>0</v>
      </c>
      <c r="W89" s="269">
        <f t="shared" si="53"/>
        <v>0</v>
      </c>
      <c r="X89" s="269">
        <f t="shared" si="53"/>
        <v>0</v>
      </c>
      <c r="Y89" s="269">
        <f t="shared" si="53"/>
        <v>0</v>
      </c>
      <c r="Z89" s="269">
        <f t="shared" si="53"/>
        <v>0</v>
      </c>
      <c r="AA89" s="269">
        <f t="shared" si="53"/>
        <v>0</v>
      </c>
      <c r="AB89" s="269">
        <f t="shared" si="53"/>
        <v>0</v>
      </c>
      <c r="AC89" s="269">
        <f t="shared" si="53"/>
        <v>0</v>
      </c>
      <c r="AD89" s="269">
        <f t="shared" si="53"/>
        <v>0</v>
      </c>
      <c r="AE89" s="269">
        <f t="shared" si="53"/>
        <v>0</v>
      </c>
      <c r="AF89" s="269">
        <f t="shared" si="53"/>
        <v>0</v>
      </c>
      <c r="AG89" s="269">
        <f t="shared" si="53"/>
        <v>0</v>
      </c>
      <c r="AH89" s="269">
        <f t="shared" si="53"/>
        <v>0</v>
      </c>
      <c r="AI89" s="269">
        <f t="shared" si="53"/>
        <v>0</v>
      </c>
      <c r="AJ89" s="269">
        <f t="shared" si="53"/>
        <v>0</v>
      </c>
      <c r="AK89" s="269">
        <f t="shared" si="53"/>
        <v>0</v>
      </c>
      <c r="AL89" s="269">
        <f t="shared" si="53"/>
        <v>0</v>
      </c>
      <c r="AM89" s="269">
        <f t="shared" si="53"/>
        <v>0</v>
      </c>
      <c r="AN89" s="269">
        <f t="shared" si="53"/>
        <v>0</v>
      </c>
      <c r="AO89" s="269">
        <f t="shared" ref="AO89:AP89" si="54">IFERROR((AO$179*SUM(AO79:AO84)+AO$180*SUM(AO85:AO87))/SUM(AO79:AO87)/2,0)*AO88</f>
        <v>0</v>
      </c>
      <c r="AP89" s="269">
        <f t="shared" si="54"/>
        <v>0</v>
      </c>
      <c r="AQ89" s="269">
        <f t="shared" ref="AQ89" si="55">IFERROR((AQ$179*SUM(AQ79:AQ84)+AQ$180*SUM(AQ85:AQ87))/SUM(AQ79:AQ87)/2,0)*AQ88</f>
        <v>0</v>
      </c>
      <c r="AR89" s="499">
        <f t="shared" si="53"/>
        <v>0</v>
      </c>
      <c r="AT89" s="246"/>
    </row>
    <row r="90" spans="1:46" s="271" customFormat="1" x14ac:dyDescent="0.2">
      <c r="A90" s="247">
        <f>A79+1</f>
        <v>42469</v>
      </c>
      <c r="B90" s="248" t="s">
        <v>77</v>
      </c>
      <c r="C90" s="249">
        <f>SUMPRODUCT((Driver!$A$2:$A$17=$A90)*(DriverEmp=C$1),Driver!$C$2:$V$17)</f>
        <v>0</v>
      </c>
      <c r="D90" s="250">
        <f>SUMPRODUCT((Driver!$A$2:$A$17=$A90)*(DriverEmp=D$1),Driver!$C$2:$V$17)</f>
        <v>0</v>
      </c>
      <c r="E90" s="250">
        <f>SUMPRODUCT((Driver!$A$2:$A$17=$A90)*(DriverEmp=E$1),Driver!$C$2:$V$17)</f>
        <v>0</v>
      </c>
      <c r="F90" s="250">
        <f>SUMPRODUCT((Driver!$A$2:$A$17=$A90)*(DriverEmp=F$1),Driver!$C$2:$V$17)</f>
        <v>0</v>
      </c>
      <c r="G90" s="250">
        <f>SUMPRODUCT((Driver!$A$2:$A$17=$A90)*(DriverEmp=G$1),Driver!$C$2:$V$17)</f>
        <v>0</v>
      </c>
      <c r="H90" s="250">
        <f>SUMPRODUCT((Driver!$A$2:$A$17=$A90)*(DriverEmp=H$1),Driver!$C$2:$V$17)</f>
        <v>0</v>
      </c>
      <c r="I90" s="250">
        <f>SUMPRODUCT((Driver!$A$2:$A$17=$A90)*(DriverEmp=I$1),Driver!$C$2:$V$17)</f>
        <v>0</v>
      </c>
      <c r="J90" s="250">
        <f>SUMPRODUCT((Driver!$A$2:$A$17=$A90)*(DriverEmp=J$1),Driver!$C$2:$V$17)</f>
        <v>0</v>
      </c>
      <c r="K90" s="250">
        <f>SUMPRODUCT((Driver!$A$2:$A$17=$A90)*(DriverEmp=K$1),Driver!$C$2:$V$17)</f>
        <v>0</v>
      </c>
      <c r="L90" s="250">
        <f>SUMPRODUCT((Driver!$A$2:$A$17=$A90)*(DriverEmp=L$1),Driver!$C$2:$V$17)</f>
        <v>0</v>
      </c>
      <c r="M90" s="250">
        <f>SUMPRODUCT((Driver!$A$2:$A$17=$A90)*(DriverEmp=M$1),Driver!$C$2:$V$17)</f>
        <v>0</v>
      </c>
      <c r="N90" s="250">
        <f>SUMPRODUCT((Driver!$A$2:$A$17=$A90)*(DriverEmp=N$1),Driver!$C$2:$V$17)</f>
        <v>0</v>
      </c>
      <c r="O90" s="250">
        <f>SUMPRODUCT((Driver!$A$2:$A$17=$A90)*(DriverEmp=O$1),Driver!$C$2:$V$17)</f>
        <v>0</v>
      </c>
      <c r="P90" s="250">
        <f>SUMPRODUCT((Driver!$A$2:$A$17=$A90)*(DriverEmp=P$1),Driver!$C$2:$V$17)</f>
        <v>0</v>
      </c>
      <c r="Q90" s="250">
        <f>SUMPRODUCT((Driver!$A$2:$A$17=$A90)*(DriverEmp=Q$1),Driver!$C$2:$V$17)</f>
        <v>0</v>
      </c>
      <c r="R90" s="250">
        <f>SUMPRODUCT((Driver!$A$2:$A$17=$A90)*(DriverEmp=R$1),Driver!$C$2:$V$17)</f>
        <v>0</v>
      </c>
      <c r="S90" s="250">
        <f>SUMPRODUCT((Driver!$A$2:$A$17=$A90)*(DriverEmp=S$1),Driver!$C$2:$V$17)</f>
        <v>0</v>
      </c>
      <c r="T90" s="250">
        <f>SUMPRODUCT((Driver!$A$2:$A$17=$A90)*(DriverEmp=T$1),Driver!$C$2:$V$17)</f>
        <v>0</v>
      </c>
      <c r="U90" s="250">
        <f>SUMPRODUCT((Driver!$A$2:$A$17=$A90)*(DriverEmp=U$1),Driver!$C$2:$V$17)</f>
        <v>0</v>
      </c>
      <c r="V90" s="250">
        <f>SUMPRODUCT((Driver!$A$2:$A$17=$A90)*(DriverEmp=V$1),Driver!$C$2:$V$17)</f>
        <v>0</v>
      </c>
      <c r="W90" s="250">
        <f>SUMPRODUCT((Driver!$A$2:$A$17=$A90)*(DriverEmp=W$1),Driver!$C$2:$V$17)</f>
        <v>0</v>
      </c>
      <c r="X90" s="250">
        <f>SUMPRODUCT((Driver!$A$2:$A$17=$A90)*(DriverEmp=X$1),Driver!$C$2:$V$17)</f>
        <v>0</v>
      </c>
      <c r="Y90" s="250">
        <f>SUMPRODUCT((Driver!$A$2:$A$17=$A90)*(DriverEmp=Y$1),Driver!$C$2:$V$17)</f>
        <v>0</v>
      </c>
      <c r="Z90" s="250">
        <f>SUMPRODUCT((Driver!$A$2:$A$17=$A90)*(DriverEmp=Z$1),Driver!$C$2:$V$17)</f>
        <v>0</v>
      </c>
      <c r="AA90" s="250">
        <f>SUMPRODUCT((Driver!$A$2:$A$17=$A90)*(DriverEmp=AA$1),Driver!$C$2:$V$17)</f>
        <v>0</v>
      </c>
      <c r="AB90" s="250">
        <f>SUMPRODUCT((Driver!$A$2:$A$17=$A90)*(DriverEmp=AB$1),Driver!$C$2:$V$17)</f>
        <v>0</v>
      </c>
      <c r="AC90" s="250">
        <f>SUMPRODUCT((Driver!$A$2:$A$17=$A90)*(DriverEmp=AC$1),Driver!$C$2:$V$17)</f>
        <v>0</v>
      </c>
      <c r="AD90" s="250">
        <f>SUMPRODUCT((Driver!$A$2:$A$17=$A90)*(DriverEmp=AD$1),Driver!$C$2:$V$17)</f>
        <v>0</v>
      </c>
      <c r="AE90" s="250">
        <f>SUMPRODUCT((Driver!$A$2:$A$17=$A90)*(DriverEmp=AE$1),Driver!$C$2:$V$17)</f>
        <v>0</v>
      </c>
      <c r="AF90" s="250">
        <f>SUMPRODUCT((Driver!$A$2:$A$17=$A90)*(DriverEmp=AF$1),Driver!$C$2:$V$17)</f>
        <v>0</v>
      </c>
      <c r="AG90" s="250">
        <f>SUMPRODUCT((Driver!$A$2:$A$17=$A90)*(DriverEmp=AG$1),Driver!$C$2:$V$17)</f>
        <v>0</v>
      </c>
      <c r="AH90" s="250">
        <f>SUMPRODUCT((Driver!$A$2:$A$17=$A90)*(DriverEmp=AH$1),Driver!$C$2:$V$17)</f>
        <v>0</v>
      </c>
      <c r="AI90" s="250">
        <f>SUMPRODUCT((Driver!$A$2:$A$17=$A90)*(DriverEmp=AI$1),Driver!$C$2:$V$17)</f>
        <v>0</v>
      </c>
      <c r="AJ90" s="250">
        <f>SUMPRODUCT((Driver!$A$2:$A$17=$A90)*(DriverEmp=AJ$1),Driver!$C$2:$V$17)</f>
        <v>0</v>
      </c>
      <c r="AK90" s="250">
        <f>SUMPRODUCT((Driver!$A$2:$A$17=$A90)*(DriverEmp=AK$1),Driver!$C$2:$V$17)</f>
        <v>0</v>
      </c>
      <c r="AL90" s="250">
        <f>SUMPRODUCT((Driver!$A$2:$A$17=$A90)*(DriverEmp=AL$1),Driver!$C$2:$V$17)</f>
        <v>0</v>
      </c>
      <c r="AM90" s="250">
        <f>SUMPRODUCT((Driver!$A$2:$A$17=$A90)*(DriverEmp=AM$1),Driver!$C$2:$V$17)</f>
        <v>0</v>
      </c>
      <c r="AN90" s="250">
        <f>SUMPRODUCT((Driver!$A$2:$A$17=$A90)*(DriverEmp=AN$1),Driver!$C$2:$V$17)</f>
        <v>0</v>
      </c>
      <c r="AO90" s="250">
        <f>SUMPRODUCT((Driver!$A$2:$A$17=$A90)*(DriverEmp=AO$1),Driver!$C$2:$V$17)</f>
        <v>0</v>
      </c>
      <c r="AP90" s="250">
        <f>SUMPRODUCT((Driver!$A$2:$A$17=$A90)*(DriverEmp=AP$1),Driver!$C$2:$V$17)</f>
        <v>0</v>
      </c>
      <c r="AQ90" s="250">
        <f>SUMPRODUCT((Driver!$A$2:$A$17=$A90)*(DriverEmp=AQ$1),Driver!$C$2:$V$17)</f>
        <v>0</v>
      </c>
      <c r="AR90" s="496">
        <f>SUMPRODUCT((Driver!$A$2:$A$17=$A90)*(DriverEmp=AR$1),Driver!$C$2:$V$17)</f>
        <v>0</v>
      </c>
      <c r="AT90" s="246"/>
    </row>
    <row r="91" spans="1:46" s="271" customFormat="1" x14ac:dyDescent="0.2">
      <c r="A91" s="247">
        <f t="shared" ref="A91:A100" si="56">A90</f>
        <v>42469</v>
      </c>
      <c r="B91" s="251" t="str">
        <f>Total!$H$1</f>
        <v>PP</v>
      </c>
      <c r="C91" s="249">
        <f>SUMPRODUCT((PP!$A$2:$A$80=$A91)*(PPEmp=C$1),PP!$D$2:$BD$80)</f>
        <v>0</v>
      </c>
      <c r="D91" s="250">
        <f>SUMPRODUCT((PP!$A$2:$A$80=$A91)*(PPEmp=D$1),PP!$D$2:$BD$80)</f>
        <v>0</v>
      </c>
      <c r="E91" s="250">
        <f>SUMPRODUCT((PP!$A$2:$A$80=$A91)*(PPEmp=E$1),PP!$D$2:$BD$80)</f>
        <v>0</v>
      </c>
      <c r="F91" s="250">
        <f>SUMPRODUCT((PP!$A$2:$A$80=$A91)*(PPEmp=F$1),PP!$D$2:$BD$80)</f>
        <v>0</v>
      </c>
      <c r="G91" s="250">
        <f>SUMPRODUCT((PP!$A$2:$A$80=$A91)*(PPEmp=G$1),PP!$D$2:$BD$80)</f>
        <v>0</v>
      </c>
      <c r="H91" s="250">
        <f>SUMPRODUCT((PP!$A$2:$A$80=$A91)*(PPEmp=H$1),PP!$D$2:$BD$80)</f>
        <v>0</v>
      </c>
      <c r="I91" s="250">
        <f>SUMPRODUCT((PP!$A$2:$A$80=$A91)*(PPEmp=I$1),PP!$D$2:$BD$80)</f>
        <v>0</v>
      </c>
      <c r="J91" s="250">
        <f>SUMPRODUCT((PP!$A$2:$A$80=$A91)*(PPEmp=J$1),PP!$D$2:$BD$80)</f>
        <v>0</v>
      </c>
      <c r="K91" s="250">
        <f>SUMPRODUCT((PP!$A$2:$A$80=$A91)*(PPEmp=K$1),PP!$D$2:$BD$80)</f>
        <v>0</v>
      </c>
      <c r="L91" s="250">
        <f>SUMPRODUCT((PP!$A$2:$A$80=$A91)*(PPEmp=L$1),PP!$D$2:$BD$80)</f>
        <v>0</v>
      </c>
      <c r="M91" s="250">
        <f>SUMPRODUCT((PP!$A$2:$A$80=$A91)*(PPEmp=M$1),PP!$D$2:$BD$80)</f>
        <v>0</v>
      </c>
      <c r="N91" s="250">
        <f>SUMPRODUCT((PP!$A$2:$A$80=$A91)*(PPEmp=N$1),PP!$D$2:$BD$80)</f>
        <v>0</v>
      </c>
      <c r="O91" s="250">
        <f>SUMPRODUCT((PP!$A$2:$A$80=$A91)*(PPEmp=O$1),PP!$D$2:$BD$80)</f>
        <v>0</v>
      </c>
      <c r="P91" s="250">
        <f>SUMPRODUCT((PP!$A$2:$A$80=$A91)*(PPEmp=P$1),PP!$D$2:$BD$80)</f>
        <v>0</v>
      </c>
      <c r="Q91" s="250">
        <f>SUMPRODUCT((PP!$A$2:$A$80=$A91)*(PPEmp=Q$1),PP!$D$2:$BD$80)</f>
        <v>0</v>
      </c>
      <c r="R91" s="250">
        <f>SUMPRODUCT((PP!$A$2:$A$80=$A91)*(PPEmp=R$1),PP!$D$2:$BD$80)</f>
        <v>0</v>
      </c>
      <c r="S91" s="250">
        <f>SUMPRODUCT((PP!$A$2:$A$80=$A91)*(PPEmp=S$1),PP!$D$2:$BD$80)</f>
        <v>0</v>
      </c>
      <c r="T91" s="250">
        <f>SUMPRODUCT((PP!$A$2:$A$80=$A91)*(PPEmp=T$1),PP!$D$2:$BD$80)</f>
        <v>0</v>
      </c>
      <c r="U91" s="250">
        <f>SUMPRODUCT((PP!$A$2:$A$80=$A91)*(PPEmp=U$1),PP!$D$2:$BD$80)</f>
        <v>0</v>
      </c>
      <c r="V91" s="250">
        <f>SUMPRODUCT((PP!$A$2:$A$80=$A91)*(PPEmp=V$1),PP!$D$2:$BD$80)</f>
        <v>0</v>
      </c>
      <c r="W91" s="250">
        <f>SUMPRODUCT((PP!$A$2:$A$80=$A91)*(PPEmp=W$1),PP!$D$2:$BD$80)</f>
        <v>0</v>
      </c>
      <c r="X91" s="250">
        <f>SUMPRODUCT((PP!$A$2:$A$80=$A91)*(PPEmp=X$1),PP!$D$2:$BD$80)</f>
        <v>0</v>
      </c>
      <c r="Y91" s="250">
        <f>SUMPRODUCT((PP!$A$2:$A$80=$A91)*(PPEmp=Y$1),PP!$D$2:$BD$80)</f>
        <v>0</v>
      </c>
      <c r="Z91" s="250">
        <f>SUMPRODUCT((PP!$A$2:$A$80=$A91)*(PPEmp=Z$1),PP!$D$2:$BD$80)</f>
        <v>0</v>
      </c>
      <c r="AA91" s="250">
        <f>SUMPRODUCT((PP!$A$2:$A$80=$A91)*(PPEmp=AA$1),PP!$D$2:$BD$80)</f>
        <v>0</v>
      </c>
      <c r="AB91" s="250">
        <f>SUMPRODUCT((PP!$A$2:$A$80=$A91)*(PPEmp=AB$1),PP!$D$2:$BD$80)</f>
        <v>0</v>
      </c>
      <c r="AC91" s="250">
        <f>SUMPRODUCT((PP!$A$2:$A$80=$A91)*(PPEmp=AC$1),PP!$D$2:$BD$80)</f>
        <v>0</v>
      </c>
      <c r="AD91" s="250">
        <f>SUMPRODUCT((PP!$A$2:$A$80=$A91)*(PPEmp=AD$1),PP!$D$2:$BD$80)</f>
        <v>0</v>
      </c>
      <c r="AE91" s="250">
        <f>SUMPRODUCT((PP!$A$2:$A$80=$A91)*(PPEmp=AE$1),PP!$D$2:$BD$80)</f>
        <v>0</v>
      </c>
      <c r="AF91" s="250">
        <f>SUMPRODUCT((PP!$A$2:$A$80=$A91)*(PPEmp=AF$1),PP!$D$2:$BD$80)</f>
        <v>0</v>
      </c>
      <c r="AG91" s="250">
        <f>SUMPRODUCT((PP!$A$2:$A$80=$A91)*(PPEmp=AG$1),PP!$D$2:$BD$80)</f>
        <v>0</v>
      </c>
      <c r="AH91" s="250">
        <f>SUMPRODUCT((PP!$A$2:$A$80=$A91)*(PPEmp=AH$1),PP!$D$2:$BD$80)</f>
        <v>0</v>
      </c>
      <c r="AI91" s="250">
        <f>SUMPRODUCT((PP!$A$2:$A$80=$A91)*(PPEmp=AI$1),PP!$D$2:$BD$80)</f>
        <v>0</v>
      </c>
      <c r="AJ91" s="250">
        <f>SUMPRODUCT((PP!$A$2:$A$80=$A91)*(PPEmp=AJ$1),PP!$D$2:$BD$80)</f>
        <v>0</v>
      </c>
      <c r="AK91" s="250">
        <f>SUMPRODUCT((PP!$A$2:$A$80=$A91)*(PPEmp=AK$1),PP!$D$2:$BD$80)</f>
        <v>0</v>
      </c>
      <c r="AL91" s="250">
        <f>SUMPRODUCT((PP!$A$2:$A$80=$A91)*(PPEmp=AL$1),PP!$D$2:$BD$80)</f>
        <v>0</v>
      </c>
      <c r="AM91" s="250">
        <f>SUMPRODUCT((PP!$A$2:$A$80=$A91)*(PPEmp=AM$1),PP!$D$2:$BD$80)</f>
        <v>0</v>
      </c>
      <c r="AN91" s="250">
        <f>SUMPRODUCT((PP!$A$2:$A$80=$A91)*(PPEmp=AN$1),PP!$D$2:$BD$80)</f>
        <v>0</v>
      </c>
      <c r="AO91" s="250">
        <f>SUMPRODUCT((PP!$A$2:$A$80=$A91)*(PPEmp=AO$1),PP!$D$2:$BD$80)</f>
        <v>0</v>
      </c>
      <c r="AP91" s="250">
        <f>SUMPRODUCT((PP!$A$2:$A$80=$A91)*(PPEmp=AP$1),PP!$D$2:$BD$80)</f>
        <v>0</v>
      </c>
      <c r="AQ91" s="250">
        <f>SUMPRODUCT((PP!$A$2:$A$80=$A91)*(PPEmp=AQ$1),PP!$D$2:$BD$80)</f>
        <v>0</v>
      </c>
      <c r="AR91" s="496">
        <f>SUMPRODUCT((PP!$A$2:$A$80=$A91)*(PPEmp=AR$1),PP!$D$2:$BD$80)</f>
        <v>0</v>
      </c>
      <c r="AT91" s="246"/>
    </row>
    <row r="92" spans="1:46" s="271" customFormat="1" x14ac:dyDescent="0.2">
      <c r="A92" s="247">
        <f t="shared" si="56"/>
        <v>42469</v>
      </c>
      <c r="B92" s="252" t="str">
        <f>Total!$J$1</f>
        <v>FH</v>
      </c>
      <c r="C92" s="249">
        <f>SUMPRODUCT((FH!$A$2:$A$97=$A92)*(FHEmp=C$1),FH!$E$2:$AZ$97)</f>
        <v>0</v>
      </c>
      <c r="D92" s="250">
        <f>SUMPRODUCT((FH!$A$2:$A$97=$A92)*(FHEmp=D$1),FH!$E$2:$AZ$97)</f>
        <v>0</v>
      </c>
      <c r="E92" s="250">
        <f>SUMPRODUCT((FH!$A$2:$A$97=$A92)*(FHEmp=E$1),FH!$E$2:$AZ$97)</f>
        <v>0</v>
      </c>
      <c r="F92" s="250">
        <f>SUMPRODUCT((FH!$A$2:$A$97=$A92)*(FHEmp=F$1),FH!$E$2:$AZ$97)</f>
        <v>0</v>
      </c>
      <c r="G92" s="250">
        <f>SUMPRODUCT((FH!$A$2:$A$97=$A92)*(FHEmp=G$1),FH!$E$2:$AZ$97)</f>
        <v>0</v>
      </c>
      <c r="H92" s="250">
        <f>SUMPRODUCT((FH!$A$2:$A$97=$A92)*(FHEmp=H$1),FH!$E$2:$AZ$97)</f>
        <v>0</v>
      </c>
      <c r="I92" s="250">
        <f>SUMPRODUCT((FH!$A$2:$A$97=$A92)*(FHEmp=I$1),FH!$E$2:$AZ$97)</f>
        <v>0</v>
      </c>
      <c r="J92" s="250">
        <f>SUMPRODUCT((FH!$A$2:$A$97=$A92)*(FHEmp=J$1),FH!$E$2:$AZ$97)</f>
        <v>0</v>
      </c>
      <c r="K92" s="250">
        <f>SUMPRODUCT((FH!$A$2:$A$97=$A92)*(FHEmp=K$1),FH!$E$2:$AZ$97)</f>
        <v>0</v>
      </c>
      <c r="L92" s="250">
        <f>SUMPRODUCT((FH!$A$2:$A$97=$A92)*(FHEmp=L$1),FH!$E$2:$AZ$97)</f>
        <v>0</v>
      </c>
      <c r="M92" s="250">
        <f>SUMPRODUCT((FH!$A$2:$A$97=$A92)*(FHEmp=M$1),FH!$E$2:$AZ$97)</f>
        <v>0</v>
      </c>
      <c r="N92" s="250">
        <f>SUMPRODUCT((FH!$A$2:$A$97=$A92)*(FHEmp=N$1),FH!$E$2:$AZ$97)</f>
        <v>0</v>
      </c>
      <c r="O92" s="250">
        <f>SUMPRODUCT((FH!$A$2:$A$97=$A92)*(FHEmp=O$1),FH!$E$2:$AZ$97)</f>
        <v>0</v>
      </c>
      <c r="P92" s="250">
        <f>SUMPRODUCT((FH!$A$2:$A$97=$A92)*(FHEmp=P$1),FH!$E$2:$AZ$97)</f>
        <v>0</v>
      </c>
      <c r="Q92" s="250">
        <f>SUMPRODUCT((FH!$A$2:$A$97=$A92)*(FHEmp=Q$1),FH!$E$2:$AZ$97)</f>
        <v>0</v>
      </c>
      <c r="R92" s="250">
        <f>SUMPRODUCT((FH!$A$2:$A$97=$A92)*(FHEmp=R$1),FH!$E$2:$AZ$97)</f>
        <v>0</v>
      </c>
      <c r="S92" s="250">
        <f>SUMPRODUCT((FH!$A$2:$A$97=$A92)*(FHEmp=S$1),FH!$E$2:$AZ$97)</f>
        <v>0</v>
      </c>
      <c r="T92" s="250">
        <f>SUMPRODUCT((FH!$A$2:$A$97=$A92)*(FHEmp=T$1),FH!$E$2:$AZ$97)</f>
        <v>0</v>
      </c>
      <c r="U92" s="250">
        <f>SUMPRODUCT((FH!$A$2:$A$97=$A92)*(FHEmp=U$1),FH!$E$2:$AZ$97)</f>
        <v>0</v>
      </c>
      <c r="V92" s="250">
        <f>SUMPRODUCT((FH!$A$2:$A$97=$A92)*(FHEmp=V$1),FH!$E$2:$AZ$97)</f>
        <v>0</v>
      </c>
      <c r="W92" s="250">
        <f>SUMPRODUCT((FH!$A$2:$A$97=$A92)*(FHEmp=W$1),FH!$E$2:$AZ$97)</f>
        <v>0</v>
      </c>
      <c r="X92" s="250">
        <f>SUMPRODUCT((FH!$A$2:$A$97=$A92)*(FHEmp=X$1),FH!$E$2:$AZ$97)</f>
        <v>0</v>
      </c>
      <c r="Y92" s="250">
        <f>SUMPRODUCT((FH!$A$2:$A$97=$A92)*(FHEmp=Y$1),FH!$E$2:$AZ$97)</f>
        <v>0</v>
      </c>
      <c r="Z92" s="250">
        <f>SUMPRODUCT((FH!$A$2:$A$97=$A92)*(FHEmp=Z$1),FH!$E$2:$AZ$97)</f>
        <v>0</v>
      </c>
      <c r="AA92" s="250">
        <f>SUMPRODUCT((FH!$A$2:$A$97=$A92)*(FHEmp=AA$1),FH!$E$2:$AZ$97)</f>
        <v>0</v>
      </c>
      <c r="AB92" s="250">
        <f>SUMPRODUCT((FH!$A$2:$A$97=$A92)*(FHEmp=AB$1),FH!$E$2:$AZ$97)</f>
        <v>0</v>
      </c>
      <c r="AC92" s="250">
        <f>SUMPRODUCT((FH!$A$2:$A$97=$A92)*(FHEmp=AC$1),FH!$E$2:$AZ$97)</f>
        <v>0</v>
      </c>
      <c r="AD92" s="250">
        <f>SUMPRODUCT((FH!$A$2:$A$97=$A92)*(FHEmp=AD$1),FH!$E$2:$AZ$97)</f>
        <v>0</v>
      </c>
      <c r="AE92" s="250">
        <f>SUMPRODUCT((FH!$A$2:$A$97=$A92)*(FHEmp=AE$1),FH!$E$2:$AZ$97)</f>
        <v>0</v>
      </c>
      <c r="AF92" s="250">
        <f>SUMPRODUCT((FH!$A$2:$A$97=$A92)*(FHEmp=AF$1),FH!$E$2:$AZ$97)</f>
        <v>0</v>
      </c>
      <c r="AG92" s="250">
        <f>SUMPRODUCT((FH!$A$2:$A$97=$A92)*(FHEmp=AG$1),FH!$E$2:$AZ$97)</f>
        <v>0</v>
      </c>
      <c r="AH92" s="250">
        <f>SUMPRODUCT((FH!$A$2:$A$97=$A92)*(FHEmp=AH$1),FH!$E$2:$AZ$97)</f>
        <v>0</v>
      </c>
      <c r="AI92" s="250">
        <f>SUMPRODUCT((FH!$A$2:$A$97=$A92)*(FHEmp=AI$1),FH!$E$2:$AZ$97)</f>
        <v>0</v>
      </c>
      <c r="AJ92" s="250">
        <f>SUMPRODUCT((FH!$A$2:$A$97=$A92)*(FHEmp=AJ$1),FH!$E$2:$AZ$97)</f>
        <v>0</v>
      </c>
      <c r="AK92" s="250">
        <f>SUMPRODUCT((FH!$A$2:$A$97=$A92)*(FHEmp=AK$1),FH!$E$2:$AZ$97)</f>
        <v>0</v>
      </c>
      <c r="AL92" s="250">
        <f>SUMPRODUCT((FH!$A$2:$A$97=$A92)*(FHEmp=AL$1),FH!$E$2:$AZ$97)</f>
        <v>0</v>
      </c>
      <c r="AM92" s="250">
        <f>SUMPRODUCT((FH!$A$2:$A$97=$A92)*(FHEmp=AM$1),FH!$E$2:$AZ$97)</f>
        <v>0</v>
      </c>
      <c r="AN92" s="250">
        <f>SUMPRODUCT((FH!$A$2:$A$97=$A92)*(FHEmp=AN$1),FH!$E$2:$AZ$97)</f>
        <v>0</v>
      </c>
      <c r="AO92" s="250">
        <f>SUMPRODUCT((FH!$A$2:$A$97=$A92)*(FHEmp=AO$1),FH!$E$2:$AZ$97)</f>
        <v>0</v>
      </c>
      <c r="AP92" s="250">
        <f>SUMPRODUCT((FH!$A$2:$A$97=$A92)*(FHEmp=AP$1),FH!$E$2:$AZ$97)</f>
        <v>0</v>
      </c>
      <c r="AQ92" s="250">
        <f>SUMPRODUCT((FH!$A$2:$A$97=$A92)*(FHEmp=AQ$1),FH!$E$2:$AZ$97)</f>
        <v>0</v>
      </c>
      <c r="AR92" s="496">
        <f>SUMPRODUCT((FH!$A$2:$A$97=$A92)*(FHEmp=AR$1),FH!$E$2:$AZ$97)</f>
        <v>0</v>
      </c>
      <c r="AT92" s="246"/>
    </row>
    <row r="93" spans="1:46" s="271" customFormat="1" x14ac:dyDescent="0.2">
      <c r="A93" s="247">
        <f t="shared" si="56"/>
        <v>42469</v>
      </c>
      <c r="B93" s="253" t="str">
        <f>Total!$K$1</f>
        <v>T22</v>
      </c>
      <c r="C93" s="249">
        <f>SUMPRODUCT(('T22'!$A$2:$A$97=$A93)*(T22Emp=C$1),'T22'!$E$2:$AZ$97)</f>
        <v>0</v>
      </c>
      <c r="D93" s="250">
        <f>SUMPRODUCT(('T22'!$A$2:$A$97=$A93)*(T22Emp=D$1),'T22'!$E$2:$AZ$97)</f>
        <v>0</v>
      </c>
      <c r="E93" s="250">
        <f>SUMPRODUCT(('T22'!$A$2:$A$97=$A93)*(T22Emp=E$1),'T22'!$E$2:$AZ$97)</f>
        <v>0</v>
      </c>
      <c r="F93" s="250">
        <f>SUMPRODUCT(('T22'!$A$2:$A$97=$A93)*(T22Emp=F$1),'T22'!$E$2:$AZ$97)</f>
        <v>0</v>
      </c>
      <c r="G93" s="250">
        <f>SUMPRODUCT(('T22'!$A$2:$A$97=$A93)*(T22Emp=G$1),'T22'!$E$2:$AZ$97)</f>
        <v>0</v>
      </c>
      <c r="H93" s="250">
        <f>SUMPRODUCT(('T22'!$A$2:$A$97=$A93)*(T22Emp=H$1),'T22'!$E$2:$AZ$97)</f>
        <v>0</v>
      </c>
      <c r="I93" s="250">
        <f>SUMPRODUCT(('T22'!$A$2:$A$97=$A93)*(T22Emp=I$1),'T22'!$E$2:$AZ$97)</f>
        <v>0</v>
      </c>
      <c r="J93" s="250">
        <f>SUMPRODUCT(('T22'!$A$2:$A$97=$A93)*(T22Emp=J$1),'T22'!$E$2:$AZ$97)</f>
        <v>0</v>
      </c>
      <c r="K93" s="250">
        <f>SUMPRODUCT(('T22'!$A$2:$A$97=$A93)*(T22Emp=K$1),'T22'!$E$2:$AZ$97)</f>
        <v>0</v>
      </c>
      <c r="L93" s="250">
        <f>SUMPRODUCT(('T22'!$A$2:$A$97=$A93)*(T22Emp=L$1),'T22'!$E$2:$AZ$97)</f>
        <v>0</v>
      </c>
      <c r="M93" s="250">
        <f>SUMPRODUCT(('T22'!$A$2:$A$97=$A93)*(T22Emp=M$1),'T22'!$E$2:$AZ$97)</f>
        <v>0</v>
      </c>
      <c r="N93" s="250">
        <f>SUMPRODUCT(('T22'!$A$2:$A$97=$A93)*(T22Emp=N$1),'T22'!$E$2:$AZ$97)</f>
        <v>0</v>
      </c>
      <c r="O93" s="250">
        <f>SUMPRODUCT(('T22'!$A$2:$A$97=$A93)*(T22Emp=O$1),'T22'!$E$2:$AZ$97)</f>
        <v>0</v>
      </c>
      <c r="P93" s="250">
        <f>SUMPRODUCT(('T22'!$A$2:$A$97=$A93)*(T22Emp=P$1),'T22'!$E$2:$AZ$97)</f>
        <v>0</v>
      </c>
      <c r="Q93" s="250">
        <f>SUMPRODUCT(('T22'!$A$2:$A$97=$A93)*(T22Emp=Q$1),'T22'!$E$2:$AZ$97)</f>
        <v>0</v>
      </c>
      <c r="R93" s="250">
        <f>SUMPRODUCT(('T22'!$A$2:$A$97=$A93)*(T22Emp=R$1),'T22'!$E$2:$AZ$97)</f>
        <v>0</v>
      </c>
      <c r="S93" s="250">
        <f>SUMPRODUCT(('T22'!$A$2:$A$97=$A93)*(T22Emp=S$1),'T22'!$E$2:$AZ$97)</f>
        <v>0</v>
      </c>
      <c r="T93" s="250">
        <f>SUMPRODUCT(('T22'!$A$2:$A$97=$A93)*(T22Emp=T$1),'T22'!$E$2:$AZ$97)</f>
        <v>0</v>
      </c>
      <c r="U93" s="250">
        <f>SUMPRODUCT(('T22'!$A$2:$A$97=$A93)*(T22Emp=U$1),'T22'!$E$2:$AZ$97)</f>
        <v>0</v>
      </c>
      <c r="V93" s="250">
        <f>SUMPRODUCT(('T22'!$A$2:$A$97=$A93)*(T22Emp=V$1),'T22'!$E$2:$AZ$97)</f>
        <v>0</v>
      </c>
      <c r="W93" s="250">
        <f>SUMPRODUCT(('T22'!$A$2:$A$97=$A93)*(T22Emp=W$1),'T22'!$E$2:$AZ$97)</f>
        <v>0</v>
      </c>
      <c r="X93" s="250">
        <f>SUMPRODUCT(('T22'!$A$2:$A$97=$A93)*(T22Emp=X$1),'T22'!$E$2:$AZ$97)</f>
        <v>0</v>
      </c>
      <c r="Y93" s="250">
        <f>SUMPRODUCT(('T22'!$A$2:$A$97=$A93)*(T22Emp=Y$1),'T22'!$E$2:$AZ$97)</f>
        <v>0</v>
      </c>
      <c r="Z93" s="250">
        <f>SUMPRODUCT(('T22'!$A$2:$A$97=$A93)*(T22Emp=Z$1),'T22'!$E$2:$AZ$97)</f>
        <v>0</v>
      </c>
      <c r="AA93" s="250">
        <f>SUMPRODUCT(('T22'!$A$2:$A$97=$A93)*(T22Emp=AA$1),'T22'!$E$2:$AZ$97)</f>
        <v>0</v>
      </c>
      <c r="AB93" s="250">
        <f>SUMPRODUCT(('T22'!$A$2:$A$97=$A93)*(T22Emp=AB$1),'T22'!$E$2:$AZ$97)</f>
        <v>0</v>
      </c>
      <c r="AC93" s="250">
        <f>SUMPRODUCT(('T22'!$A$2:$A$97=$A93)*(T22Emp=AC$1),'T22'!$E$2:$AZ$97)</f>
        <v>0</v>
      </c>
      <c r="AD93" s="250">
        <f>SUMPRODUCT(('T22'!$A$2:$A$97=$A93)*(T22Emp=AD$1),'T22'!$E$2:$AZ$97)</f>
        <v>0</v>
      </c>
      <c r="AE93" s="250">
        <f>SUMPRODUCT(('T22'!$A$2:$A$97=$A93)*(T22Emp=AE$1),'T22'!$E$2:$AZ$97)</f>
        <v>0</v>
      </c>
      <c r="AF93" s="250">
        <f>SUMPRODUCT(('T22'!$A$2:$A$97=$A93)*(T22Emp=AF$1),'T22'!$E$2:$AZ$97)</f>
        <v>0</v>
      </c>
      <c r="AG93" s="250">
        <f>SUMPRODUCT(('T22'!$A$2:$A$97=$A93)*(T22Emp=AG$1),'T22'!$E$2:$AZ$97)</f>
        <v>0</v>
      </c>
      <c r="AH93" s="250">
        <f>SUMPRODUCT(('T22'!$A$2:$A$97=$A93)*(T22Emp=AH$1),'T22'!$E$2:$AZ$97)</f>
        <v>0</v>
      </c>
      <c r="AI93" s="250">
        <f>SUMPRODUCT(('T22'!$A$2:$A$97=$A93)*(T22Emp=AI$1),'T22'!$E$2:$AZ$97)</f>
        <v>0</v>
      </c>
      <c r="AJ93" s="250">
        <f>SUMPRODUCT(('T22'!$A$2:$A$97=$A93)*(T22Emp=AJ$1),'T22'!$E$2:$AZ$97)</f>
        <v>0</v>
      </c>
      <c r="AK93" s="250">
        <f>SUMPRODUCT(('T22'!$A$2:$A$97=$A93)*(T22Emp=AK$1),'T22'!$E$2:$AZ$97)</f>
        <v>0</v>
      </c>
      <c r="AL93" s="250">
        <f>SUMPRODUCT(('T22'!$A$2:$A$97=$A93)*(T22Emp=AL$1),'T22'!$E$2:$AZ$97)</f>
        <v>0</v>
      </c>
      <c r="AM93" s="250">
        <f>SUMPRODUCT(('T22'!$A$2:$A$97=$A93)*(T22Emp=AM$1),'T22'!$E$2:$AZ$97)</f>
        <v>0</v>
      </c>
      <c r="AN93" s="250">
        <f>SUMPRODUCT(('T22'!$A$2:$A$97=$A93)*(T22Emp=AN$1),'T22'!$E$2:$AZ$97)</f>
        <v>0</v>
      </c>
      <c r="AO93" s="250">
        <f>SUMPRODUCT(('T22'!$A$2:$A$97=$A93)*(T22Emp=AO$1),'T22'!$E$2:$AZ$97)</f>
        <v>0</v>
      </c>
      <c r="AP93" s="250">
        <f>SUMPRODUCT(('T22'!$A$2:$A$97=$A93)*(T22Emp=AP$1),'T22'!$E$2:$AZ$97)</f>
        <v>0</v>
      </c>
      <c r="AQ93" s="250">
        <f>SUMPRODUCT(('T22'!$A$2:$A$97=$A93)*(T22Emp=AQ$1),'T22'!$E$2:$AZ$97)</f>
        <v>0</v>
      </c>
      <c r="AR93" s="496">
        <f>SUMPRODUCT(('T22'!$A$2:$A$97=$A93)*(T22Emp=AR$1),'T22'!$E$2:$AZ$97)</f>
        <v>0</v>
      </c>
      <c r="AT93" s="246"/>
    </row>
    <row r="94" spans="1:46" s="271" customFormat="1" x14ac:dyDescent="0.2">
      <c r="A94" s="247">
        <f t="shared" si="56"/>
        <v>42469</v>
      </c>
      <c r="B94" s="254" t="str">
        <f>Total!$L$1</f>
        <v>RF</v>
      </c>
      <c r="C94" s="249">
        <f>SUMPRODUCT((RF!$A$2:$A$17=$A94)*(RFEmp=C$1)*(RF!$H$21:$AO$21="RF Valet"),RF!$H$2:$AO$17)</f>
        <v>0</v>
      </c>
      <c r="D94" s="250">
        <f>SUMPRODUCT((RF!$A$2:$A$17=$A94)*(RFEmp=D$1)*(RF!$H$21:$AO$21="RF Valet"),RF!$H$2:$AO$17)</f>
        <v>0</v>
      </c>
      <c r="E94" s="250">
        <f>SUMPRODUCT((RF!$A$2:$A$17=$A94)*(RFEmp=E$1)*(RF!$H$21:$AO$21="RF Valet"),RF!$H$2:$AO$17)</f>
        <v>0</v>
      </c>
      <c r="F94" s="250">
        <f>SUMPRODUCT((RF!$A$2:$A$17=$A94)*(RFEmp=F$1)*(RF!$H$21:$AO$21="RF Valet"),RF!$H$2:$AO$17)</f>
        <v>0</v>
      </c>
      <c r="G94" s="250">
        <f>SUMPRODUCT((RF!$A$2:$A$17=$A94)*(RFEmp=G$1)*(RF!$H$21:$AO$21="RF Valet"),RF!$H$2:$AO$17)</f>
        <v>0</v>
      </c>
      <c r="H94" s="250">
        <f>SUMPRODUCT((RF!$A$2:$A$17=$A94)*(RFEmp=H$1)*(RF!$H$21:$AO$21="RF Valet"),RF!$H$2:$AO$17)</f>
        <v>0</v>
      </c>
      <c r="I94" s="250">
        <f>SUMPRODUCT((RF!$A$2:$A$17=$A94)*(RFEmp=I$1)*(RF!$H$21:$AO$21="RF Valet"),RF!$H$2:$AO$17)</f>
        <v>0</v>
      </c>
      <c r="J94" s="250">
        <f>SUMPRODUCT((RF!$A$2:$A$17=$A94)*(RFEmp=J$1)*(RF!$H$21:$AO$21="RF Valet"),RF!$H$2:$AO$17)</f>
        <v>0</v>
      </c>
      <c r="K94" s="250">
        <f>SUMPRODUCT((RF!$A$2:$A$17=$A94)*(RFEmp=K$1)*(RF!$H$21:$AO$21="RF Valet"),RF!$H$2:$AO$17)</f>
        <v>0</v>
      </c>
      <c r="L94" s="250">
        <f>SUMPRODUCT((RF!$A$2:$A$17=$A94)*(RFEmp=L$1)*(RF!$H$21:$AO$21="RF Valet"),RF!$H$2:$AO$17)</f>
        <v>0</v>
      </c>
      <c r="M94" s="250">
        <f>SUMPRODUCT((RF!$A$2:$A$17=$A94)*(RFEmp=M$1)*(RF!$H$21:$AO$21="RF Valet"),RF!$H$2:$AO$17)</f>
        <v>0</v>
      </c>
      <c r="N94" s="250">
        <f>SUMPRODUCT((RF!$A$2:$A$17=$A94)*(RFEmp=N$1)*(RF!$H$21:$AO$21="RF Valet"),RF!$H$2:$AO$17)</f>
        <v>0</v>
      </c>
      <c r="O94" s="250">
        <f>SUMPRODUCT((RF!$A$2:$A$17=$A94)*(RFEmp=O$1)*(RF!$H$21:$AO$21="RF Valet"),RF!$H$2:$AO$17)</f>
        <v>0</v>
      </c>
      <c r="P94" s="250">
        <f>SUMPRODUCT((RF!$A$2:$A$17=$A94)*(RFEmp=P$1)*(RF!$H$21:$AO$21="RF Valet"),RF!$H$2:$AO$17)</f>
        <v>0</v>
      </c>
      <c r="Q94" s="250">
        <f>SUMPRODUCT((RF!$A$2:$A$17=$A94)*(RFEmp=Q$1)*(RF!$H$21:$AO$21="RF Valet"),RF!$H$2:$AO$17)</f>
        <v>0</v>
      </c>
      <c r="R94" s="250">
        <f>SUMPRODUCT((RF!$A$2:$A$17=$A94)*(RFEmp=R$1)*(RF!$H$21:$AO$21="RF Valet"),RF!$H$2:$AO$17)</f>
        <v>0</v>
      </c>
      <c r="S94" s="250">
        <f>SUMPRODUCT((RF!$A$2:$A$17=$A94)*(RFEmp=S$1)*(RF!$H$21:$AO$21="RF Valet"),RF!$H$2:$AO$17)</f>
        <v>0</v>
      </c>
      <c r="T94" s="250">
        <f>SUMPRODUCT((RF!$A$2:$A$17=$A94)*(RFEmp=T$1)*(RF!$H$21:$AO$21="RF Valet"),RF!$H$2:$AO$17)</f>
        <v>0</v>
      </c>
      <c r="U94" s="250">
        <f>SUMPRODUCT((RF!$A$2:$A$17=$A94)*(RFEmp=U$1)*(RF!$H$21:$AO$21="RF Valet"),RF!$H$2:$AO$17)</f>
        <v>0</v>
      </c>
      <c r="V94" s="250">
        <f>SUMPRODUCT((RF!$A$2:$A$17=$A94)*(RFEmp=V$1)*(RF!$H$21:$AO$21="RF Valet"),RF!$H$2:$AO$17)</f>
        <v>0</v>
      </c>
      <c r="W94" s="250">
        <f>SUMPRODUCT((RF!$A$2:$A$17=$A94)*(RFEmp=W$1)*(RF!$H$21:$AO$21="RF Valet"),RF!$H$2:$AO$17)</f>
        <v>0</v>
      </c>
      <c r="X94" s="250">
        <f>SUMPRODUCT((RF!$A$2:$A$17=$A94)*(RFEmp=X$1)*(RF!$H$21:$AO$21="RF Valet"),RF!$H$2:$AO$17)</f>
        <v>0</v>
      </c>
      <c r="Y94" s="250">
        <f>SUMPRODUCT((RF!$A$2:$A$17=$A94)*(RFEmp=Y$1)*(RF!$H$21:$AO$21="RF Valet"),RF!$H$2:$AO$17)</f>
        <v>0</v>
      </c>
      <c r="Z94" s="250">
        <f>SUMPRODUCT((RF!$A$2:$A$17=$A94)*(RFEmp=Z$1)*(RF!$H$21:$AO$21="RF Valet"),RF!$H$2:$AO$17)</f>
        <v>0</v>
      </c>
      <c r="AA94" s="250">
        <f>SUMPRODUCT((RF!$A$2:$A$17=$A94)*(RFEmp=AA$1)*(RF!$H$21:$AO$21="RF Valet"),RF!$H$2:$AO$17)</f>
        <v>0</v>
      </c>
      <c r="AB94" s="250">
        <f>SUMPRODUCT((RF!$A$2:$A$17=$A94)*(RFEmp=AB$1)*(RF!$H$21:$AO$21="RF Valet"),RF!$H$2:$AO$17)</f>
        <v>0</v>
      </c>
      <c r="AC94" s="250">
        <f>SUMPRODUCT((RF!$A$2:$A$17=$A94)*(RFEmp=AC$1)*(RF!$H$21:$AO$21="RF Valet"),RF!$H$2:$AO$17)</f>
        <v>0</v>
      </c>
      <c r="AD94" s="250">
        <f>SUMPRODUCT((RF!$A$2:$A$17=$A94)*(RFEmp=AD$1)*(RF!$H$21:$AO$21="RF Valet"),RF!$H$2:$AO$17)</f>
        <v>0</v>
      </c>
      <c r="AE94" s="250">
        <f>SUMPRODUCT((RF!$A$2:$A$17=$A94)*(RFEmp=AE$1)*(RF!$H$21:$AO$21="RF Valet"),RF!$H$2:$AO$17)</f>
        <v>0</v>
      </c>
      <c r="AF94" s="250">
        <f>SUMPRODUCT((RF!$A$2:$A$17=$A94)*(RFEmp=AF$1)*(RF!$H$21:$AO$21="RF Valet"),RF!$H$2:$AO$17)</f>
        <v>0</v>
      </c>
      <c r="AG94" s="250">
        <f>SUMPRODUCT((RF!$A$2:$A$17=$A94)*(RFEmp=AG$1)*(RF!$H$21:$AO$21="RF Valet"),RF!$H$2:$AO$17)</f>
        <v>0</v>
      </c>
      <c r="AH94" s="250">
        <f>SUMPRODUCT((RF!$A$2:$A$17=$A94)*(RFEmp=AH$1)*(RF!$H$21:$AO$21="RF Valet"),RF!$H$2:$AO$17)</f>
        <v>0</v>
      </c>
      <c r="AI94" s="250">
        <f>SUMPRODUCT((RF!$A$2:$A$17=$A94)*(RFEmp=AI$1)*(RF!$H$21:$AO$21="RF Valet"),RF!$H$2:$AO$17)</f>
        <v>0</v>
      </c>
      <c r="AJ94" s="250">
        <f>SUMPRODUCT((RF!$A$2:$A$17=$A94)*(RFEmp=AJ$1)*(RF!$H$21:$AO$21="RF Valet"),RF!$H$2:$AO$17)</f>
        <v>0</v>
      </c>
      <c r="AK94" s="250">
        <f>SUMPRODUCT((RF!$A$2:$A$17=$A94)*(RFEmp=AK$1)*(RF!$H$21:$AO$21="RF Valet"),RF!$H$2:$AO$17)</f>
        <v>0</v>
      </c>
      <c r="AL94" s="250">
        <f>SUMPRODUCT((RF!$A$2:$A$17=$A94)*(RFEmp=AL$1)*(RF!$H$21:$AO$21="RF Valet"),RF!$H$2:$AO$17)</f>
        <v>0</v>
      </c>
      <c r="AM94" s="250">
        <f>SUMPRODUCT((RF!$A$2:$A$17=$A94)*(RFEmp=AM$1)*(RF!$H$21:$AO$21="RF Valet"),RF!$H$2:$AO$17)</f>
        <v>0</v>
      </c>
      <c r="AN94" s="250">
        <f>SUMPRODUCT((RF!$A$2:$A$17=$A94)*(RFEmp=AN$1)*(RF!$H$21:$AO$21="RF Valet"),RF!$H$2:$AO$17)</f>
        <v>0</v>
      </c>
      <c r="AO94" s="250">
        <f>SUMPRODUCT((RF!$A$2:$A$17=$A94)*(RFEmp=AO$1)*(RF!$H$21:$AO$21="RF Valet"),RF!$H$2:$AO$17)</f>
        <v>0</v>
      </c>
      <c r="AP94" s="250">
        <f>SUMPRODUCT((RF!$A$2:$A$17=$A94)*(RFEmp=AP$1)*(RF!$H$21:$AO$21="RF Valet"),RF!$H$2:$AO$17)</f>
        <v>0</v>
      </c>
      <c r="AQ94" s="250">
        <f>SUMPRODUCT((RF!$A$2:$A$17=$A94)*(RFEmp=AQ$1)*(RF!$H$21:$AO$21="RF Valet"),RF!$H$2:$AO$17)</f>
        <v>0</v>
      </c>
      <c r="AR94" s="496">
        <f>SUMPRODUCT((RF!$A$2:$A$17=$A94)*(RFEmp=AR$1)*(RF!$H$21:$AO$21="RF Valet"),RF!$H$2:$AO$17)</f>
        <v>0</v>
      </c>
      <c r="AT94" s="246"/>
    </row>
    <row r="95" spans="1:46" s="271" customFormat="1" x14ac:dyDescent="0.2">
      <c r="A95" s="247">
        <f>A94</f>
        <v>42469</v>
      </c>
      <c r="B95" s="255" t="s">
        <v>74</v>
      </c>
      <c r="C95" s="249">
        <f>SUMPRODUCT((TM!$A$2:$A$17=$A95)*(TMEmp=C$1),TM!$D$2:$AK$17)</f>
        <v>0</v>
      </c>
      <c r="D95" s="250">
        <f>SUMPRODUCT((TM!$A$2:$A$17=$A95)*(TMEmp=D$1),TM!$D$2:$AK$17)</f>
        <v>0</v>
      </c>
      <c r="E95" s="250">
        <f>SUMPRODUCT((TM!$A$2:$A$17=$A95)*(TMEmp=E$1),TM!$D$2:$AK$17)</f>
        <v>0</v>
      </c>
      <c r="F95" s="250">
        <f>SUMPRODUCT((TM!$A$2:$A$17=$A95)*(TMEmp=F$1),TM!$D$2:$AK$17)</f>
        <v>0</v>
      </c>
      <c r="G95" s="250">
        <f>SUMPRODUCT((TM!$A$2:$A$17=$A95)*(TMEmp=G$1),TM!$D$2:$AK$17)</f>
        <v>0</v>
      </c>
      <c r="H95" s="250">
        <f>SUMPRODUCT((TM!$A$2:$A$17=$A95)*(TMEmp=H$1),TM!$D$2:$AK$17)</f>
        <v>0</v>
      </c>
      <c r="I95" s="250">
        <f>SUMPRODUCT((TM!$A$2:$A$17=$A95)*(TMEmp=I$1),TM!$D$2:$AK$17)</f>
        <v>0</v>
      </c>
      <c r="J95" s="250">
        <f>SUMPRODUCT((TM!$A$2:$A$17=$A95)*(TMEmp=J$1),TM!$D$2:$AK$17)</f>
        <v>0</v>
      </c>
      <c r="K95" s="250">
        <f>SUMPRODUCT((TM!$A$2:$A$17=$A95)*(TMEmp=K$1),TM!$D$2:$AK$17)</f>
        <v>0</v>
      </c>
      <c r="L95" s="250">
        <f>SUMPRODUCT((TM!$A$2:$A$17=$A95)*(TMEmp=L$1),TM!$D$2:$AK$17)</f>
        <v>0</v>
      </c>
      <c r="M95" s="250">
        <f>SUMPRODUCT((TM!$A$2:$A$17=$A95)*(TMEmp=M$1),TM!$D$2:$AK$17)</f>
        <v>0</v>
      </c>
      <c r="N95" s="250">
        <f>SUMPRODUCT((TM!$A$2:$A$17=$A95)*(TMEmp=N$1),TM!$D$2:$AK$17)</f>
        <v>0</v>
      </c>
      <c r="O95" s="250">
        <f>SUMPRODUCT((TM!$A$2:$A$17=$A95)*(TMEmp=O$1),TM!$D$2:$AK$17)</f>
        <v>0</v>
      </c>
      <c r="P95" s="250">
        <f>SUMPRODUCT((TM!$A$2:$A$17=$A95)*(TMEmp=P$1),TM!$D$2:$AK$17)</f>
        <v>0</v>
      </c>
      <c r="Q95" s="250">
        <f>SUMPRODUCT((TM!$A$2:$A$17=$A95)*(TMEmp=Q$1),TM!$D$2:$AK$17)</f>
        <v>0</v>
      </c>
      <c r="R95" s="250">
        <f>SUMPRODUCT((TM!$A$2:$A$17=$A95)*(TMEmp=R$1),TM!$D$2:$AK$17)</f>
        <v>0</v>
      </c>
      <c r="S95" s="250">
        <f>SUMPRODUCT((TM!$A$2:$A$17=$A95)*(TMEmp=S$1),TM!$D$2:$AK$17)</f>
        <v>0</v>
      </c>
      <c r="T95" s="250">
        <f>SUMPRODUCT((TM!$A$2:$A$17=$A95)*(TMEmp=T$1),TM!$D$2:$AK$17)</f>
        <v>0</v>
      </c>
      <c r="U95" s="250">
        <f>SUMPRODUCT((TM!$A$2:$A$17=$A95)*(TMEmp=U$1),TM!$D$2:$AK$17)</f>
        <v>0</v>
      </c>
      <c r="V95" s="250">
        <f>SUMPRODUCT((TM!$A$2:$A$17=$A95)*(TMEmp=V$1),TM!$D$2:$AK$17)</f>
        <v>0</v>
      </c>
      <c r="W95" s="250">
        <f>SUMPRODUCT((TM!$A$2:$A$17=$A95)*(TMEmp=W$1),TM!$D$2:$AK$17)</f>
        <v>0</v>
      </c>
      <c r="X95" s="250">
        <f>SUMPRODUCT((TM!$A$2:$A$17=$A95)*(TMEmp=X$1),TM!$D$2:$AK$17)</f>
        <v>0</v>
      </c>
      <c r="Y95" s="250">
        <f>SUMPRODUCT((TM!$A$2:$A$17=$A95)*(TMEmp=Y$1),TM!$D$2:$AK$17)</f>
        <v>0</v>
      </c>
      <c r="Z95" s="250">
        <f>SUMPRODUCT((TM!$A$2:$A$17=$A95)*(TMEmp=Z$1),TM!$D$2:$AK$17)</f>
        <v>0</v>
      </c>
      <c r="AA95" s="250">
        <f>SUMPRODUCT((TM!$A$2:$A$17=$A95)*(TMEmp=AA$1),TM!$D$2:$AK$17)</f>
        <v>0</v>
      </c>
      <c r="AB95" s="250">
        <f>SUMPRODUCT((TM!$A$2:$A$17=$A95)*(TMEmp=AB$1),TM!$D$2:$AK$17)</f>
        <v>0</v>
      </c>
      <c r="AC95" s="250">
        <f>SUMPRODUCT((TM!$A$2:$A$17=$A95)*(TMEmp=AC$1),TM!$D$2:$AK$17)</f>
        <v>0</v>
      </c>
      <c r="AD95" s="250">
        <f>SUMPRODUCT((TM!$A$2:$A$17=$A95)*(TMEmp=AD$1),TM!$D$2:$AK$17)</f>
        <v>0</v>
      </c>
      <c r="AE95" s="250">
        <f>SUMPRODUCT((TM!$A$2:$A$17=$A95)*(TMEmp=AE$1),TM!$D$2:$AK$17)</f>
        <v>0</v>
      </c>
      <c r="AF95" s="250">
        <f>SUMPRODUCT((TM!$A$2:$A$17=$A95)*(TMEmp=AF$1),TM!$D$2:$AK$17)</f>
        <v>0</v>
      </c>
      <c r="AG95" s="250">
        <f>SUMPRODUCT((TM!$A$2:$A$17=$A95)*(TMEmp=AG$1),TM!$D$2:$AK$17)</f>
        <v>0</v>
      </c>
      <c r="AH95" s="250">
        <f>SUMPRODUCT((TM!$A$2:$A$17=$A95)*(TMEmp=AH$1),TM!$D$2:$AK$17)</f>
        <v>0</v>
      </c>
      <c r="AI95" s="250">
        <f>SUMPRODUCT((TM!$A$2:$A$17=$A95)*(TMEmp=AI$1),TM!$D$2:$AK$17)</f>
        <v>0</v>
      </c>
      <c r="AJ95" s="250">
        <f>SUMPRODUCT((TM!$A$2:$A$17=$A95)*(TMEmp=AJ$1),TM!$D$2:$AK$17)</f>
        <v>0</v>
      </c>
      <c r="AK95" s="250">
        <f>SUMPRODUCT((TM!$A$2:$A$17=$A95)*(TMEmp=AK$1),TM!$D$2:$AK$17)</f>
        <v>0</v>
      </c>
      <c r="AL95" s="250">
        <f>SUMPRODUCT((TM!$A$2:$A$17=$A95)*(TMEmp=AL$1),TM!$D$2:$AK$17)</f>
        <v>0</v>
      </c>
      <c r="AM95" s="250">
        <f>SUMPRODUCT((TM!$A$2:$A$17=$A95)*(TMEmp=AM$1),TM!$D$2:$AK$17)</f>
        <v>0</v>
      </c>
      <c r="AN95" s="250">
        <f>SUMPRODUCT((TM!$A$2:$A$17=$A95)*(TMEmp=AN$1),TM!$D$2:$AK$17)</f>
        <v>0</v>
      </c>
      <c r="AO95" s="250">
        <f>SUMPRODUCT((TM!$A$2:$A$17=$A95)*(TMEmp=AO$1),TM!$D$2:$AK$17)</f>
        <v>0</v>
      </c>
      <c r="AP95" s="250">
        <f>SUMPRODUCT((TM!$A$2:$A$17=$A95)*(TMEmp=AP$1),TM!$D$2:$AK$17)</f>
        <v>0</v>
      </c>
      <c r="AQ95" s="250">
        <f>SUMPRODUCT((TM!$A$2:$A$17=$A95)*(TMEmp=AQ$1),TM!$D$2:$AK$17)</f>
        <v>0</v>
      </c>
      <c r="AR95" s="496">
        <f>SUMPRODUCT((TM!$A$2:$A$17=$A95)*(TMEmp=AR$1),TM!$D$2:$AK$17)</f>
        <v>0</v>
      </c>
      <c r="AT95" s="246"/>
    </row>
    <row r="96" spans="1:46" s="271" customFormat="1" x14ac:dyDescent="0.2">
      <c r="A96" s="256">
        <f t="shared" si="56"/>
        <v>42469</v>
      </c>
      <c r="B96" s="257" t="s">
        <v>72</v>
      </c>
      <c r="C96" s="258">
        <f>SUMPRODUCT((PC!$A$2:$A$80=$A96)*(PCEmp=C$1),PC!$D$2:$BD$80)</f>
        <v>0</v>
      </c>
      <c r="D96" s="259">
        <f>SUMPRODUCT((PC!$A$2:$A$80=$A96)*(PCEmp=D$1),PC!$D$2:$BD$80)</f>
        <v>0</v>
      </c>
      <c r="E96" s="259">
        <f>SUMPRODUCT((PC!$A$2:$A$80=$A96)*(PCEmp=E$1),PC!$D$2:$BD$80)</f>
        <v>0</v>
      </c>
      <c r="F96" s="259">
        <f>SUMPRODUCT((PC!$A$2:$A$80=$A96)*(PCEmp=F$1),PC!$D$2:$BD$80)</f>
        <v>0</v>
      </c>
      <c r="G96" s="259">
        <f>SUMPRODUCT((PC!$A$2:$A$80=$A96)*(PCEmp=G$1),PC!$D$2:$BD$80)</f>
        <v>0</v>
      </c>
      <c r="H96" s="259">
        <f>SUMPRODUCT((PC!$A$2:$A$80=$A96)*(PCEmp=H$1),PC!$D$2:$BD$80)</f>
        <v>0</v>
      </c>
      <c r="I96" s="259">
        <f>SUMPRODUCT((PC!$A$2:$A$80=$A96)*(PCEmp=I$1),PC!$D$2:$BD$80)</f>
        <v>0</v>
      </c>
      <c r="J96" s="259">
        <f>SUMPRODUCT((PC!$A$2:$A$80=$A96)*(PCEmp=J$1),PC!$D$2:$BD$80)</f>
        <v>0</v>
      </c>
      <c r="K96" s="259">
        <f>SUMPRODUCT((PC!$A$2:$A$80=$A96)*(PCEmp=K$1),PC!$D$2:$BD$80)</f>
        <v>0</v>
      </c>
      <c r="L96" s="259">
        <f>SUMPRODUCT((PC!$A$2:$A$80=$A96)*(PCEmp=L$1),PC!$D$2:$BD$80)</f>
        <v>0</v>
      </c>
      <c r="M96" s="259">
        <f>SUMPRODUCT((PC!$A$2:$A$80=$A96)*(PCEmp=M$1),PC!$D$2:$BD$80)</f>
        <v>0</v>
      </c>
      <c r="N96" s="259">
        <f>SUMPRODUCT((PC!$A$2:$A$80=$A96)*(PCEmp=N$1),PC!$D$2:$BD$80)</f>
        <v>0</v>
      </c>
      <c r="O96" s="259">
        <f>SUMPRODUCT((PC!$A$2:$A$80=$A96)*(PCEmp=O$1),PC!$D$2:$BD$80)</f>
        <v>0</v>
      </c>
      <c r="P96" s="259">
        <f>SUMPRODUCT((PC!$A$2:$A$80=$A96)*(PCEmp=P$1),PC!$D$2:$BD$80)</f>
        <v>0</v>
      </c>
      <c r="Q96" s="259">
        <f>SUMPRODUCT((PC!$A$2:$A$80=$A96)*(PCEmp=Q$1),PC!$D$2:$BD$80)</f>
        <v>0</v>
      </c>
      <c r="R96" s="259">
        <f>SUMPRODUCT((PC!$A$2:$A$80=$A96)*(PCEmp=R$1),PC!$D$2:$BD$80)</f>
        <v>0</v>
      </c>
      <c r="S96" s="259">
        <f>SUMPRODUCT((PC!$A$2:$A$80=$A96)*(PCEmp=S$1),PC!$D$2:$BD$80)</f>
        <v>0</v>
      </c>
      <c r="T96" s="259">
        <f>SUMPRODUCT((PC!$A$2:$A$80=$A96)*(PCEmp=T$1),PC!$D$2:$BD$80)</f>
        <v>0</v>
      </c>
      <c r="U96" s="259">
        <f>SUMPRODUCT((PC!$A$2:$A$80=$A96)*(PCEmp=U$1),PC!$D$2:$BD$80)</f>
        <v>0</v>
      </c>
      <c r="V96" s="259">
        <f>SUMPRODUCT((PC!$A$2:$A$80=$A96)*(PCEmp=V$1),PC!$D$2:$BD$80)</f>
        <v>0</v>
      </c>
      <c r="W96" s="259">
        <f>SUMPRODUCT((PC!$A$2:$A$80=$A96)*(PCEmp=W$1),PC!$D$2:$BD$80)</f>
        <v>0</v>
      </c>
      <c r="X96" s="259">
        <f>SUMPRODUCT((PC!$A$2:$A$80=$A96)*(PCEmp=X$1),PC!$D$2:$BD$80)</f>
        <v>0</v>
      </c>
      <c r="Y96" s="259">
        <f>SUMPRODUCT((PC!$A$2:$A$80=$A96)*(PCEmp=Y$1),PC!$D$2:$BD$80)</f>
        <v>0</v>
      </c>
      <c r="Z96" s="259">
        <f>SUMPRODUCT((PC!$A$2:$A$80=$A96)*(PCEmp=Z$1),PC!$D$2:$BD$80)</f>
        <v>0</v>
      </c>
      <c r="AA96" s="259">
        <f>SUMPRODUCT((PC!$A$2:$A$80=$A96)*(PCEmp=AA$1),PC!$D$2:$BD$80)</f>
        <v>0</v>
      </c>
      <c r="AB96" s="259">
        <f>SUMPRODUCT((PC!$A$2:$A$80=$A96)*(PCEmp=AB$1),PC!$D$2:$BD$80)</f>
        <v>0</v>
      </c>
      <c r="AC96" s="259">
        <f>SUMPRODUCT((PC!$A$2:$A$80=$A96)*(PCEmp=AC$1),PC!$D$2:$BD$80)</f>
        <v>0</v>
      </c>
      <c r="AD96" s="259">
        <f>SUMPRODUCT((PC!$A$2:$A$80=$A96)*(PCEmp=AD$1),PC!$D$2:$BD$80)</f>
        <v>0</v>
      </c>
      <c r="AE96" s="259">
        <f>SUMPRODUCT((PC!$A$2:$A$80=$A96)*(PCEmp=AE$1),PC!$D$2:$BD$80)</f>
        <v>0</v>
      </c>
      <c r="AF96" s="259">
        <f>SUMPRODUCT((PC!$A$2:$A$80=$A96)*(PCEmp=AF$1),PC!$D$2:$BD$80)</f>
        <v>0</v>
      </c>
      <c r="AG96" s="259">
        <f>SUMPRODUCT((PC!$A$2:$A$80=$A96)*(PCEmp=AG$1),PC!$D$2:$BD$80)</f>
        <v>0</v>
      </c>
      <c r="AH96" s="259">
        <f>SUMPRODUCT((PC!$A$2:$A$80=$A96)*(PCEmp=AH$1),PC!$D$2:$BD$80)</f>
        <v>0</v>
      </c>
      <c r="AI96" s="259">
        <f>SUMPRODUCT((PC!$A$2:$A$80=$A96)*(PCEmp=AI$1),PC!$D$2:$BD$80)</f>
        <v>0</v>
      </c>
      <c r="AJ96" s="259">
        <f>SUMPRODUCT((PC!$A$2:$A$80=$A96)*(PCEmp=AJ$1),PC!$D$2:$BD$80)</f>
        <v>0</v>
      </c>
      <c r="AK96" s="259">
        <f>SUMPRODUCT((PC!$A$2:$A$80=$A96)*(PCEmp=AK$1),PC!$D$2:$BD$80)</f>
        <v>0</v>
      </c>
      <c r="AL96" s="259">
        <f>SUMPRODUCT((PC!$A$2:$A$80=$A96)*(PCEmp=AL$1),PC!$D$2:$BD$80)</f>
        <v>0</v>
      </c>
      <c r="AM96" s="259">
        <f>SUMPRODUCT((PC!$A$2:$A$80=$A96)*(PCEmp=AM$1),PC!$D$2:$BD$80)</f>
        <v>0</v>
      </c>
      <c r="AN96" s="259">
        <f>SUMPRODUCT((PC!$A$2:$A$80=$A96)*(PCEmp=AN$1),PC!$D$2:$BD$80)</f>
        <v>0</v>
      </c>
      <c r="AO96" s="259">
        <f>SUMPRODUCT((PC!$A$2:$A$80=$A96)*(PCEmp=AO$1),PC!$D$2:$BD$80)</f>
        <v>0</v>
      </c>
      <c r="AP96" s="259">
        <f>SUMPRODUCT((PC!$A$2:$A$80=$A96)*(PCEmp=AP$1),PC!$D$2:$BD$80)</f>
        <v>0</v>
      </c>
      <c r="AQ96" s="259">
        <f>SUMPRODUCT((PC!$A$2:$A$80=$A96)*(PCEmp=AQ$1),PC!$D$2:$BD$80)</f>
        <v>0</v>
      </c>
      <c r="AR96" s="497">
        <f>SUMPRODUCT((PC!$A$2:$A$80=$A96)*(PCEmp=AR$1),PC!$D$2:$BD$80)</f>
        <v>0</v>
      </c>
      <c r="AT96" s="246"/>
    </row>
    <row r="97" spans="1:44" s="271" customFormat="1" x14ac:dyDescent="0.2">
      <c r="A97" s="247">
        <f t="shared" si="56"/>
        <v>42469</v>
      </c>
      <c r="B97" s="254" t="s">
        <v>85</v>
      </c>
      <c r="C97" s="249">
        <f>SUMPRODUCT((RF!$A$2:$A$17=$A97)*(RFEmp=C$1)*(RF!$H$21:$AO$21="RF Lead"),RF!$H$2:$AO$17)</f>
        <v>0</v>
      </c>
      <c r="D97" s="250">
        <f>SUMPRODUCT((RF!$A$2:$A$17=$A97)*(RFEmp=D$1)*(RF!$H$21:$AO$21="RF Lead"),RF!$H$2:$AO$17)</f>
        <v>0</v>
      </c>
      <c r="E97" s="250">
        <f>SUMPRODUCT((RF!$A$2:$A$17=$A97)*(RFEmp=E$1)*(RF!$H$21:$AO$21="RF Lead"),RF!$H$2:$AO$17)</f>
        <v>0</v>
      </c>
      <c r="F97" s="250">
        <f>SUMPRODUCT((RF!$A$2:$A$17=$A97)*(RFEmp=F$1)*(RF!$H$21:$AO$21="RF Lead"),RF!$H$2:$AO$17)</f>
        <v>0</v>
      </c>
      <c r="G97" s="250">
        <f>SUMPRODUCT((RF!$A$2:$A$17=$A97)*(RFEmp=G$1)*(RF!$H$21:$AO$21="RF Lead"),RF!$H$2:$AO$17)</f>
        <v>0</v>
      </c>
      <c r="H97" s="250">
        <f>SUMPRODUCT((RF!$A$2:$A$17=$A97)*(RFEmp=H$1)*(RF!$H$21:$AO$21="RF Lead"),RF!$H$2:$AO$17)</f>
        <v>0</v>
      </c>
      <c r="I97" s="250">
        <f>SUMPRODUCT((RF!$A$2:$A$17=$A97)*(RFEmp=I$1)*(RF!$H$21:$AO$21="RF Lead"),RF!$H$2:$AO$17)</f>
        <v>0</v>
      </c>
      <c r="J97" s="250">
        <f>SUMPRODUCT((RF!$A$2:$A$17=$A97)*(RFEmp=J$1)*(RF!$H$21:$AO$21="RF Lead"),RF!$H$2:$AO$17)</f>
        <v>0</v>
      </c>
      <c r="K97" s="250">
        <f>SUMPRODUCT((RF!$A$2:$A$17=$A97)*(RFEmp=K$1)*(RF!$H$21:$AO$21="RF Lead"),RF!$H$2:$AO$17)</f>
        <v>0</v>
      </c>
      <c r="L97" s="250">
        <f>SUMPRODUCT((RF!$A$2:$A$17=$A97)*(RFEmp=L$1)*(RF!$H$21:$AO$21="RF Lead"),RF!$H$2:$AO$17)</f>
        <v>0</v>
      </c>
      <c r="M97" s="250">
        <f>SUMPRODUCT((RF!$A$2:$A$17=$A97)*(RFEmp=M$1)*(RF!$H$21:$AO$21="RF Lead"),RF!$H$2:$AO$17)</f>
        <v>0</v>
      </c>
      <c r="N97" s="250">
        <f>SUMPRODUCT((RF!$A$2:$A$17=$A97)*(RFEmp=N$1)*(RF!$H$21:$AO$21="RF Lead"),RF!$H$2:$AO$17)</f>
        <v>0</v>
      </c>
      <c r="O97" s="250">
        <f>SUMPRODUCT((RF!$A$2:$A$17=$A97)*(RFEmp=O$1)*(RF!$H$21:$AO$21="RF Lead"),RF!$H$2:$AO$17)</f>
        <v>0</v>
      </c>
      <c r="P97" s="250">
        <f>SUMPRODUCT((RF!$A$2:$A$17=$A97)*(RFEmp=P$1)*(RF!$H$21:$AO$21="RF Lead"),RF!$H$2:$AO$17)</f>
        <v>0</v>
      </c>
      <c r="Q97" s="250">
        <f>SUMPRODUCT((RF!$A$2:$A$17=$A97)*(RFEmp=Q$1)*(RF!$H$21:$AO$21="RF Lead"),RF!$H$2:$AO$17)</f>
        <v>0</v>
      </c>
      <c r="R97" s="250">
        <f>SUMPRODUCT((RF!$A$2:$A$17=$A97)*(RFEmp=R$1)*(RF!$H$21:$AO$21="RF Lead"),RF!$H$2:$AO$17)</f>
        <v>0</v>
      </c>
      <c r="S97" s="250">
        <f>SUMPRODUCT((RF!$A$2:$A$17=$A97)*(RFEmp=S$1)*(RF!$H$21:$AO$21="RF Lead"),RF!$H$2:$AO$17)</f>
        <v>0</v>
      </c>
      <c r="T97" s="250">
        <f>SUMPRODUCT((RF!$A$2:$A$17=$A97)*(RFEmp=T$1)*(RF!$H$21:$AO$21="RF Lead"),RF!$H$2:$AO$17)</f>
        <v>0</v>
      </c>
      <c r="U97" s="250">
        <f>SUMPRODUCT((RF!$A$2:$A$17=$A97)*(RFEmp=U$1)*(RF!$H$21:$AO$21="RF Lead"),RF!$H$2:$AO$17)</f>
        <v>0</v>
      </c>
      <c r="V97" s="250">
        <f>SUMPRODUCT((RF!$A$2:$A$17=$A97)*(RFEmp=V$1)*(RF!$H$21:$AO$21="RF Lead"),RF!$H$2:$AO$17)</f>
        <v>0</v>
      </c>
      <c r="W97" s="250">
        <f>SUMPRODUCT((RF!$A$2:$A$17=$A97)*(RFEmp=W$1)*(RF!$H$21:$AO$21="RF Lead"),RF!$H$2:$AO$17)</f>
        <v>0</v>
      </c>
      <c r="X97" s="250">
        <f>SUMPRODUCT((RF!$A$2:$A$17=$A97)*(RFEmp=X$1)*(RF!$H$21:$AO$21="RF Lead"),RF!$H$2:$AO$17)</f>
        <v>0</v>
      </c>
      <c r="Y97" s="250">
        <f>SUMPRODUCT((RF!$A$2:$A$17=$A97)*(RFEmp=Y$1)*(RF!$H$21:$AO$21="RF Lead"),RF!$H$2:$AO$17)</f>
        <v>0</v>
      </c>
      <c r="Z97" s="250">
        <f>SUMPRODUCT((RF!$A$2:$A$17=$A97)*(RFEmp=Z$1)*(RF!$H$21:$AO$21="RF Lead"),RF!$H$2:$AO$17)</f>
        <v>0</v>
      </c>
      <c r="AA97" s="250">
        <f>SUMPRODUCT((RF!$A$2:$A$17=$A97)*(RFEmp=AA$1)*(RF!$H$21:$AO$21="RF Lead"),RF!$H$2:$AO$17)</f>
        <v>0</v>
      </c>
      <c r="AB97" s="250">
        <f>SUMPRODUCT((RF!$A$2:$A$17=$A97)*(RFEmp=AB$1)*(RF!$H$21:$AO$21="RF Lead"),RF!$H$2:$AO$17)</f>
        <v>0</v>
      </c>
      <c r="AC97" s="250">
        <f>SUMPRODUCT((RF!$A$2:$A$17=$A97)*(RFEmp=AC$1)*(RF!$H$21:$AO$21="RF Lead"),RF!$H$2:$AO$17)</f>
        <v>0</v>
      </c>
      <c r="AD97" s="250">
        <f>SUMPRODUCT((RF!$A$2:$A$17=$A97)*(RFEmp=AD$1)*(RF!$H$21:$AO$21="RF Lead"),RF!$H$2:$AO$17)</f>
        <v>0</v>
      </c>
      <c r="AE97" s="250">
        <f>SUMPRODUCT((RF!$A$2:$A$17=$A97)*(RFEmp=AE$1)*(RF!$H$21:$AO$21="RF Lead"),RF!$H$2:$AO$17)</f>
        <v>0</v>
      </c>
      <c r="AF97" s="250">
        <f>SUMPRODUCT((RF!$A$2:$A$17=$A97)*(RFEmp=AF$1)*(RF!$H$21:$AO$21="RF Lead"),RF!$H$2:$AO$17)</f>
        <v>0</v>
      </c>
      <c r="AG97" s="250">
        <f>SUMPRODUCT((RF!$A$2:$A$17=$A97)*(RFEmp=AG$1)*(RF!$H$21:$AO$21="RF Lead"),RF!$H$2:$AO$17)</f>
        <v>0</v>
      </c>
      <c r="AH97" s="250">
        <f>SUMPRODUCT((RF!$A$2:$A$17=$A97)*(RFEmp=AH$1)*(RF!$H$21:$AO$21="RF Lead"),RF!$H$2:$AO$17)</f>
        <v>0</v>
      </c>
      <c r="AI97" s="250">
        <f>SUMPRODUCT((RF!$A$2:$A$17=$A97)*(RFEmp=AI$1)*(RF!$H$21:$AO$21="RF Lead"),RF!$H$2:$AO$17)</f>
        <v>0</v>
      </c>
      <c r="AJ97" s="250">
        <f>SUMPRODUCT((RF!$A$2:$A$17=$A97)*(RFEmp=AJ$1)*(RF!$H$21:$AO$21="RF Lead"),RF!$H$2:$AO$17)</f>
        <v>0</v>
      </c>
      <c r="AK97" s="250">
        <f>SUMPRODUCT((RF!$A$2:$A$17=$A97)*(RFEmp=AK$1)*(RF!$H$21:$AO$21="RF Lead"),RF!$H$2:$AO$17)</f>
        <v>0</v>
      </c>
      <c r="AL97" s="250">
        <f>SUMPRODUCT((RF!$A$2:$A$17=$A97)*(RFEmp=AL$1)*(RF!$H$21:$AO$21="RF Lead"),RF!$H$2:$AO$17)</f>
        <v>0</v>
      </c>
      <c r="AM97" s="250">
        <f>SUMPRODUCT((RF!$A$2:$A$17=$A97)*(RFEmp=AM$1)*(RF!$H$21:$AO$21="RF Lead"),RF!$H$2:$AO$17)</f>
        <v>0</v>
      </c>
      <c r="AN97" s="250">
        <f>SUMPRODUCT((RF!$A$2:$A$17=$A97)*(RFEmp=AN$1)*(RF!$H$21:$AO$21="RF Lead"),RF!$H$2:$AO$17)</f>
        <v>0</v>
      </c>
      <c r="AO97" s="250">
        <f>SUMPRODUCT((RF!$A$2:$A$17=$A97)*(RFEmp=AO$1)*(RF!$H$21:$AO$21="RF Lead"),RF!$H$2:$AO$17)</f>
        <v>0</v>
      </c>
      <c r="AP97" s="250">
        <f>SUMPRODUCT((RF!$A$2:$A$17=$A97)*(RFEmp=AP$1)*(RF!$H$21:$AO$21="RF Lead"),RF!$H$2:$AO$17)</f>
        <v>0</v>
      </c>
      <c r="AQ97" s="250">
        <f>SUMPRODUCT((RF!$A$2:$A$17=$A97)*(RFEmp=AQ$1)*(RF!$H$21:$AO$21="RF Lead"),RF!$H$2:$AO$17)</f>
        <v>0</v>
      </c>
      <c r="AR97" s="496">
        <f>SUMPRODUCT((RF!$A$2:$A$17=$A97)*(RFEmp=AR$1)*(RF!$H$21:$AO$21="RF Lead"),RF!$H$2:$AO$17)</f>
        <v>0</v>
      </c>
    </row>
    <row r="98" spans="1:44" s="271" customFormat="1" x14ac:dyDescent="0.2">
      <c r="A98" s="260">
        <f t="shared" si="56"/>
        <v>42469</v>
      </c>
      <c r="B98" s="261" t="str">
        <f>Total!$M$1</f>
        <v>SC</v>
      </c>
      <c r="C98" s="249">
        <f>SUMPRODUCT((SC!$A$2:$A$34=$A98)*(SCEmp=C$1),SC!$F$2:$Z$34)</f>
        <v>0</v>
      </c>
      <c r="D98" s="250">
        <f>SUMPRODUCT((SC!$A$2:$A$34=$A98)*(SCEmp=D$1),SC!$F$2:$Z$34)</f>
        <v>0</v>
      </c>
      <c r="E98" s="250">
        <f>SUMPRODUCT((SC!$A$2:$A$34=$A98)*(SCEmp=E$1),SC!$F$2:$Z$34)</f>
        <v>0</v>
      </c>
      <c r="F98" s="250">
        <f>SUMPRODUCT((SC!$A$2:$A$34=$A98)*(SCEmp=F$1),SC!$F$2:$Z$34)</f>
        <v>0</v>
      </c>
      <c r="G98" s="250">
        <f>SUMPRODUCT((SC!$A$2:$A$34=$A98)*(SCEmp=G$1),SC!$F$2:$Z$34)</f>
        <v>0</v>
      </c>
      <c r="H98" s="250">
        <f>SUMPRODUCT((SC!$A$2:$A$34=$A98)*(SCEmp=H$1),SC!$F$2:$Z$34)</f>
        <v>0</v>
      </c>
      <c r="I98" s="250">
        <f>SUMPRODUCT((SC!$A$2:$A$34=$A98)*(SCEmp=I$1),SC!$F$2:$Z$34)</f>
        <v>0</v>
      </c>
      <c r="J98" s="250">
        <f>SUMPRODUCT((SC!$A$2:$A$34=$A98)*(SCEmp=J$1),SC!$F$2:$Z$34)</f>
        <v>0</v>
      </c>
      <c r="K98" s="250">
        <f>SUMPRODUCT((SC!$A$2:$A$34=$A98)*(SCEmp=K$1),SC!$F$2:$Z$34)</f>
        <v>0</v>
      </c>
      <c r="L98" s="250">
        <f>SUMPRODUCT((SC!$A$2:$A$34=$A98)*(SCEmp=L$1),SC!$F$2:$Z$34)</f>
        <v>0</v>
      </c>
      <c r="M98" s="250">
        <f>SUMPRODUCT((SC!$A$2:$A$34=$A98)*(SCEmp=M$1),SC!$F$2:$Z$34)</f>
        <v>0</v>
      </c>
      <c r="N98" s="250">
        <f>SUMPRODUCT((SC!$A$2:$A$34=$A98)*(SCEmp=N$1),SC!$F$2:$Z$34)</f>
        <v>0</v>
      </c>
      <c r="O98" s="250">
        <f>SUMPRODUCT((SC!$A$2:$A$34=$A98)*(SCEmp=O$1),SC!$F$2:$Z$34)</f>
        <v>0</v>
      </c>
      <c r="P98" s="250">
        <f>SUMPRODUCT((SC!$A$2:$A$34=$A98)*(SCEmp=P$1),SC!$F$2:$Z$34)</f>
        <v>0</v>
      </c>
      <c r="Q98" s="250">
        <f>SUMPRODUCT((SC!$A$2:$A$34=$A98)*(SCEmp=Q$1),SC!$F$2:$Z$34)</f>
        <v>0</v>
      </c>
      <c r="R98" s="250">
        <f>SUMPRODUCT((SC!$A$2:$A$34=$A98)*(SCEmp=R$1),SC!$F$2:$Z$34)</f>
        <v>0</v>
      </c>
      <c r="S98" s="250">
        <f>SUMPRODUCT((SC!$A$2:$A$34=$A98)*(SCEmp=S$1),SC!$F$2:$Z$34)</f>
        <v>0</v>
      </c>
      <c r="T98" s="250">
        <f>SUMPRODUCT((SC!$A$2:$A$34=$A98)*(SCEmp=T$1),SC!$F$2:$Z$34)</f>
        <v>0</v>
      </c>
      <c r="U98" s="250">
        <f>SUMPRODUCT((SC!$A$2:$A$34=$A98)*(SCEmp=U$1),SC!$F$2:$Z$34)</f>
        <v>0</v>
      </c>
      <c r="V98" s="250">
        <f>SUMPRODUCT((SC!$A$2:$A$34=$A98)*(SCEmp=V$1),SC!$F$2:$Z$34)</f>
        <v>0</v>
      </c>
      <c r="W98" s="250">
        <f>SUMPRODUCT((SC!$A$2:$A$34=$A98)*(SCEmp=W$1),SC!$F$2:$Z$34)</f>
        <v>0</v>
      </c>
      <c r="X98" s="250">
        <f>SUMPRODUCT((SC!$A$2:$A$34=$A98)*(SCEmp=X$1),SC!$F$2:$Z$34)</f>
        <v>0</v>
      </c>
      <c r="Y98" s="250">
        <f>SUMPRODUCT((SC!$A$2:$A$34=$A98)*(SCEmp=Y$1),SC!$F$2:$Z$34)</f>
        <v>0</v>
      </c>
      <c r="Z98" s="250">
        <f>SUMPRODUCT((SC!$A$2:$A$34=$A98)*(SCEmp=Z$1),SC!$F$2:$Z$34)</f>
        <v>0</v>
      </c>
      <c r="AA98" s="250">
        <f>SUMPRODUCT((SC!$A$2:$A$34=$A98)*(SCEmp=AA$1),SC!$F$2:$Z$34)</f>
        <v>0</v>
      </c>
      <c r="AB98" s="250">
        <f>SUMPRODUCT((SC!$A$2:$A$34=$A98)*(SCEmp=AB$1),SC!$F$2:$Z$34)</f>
        <v>0</v>
      </c>
      <c r="AC98" s="250">
        <f>SUMPRODUCT((SC!$A$2:$A$34=$A98)*(SCEmp=AC$1),SC!$F$2:$Z$34)</f>
        <v>0</v>
      </c>
      <c r="AD98" s="250">
        <f>SUMPRODUCT((SC!$A$2:$A$34=$A98)*(SCEmp=AD$1),SC!$F$2:$Z$34)</f>
        <v>0</v>
      </c>
      <c r="AE98" s="250">
        <f>SUMPRODUCT((SC!$A$2:$A$34=$A98)*(SCEmp=AE$1),SC!$F$2:$Z$34)</f>
        <v>0</v>
      </c>
      <c r="AF98" s="250">
        <f>SUMPRODUCT((SC!$A$2:$A$34=$A98)*(SCEmp=AF$1),SC!$F$2:$Z$34)</f>
        <v>0</v>
      </c>
      <c r="AG98" s="250">
        <f>SUMPRODUCT((SC!$A$2:$A$34=$A98)*(SCEmp=AG$1),SC!$F$2:$Z$34)</f>
        <v>0</v>
      </c>
      <c r="AH98" s="250">
        <f>SUMPRODUCT((SC!$A$2:$A$34=$A98)*(SCEmp=AH$1),SC!$F$2:$Z$34)</f>
        <v>0</v>
      </c>
      <c r="AI98" s="250">
        <f>SUMPRODUCT((SC!$A$2:$A$34=$A98)*(SCEmp=AI$1),SC!$F$2:$Z$34)</f>
        <v>0</v>
      </c>
      <c r="AJ98" s="250">
        <f>SUMPRODUCT((SC!$A$2:$A$34=$A98)*(SCEmp=AJ$1),SC!$F$2:$Z$34)</f>
        <v>0</v>
      </c>
      <c r="AK98" s="250">
        <f>SUMPRODUCT((SC!$A$2:$A$34=$A98)*(SCEmp=AK$1),SC!$F$2:$Z$34)</f>
        <v>0</v>
      </c>
      <c r="AL98" s="250">
        <f>SUMPRODUCT((SC!$A$2:$A$34=$A98)*(SCEmp=AL$1),SC!$F$2:$Z$34)</f>
        <v>0</v>
      </c>
      <c r="AM98" s="250">
        <f>SUMPRODUCT((SC!$A$2:$A$34=$A98)*(SCEmp=AM$1),SC!$F$2:$Z$34)</f>
        <v>0</v>
      </c>
      <c r="AN98" s="250">
        <f>SUMPRODUCT((SC!$A$2:$A$34=$A98)*(SCEmp=AN$1),SC!$F$2:$Z$34)</f>
        <v>0</v>
      </c>
      <c r="AO98" s="250">
        <f>SUMPRODUCT((SC!$A$2:$A$34=$A98)*(SCEmp=AO$1),SC!$F$2:$Z$34)</f>
        <v>0</v>
      </c>
      <c r="AP98" s="250">
        <f>SUMPRODUCT((SC!$A$2:$A$34=$A98)*(SCEmp=AP$1),SC!$F$2:$Z$34)</f>
        <v>0</v>
      </c>
      <c r="AQ98" s="250">
        <f>SUMPRODUCT((SC!$A$2:$A$34=$A98)*(SCEmp=AQ$1),SC!$F$2:$Z$34)</f>
        <v>0</v>
      </c>
      <c r="AR98" s="496">
        <f>SUMPRODUCT((SC!$A$2:$A$34=$A98)*(SCEmp=AR$1),SC!$F$2:$Z$34)</f>
        <v>0</v>
      </c>
    </row>
    <row r="99" spans="1:44" s="271" customFormat="1" x14ac:dyDescent="0.2">
      <c r="A99" s="262">
        <f t="shared" si="56"/>
        <v>42469</v>
      </c>
      <c r="B99" s="263" t="s">
        <v>87</v>
      </c>
      <c r="C99" s="264">
        <f t="shared" ref="C99:AR99" si="57">IF(SUM(C90:C98)&gt;8,SUM(C90:C98)-8,0)+IF(SUM(C90:C98)&gt;12,SUM(C90:C98)-12,0)</f>
        <v>0</v>
      </c>
      <c r="D99" s="265">
        <f t="shared" si="57"/>
        <v>0</v>
      </c>
      <c r="E99" s="265">
        <f t="shared" si="57"/>
        <v>0</v>
      </c>
      <c r="F99" s="265">
        <f t="shared" si="57"/>
        <v>0</v>
      </c>
      <c r="G99" s="265">
        <f t="shared" si="57"/>
        <v>0</v>
      </c>
      <c r="H99" s="265">
        <f t="shared" si="57"/>
        <v>0</v>
      </c>
      <c r="I99" s="265">
        <f t="shared" si="57"/>
        <v>0</v>
      </c>
      <c r="J99" s="265">
        <f t="shared" si="57"/>
        <v>0</v>
      </c>
      <c r="K99" s="265">
        <f t="shared" si="57"/>
        <v>0</v>
      </c>
      <c r="L99" s="265">
        <f t="shared" si="57"/>
        <v>0</v>
      </c>
      <c r="M99" s="265">
        <f t="shared" si="57"/>
        <v>0</v>
      </c>
      <c r="N99" s="265">
        <f t="shared" si="57"/>
        <v>0</v>
      </c>
      <c r="O99" s="265">
        <f t="shared" si="57"/>
        <v>0</v>
      </c>
      <c r="P99" s="265">
        <f t="shared" si="57"/>
        <v>0</v>
      </c>
      <c r="Q99" s="265">
        <f t="shared" si="57"/>
        <v>0</v>
      </c>
      <c r="R99" s="265">
        <f t="shared" si="57"/>
        <v>0</v>
      </c>
      <c r="S99" s="265">
        <f t="shared" si="57"/>
        <v>0</v>
      </c>
      <c r="T99" s="265">
        <f t="shared" si="57"/>
        <v>0</v>
      </c>
      <c r="U99" s="265">
        <f t="shared" si="57"/>
        <v>0</v>
      </c>
      <c r="V99" s="265">
        <f t="shared" si="57"/>
        <v>0</v>
      </c>
      <c r="W99" s="265">
        <f t="shared" si="57"/>
        <v>0</v>
      </c>
      <c r="X99" s="265">
        <f t="shared" si="57"/>
        <v>0</v>
      </c>
      <c r="Y99" s="265">
        <f t="shared" si="57"/>
        <v>0</v>
      </c>
      <c r="Z99" s="265">
        <f t="shared" si="57"/>
        <v>0</v>
      </c>
      <c r="AA99" s="265">
        <f t="shared" si="57"/>
        <v>0</v>
      </c>
      <c r="AB99" s="265">
        <f t="shared" si="57"/>
        <v>0</v>
      </c>
      <c r="AC99" s="265">
        <f t="shared" si="57"/>
        <v>0</v>
      </c>
      <c r="AD99" s="265">
        <f t="shared" si="57"/>
        <v>0</v>
      </c>
      <c r="AE99" s="265">
        <f t="shared" si="57"/>
        <v>0</v>
      </c>
      <c r="AF99" s="265">
        <f t="shared" si="57"/>
        <v>0</v>
      </c>
      <c r="AG99" s="265">
        <f t="shared" si="57"/>
        <v>0</v>
      </c>
      <c r="AH99" s="265">
        <f t="shared" si="57"/>
        <v>0</v>
      </c>
      <c r="AI99" s="265">
        <f t="shared" si="57"/>
        <v>0</v>
      </c>
      <c r="AJ99" s="265">
        <f t="shared" si="57"/>
        <v>0</v>
      </c>
      <c r="AK99" s="265">
        <f t="shared" si="57"/>
        <v>0</v>
      </c>
      <c r="AL99" s="265">
        <f t="shared" si="57"/>
        <v>0</v>
      </c>
      <c r="AM99" s="265">
        <f t="shared" si="57"/>
        <v>0</v>
      </c>
      <c r="AN99" s="265">
        <f t="shared" si="57"/>
        <v>0</v>
      </c>
      <c r="AO99" s="265">
        <f t="shared" ref="AO99:AP99" si="58">IF(SUM(AO90:AO98)&gt;8,SUM(AO90:AO98)-8,0)+IF(SUM(AO90:AO98)&gt;12,SUM(AO90:AO98)-12,0)</f>
        <v>0</v>
      </c>
      <c r="AP99" s="265">
        <f t="shared" si="58"/>
        <v>0</v>
      </c>
      <c r="AQ99" s="265">
        <f t="shared" ref="AQ99" si="59">IF(SUM(AQ90:AQ98)&gt;8,SUM(AQ90:AQ98)-8,0)+IF(SUM(AQ90:AQ98)&gt;12,SUM(AQ90:AQ98)-12,0)</f>
        <v>0</v>
      </c>
      <c r="AR99" s="498">
        <f t="shared" si="57"/>
        <v>0</v>
      </c>
    </row>
    <row r="100" spans="1:44" s="271" customFormat="1" x14ac:dyDescent="0.2">
      <c r="A100" s="266">
        <f t="shared" si="56"/>
        <v>42469</v>
      </c>
      <c r="B100" s="267" t="s">
        <v>86</v>
      </c>
      <c r="C100" s="268">
        <f t="shared" ref="C100:AR100" si="60">IFERROR((C$179*SUM(C90:C95)+C$180*SUM(C96:C98))/SUM(C90:C98)/2,0)*C99</f>
        <v>0</v>
      </c>
      <c r="D100" s="269">
        <f t="shared" si="60"/>
        <v>0</v>
      </c>
      <c r="E100" s="269">
        <f t="shared" si="60"/>
        <v>0</v>
      </c>
      <c r="F100" s="269">
        <f t="shared" si="60"/>
        <v>0</v>
      </c>
      <c r="G100" s="269">
        <f t="shared" si="60"/>
        <v>0</v>
      </c>
      <c r="H100" s="269">
        <f t="shared" si="60"/>
        <v>0</v>
      </c>
      <c r="I100" s="269">
        <f t="shared" si="60"/>
        <v>0</v>
      </c>
      <c r="J100" s="269">
        <f t="shared" si="60"/>
        <v>0</v>
      </c>
      <c r="K100" s="269">
        <f t="shared" si="60"/>
        <v>0</v>
      </c>
      <c r="L100" s="269">
        <f t="shared" si="60"/>
        <v>0</v>
      </c>
      <c r="M100" s="269">
        <f t="shared" si="60"/>
        <v>0</v>
      </c>
      <c r="N100" s="269">
        <f t="shared" si="60"/>
        <v>0</v>
      </c>
      <c r="O100" s="269">
        <f t="shared" si="60"/>
        <v>0</v>
      </c>
      <c r="P100" s="269">
        <f t="shared" si="60"/>
        <v>0</v>
      </c>
      <c r="Q100" s="269">
        <f t="shared" si="60"/>
        <v>0</v>
      </c>
      <c r="R100" s="269">
        <f t="shared" si="60"/>
        <v>0</v>
      </c>
      <c r="S100" s="269">
        <f t="shared" si="60"/>
        <v>0</v>
      </c>
      <c r="T100" s="269">
        <f t="shared" si="60"/>
        <v>0</v>
      </c>
      <c r="U100" s="269">
        <f t="shared" si="60"/>
        <v>0</v>
      </c>
      <c r="V100" s="269">
        <f t="shared" si="60"/>
        <v>0</v>
      </c>
      <c r="W100" s="269">
        <f t="shared" si="60"/>
        <v>0</v>
      </c>
      <c r="X100" s="269">
        <f t="shared" si="60"/>
        <v>0</v>
      </c>
      <c r="Y100" s="269">
        <f t="shared" si="60"/>
        <v>0</v>
      </c>
      <c r="Z100" s="269">
        <f t="shared" si="60"/>
        <v>0</v>
      </c>
      <c r="AA100" s="269">
        <f t="shared" si="60"/>
        <v>0</v>
      </c>
      <c r="AB100" s="269">
        <f t="shared" si="60"/>
        <v>0</v>
      </c>
      <c r="AC100" s="269">
        <f t="shared" si="60"/>
        <v>0</v>
      </c>
      <c r="AD100" s="269">
        <f t="shared" si="60"/>
        <v>0</v>
      </c>
      <c r="AE100" s="269">
        <f t="shared" si="60"/>
        <v>0</v>
      </c>
      <c r="AF100" s="269">
        <f t="shared" si="60"/>
        <v>0</v>
      </c>
      <c r="AG100" s="269">
        <f t="shared" si="60"/>
        <v>0</v>
      </c>
      <c r="AH100" s="269">
        <f t="shared" si="60"/>
        <v>0</v>
      </c>
      <c r="AI100" s="269">
        <f t="shared" si="60"/>
        <v>0</v>
      </c>
      <c r="AJ100" s="269">
        <f t="shared" si="60"/>
        <v>0</v>
      </c>
      <c r="AK100" s="269">
        <f t="shared" si="60"/>
        <v>0</v>
      </c>
      <c r="AL100" s="269">
        <f t="shared" si="60"/>
        <v>0</v>
      </c>
      <c r="AM100" s="269">
        <f t="shared" si="60"/>
        <v>0</v>
      </c>
      <c r="AN100" s="269">
        <f t="shared" si="60"/>
        <v>0</v>
      </c>
      <c r="AO100" s="269">
        <f t="shared" ref="AO100:AP100" si="61">IFERROR((AO$179*SUM(AO90:AO95)+AO$180*SUM(AO96:AO98))/SUM(AO90:AO98)/2,0)*AO99</f>
        <v>0</v>
      </c>
      <c r="AP100" s="269">
        <f t="shared" si="61"/>
        <v>0</v>
      </c>
      <c r="AQ100" s="269">
        <f t="shared" ref="AQ100" si="62">IFERROR((AQ$179*SUM(AQ90:AQ95)+AQ$180*SUM(AQ96:AQ98))/SUM(AQ90:AQ98)/2,0)*AQ99</f>
        <v>0</v>
      </c>
      <c r="AR100" s="499">
        <f t="shared" si="60"/>
        <v>0</v>
      </c>
    </row>
    <row r="101" spans="1:44" s="271" customFormat="1" x14ac:dyDescent="0.2">
      <c r="A101" s="247">
        <f>A90+1</f>
        <v>42470</v>
      </c>
      <c r="B101" s="248" t="s">
        <v>77</v>
      </c>
      <c r="C101" s="249">
        <f>SUMPRODUCT((Driver!$A$2:$A$17=$A101)*(DriverEmp=C$1),Driver!$C$2:$V$17)</f>
        <v>0</v>
      </c>
      <c r="D101" s="250">
        <f>SUMPRODUCT((Driver!$A$2:$A$17=$A101)*(DriverEmp=D$1),Driver!$C$2:$V$17)</f>
        <v>0</v>
      </c>
      <c r="E101" s="250">
        <f>SUMPRODUCT((Driver!$A$2:$A$17=$A101)*(DriverEmp=E$1),Driver!$C$2:$V$17)</f>
        <v>0</v>
      </c>
      <c r="F101" s="250">
        <f>SUMPRODUCT((Driver!$A$2:$A$17=$A101)*(DriverEmp=F$1),Driver!$C$2:$V$17)</f>
        <v>0</v>
      </c>
      <c r="G101" s="250">
        <f>SUMPRODUCT((Driver!$A$2:$A$17=$A101)*(DriverEmp=G$1),Driver!$C$2:$V$17)</f>
        <v>0</v>
      </c>
      <c r="H101" s="250">
        <f>SUMPRODUCT((Driver!$A$2:$A$17=$A101)*(DriverEmp=H$1),Driver!$C$2:$V$17)</f>
        <v>0</v>
      </c>
      <c r="I101" s="250">
        <f>SUMPRODUCT((Driver!$A$2:$A$17=$A101)*(DriverEmp=I$1),Driver!$C$2:$V$17)</f>
        <v>0</v>
      </c>
      <c r="J101" s="250">
        <f>SUMPRODUCT((Driver!$A$2:$A$17=$A101)*(DriverEmp=J$1),Driver!$C$2:$V$17)</f>
        <v>0</v>
      </c>
      <c r="K101" s="250">
        <f>SUMPRODUCT((Driver!$A$2:$A$17=$A101)*(DriverEmp=K$1),Driver!$C$2:$V$17)</f>
        <v>0</v>
      </c>
      <c r="L101" s="250">
        <f>SUMPRODUCT((Driver!$A$2:$A$17=$A101)*(DriverEmp=L$1),Driver!$C$2:$V$17)</f>
        <v>0</v>
      </c>
      <c r="M101" s="250">
        <f>SUMPRODUCT((Driver!$A$2:$A$17=$A101)*(DriverEmp=M$1),Driver!$C$2:$V$17)</f>
        <v>0</v>
      </c>
      <c r="N101" s="250">
        <f>SUMPRODUCT((Driver!$A$2:$A$17=$A101)*(DriverEmp=N$1),Driver!$C$2:$V$17)</f>
        <v>0</v>
      </c>
      <c r="O101" s="250">
        <f>SUMPRODUCT((Driver!$A$2:$A$17=$A101)*(DriverEmp=O$1),Driver!$C$2:$V$17)</f>
        <v>0</v>
      </c>
      <c r="P101" s="250">
        <f>SUMPRODUCT((Driver!$A$2:$A$17=$A101)*(DriverEmp=P$1),Driver!$C$2:$V$17)</f>
        <v>0</v>
      </c>
      <c r="Q101" s="250">
        <f>SUMPRODUCT((Driver!$A$2:$A$17=$A101)*(DriverEmp=Q$1),Driver!$C$2:$V$17)</f>
        <v>0</v>
      </c>
      <c r="R101" s="250">
        <f>SUMPRODUCT((Driver!$A$2:$A$17=$A101)*(DriverEmp=R$1),Driver!$C$2:$V$17)</f>
        <v>0</v>
      </c>
      <c r="S101" s="250">
        <f>SUMPRODUCT((Driver!$A$2:$A$17=$A101)*(DriverEmp=S$1),Driver!$C$2:$V$17)</f>
        <v>0</v>
      </c>
      <c r="T101" s="250">
        <f>SUMPRODUCT((Driver!$A$2:$A$17=$A101)*(DriverEmp=T$1),Driver!$C$2:$V$17)</f>
        <v>0</v>
      </c>
      <c r="U101" s="250">
        <f>SUMPRODUCT((Driver!$A$2:$A$17=$A101)*(DriverEmp=U$1),Driver!$C$2:$V$17)</f>
        <v>0</v>
      </c>
      <c r="V101" s="250">
        <f>SUMPRODUCT((Driver!$A$2:$A$17=$A101)*(DriverEmp=V$1),Driver!$C$2:$V$17)</f>
        <v>0</v>
      </c>
      <c r="W101" s="250">
        <f>SUMPRODUCT((Driver!$A$2:$A$17=$A101)*(DriverEmp=W$1),Driver!$C$2:$V$17)</f>
        <v>0</v>
      </c>
      <c r="X101" s="250">
        <f>SUMPRODUCT((Driver!$A$2:$A$17=$A101)*(DriverEmp=X$1),Driver!$C$2:$V$17)</f>
        <v>0</v>
      </c>
      <c r="Y101" s="250">
        <f>SUMPRODUCT((Driver!$A$2:$A$17=$A101)*(DriverEmp=Y$1),Driver!$C$2:$V$17)</f>
        <v>0</v>
      </c>
      <c r="Z101" s="250">
        <f>SUMPRODUCT((Driver!$A$2:$A$17=$A101)*(DriverEmp=Z$1),Driver!$C$2:$V$17)</f>
        <v>0</v>
      </c>
      <c r="AA101" s="250">
        <f>SUMPRODUCT((Driver!$A$2:$A$17=$A101)*(DriverEmp=AA$1),Driver!$C$2:$V$17)</f>
        <v>0</v>
      </c>
      <c r="AB101" s="250">
        <f>SUMPRODUCT((Driver!$A$2:$A$17=$A101)*(DriverEmp=AB$1),Driver!$C$2:$V$17)</f>
        <v>0</v>
      </c>
      <c r="AC101" s="250">
        <f>SUMPRODUCT((Driver!$A$2:$A$17=$A101)*(DriverEmp=AC$1),Driver!$C$2:$V$17)</f>
        <v>0</v>
      </c>
      <c r="AD101" s="250">
        <f>SUMPRODUCT((Driver!$A$2:$A$17=$A101)*(DriverEmp=AD$1),Driver!$C$2:$V$17)</f>
        <v>0</v>
      </c>
      <c r="AE101" s="250">
        <f>SUMPRODUCT((Driver!$A$2:$A$17=$A101)*(DriverEmp=AE$1),Driver!$C$2:$V$17)</f>
        <v>0</v>
      </c>
      <c r="AF101" s="250">
        <f>SUMPRODUCT((Driver!$A$2:$A$17=$A101)*(DriverEmp=AF$1),Driver!$C$2:$V$17)</f>
        <v>0</v>
      </c>
      <c r="AG101" s="250">
        <f>SUMPRODUCT((Driver!$A$2:$A$17=$A101)*(DriverEmp=AG$1),Driver!$C$2:$V$17)</f>
        <v>0</v>
      </c>
      <c r="AH101" s="250">
        <f>SUMPRODUCT((Driver!$A$2:$A$17=$A101)*(DriverEmp=AH$1),Driver!$C$2:$V$17)</f>
        <v>0</v>
      </c>
      <c r="AI101" s="250">
        <f>SUMPRODUCT((Driver!$A$2:$A$17=$A101)*(DriverEmp=AI$1),Driver!$C$2:$V$17)</f>
        <v>0</v>
      </c>
      <c r="AJ101" s="250">
        <f>SUMPRODUCT((Driver!$A$2:$A$17=$A101)*(DriverEmp=AJ$1),Driver!$C$2:$V$17)</f>
        <v>0</v>
      </c>
      <c r="AK101" s="250">
        <f>SUMPRODUCT((Driver!$A$2:$A$17=$A101)*(DriverEmp=AK$1),Driver!$C$2:$V$17)</f>
        <v>0</v>
      </c>
      <c r="AL101" s="250">
        <f>SUMPRODUCT((Driver!$A$2:$A$17=$A101)*(DriverEmp=AL$1),Driver!$C$2:$V$17)</f>
        <v>0</v>
      </c>
      <c r="AM101" s="250">
        <f>SUMPRODUCT((Driver!$A$2:$A$17=$A101)*(DriverEmp=AM$1),Driver!$C$2:$V$17)</f>
        <v>0</v>
      </c>
      <c r="AN101" s="250">
        <f>SUMPRODUCT((Driver!$A$2:$A$17=$A101)*(DriverEmp=AN$1),Driver!$C$2:$V$17)</f>
        <v>0</v>
      </c>
      <c r="AO101" s="250">
        <f>SUMPRODUCT((Driver!$A$2:$A$17=$A101)*(DriverEmp=AO$1),Driver!$C$2:$V$17)</f>
        <v>0</v>
      </c>
      <c r="AP101" s="250">
        <f>SUMPRODUCT((Driver!$A$2:$A$17=$A101)*(DriverEmp=AP$1),Driver!$C$2:$V$17)</f>
        <v>0</v>
      </c>
      <c r="AQ101" s="250">
        <f>SUMPRODUCT((Driver!$A$2:$A$17=$A101)*(DriverEmp=AQ$1),Driver!$C$2:$V$17)</f>
        <v>0</v>
      </c>
      <c r="AR101" s="496">
        <f>SUMPRODUCT((Driver!$A$2:$A$17=$A101)*(DriverEmp=AR$1),Driver!$C$2:$V$17)</f>
        <v>0</v>
      </c>
    </row>
    <row r="102" spans="1:44" s="271" customFormat="1" x14ac:dyDescent="0.2">
      <c r="A102" s="247">
        <f t="shared" ref="A102:A111" si="63">A101</f>
        <v>42470</v>
      </c>
      <c r="B102" s="251" t="str">
        <f>Total!$H$1</f>
        <v>PP</v>
      </c>
      <c r="C102" s="249">
        <f>SUMPRODUCT((PP!$A$2:$A$80=$A102)*(PPEmp=C$1),PP!$D$2:$BD$80)</f>
        <v>0</v>
      </c>
      <c r="D102" s="250">
        <f>SUMPRODUCT((PP!$A$2:$A$80=$A102)*(PPEmp=D$1),PP!$D$2:$BD$80)</f>
        <v>0</v>
      </c>
      <c r="E102" s="250">
        <f>SUMPRODUCT((PP!$A$2:$A$80=$A102)*(PPEmp=E$1),PP!$D$2:$BD$80)</f>
        <v>0</v>
      </c>
      <c r="F102" s="250">
        <f>SUMPRODUCT((PP!$A$2:$A$80=$A102)*(PPEmp=F$1),PP!$D$2:$BD$80)</f>
        <v>0</v>
      </c>
      <c r="G102" s="250">
        <f>SUMPRODUCT((PP!$A$2:$A$80=$A102)*(PPEmp=G$1),PP!$D$2:$BD$80)</f>
        <v>0</v>
      </c>
      <c r="H102" s="250">
        <f>SUMPRODUCT((PP!$A$2:$A$80=$A102)*(PPEmp=H$1),PP!$D$2:$BD$80)</f>
        <v>0</v>
      </c>
      <c r="I102" s="250">
        <f>SUMPRODUCT((PP!$A$2:$A$80=$A102)*(PPEmp=I$1),PP!$D$2:$BD$80)</f>
        <v>0</v>
      </c>
      <c r="J102" s="250">
        <f>SUMPRODUCT((PP!$A$2:$A$80=$A102)*(PPEmp=J$1),PP!$D$2:$BD$80)</f>
        <v>0</v>
      </c>
      <c r="K102" s="250">
        <f>SUMPRODUCT((PP!$A$2:$A$80=$A102)*(PPEmp=K$1),PP!$D$2:$BD$80)</f>
        <v>0</v>
      </c>
      <c r="L102" s="250">
        <f>SUMPRODUCT((PP!$A$2:$A$80=$A102)*(PPEmp=L$1),PP!$D$2:$BD$80)</f>
        <v>0</v>
      </c>
      <c r="M102" s="250">
        <f>SUMPRODUCT((PP!$A$2:$A$80=$A102)*(PPEmp=M$1),PP!$D$2:$BD$80)</f>
        <v>0</v>
      </c>
      <c r="N102" s="250">
        <f>SUMPRODUCT((PP!$A$2:$A$80=$A102)*(PPEmp=N$1),PP!$D$2:$BD$80)</f>
        <v>0</v>
      </c>
      <c r="O102" s="250">
        <f>SUMPRODUCT((PP!$A$2:$A$80=$A102)*(PPEmp=O$1),PP!$D$2:$BD$80)</f>
        <v>0</v>
      </c>
      <c r="P102" s="250">
        <f>SUMPRODUCT((PP!$A$2:$A$80=$A102)*(PPEmp=P$1),PP!$D$2:$BD$80)</f>
        <v>0</v>
      </c>
      <c r="Q102" s="250">
        <f>SUMPRODUCT((PP!$A$2:$A$80=$A102)*(PPEmp=Q$1),PP!$D$2:$BD$80)</f>
        <v>0</v>
      </c>
      <c r="R102" s="250">
        <f>SUMPRODUCT((PP!$A$2:$A$80=$A102)*(PPEmp=R$1),PP!$D$2:$BD$80)</f>
        <v>0</v>
      </c>
      <c r="S102" s="250">
        <f>SUMPRODUCT((PP!$A$2:$A$80=$A102)*(PPEmp=S$1),PP!$D$2:$BD$80)</f>
        <v>0</v>
      </c>
      <c r="T102" s="250">
        <f>SUMPRODUCT((PP!$A$2:$A$80=$A102)*(PPEmp=T$1),PP!$D$2:$BD$80)</f>
        <v>0</v>
      </c>
      <c r="U102" s="250">
        <f>SUMPRODUCT((PP!$A$2:$A$80=$A102)*(PPEmp=U$1),PP!$D$2:$BD$80)</f>
        <v>0</v>
      </c>
      <c r="V102" s="250">
        <f>SUMPRODUCT((PP!$A$2:$A$80=$A102)*(PPEmp=V$1),PP!$D$2:$BD$80)</f>
        <v>0</v>
      </c>
      <c r="W102" s="250">
        <f>SUMPRODUCT((PP!$A$2:$A$80=$A102)*(PPEmp=W$1),PP!$D$2:$BD$80)</f>
        <v>0</v>
      </c>
      <c r="X102" s="250">
        <f>SUMPRODUCT((PP!$A$2:$A$80=$A102)*(PPEmp=X$1),PP!$D$2:$BD$80)</f>
        <v>0</v>
      </c>
      <c r="Y102" s="250">
        <f>SUMPRODUCT((PP!$A$2:$A$80=$A102)*(PPEmp=Y$1),PP!$D$2:$BD$80)</f>
        <v>0</v>
      </c>
      <c r="Z102" s="250">
        <f>SUMPRODUCT((PP!$A$2:$A$80=$A102)*(PPEmp=Z$1),PP!$D$2:$BD$80)</f>
        <v>0</v>
      </c>
      <c r="AA102" s="250">
        <f>SUMPRODUCT((PP!$A$2:$A$80=$A102)*(PPEmp=AA$1),PP!$D$2:$BD$80)</f>
        <v>0</v>
      </c>
      <c r="AB102" s="250">
        <f>SUMPRODUCT((PP!$A$2:$A$80=$A102)*(PPEmp=AB$1),PP!$D$2:$BD$80)</f>
        <v>0</v>
      </c>
      <c r="AC102" s="250">
        <f>SUMPRODUCT((PP!$A$2:$A$80=$A102)*(PPEmp=AC$1),PP!$D$2:$BD$80)</f>
        <v>0</v>
      </c>
      <c r="AD102" s="250">
        <f>SUMPRODUCT((PP!$A$2:$A$80=$A102)*(PPEmp=AD$1),PP!$D$2:$BD$80)</f>
        <v>0</v>
      </c>
      <c r="AE102" s="250">
        <f>SUMPRODUCT((PP!$A$2:$A$80=$A102)*(PPEmp=AE$1),PP!$D$2:$BD$80)</f>
        <v>0</v>
      </c>
      <c r="AF102" s="250">
        <f>SUMPRODUCT((PP!$A$2:$A$80=$A102)*(PPEmp=AF$1),PP!$D$2:$BD$80)</f>
        <v>0</v>
      </c>
      <c r="AG102" s="250">
        <f>SUMPRODUCT((PP!$A$2:$A$80=$A102)*(PPEmp=AG$1),PP!$D$2:$BD$80)</f>
        <v>0</v>
      </c>
      <c r="AH102" s="250">
        <f>SUMPRODUCT((PP!$A$2:$A$80=$A102)*(PPEmp=AH$1),PP!$D$2:$BD$80)</f>
        <v>0</v>
      </c>
      <c r="AI102" s="250">
        <f>SUMPRODUCT((PP!$A$2:$A$80=$A102)*(PPEmp=AI$1),PP!$D$2:$BD$80)</f>
        <v>0</v>
      </c>
      <c r="AJ102" s="250">
        <f>SUMPRODUCT((PP!$A$2:$A$80=$A102)*(PPEmp=AJ$1),PP!$D$2:$BD$80)</f>
        <v>0</v>
      </c>
      <c r="AK102" s="250">
        <f>SUMPRODUCT((PP!$A$2:$A$80=$A102)*(PPEmp=AK$1),PP!$D$2:$BD$80)</f>
        <v>0</v>
      </c>
      <c r="AL102" s="250">
        <f>SUMPRODUCT((PP!$A$2:$A$80=$A102)*(PPEmp=AL$1),PP!$D$2:$BD$80)</f>
        <v>0</v>
      </c>
      <c r="AM102" s="250">
        <f>SUMPRODUCT((PP!$A$2:$A$80=$A102)*(PPEmp=AM$1),PP!$D$2:$BD$80)</f>
        <v>0</v>
      </c>
      <c r="AN102" s="250">
        <f>SUMPRODUCT((PP!$A$2:$A$80=$A102)*(PPEmp=AN$1),PP!$D$2:$BD$80)</f>
        <v>0</v>
      </c>
      <c r="AO102" s="250">
        <f>SUMPRODUCT((PP!$A$2:$A$80=$A102)*(PPEmp=AO$1),PP!$D$2:$BD$80)</f>
        <v>0</v>
      </c>
      <c r="AP102" s="250">
        <f>SUMPRODUCT((PP!$A$2:$A$80=$A102)*(PPEmp=AP$1),PP!$D$2:$BD$80)</f>
        <v>0</v>
      </c>
      <c r="AQ102" s="250">
        <f>SUMPRODUCT((PP!$A$2:$A$80=$A102)*(PPEmp=AQ$1),PP!$D$2:$BD$80)</f>
        <v>0</v>
      </c>
      <c r="AR102" s="496">
        <f>SUMPRODUCT((PP!$A$2:$A$80=$A102)*(PPEmp=AR$1),PP!$D$2:$BD$80)</f>
        <v>0</v>
      </c>
    </row>
    <row r="103" spans="1:44" s="271" customFormat="1" x14ac:dyDescent="0.2">
      <c r="A103" s="247">
        <f t="shared" si="63"/>
        <v>42470</v>
      </c>
      <c r="B103" s="252" t="str">
        <f>Total!$J$1</f>
        <v>FH</v>
      </c>
      <c r="C103" s="249">
        <f>SUMPRODUCT((FH!$A$2:$A$97=$A103)*(FHEmp=C$1),FH!$E$2:$AZ$97)</f>
        <v>0</v>
      </c>
      <c r="D103" s="250">
        <f>SUMPRODUCT((FH!$A$2:$A$97=$A103)*(FHEmp=D$1),FH!$E$2:$AZ$97)</f>
        <v>0</v>
      </c>
      <c r="E103" s="250">
        <f>SUMPRODUCT((FH!$A$2:$A$97=$A103)*(FHEmp=E$1),FH!$E$2:$AZ$97)</f>
        <v>0</v>
      </c>
      <c r="F103" s="250">
        <f>SUMPRODUCT((FH!$A$2:$A$97=$A103)*(FHEmp=F$1),FH!$E$2:$AZ$97)</f>
        <v>0</v>
      </c>
      <c r="G103" s="250">
        <f>SUMPRODUCT((FH!$A$2:$A$97=$A103)*(FHEmp=G$1),FH!$E$2:$AZ$97)</f>
        <v>0</v>
      </c>
      <c r="H103" s="250">
        <f>SUMPRODUCT((FH!$A$2:$A$97=$A103)*(FHEmp=H$1),FH!$E$2:$AZ$97)</f>
        <v>0</v>
      </c>
      <c r="I103" s="250">
        <f>SUMPRODUCT((FH!$A$2:$A$97=$A103)*(FHEmp=I$1),FH!$E$2:$AZ$97)</f>
        <v>0</v>
      </c>
      <c r="J103" s="250">
        <f>SUMPRODUCT((FH!$A$2:$A$97=$A103)*(FHEmp=J$1),FH!$E$2:$AZ$97)</f>
        <v>0</v>
      </c>
      <c r="K103" s="250">
        <f>SUMPRODUCT((FH!$A$2:$A$97=$A103)*(FHEmp=K$1),FH!$E$2:$AZ$97)</f>
        <v>0</v>
      </c>
      <c r="L103" s="250">
        <f>SUMPRODUCT((FH!$A$2:$A$97=$A103)*(FHEmp=L$1),FH!$E$2:$AZ$97)</f>
        <v>0</v>
      </c>
      <c r="M103" s="250">
        <f>SUMPRODUCT((FH!$A$2:$A$97=$A103)*(FHEmp=M$1),FH!$E$2:$AZ$97)</f>
        <v>0</v>
      </c>
      <c r="N103" s="250">
        <f>SUMPRODUCT((FH!$A$2:$A$97=$A103)*(FHEmp=N$1),FH!$E$2:$AZ$97)</f>
        <v>0</v>
      </c>
      <c r="O103" s="250">
        <f>SUMPRODUCT((FH!$A$2:$A$97=$A103)*(FHEmp=O$1),FH!$E$2:$AZ$97)</f>
        <v>0</v>
      </c>
      <c r="P103" s="250">
        <f>SUMPRODUCT((FH!$A$2:$A$97=$A103)*(FHEmp=P$1),FH!$E$2:$AZ$97)</f>
        <v>0</v>
      </c>
      <c r="Q103" s="250">
        <f>SUMPRODUCT((FH!$A$2:$A$97=$A103)*(FHEmp=Q$1),FH!$E$2:$AZ$97)</f>
        <v>0</v>
      </c>
      <c r="R103" s="250">
        <f>SUMPRODUCT((FH!$A$2:$A$97=$A103)*(FHEmp=R$1),FH!$E$2:$AZ$97)</f>
        <v>0</v>
      </c>
      <c r="S103" s="250">
        <f>SUMPRODUCT((FH!$A$2:$A$97=$A103)*(FHEmp=S$1),FH!$E$2:$AZ$97)</f>
        <v>0</v>
      </c>
      <c r="T103" s="250">
        <f>SUMPRODUCT((FH!$A$2:$A$97=$A103)*(FHEmp=T$1),FH!$E$2:$AZ$97)</f>
        <v>0</v>
      </c>
      <c r="U103" s="250">
        <f>SUMPRODUCT((FH!$A$2:$A$97=$A103)*(FHEmp=U$1),FH!$E$2:$AZ$97)</f>
        <v>0</v>
      </c>
      <c r="V103" s="250">
        <f>SUMPRODUCT((FH!$A$2:$A$97=$A103)*(FHEmp=V$1),FH!$E$2:$AZ$97)</f>
        <v>0</v>
      </c>
      <c r="W103" s="250">
        <f>SUMPRODUCT((FH!$A$2:$A$97=$A103)*(FHEmp=W$1),FH!$E$2:$AZ$97)</f>
        <v>0</v>
      </c>
      <c r="X103" s="250">
        <f>SUMPRODUCT((FH!$A$2:$A$97=$A103)*(FHEmp=X$1),FH!$E$2:$AZ$97)</f>
        <v>0</v>
      </c>
      <c r="Y103" s="250">
        <f>SUMPRODUCT((FH!$A$2:$A$97=$A103)*(FHEmp=Y$1),FH!$E$2:$AZ$97)</f>
        <v>0</v>
      </c>
      <c r="Z103" s="250">
        <f>SUMPRODUCT((FH!$A$2:$A$97=$A103)*(FHEmp=Z$1),FH!$E$2:$AZ$97)</f>
        <v>0</v>
      </c>
      <c r="AA103" s="250">
        <f>SUMPRODUCT((FH!$A$2:$A$97=$A103)*(FHEmp=AA$1),FH!$E$2:$AZ$97)</f>
        <v>0</v>
      </c>
      <c r="AB103" s="250">
        <f>SUMPRODUCT((FH!$A$2:$A$97=$A103)*(FHEmp=AB$1),FH!$E$2:$AZ$97)</f>
        <v>0</v>
      </c>
      <c r="AC103" s="250">
        <f>SUMPRODUCT((FH!$A$2:$A$97=$A103)*(FHEmp=AC$1),FH!$E$2:$AZ$97)</f>
        <v>0</v>
      </c>
      <c r="AD103" s="250">
        <f>SUMPRODUCT((FH!$A$2:$A$97=$A103)*(FHEmp=AD$1),FH!$E$2:$AZ$97)</f>
        <v>0</v>
      </c>
      <c r="AE103" s="250">
        <f>SUMPRODUCT((FH!$A$2:$A$97=$A103)*(FHEmp=AE$1),FH!$E$2:$AZ$97)</f>
        <v>0</v>
      </c>
      <c r="AF103" s="250">
        <f>SUMPRODUCT((FH!$A$2:$A$97=$A103)*(FHEmp=AF$1),FH!$E$2:$AZ$97)</f>
        <v>0</v>
      </c>
      <c r="AG103" s="250">
        <f>SUMPRODUCT((FH!$A$2:$A$97=$A103)*(FHEmp=AG$1),FH!$E$2:$AZ$97)</f>
        <v>0</v>
      </c>
      <c r="AH103" s="250">
        <f>SUMPRODUCT((FH!$A$2:$A$97=$A103)*(FHEmp=AH$1),FH!$E$2:$AZ$97)</f>
        <v>0</v>
      </c>
      <c r="AI103" s="250">
        <f>SUMPRODUCT((FH!$A$2:$A$97=$A103)*(FHEmp=AI$1),FH!$E$2:$AZ$97)</f>
        <v>0</v>
      </c>
      <c r="AJ103" s="250">
        <f>SUMPRODUCT((FH!$A$2:$A$97=$A103)*(FHEmp=AJ$1),FH!$E$2:$AZ$97)</f>
        <v>0</v>
      </c>
      <c r="AK103" s="250">
        <f>SUMPRODUCT((FH!$A$2:$A$97=$A103)*(FHEmp=AK$1),FH!$E$2:$AZ$97)</f>
        <v>0</v>
      </c>
      <c r="AL103" s="250">
        <f>SUMPRODUCT((FH!$A$2:$A$97=$A103)*(FHEmp=AL$1),FH!$E$2:$AZ$97)</f>
        <v>0</v>
      </c>
      <c r="AM103" s="250">
        <f>SUMPRODUCT((FH!$A$2:$A$97=$A103)*(FHEmp=AM$1),FH!$E$2:$AZ$97)</f>
        <v>0</v>
      </c>
      <c r="AN103" s="250">
        <f>SUMPRODUCT((FH!$A$2:$A$97=$A103)*(FHEmp=AN$1),FH!$E$2:$AZ$97)</f>
        <v>0</v>
      </c>
      <c r="AO103" s="250">
        <f>SUMPRODUCT((FH!$A$2:$A$97=$A103)*(FHEmp=AO$1),FH!$E$2:$AZ$97)</f>
        <v>0</v>
      </c>
      <c r="AP103" s="250">
        <f>SUMPRODUCT((FH!$A$2:$A$97=$A103)*(FHEmp=AP$1),FH!$E$2:$AZ$97)</f>
        <v>0</v>
      </c>
      <c r="AQ103" s="250">
        <f>SUMPRODUCT((FH!$A$2:$A$97=$A103)*(FHEmp=AQ$1),FH!$E$2:$AZ$97)</f>
        <v>0</v>
      </c>
      <c r="AR103" s="496">
        <f>SUMPRODUCT((FH!$A$2:$A$97=$A103)*(FHEmp=AR$1),FH!$E$2:$AZ$97)</f>
        <v>0</v>
      </c>
    </row>
    <row r="104" spans="1:44" s="271" customFormat="1" x14ac:dyDescent="0.2">
      <c r="A104" s="247">
        <f t="shared" si="63"/>
        <v>42470</v>
      </c>
      <c r="B104" s="253" t="str">
        <f>Total!$K$1</f>
        <v>T22</v>
      </c>
      <c r="C104" s="249">
        <f>SUMPRODUCT(('T22'!$A$2:$A$97=$A104)*(T22Emp=C$1),'T22'!$E$2:$AZ$97)</f>
        <v>0</v>
      </c>
      <c r="D104" s="250">
        <f>SUMPRODUCT(('T22'!$A$2:$A$97=$A104)*(T22Emp=D$1),'T22'!$E$2:$AZ$97)</f>
        <v>0</v>
      </c>
      <c r="E104" s="250">
        <f>SUMPRODUCT(('T22'!$A$2:$A$97=$A104)*(T22Emp=E$1),'T22'!$E$2:$AZ$97)</f>
        <v>0</v>
      </c>
      <c r="F104" s="250">
        <f>SUMPRODUCT(('T22'!$A$2:$A$97=$A104)*(T22Emp=F$1),'T22'!$E$2:$AZ$97)</f>
        <v>0</v>
      </c>
      <c r="G104" s="250">
        <f>SUMPRODUCT(('T22'!$A$2:$A$97=$A104)*(T22Emp=G$1),'T22'!$E$2:$AZ$97)</f>
        <v>0</v>
      </c>
      <c r="H104" s="250">
        <f>SUMPRODUCT(('T22'!$A$2:$A$97=$A104)*(T22Emp=H$1),'T22'!$E$2:$AZ$97)</f>
        <v>0</v>
      </c>
      <c r="I104" s="250">
        <f>SUMPRODUCT(('T22'!$A$2:$A$97=$A104)*(T22Emp=I$1),'T22'!$E$2:$AZ$97)</f>
        <v>0</v>
      </c>
      <c r="J104" s="250">
        <f>SUMPRODUCT(('T22'!$A$2:$A$97=$A104)*(T22Emp=J$1),'T22'!$E$2:$AZ$97)</f>
        <v>0</v>
      </c>
      <c r="K104" s="250">
        <f>SUMPRODUCT(('T22'!$A$2:$A$97=$A104)*(T22Emp=K$1),'T22'!$E$2:$AZ$97)</f>
        <v>0</v>
      </c>
      <c r="L104" s="250">
        <f>SUMPRODUCT(('T22'!$A$2:$A$97=$A104)*(T22Emp=L$1),'T22'!$E$2:$AZ$97)</f>
        <v>0</v>
      </c>
      <c r="M104" s="250">
        <f>SUMPRODUCT(('T22'!$A$2:$A$97=$A104)*(T22Emp=M$1),'T22'!$E$2:$AZ$97)</f>
        <v>0</v>
      </c>
      <c r="N104" s="250">
        <f>SUMPRODUCT(('T22'!$A$2:$A$97=$A104)*(T22Emp=N$1),'T22'!$E$2:$AZ$97)</f>
        <v>0</v>
      </c>
      <c r="O104" s="250">
        <f>SUMPRODUCT(('T22'!$A$2:$A$97=$A104)*(T22Emp=O$1),'T22'!$E$2:$AZ$97)</f>
        <v>0</v>
      </c>
      <c r="P104" s="250">
        <f>SUMPRODUCT(('T22'!$A$2:$A$97=$A104)*(T22Emp=P$1),'T22'!$E$2:$AZ$97)</f>
        <v>0</v>
      </c>
      <c r="Q104" s="250">
        <f>SUMPRODUCT(('T22'!$A$2:$A$97=$A104)*(T22Emp=Q$1),'T22'!$E$2:$AZ$97)</f>
        <v>0</v>
      </c>
      <c r="R104" s="250">
        <f>SUMPRODUCT(('T22'!$A$2:$A$97=$A104)*(T22Emp=R$1),'T22'!$E$2:$AZ$97)</f>
        <v>0</v>
      </c>
      <c r="S104" s="250">
        <f>SUMPRODUCT(('T22'!$A$2:$A$97=$A104)*(T22Emp=S$1),'T22'!$E$2:$AZ$97)</f>
        <v>0</v>
      </c>
      <c r="T104" s="250">
        <f>SUMPRODUCT(('T22'!$A$2:$A$97=$A104)*(T22Emp=T$1),'T22'!$E$2:$AZ$97)</f>
        <v>0</v>
      </c>
      <c r="U104" s="250">
        <f>SUMPRODUCT(('T22'!$A$2:$A$97=$A104)*(T22Emp=U$1),'T22'!$E$2:$AZ$97)</f>
        <v>0</v>
      </c>
      <c r="V104" s="250">
        <f>SUMPRODUCT(('T22'!$A$2:$A$97=$A104)*(T22Emp=V$1),'T22'!$E$2:$AZ$97)</f>
        <v>0</v>
      </c>
      <c r="W104" s="250">
        <f>SUMPRODUCT(('T22'!$A$2:$A$97=$A104)*(T22Emp=W$1),'T22'!$E$2:$AZ$97)</f>
        <v>0</v>
      </c>
      <c r="X104" s="250">
        <f>SUMPRODUCT(('T22'!$A$2:$A$97=$A104)*(T22Emp=X$1),'T22'!$E$2:$AZ$97)</f>
        <v>0</v>
      </c>
      <c r="Y104" s="250">
        <f>SUMPRODUCT(('T22'!$A$2:$A$97=$A104)*(T22Emp=Y$1),'T22'!$E$2:$AZ$97)</f>
        <v>0</v>
      </c>
      <c r="Z104" s="250">
        <f>SUMPRODUCT(('T22'!$A$2:$A$97=$A104)*(T22Emp=Z$1),'T22'!$E$2:$AZ$97)</f>
        <v>0</v>
      </c>
      <c r="AA104" s="250">
        <f>SUMPRODUCT(('T22'!$A$2:$A$97=$A104)*(T22Emp=AA$1),'T22'!$E$2:$AZ$97)</f>
        <v>0</v>
      </c>
      <c r="AB104" s="250">
        <f>SUMPRODUCT(('T22'!$A$2:$A$97=$A104)*(T22Emp=AB$1),'T22'!$E$2:$AZ$97)</f>
        <v>0</v>
      </c>
      <c r="AC104" s="250">
        <f>SUMPRODUCT(('T22'!$A$2:$A$97=$A104)*(T22Emp=AC$1),'T22'!$E$2:$AZ$97)</f>
        <v>0</v>
      </c>
      <c r="AD104" s="250">
        <f>SUMPRODUCT(('T22'!$A$2:$A$97=$A104)*(T22Emp=AD$1),'T22'!$E$2:$AZ$97)</f>
        <v>0</v>
      </c>
      <c r="AE104" s="250">
        <f>SUMPRODUCT(('T22'!$A$2:$A$97=$A104)*(T22Emp=AE$1),'T22'!$E$2:$AZ$97)</f>
        <v>0</v>
      </c>
      <c r="AF104" s="250">
        <f>SUMPRODUCT(('T22'!$A$2:$A$97=$A104)*(T22Emp=AF$1),'T22'!$E$2:$AZ$97)</f>
        <v>0</v>
      </c>
      <c r="AG104" s="250">
        <f>SUMPRODUCT(('T22'!$A$2:$A$97=$A104)*(T22Emp=AG$1),'T22'!$E$2:$AZ$97)</f>
        <v>0</v>
      </c>
      <c r="AH104" s="250">
        <f>SUMPRODUCT(('T22'!$A$2:$A$97=$A104)*(T22Emp=AH$1),'T22'!$E$2:$AZ$97)</f>
        <v>0</v>
      </c>
      <c r="AI104" s="250">
        <f>SUMPRODUCT(('T22'!$A$2:$A$97=$A104)*(T22Emp=AI$1),'T22'!$E$2:$AZ$97)</f>
        <v>0</v>
      </c>
      <c r="AJ104" s="250">
        <f>SUMPRODUCT(('T22'!$A$2:$A$97=$A104)*(T22Emp=AJ$1),'T22'!$E$2:$AZ$97)</f>
        <v>0</v>
      </c>
      <c r="AK104" s="250">
        <f>SUMPRODUCT(('T22'!$A$2:$A$97=$A104)*(T22Emp=AK$1),'T22'!$E$2:$AZ$97)</f>
        <v>0</v>
      </c>
      <c r="AL104" s="250">
        <f>SUMPRODUCT(('T22'!$A$2:$A$97=$A104)*(T22Emp=AL$1),'T22'!$E$2:$AZ$97)</f>
        <v>0</v>
      </c>
      <c r="AM104" s="250">
        <f>SUMPRODUCT(('T22'!$A$2:$A$97=$A104)*(T22Emp=AM$1),'T22'!$E$2:$AZ$97)</f>
        <v>0</v>
      </c>
      <c r="AN104" s="250">
        <f>SUMPRODUCT(('T22'!$A$2:$A$97=$A104)*(T22Emp=AN$1),'T22'!$E$2:$AZ$97)</f>
        <v>0</v>
      </c>
      <c r="AO104" s="250">
        <f>SUMPRODUCT(('T22'!$A$2:$A$97=$A104)*(T22Emp=AO$1),'T22'!$E$2:$AZ$97)</f>
        <v>0</v>
      </c>
      <c r="AP104" s="250">
        <f>SUMPRODUCT(('T22'!$A$2:$A$97=$A104)*(T22Emp=AP$1),'T22'!$E$2:$AZ$97)</f>
        <v>0</v>
      </c>
      <c r="AQ104" s="250">
        <f>SUMPRODUCT(('T22'!$A$2:$A$97=$A104)*(T22Emp=AQ$1),'T22'!$E$2:$AZ$97)</f>
        <v>0</v>
      </c>
      <c r="AR104" s="496">
        <f>SUMPRODUCT(('T22'!$A$2:$A$97=$A104)*(T22Emp=AR$1),'T22'!$E$2:$AZ$97)</f>
        <v>0</v>
      </c>
    </row>
    <row r="105" spans="1:44" s="271" customFormat="1" x14ac:dyDescent="0.2">
      <c r="A105" s="247">
        <f t="shared" si="63"/>
        <v>42470</v>
      </c>
      <c r="B105" s="254" t="str">
        <f>Total!$L$1</f>
        <v>RF</v>
      </c>
      <c r="C105" s="249">
        <f>SUMPRODUCT((RF!$A$2:$A$17=$A105)*(RFEmp=C$1)*(RF!$H$21:$AO$21="RF Valet"),RF!$H$2:$AO$17)</f>
        <v>0</v>
      </c>
      <c r="D105" s="250">
        <f>SUMPRODUCT((RF!$A$2:$A$17=$A105)*(RFEmp=D$1)*(RF!$H$21:$AO$21="RF Valet"),RF!$H$2:$AO$17)</f>
        <v>0</v>
      </c>
      <c r="E105" s="250">
        <f>SUMPRODUCT((RF!$A$2:$A$17=$A105)*(RFEmp=E$1)*(RF!$H$21:$AO$21="RF Valet"),RF!$H$2:$AO$17)</f>
        <v>0</v>
      </c>
      <c r="F105" s="250">
        <f>SUMPRODUCT((RF!$A$2:$A$17=$A105)*(RFEmp=F$1)*(RF!$H$21:$AO$21="RF Valet"),RF!$H$2:$AO$17)</f>
        <v>0</v>
      </c>
      <c r="G105" s="250">
        <f>SUMPRODUCT((RF!$A$2:$A$17=$A105)*(RFEmp=G$1)*(RF!$H$21:$AO$21="RF Valet"),RF!$H$2:$AO$17)</f>
        <v>0</v>
      </c>
      <c r="H105" s="250">
        <f>SUMPRODUCT((RF!$A$2:$A$17=$A105)*(RFEmp=H$1)*(RF!$H$21:$AO$21="RF Valet"),RF!$H$2:$AO$17)</f>
        <v>0</v>
      </c>
      <c r="I105" s="250">
        <f>SUMPRODUCT((RF!$A$2:$A$17=$A105)*(RFEmp=I$1)*(RF!$H$21:$AO$21="RF Valet"),RF!$H$2:$AO$17)</f>
        <v>0</v>
      </c>
      <c r="J105" s="250">
        <f>SUMPRODUCT((RF!$A$2:$A$17=$A105)*(RFEmp=J$1)*(RF!$H$21:$AO$21="RF Valet"),RF!$H$2:$AO$17)</f>
        <v>0</v>
      </c>
      <c r="K105" s="250">
        <f>SUMPRODUCT((RF!$A$2:$A$17=$A105)*(RFEmp=K$1)*(RF!$H$21:$AO$21="RF Valet"),RF!$H$2:$AO$17)</f>
        <v>0</v>
      </c>
      <c r="L105" s="250">
        <f>SUMPRODUCT((RF!$A$2:$A$17=$A105)*(RFEmp=L$1)*(RF!$H$21:$AO$21="RF Valet"),RF!$H$2:$AO$17)</f>
        <v>0</v>
      </c>
      <c r="M105" s="250">
        <f>SUMPRODUCT((RF!$A$2:$A$17=$A105)*(RFEmp=M$1)*(RF!$H$21:$AO$21="RF Valet"),RF!$H$2:$AO$17)</f>
        <v>0</v>
      </c>
      <c r="N105" s="250">
        <f>SUMPRODUCT((RF!$A$2:$A$17=$A105)*(RFEmp=N$1)*(RF!$H$21:$AO$21="RF Valet"),RF!$H$2:$AO$17)</f>
        <v>0</v>
      </c>
      <c r="O105" s="250">
        <f>SUMPRODUCT((RF!$A$2:$A$17=$A105)*(RFEmp=O$1)*(RF!$H$21:$AO$21="RF Valet"),RF!$H$2:$AO$17)</f>
        <v>0</v>
      </c>
      <c r="P105" s="250">
        <f>SUMPRODUCT((RF!$A$2:$A$17=$A105)*(RFEmp=P$1)*(RF!$H$21:$AO$21="RF Valet"),RF!$H$2:$AO$17)</f>
        <v>0</v>
      </c>
      <c r="Q105" s="250">
        <f>SUMPRODUCT((RF!$A$2:$A$17=$A105)*(RFEmp=Q$1)*(RF!$H$21:$AO$21="RF Valet"),RF!$H$2:$AO$17)</f>
        <v>0</v>
      </c>
      <c r="R105" s="250">
        <f>SUMPRODUCT((RF!$A$2:$A$17=$A105)*(RFEmp=R$1)*(RF!$H$21:$AO$21="RF Valet"),RF!$H$2:$AO$17)</f>
        <v>0</v>
      </c>
      <c r="S105" s="250">
        <f>SUMPRODUCT((RF!$A$2:$A$17=$A105)*(RFEmp=S$1)*(RF!$H$21:$AO$21="RF Valet"),RF!$H$2:$AO$17)</f>
        <v>0</v>
      </c>
      <c r="T105" s="250">
        <f>SUMPRODUCT((RF!$A$2:$A$17=$A105)*(RFEmp=T$1)*(RF!$H$21:$AO$21="RF Valet"),RF!$H$2:$AO$17)</f>
        <v>0</v>
      </c>
      <c r="U105" s="250">
        <f>SUMPRODUCT((RF!$A$2:$A$17=$A105)*(RFEmp=U$1)*(RF!$H$21:$AO$21="RF Valet"),RF!$H$2:$AO$17)</f>
        <v>0</v>
      </c>
      <c r="V105" s="250">
        <f>SUMPRODUCT((RF!$A$2:$A$17=$A105)*(RFEmp=V$1)*(RF!$H$21:$AO$21="RF Valet"),RF!$H$2:$AO$17)</f>
        <v>0</v>
      </c>
      <c r="W105" s="250">
        <f>SUMPRODUCT((RF!$A$2:$A$17=$A105)*(RFEmp=W$1)*(RF!$H$21:$AO$21="RF Valet"),RF!$H$2:$AO$17)</f>
        <v>0</v>
      </c>
      <c r="X105" s="250">
        <f>SUMPRODUCT((RF!$A$2:$A$17=$A105)*(RFEmp=X$1)*(RF!$H$21:$AO$21="RF Valet"),RF!$H$2:$AO$17)</f>
        <v>0</v>
      </c>
      <c r="Y105" s="250">
        <f>SUMPRODUCT((RF!$A$2:$A$17=$A105)*(RFEmp=Y$1)*(RF!$H$21:$AO$21="RF Valet"),RF!$H$2:$AO$17)</f>
        <v>0</v>
      </c>
      <c r="Z105" s="250">
        <f>SUMPRODUCT((RF!$A$2:$A$17=$A105)*(RFEmp=Z$1)*(RF!$H$21:$AO$21="RF Valet"),RF!$H$2:$AO$17)</f>
        <v>0</v>
      </c>
      <c r="AA105" s="250">
        <f>SUMPRODUCT((RF!$A$2:$A$17=$A105)*(RFEmp=AA$1)*(RF!$H$21:$AO$21="RF Valet"),RF!$H$2:$AO$17)</f>
        <v>0</v>
      </c>
      <c r="AB105" s="250">
        <f>SUMPRODUCT((RF!$A$2:$A$17=$A105)*(RFEmp=AB$1)*(RF!$H$21:$AO$21="RF Valet"),RF!$H$2:$AO$17)</f>
        <v>0</v>
      </c>
      <c r="AC105" s="250">
        <f>SUMPRODUCT((RF!$A$2:$A$17=$A105)*(RFEmp=AC$1)*(RF!$H$21:$AO$21="RF Valet"),RF!$H$2:$AO$17)</f>
        <v>0</v>
      </c>
      <c r="AD105" s="250">
        <f>SUMPRODUCT((RF!$A$2:$A$17=$A105)*(RFEmp=AD$1)*(RF!$H$21:$AO$21="RF Valet"),RF!$H$2:$AO$17)</f>
        <v>0</v>
      </c>
      <c r="AE105" s="250">
        <f>SUMPRODUCT((RF!$A$2:$A$17=$A105)*(RFEmp=AE$1)*(RF!$H$21:$AO$21="RF Valet"),RF!$H$2:$AO$17)</f>
        <v>0</v>
      </c>
      <c r="AF105" s="250">
        <f>SUMPRODUCT((RF!$A$2:$A$17=$A105)*(RFEmp=AF$1)*(RF!$H$21:$AO$21="RF Valet"),RF!$H$2:$AO$17)</f>
        <v>0</v>
      </c>
      <c r="AG105" s="250">
        <f>SUMPRODUCT((RF!$A$2:$A$17=$A105)*(RFEmp=AG$1)*(RF!$H$21:$AO$21="RF Valet"),RF!$H$2:$AO$17)</f>
        <v>0</v>
      </c>
      <c r="AH105" s="250">
        <f>SUMPRODUCT((RF!$A$2:$A$17=$A105)*(RFEmp=AH$1)*(RF!$H$21:$AO$21="RF Valet"),RF!$H$2:$AO$17)</f>
        <v>0</v>
      </c>
      <c r="AI105" s="250">
        <f>SUMPRODUCT((RF!$A$2:$A$17=$A105)*(RFEmp=AI$1)*(RF!$H$21:$AO$21="RF Valet"),RF!$H$2:$AO$17)</f>
        <v>0</v>
      </c>
      <c r="AJ105" s="250">
        <f>SUMPRODUCT((RF!$A$2:$A$17=$A105)*(RFEmp=AJ$1)*(RF!$H$21:$AO$21="RF Valet"),RF!$H$2:$AO$17)</f>
        <v>0</v>
      </c>
      <c r="AK105" s="250">
        <f>SUMPRODUCT((RF!$A$2:$A$17=$A105)*(RFEmp=AK$1)*(RF!$H$21:$AO$21="RF Valet"),RF!$H$2:$AO$17)</f>
        <v>0</v>
      </c>
      <c r="AL105" s="250">
        <f>SUMPRODUCT((RF!$A$2:$A$17=$A105)*(RFEmp=AL$1)*(RF!$H$21:$AO$21="RF Valet"),RF!$H$2:$AO$17)</f>
        <v>0</v>
      </c>
      <c r="AM105" s="250">
        <f>SUMPRODUCT((RF!$A$2:$A$17=$A105)*(RFEmp=AM$1)*(RF!$H$21:$AO$21="RF Valet"),RF!$H$2:$AO$17)</f>
        <v>0</v>
      </c>
      <c r="AN105" s="250">
        <f>SUMPRODUCT((RF!$A$2:$A$17=$A105)*(RFEmp=AN$1)*(RF!$H$21:$AO$21="RF Valet"),RF!$H$2:$AO$17)</f>
        <v>0</v>
      </c>
      <c r="AO105" s="250">
        <f>SUMPRODUCT((RF!$A$2:$A$17=$A105)*(RFEmp=AO$1)*(RF!$H$21:$AO$21="RF Valet"),RF!$H$2:$AO$17)</f>
        <v>0</v>
      </c>
      <c r="AP105" s="250">
        <f>SUMPRODUCT((RF!$A$2:$A$17=$A105)*(RFEmp=AP$1)*(RF!$H$21:$AO$21="RF Valet"),RF!$H$2:$AO$17)</f>
        <v>0</v>
      </c>
      <c r="AQ105" s="250">
        <f>SUMPRODUCT((RF!$A$2:$A$17=$A105)*(RFEmp=AQ$1)*(RF!$H$21:$AO$21="RF Valet"),RF!$H$2:$AO$17)</f>
        <v>0</v>
      </c>
      <c r="AR105" s="496">
        <f>SUMPRODUCT((RF!$A$2:$A$17=$A105)*(RFEmp=AR$1)*(RF!$H$21:$AO$21="RF Valet"),RF!$H$2:$AO$17)</f>
        <v>0</v>
      </c>
    </row>
    <row r="106" spans="1:44" s="271" customFormat="1" x14ac:dyDescent="0.2">
      <c r="A106" s="247">
        <f>A105</f>
        <v>42470</v>
      </c>
      <c r="B106" s="255" t="s">
        <v>74</v>
      </c>
      <c r="C106" s="249">
        <f>SUMPRODUCT((TM!$A$2:$A$17=$A106)*(TMEmp=C$1),TM!$D$2:$AK$17)</f>
        <v>0</v>
      </c>
      <c r="D106" s="250">
        <f>SUMPRODUCT((TM!$A$2:$A$17=$A106)*(TMEmp=D$1),TM!$D$2:$AK$17)</f>
        <v>0</v>
      </c>
      <c r="E106" s="250">
        <f>SUMPRODUCT((TM!$A$2:$A$17=$A106)*(TMEmp=E$1),TM!$D$2:$AK$17)</f>
        <v>0</v>
      </c>
      <c r="F106" s="250">
        <f>SUMPRODUCT((TM!$A$2:$A$17=$A106)*(TMEmp=F$1),TM!$D$2:$AK$17)</f>
        <v>0</v>
      </c>
      <c r="G106" s="250">
        <f>SUMPRODUCT((TM!$A$2:$A$17=$A106)*(TMEmp=G$1),TM!$D$2:$AK$17)</f>
        <v>0</v>
      </c>
      <c r="H106" s="250">
        <f>SUMPRODUCT((TM!$A$2:$A$17=$A106)*(TMEmp=H$1),TM!$D$2:$AK$17)</f>
        <v>0</v>
      </c>
      <c r="I106" s="250">
        <f>SUMPRODUCT((TM!$A$2:$A$17=$A106)*(TMEmp=I$1),TM!$D$2:$AK$17)</f>
        <v>0</v>
      </c>
      <c r="J106" s="250">
        <f>SUMPRODUCT((TM!$A$2:$A$17=$A106)*(TMEmp=J$1),TM!$D$2:$AK$17)</f>
        <v>0</v>
      </c>
      <c r="K106" s="250">
        <f>SUMPRODUCT((TM!$A$2:$A$17=$A106)*(TMEmp=K$1),TM!$D$2:$AK$17)</f>
        <v>0</v>
      </c>
      <c r="L106" s="250">
        <f>SUMPRODUCT((TM!$A$2:$A$17=$A106)*(TMEmp=L$1),TM!$D$2:$AK$17)</f>
        <v>0</v>
      </c>
      <c r="M106" s="250">
        <f>SUMPRODUCT((TM!$A$2:$A$17=$A106)*(TMEmp=M$1),TM!$D$2:$AK$17)</f>
        <v>0</v>
      </c>
      <c r="N106" s="250">
        <f>SUMPRODUCT((TM!$A$2:$A$17=$A106)*(TMEmp=N$1),TM!$D$2:$AK$17)</f>
        <v>0</v>
      </c>
      <c r="O106" s="250">
        <f>SUMPRODUCT((TM!$A$2:$A$17=$A106)*(TMEmp=O$1),TM!$D$2:$AK$17)</f>
        <v>0</v>
      </c>
      <c r="P106" s="250">
        <f>SUMPRODUCT((TM!$A$2:$A$17=$A106)*(TMEmp=P$1),TM!$D$2:$AK$17)</f>
        <v>0</v>
      </c>
      <c r="Q106" s="250">
        <f>SUMPRODUCT((TM!$A$2:$A$17=$A106)*(TMEmp=Q$1),TM!$D$2:$AK$17)</f>
        <v>0</v>
      </c>
      <c r="R106" s="250">
        <f>SUMPRODUCT((TM!$A$2:$A$17=$A106)*(TMEmp=R$1),TM!$D$2:$AK$17)</f>
        <v>0</v>
      </c>
      <c r="S106" s="250">
        <f>SUMPRODUCT((TM!$A$2:$A$17=$A106)*(TMEmp=S$1),TM!$D$2:$AK$17)</f>
        <v>0</v>
      </c>
      <c r="T106" s="250">
        <f>SUMPRODUCT((TM!$A$2:$A$17=$A106)*(TMEmp=T$1),TM!$D$2:$AK$17)</f>
        <v>0</v>
      </c>
      <c r="U106" s="250">
        <f>SUMPRODUCT((TM!$A$2:$A$17=$A106)*(TMEmp=U$1),TM!$D$2:$AK$17)</f>
        <v>0</v>
      </c>
      <c r="V106" s="250">
        <f>SUMPRODUCT((TM!$A$2:$A$17=$A106)*(TMEmp=V$1),TM!$D$2:$AK$17)</f>
        <v>0</v>
      </c>
      <c r="W106" s="250">
        <f>SUMPRODUCT((TM!$A$2:$A$17=$A106)*(TMEmp=W$1),TM!$D$2:$AK$17)</f>
        <v>0</v>
      </c>
      <c r="X106" s="250">
        <f>SUMPRODUCT((TM!$A$2:$A$17=$A106)*(TMEmp=X$1),TM!$D$2:$AK$17)</f>
        <v>0</v>
      </c>
      <c r="Y106" s="250">
        <f>SUMPRODUCT((TM!$A$2:$A$17=$A106)*(TMEmp=Y$1),TM!$D$2:$AK$17)</f>
        <v>0</v>
      </c>
      <c r="Z106" s="250">
        <f>SUMPRODUCT((TM!$A$2:$A$17=$A106)*(TMEmp=Z$1),TM!$D$2:$AK$17)</f>
        <v>0</v>
      </c>
      <c r="AA106" s="250">
        <f>SUMPRODUCT((TM!$A$2:$A$17=$A106)*(TMEmp=AA$1),TM!$D$2:$AK$17)</f>
        <v>0</v>
      </c>
      <c r="AB106" s="250">
        <f>SUMPRODUCT((TM!$A$2:$A$17=$A106)*(TMEmp=AB$1),TM!$D$2:$AK$17)</f>
        <v>0</v>
      </c>
      <c r="AC106" s="250">
        <f>SUMPRODUCT((TM!$A$2:$A$17=$A106)*(TMEmp=AC$1),TM!$D$2:$AK$17)</f>
        <v>0</v>
      </c>
      <c r="AD106" s="250">
        <f>SUMPRODUCT((TM!$A$2:$A$17=$A106)*(TMEmp=AD$1),TM!$D$2:$AK$17)</f>
        <v>0</v>
      </c>
      <c r="AE106" s="250">
        <f>SUMPRODUCT((TM!$A$2:$A$17=$A106)*(TMEmp=AE$1),TM!$D$2:$AK$17)</f>
        <v>0</v>
      </c>
      <c r="AF106" s="250">
        <f>SUMPRODUCT((TM!$A$2:$A$17=$A106)*(TMEmp=AF$1),TM!$D$2:$AK$17)</f>
        <v>0</v>
      </c>
      <c r="AG106" s="250">
        <f>SUMPRODUCT((TM!$A$2:$A$17=$A106)*(TMEmp=AG$1),TM!$D$2:$AK$17)</f>
        <v>0</v>
      </c>
      <c r="AH106" s="250">
        <f>SUMPRODUCT((TM!$A$2:$A$17=$A106)*(TMEmp=AH$1),TM!$D$2:$AK$17)</f>
        <v>0</v>
      </c>
      <c r="AI106" s="250">
        <f>SUMPRODUCT((TM!$A$2:$A$17=$A106)*(TMEmp=AI$1),TM!$D$2:$AK$17)</f>
        <v>0</v>
      </c>
      <c r="AJ106" s="250">
        <f>SUMPRODUCT((TM!$A$2:$A$17=$A106)*(TMEmp=AJ$1),TM!$D$2:$AK$17)</f>
        <v>0</v>
      </c>
      <c r="AK106" s="250">
        <f>SUMPRODUCT((TM!$A$2:$A$17=$A106)*(TMEmp=AK$1),TM!$D$2:$AK$17)</f>
        <v>0</v>
      </c>
      <c r="AL106" s="250">
        <f>SUMPRODUCT((TM!$A$2:$A$17=$A106)*(TMEmp=AL$1),TM!$D$2:$AK$17)</f>
        <v>0</v>
      </c>
      <c r="AM106" s="250">
        <f>SUMPRODUCT((TM!$A$2:$A$17=$A106)*(TMEmp=AM$1),TM!$D$2:$AK$17)</f>
        <v>0</v>
      </c>
      <c r="AN106" s="250">
        <f>SUMPRODUCT((TM!$A$2:$A$17=$A106)*(TMEmp=AN$1),TM!$D$2:$AK$17)</f>
        <v>0</v>
      </c>
      <c r="AO106" s="250">
        <f>SUMPRODUCT((TM!$A$2:$A$17=$A106)*(TMEmp=AO$1),TM!$D$2:$AK$17)</f>
        <v>0</v>
      </c>
      <c r="AP106" s="250">
        <f>SUMPRODUCT((TM!$A$2:$A$17=$A106)*(TMEmp=AP$1),TM!$D$2:$AK$17)</f>
        <v>0</v>
      </c>
      <c r="AQ106" s="250">
        <f>SUMPRODUCT((TM!$A$2:$A$17=$A106)*(TMEmp=AQ$1),TM!$D$2:$AK$17)</f>
        <v>0</v>
      </c>
      <c r="AR106" s="496">
        <f>SUMPRODUCT((TM!$A$2:$A$17=$A106)*(TMEmp=AR$1),TM!$D$2:$AK$17)</f>
        <v>0</v>
      </c>
    </row>
    <row r="107" spans="1:44" s="271" customFormat="1" x14ac:dyDescent="0.2">
      <c r="A107" s="256">
        <f t="shared" si="63"/>
        <v>42470</v>
      </c>
      <c r="B107" s="257" t="s">
        <v>72</v>
      </c>
      <c r="C107" s="258">
        <f>SUMPRODUCT((PC!$A$2:$A$80=$A107)*(PCEmp=C$1),PC!$D$2:$BD$80)</f>
        <v>0</v>
      </c>
      <c r="D107" s="259">
        <f>SUMPRODUCT((PC!$A$2:$A$80=$A107)*(PCEmp=D$1),PC!$D$2:$BD$80)</f>
        <v>0</v>
      </c>
      <c r="E107" s="259">
        <f>SUMPRODUCT((PC!$A$2:$A$80=$A107)*(PCEmp=E$1),PC!$D$2:$BD$80)</f>
        <v>0</v>
      </c>
      <c r="F107" s="259">
        <f>SUMPRODUCT((PC!$A$2:$A$80=$A107)*(PCEmp=F$1),PC!$D$2:$BD$80)</f>
        <v>0</v>
      </c>
      <c r="G107" s="259">
        <f>SUMPRODUCT((PC!$A$2:$A$80=$A107)*(PCEmp=G$1),PC!$D$2:$BD$80)</f>
        <v>0</v>
      </c>
      <c r="H107" s="259">
        <f>SUMPRODUCT((PC!$A$2:$A$80=$A107)*(PCEmp=H$1),PC!$D$2:$BD$80)</f>
        <v>0</v>
      </c>
      <c r="I107" s="259">
        <f>SUMPRODUCT((PC!$A$2:$A$80=$A107)*(PCEmp=I$1),PC!$D$2:$BD$80)</f>
        <v>0</v>
      </c>
      <c r="J107" s="259">
        <f>SUMPRODUCT((PC!$A$2:$A$80=$A107)*(PCEmp=J$1),PC!$D$2:$BD$80)</f>
        <v>0</v>
      </c>
      <c r="K107" s="259">
        <f>SUMPRODUCT((PC!$A$2:$A$80=$A107)*(PCEmp=K$1),PC!$D$2:$BD$80)</f>
        <v>0</v>
      </c>
      <c r="L107" s="259">
        <f>SUMPRODUCT((PC!$A$2:$A$80=$A107)*(PCEmp=L$1),PC!$D$2:$BD$80)</f>
        <v>0</v>
      </c>
      <c r="M107" s="259">
        <f>SUMPRODUCT((PC!$A$2:$A$80=$A107)*(PCEmp=M$1),PC!$D$2:$BD$80)</f>
        <v>0</v>
      </c>
      <c r="N107" s="259">
        <f>SUMPRODUCT((PC!$A$2:$A$80=$A107)*(PCEmp=N$1),PC!$D$2:$BD$80)</f>
        <v>0</v>
      </c>
      <c r="O107" s="259">
        <f>SUMPRODUCT((PC!$A$2:$A$80=$A107)*(PCEmp=O$1),PC!$D$2:$BD$80)</f>
        <v>0</v>
      </c>
      <c r="P107" s="259">
        <f>SUMPRODUCT((PC!$A$2:$A$80=$A107)*(PCEmp=P$1),PC!$D$2:$BD$80)</f>
        <v>0</v>
      </c>
      <c r="Q107" s="259">
        <f>SUMPRODUCT((PC!$A$2:$A$80=$A107)*(PCEmp=Q$1),PC!$D$2:$BD$80)</f>
        <v>0</v>
      </c>
      <c r="R107" s="259">
        <f>SUMPRODUCT((PC!$A$2:$A$80=$A107)*(PCEmp=R$1),PC!$D$2:$BD$80)</f>
        <v>0</v>
      </c>
      <c r="S107" s="259">
        <f>SUMPRODUCT((PC!$A$2:$A$80=$A107)*(PCEmp=S$1),PC!$D$2:$BD$80)</f>
        <v>0</v>
      </c>
      <c r="T107" s="259">
        <f>SUMPRODUCT((PC!$A$2:$A$80=$A107)*(PCEmp=T$1),PC!$D$2:$BD$80)</f>
        <v>0</v>
      </c>
      <c r="U107" s="259">
        <f>SUMPRODUCT((PC!$A$2:$A$80=$A107)*(PCEmp=U$1),PC!$D$2:$BD$80)</f>
        <v>0</v>
      </c>
      <c r="V107" s="259">
        <f>SUMPRODUCT((PC!$A$2:$A$80=$A107)*(PCEmp=V$1),PC!$D$2:$BD$80)</f>
        <v>0</v>
      </c>
      <c r="W107" s="259">
        <f>SUMPRODUCT((PC!$A$2:$A$80=$A107)*(PCEmp=W$1),PC!$D$2:$BD$80)</f>
        <v>0</v>
      </c>
      <c r="X107" s="259">
        <f>SUMPRODUCT((PC!$A$2:$A$80=$A107)*(PCEmp=X$1),PC!$D$2:$BD$80)</f>
        <v>0</v>
      </c>
      <c r="Y107" s="259">
        <f>SUMPRODUCT((PC!$A$2:$A$80=$A107)*(PCEmp=Y$1),PC!$D$2:$BD$80)</f>
        <v>0</v>
      </c>
      <c r="Z107" s="259">
        <f>SUMPRODUCT((PC!$A$2:$A$80=$A107)*(PCEmp=Z$1),PC!$D$2:$BD$80)</f>
        <v>0</v>
      </c>
      <c r="AA107" s="259">
        <f>SUMPRODUCT((PC!$A$2:$A$80=$A107)*(PCEmp=AA$1),PC!$D$2:$BD$80)</f>
        <v>0</v>
      </c>
      <c r="AB107" s="259">
        <f>SUMPRODUCT((PC!$A$2:$A$80=$A107)*(PCEmp=AB$1),PC!$D$2:$BD$80)</f>
        <v>0</v>
      </c>
      <c r="AC107" s="259">
        <f>SUMPRODUCT((PC!$A$2:$A$80=$A107)*(PCEmp=AC$1),PC!$D$2:$BD$80)</f>
        <v>0</v>
      </c>
      <c r="AD107" s="259">
        <f>SUMPRODUCT((PC!$A$2:$A$80=$A107)*(PCEmp=AD$1),PC!$D$2:$BD$80)</f>
        <v>0</v>
      </c>
      <c r="AE107" s="259">
        <f>SUMPRODUCT((PC!$A$2:$A$80=$A107)*(PCEmp=AE$1),PC!$D$2:$BD$80)</f>
        <v>0</v>
      </c>
      <c r="AF107" s="259">
        <f>SUMPRODUCT((PC!$A$2:$A$80=$A107)*(PCEmp=AF$1),PC!$D$2:$BD$80)</f>
        <v>0</v>
      </c>
      <c r="AG107" s="259">
        <f>SUMPRODUCT((PC!$A$2:$A$80=$A107)*(PCEmp=AG$1),PC!$D$2:$BD$80)</f>
        <v>0</v>
      </c>
      <c r="AH107" s="259">
        <f>SUMPRODUCT((PC!$A$2:$A$80=$A107)*(PCEmp=AH$1),PC!$D$2:$BD$80)</f>
        <v>0</v>
      </c>
      <c r="AI107" s="259">
        <f>SUMPRODUCT((PC!$A$2:$A$80=$A107)*(PCEmp=AI$1),PC!$D$2:$BD$80)</f>
        <v>0</v>
      </c>
      <c r="AJ107" s="259">
        <f>SUMPRODUCT((PC!$A$2:$A$80=$A107)*(PCEmp=AJ$1),PC!$D$2:$BD$80)</f>
        <v>0</v>
      </c>
      <c r="AK107" s="259">
        <f>SUMPRODUCT((PC!$A$2:$A$80=$A107)*(PCEmp=AK$1),PC!$D$2:$BD$80)</f>
        <v>0</v>
      </c>
      <c r="AL107" s="259">
        <f>SUMPRODUCT((PC!$A$2:$A$80=$A107)*(PCEmp=AL$1),PC!$D$2:$BD$80)</f>
        <v>0</v>
      </c>
      <c r="AM107" s="259">
        <f>SUMPRODUCT((PC!$A$2:$A$80=$A107)*(PCEmp=AM$1),PC!$D$2:$BD$80)</f>
        <v>0</v>
      </c>
      <c r="AN107" s="259">
        <f>SUMPRODUCT((PC!$A$2:$A$80=$A107)*(PCEmp=AN$1),PC!$D$2:$BD$80)</f>
        <v>0</v>
      </c>
      <c r="AO107" s="259">
        <f>SUMPRODUCT((PC!$A$2:$A$80=$A107)*(PCEmp=AO$1),PC!$D$2:$BD$80)</f>
        <v>0</v>
      </c>
      <c r="AP107" s="259">
        <f>SUMPRODUCT((PC!$A$2:$A$80=$A107)*(PCEmp=AP$1),PC!$D$2:$BD$80)</f>
        <v>0</v>
      </c>
      <c r="AQ107" s="259">
        <f>SUMPRODUCT((PC!$A$2:$A$80=$A107)*(PCEmp=AQ$1),PC!$D$2:$BD$80)</f>
        <v>0</v>
      </c>
      <c r="AR107" s="497">
        <f>SUMPRODUCT((PC!$A$2:$A$80=$A107)*(PCEmp=AR$1),PC!$D$2:$BD$80)</f>
        <v>0</v>
      </c>
    </row>
    <row r="108" spans="1:44" s="271" customFormat="1" x14ac:dyDescent="0.2">
      <c r="A108" s="247">
        <f t="shared" si="63"/>
        <v>42470</v>
      </c>
      <c r="B108" s="254" t="s">
        <v>85</v>
      </c>
      <c r="C108" s="249">
        <f>SUMPRODUCT((RF!$A$2:$A$17=$A108)*(RFEmp=C$1)*(RF!$H$21:$AO$21="RF Lead"),RF!$H$2:$AO$17)</f>
        <v>0</v>
      </c>
      <c r="D108" s="250">
        <f>SUMPRODUCT((RF!$A$2:$A$17=$A108)*(RFEmp=D$1)*(RF!$H$21:$AO$21="RF Lead"),RF!$H$2:$AO$17)</f>
        <v>0</v>
      </c>
      <c r="E108" s="250">
        <f>SUMPRODUCT((RF!$A$2:$A$17=$A108)*(RFEmp=E$1)*(RF!$H$21:$AO$21="RF Lead"),RF!$H$2:$AO$17)</f>
        <v>0</v>
      </c>
      <c r="F108" s="250">
        <f>SUMPRODUCT((RF!$A$2:$A$17=$A108)*(RFEmp=F$1)*(RF!$H$21:$AO$21="RF Lead"),RF!$H$2:$AO$17)</f>
        <v>0</v>
      </c>
      <c r="G108" s="250">
        <f>SUMPRODUCT((RF!$A$2:$A$17=$A108)*(RFEmp=G$1)*(RF!$H$21:$AO$21="RF Lead"),RF!$H$2:$AO$17)</f>
        <v>0</v>
      </c>
      <c r="H108" s="250">
        <f>SUMPRODUCT((RF!$A$2:$A$17=$A108)*(RFEmp=H$1)*(RF!$H$21:$AO$21="RF Lead"),RF!$H$2:$AO$17)</f>
        <v>0</v>
      </c>
      <c r="I108" s="250">
        <f>SUMPRODUCT((RF!$A$2:$A$17=$A108)*(RFEmp=I$1)*(RF!$H$21:$AO$21="RF Lead"),RF!$H$2:$AO$17)</f>
        <v>0</v>
      </c>
      <c r="J108" s="250">
        <f>SUMPRODUCT((RF!$A$2:$A$17=$A108)*(RFEmp=J$1)*(RF!$H$21:$AO$21="RF Lead"),RF!$H$2:$AO$17)</f>
        <v>0</v>
      </c>
      <c r="K108" s="250">
        <f>SUMPRODUCT((RF!$A$2:$A$17=$A108)*(RFEmp=K$1)*(RF!$H$21:$AO$21="RF Lead"),RF!$H$2:$AO$17)</f>
        <v>0</v>
      </c>
      <c r="L108" s="250">
        <f>SUMPRODUCT((RF!$A$2:$A$17=$A108)*(RFEmp=L$1)*(RF!$H$21:$AO$21="RF Lead"),RF!$H$2:$AO$17)</f>
        <v>0</v>
      </c>
      <c r="M108" s="250">
        <f>SUMPRODUCT((RF!$A$2:$A$17=$A108)*(RFEmp=M$1)*(RF!$H$21:$AO$21="RF Lead"),RF!$H$2:$AO$17)</f>
        <v>0</v>
      </c>
      <c r="N108" s="250">
        <f>SUMPRODUCT((RF!$A$2:$A$17=$A108)*(RFEmp=N$1)*(RF!$H$21:$AO$21="RF Lead"),RF!$H$2:$AO$17)</f>
        <v>0</v>
      </c>
      <c r="O108" s="250">
        <f>SUMPRODUCT((RF!$A$2:$A$17=$A108)*(RFEmp=O$1)*(RF!$H$21:$AO$21="RF Lead"),RF!$H$2:$AO$17)</f>
        <v>0</v>
      </c>
      <c r="P108" s="250">
        <f>SUMPRODUCT((RF!$A$2:$A$17=$A108)*(RFEmp=P$1)*(RF!$H$21:$AO$21="RF Lead"),RF!$H$2:$AO$17)</f>
        <v>0</v>
      </c>
      <c r="Q108" s="250">
        <f>SUMPRODUCT((RF!$A$2:$A$17=$A108)*(RFEmp=Q$1)*(RF!$H$21:$AO$21="RF Lead"),RF!$H$2:$AO$17)</f>
        <v>0</v>
      </c>
      <c r="R108" s="250">
        <f>SUMPRODUCT((RF!$A$2:$A$17=$A108)*(RFEmp=R$1)*(RF!$H$21:$AO$21="RF Lead"),RF!$H$2:$AO$17)</f>
        <v>0</v>
      </c>
      <c r="S108" s="250">
        <f>SUMPRODUCT((RF!$A$2:$A$17=$A108)*(RFEmp=S$1)*(RF!$H$21:$AO$21="RF Lead"),RF!$H$2:$AO$17)</f>
        <v>0</v>
      </c>
      <c r="T108" s="250">
        <f>SUMPRODUCT((RF!$A$2:$A$17=$A108)*(RFEmp=T$1)*(RF!$H$21:$AO$21="RF Lead"),RF!$H$2:$AO$17)</f>
        <v>0</v>
      </c>
      <c r="U108" s="250">
        <f>SUMPRODUCT((RF!$A$2:$A$17=$A108)*(RFEmp=U$1)*(RF!$H$21:$AO$21="RF Lead"),RF!$H$2:$AO$17)</f>
        <v>0</v>
      </c>
      <c r="V108" s="250">
        <f>SUMPRODUCT((RF!$A$2:$A$17=$A108)*(RFEmp=V$1)*(RF!$H$21:$AO$21="RF Lead"),RF!$H$2:$AO$17)</f>
        <v>0</v>
      </c>
      <c r="W108" s="250">
        <f>SUMPRODUCT((RF!$A$2:$A$17=$A108)*(RFEmp=W$1)*(RF!$H$21:$AO$21="RF Lead"),RF!$H$2:$AO$17)</f>
        <v>0</v>
      </c>
      <c r="X108" s="250">
        <f>SUMPRODUCT((RF!$A$2:$A$17=$A108)*(RFEmp=X$1)*(RF!$H$21:$AO$21="RF Lead"),RF!$H$2:$AO$17)</f>
        <v>0</v>
      </c>
      <c r="Y108" s="250">
        <f>SUMPRODUCT((RF!$A$2:$A$17=$A108)*(RFEmp=Y$1)*(RF!$H$21:$AO$21="RF Lead"),RF!$H$2:$AO$17)</f>
        <v>0</v>
      </c>
      <c r="Z108" s="250">
        <f>SUMPRODUCT((RF!$A$2:$A$17=$A108)*(RFEmp=Z$1)*(RF!$H$21:$AO$21="RF Lead"),RF!$H$2:$AO$17)</f>
        <v>0</v>
      </c>
      <c r="AA108" s="250">
        <f>SUMPRODUCT((RF!$A$2:$A$17=$A108)*(RFEmp=AA$1)*(RF!$H$21:$AO$21="RF Lead"),RF!$H$2:$AO$17)</f>
        <v>0</v>
      </c>
      <c r="AB108" s="250">
        <f>SUMPRODUCT((RF!$A$2:$A$17=$A108)*(RFEmp=AB$1)*(RF!$H$21:$AO$21="RF Lead"),RF!$H$2:$AO$17)</f>
        <v>0</v>
      </c>
      <c r="AC108" s="250">
        <f>SUMPRODUCT((RF!$A$2:$A$17=$A108)*(RFEmp=AC$1)*(RF!$H$21:$AO$21="RF Lead"),RF!$H$2:$AO$17)</f>
        <v>0</v>
      </c>
      <c r="AD108" s="250">
        <f>SUMPRODUCT((RF!$A$2:$A$17=$A108)*(RFEmp=AD$1)*(RF!$H$21:$AO$21="RF Lead"),RF!$H$2:$AO$17)</f>
        <v>0</v>
      </c>
      <c r="AE108" s="250">
        <f>SUMPRODUCT((RF!$A$2:$A$17=$A108)*(RFEmp=AE$1)*(RF!$H$21:$AO$21="RF Lead"),RF!$H$2:$AO$17)</f>
        <v>0</v>
      </c>
      <c r="AF108" s="250">
        <f>SUMPRODUCT((RF!$A$2:$A$17=$A108)*(RFEmp=AF$1)*(RF!$H$21:$AO$21="RF Lead"),RF!$H$2:$AO$17)</f>
        <v>0</v>
      </c>
      <c r="AG108" s="250">
        <f>SUMPRODUCT((RF!$A$2:$A$17=$A108)*(RFEmp=AG$1)*(RF!$H$21:$AO$21="RF Lead"),RF!$H$2:$AO$17)</f>
        <v>0</v>
      </c>
      <c r="AH108" s="250">
        <f>SUMPRODUCT((RF!$A$2:$A$17=$A108)*(RFEmp=AH$1)*(RF!$H$21:$AO$21="RF Lead"),RF!$H$2:$AO$17)</f>
        <v>0</v>
      </c>
      <c r="AI108" s="250">
        <f>SUMPRODUCT((RF!$A$2:$A$17=$A108)*(RFEmp=AI$1)*(RF!$H$21:$AO$21="RF Lead"),RF!$H$2:$AO$17)</f>
        <v>0</v>
      </c>
      <c r="AJ108" s="250">
        <f>SUMPRODUCT((RF!$A$2:$A$17=$A108)*(RFEmp=AJ$1)*(RF!$H$21:$AO$21="RF Lead"),RF!$H$2:$AO$17)</f>
        <v>0</v>
      </c>
      <c r="AK108" s="250">
        <f>SUMPRODUCT((RF!$A$2:$A$17=$A108)*(RFEmp=AK$1)*(RF!$H$21:$AO$21="RF Lead"),RF!$H$2:$AO$17)</f>
        <v>0</v>
      </c>
      <c r="AL108" s="250">
        <f>SUMPRODUCT((RF!$A$2:$A$17=$A108)*(RFEmp=AL$1)*(RF!$H$21:$AO$21="RF Lead"),RF!$H$2:$AO$17)</f>
        <v>0</v>
      </c>
      <c r="AM108" s="250">
        <f>SUMPRODUCT((RF!$A$2:$A$17=$A108)*(RFEmp=AM$1)*(RF!$H$21:$AO$21="RF Lead"),RF!$H$2:$AO$17)</f>
        <v>0</v>
      </c>
      <c r="AN108" s="250">
        <f>SUMPRODUCT((RF!$A$2:$A$17=$A108)*(RFEmp=AN$1)*(RF!$H$21:$AO$21="RF Lead"),RF!$H$2:$AO$17)</f>
        <v>0</v>
      </c>
      <c r="AO108" s="250">
        <f>SUMPRODUCT((RF!$A$2:$A$17=$A108)*(RFEmp=AO$1)*(RF!$H$21:$AO$21="RF Lead"),RF!$H$2:$AO$17)</f>
        <v>0</v>
      </c>
      <c r="AP108" s="250">
        <f>SUMPRODUCT((RF!$A$2:$A$17=$A108)*(RFEmp=AP$1)*(RF!$H$21:$AO$21="RF Lead"),RF!$H$2:$AO$17)</f>
        <v>0</v>
      </c>
      <c r="AQ108" s="250">
        <f>SUMPRODUCT((RF!$A$2:$A$17=$A108)*(RFEmp=AQ$1)*(RF!$H$21:$AO$21="RF Lead"),RF!$H$2:$AO$17)</f>
        <v>0</v>
      </c>
      <c r="AR108" s="496">
        <f>SUMPRODUCT((RF!$A$2:$A$17=$A108)*(RFEmp=AR$1)*(RF!$H$21:$AO$21="RF Lead"),RF!$H$2:$AO$17)</f>
        <v>0</v>
      </c>
    </row>
    <row r="109" spans="1:44" s="271" customFormat="1" x14ac:dyDescent="0.2">
      <c r="A109" s="260">
        <f t="shared" si="63"/>
        <v>42470</v>
      </c>
      <c r="B109" s="261" t="str">
        <f>Total!$M$1</f>
        <v>SC</v>
      </c>
      <c r="C109" s="249">
        <f>SUMPRODUCT((SC!$A$2:$A$34=$A109)*(SCEmp=C$1),SC!$F$2:$Z$34)</f>
        <v>0</v>
      </c>
      <c r="D109" s="250">
        <f>SUMPRODUCT((SC!$A$2:$A$34=$A109)*(SCEmp=D$1),SC!$F$2:$Z$34)</f>
        <v>0</v>
      </c>
      <c r="E109" s="250">
        <f>SUMPRODUCT((SC!$A$2:$A$34=$A109)*(SCEmp=E$1),SC!$F$2:$Z$34)</f>
        <v>0</v>
      </c>
      <c r="F109" s="250">
        <f>SUMPRODUCT((SC!$A$2:$A$34=$A109)*(SCEmp=F$1),SC!$F$2:$Z$34)</f>
        <v>0</v>
      </c>
      <c r="G109" s="250">
        <f>SUMPRODUCT((SC!$A$2:$A$34=$A109)*(SCEmp=G$1),SC!$F$2:$Z$34)</f>
        <v>0</v>
      </c>
      <c r="H109" s="250">
        <f>SUMPRODUCT((SC!$A$2:$A$34=$A109)*(SCEmp=H$1),SC!$F$2:$Z$34)</f>
        <v>0</v>
      </c>
      <c r="I109" s="250">
        <f>SUMPRODUCT((SC!$A$2:$A$34=$A109)*(SCEmp=I$1),SC!$F$2:$Z$34)</f>
        <v>0</v>
      </c>
      <c r="J109" s="250">
        <f>SUMPRODUCT((SC!$A$2:$A$34=$A109)*(SCEmp=J$1),SC!$F$2:$Z$34)</f>
        <v>0</v>
      </c>
      <c r="K109" s="250">
        <f>SUMPRODUCT((SC!$A$2:$A$34=$A109)*(SCEmp=K$1),SC!$F$2:$Z$34)</f>
        <v>0</v>
      </c>
      <c r="L109" s="250">
        <f>SUMPRODUCT((SC!$A$2:$A$34=$A109)*(SCEmp=L$1),SC!$F$2:$Z$34)</f>
        <v>0</v>
      </c>
      <c r="M109" s="250">
        <f>SUMPRODUCT((SC!$A$2:$A$34=$A109)*(SCEmp=M$1),SC!$F$2:$Z$34)</f>
        <v>0</v>
      </c>
      <c r="N109" s="250">
        <f>SUMPRODUCT((SC!$A$2:$A$34=$A109)*(SCEmp=N$1),SC!$F$2:$Z$34)</f>
        <v>0</v>
      </c>
      <c r="O109" s="250">
        <f>SUMPRODUCT((SC!$A$2:$A$34=$A109)*(SCEmp=O$1),SC!$F$2:$Z$34)</f>
        <v>0</v>
      </c>
      <c r="P109" s="250">
        <f>SUMPRODUCT((SC!$A$2:$A$34=$A109)*(SCEmp=P$1),SC!$F$2:$Z$34)</f>
        <v>0</v>
      </c>
      <c r="Q109" s="250">
        <f>SUMPRODUCT((SC!$A$2:$A$34=$A109)*(SCEmp=Q$1),SC!$F$2:$Z$34)</f>
        <v>0</v>
      </c>
      <c r="R109" s="250">
        <f>SUMPRODUCT((SC!$A$2:$A$34=$A109)*(SCEmp=R$1),SC!$F$2:$Z$34)</f>
        <v>0</v>
      </c>
      <c r="S109" s="250">
        <f>SUMPRODUCT((SC!$A$2:$A$34=$A109)*(SCEmp=S$1),SC!$F$2:$Z$34)</f>
        <v>0</v>
      </c>
      <c r="T109" s="250">
        <f>SUMPRODUCT((SC!$A$2:$A$34=$A109)*(SCEmp=T$1),SC!$F$2:$Z$34)</f>
        <v>0</v>
      </c>
      <c r="U109" s="250">
        <f>SUMPRODUCT((SC!$A$2:$A$34=$A109)*(SCEmp=U$1),SC!$F$2:$Z$34)</f>
        <v>0</v>
      </c>
      <c r="V109" s="250">
        <f>SUMPRODUCT((SC!$A$2:$A$34=$A109)*(SCEmp=V$1),SC!$F$2:$Z$34)</f>
        <v>0</v>
      </c>
      <c r="W109" s="250">
        <f>SUMPRODUCT((SC!$A$2:$A$34=$A109)*(SCEmp=W$1),SC!$F$2:$Z$34)</f>
        <v>0</v>
      </c>
      <c r="X109" s="250">
        <f>SUMPRODUCT((SC!$A$2:$A$34=$A109)*(SCEmp=X$1),SC!$F$2:$Z$34)</f>
        <v>0</v>
      </c>
      <c r="Y109" s="250">
        <f>SUMPRODUCT((SC!$A$2:$A$34=$A109)*(SCEmp=Y$1),SC!$F$2:$Z$34)</f>
        <v>0</v>
      </c>
      <c r="Z109" s="250">
        <f>SUMPRODUCT((SC!$A$2:$A$34=$A109)*(SCEmp=Z$1),SC!$F$2:$Z$34)</f>
        <v>0</v>
      </c>
      <c r="AA109" s="250">
        <f>SUMPRODUCT((SC!$A$2:$A$34=$A109)*(SCEmp=AA$1),SC!$F$2:$Z$34)</f>
        <v>0</v>
      </c>
      <c r="AB109" s="250">
        <f>SUMPRODUCT((SC!$A$2:$A$34=$A109)*(SCEmp=AB$1),SC!$F$2:$Z$34)</f>
        <v>0</v>
      </c>
      <c r="AC109" s="250">
        <f>SUMPRODUCT((SC!$A$2:$A$34=$A109)*(SCEmp=AC$1),SC!$F$2:$Z$34)</f>
        <v>0</v>
      </c>
      <c r="AD109" s="250">
        <f>SUMPRODUCT((SC!$A$2:$A$34=$A109)*(SCEmp=AD$1),SC!$F$2:$Z$34)</f>
        <v>0</v>
      </c>
      <c r="AE109" s="250">
        <f>SUMPRODUCT((SC!$A$2:$A$34=$A109)*(SCEmp=AE$1),SC!$F$2:$Z$34)</f>
        <v>0</v>
      </c>
      <c r="AF109" s="250">
        <f>SUMPRODUCT((SC!$A$2:$A$34=$A109)*(SCEmp=AF$1),SC!$F$2:$Z$34)</f>
        <v>0</v>
      </c>
      <c r="AG109" s="250">
        <f>SUMPRODUCT((SC!$A$2:$A$34=$A109)*(SCEmp=AG$1),SC!$F$2:$Z$34)</f>
        <v>0</v>
      </c>
      <c r="AH109" s="250">
        <f>SUMPRODUCT((SC!$A$2:$A$34=$A109)*(SCEmp=AH$1),SC!$F$2:$Z$34)</f>
        <v>0</v>
      </c>
      <c r="AI109" s="250">
        <f>SUMPRODUCT((SC!$A$2:$A$34=$A109)*(SCEmp=AI$1),SC!$F$2:$Z$34)</f>
        <v>0</v>
      </c>
      <c r="AJ109" s="250">
        <f>SUMPRODUCT((SC!$A$2:$A$34=$A109)*(SCEmp=AJ$1),SC!$F$2:$Z$34)</f>
        <v>0</v>
      </c>
      <c r="AK109" s="250">
        <f>SUMPRODUCT((SC!$A$2:$A$34=$A109)*(SCEmp=AK$1),SC!$F$2:$Z$34)</f>
        <v>0</v>
      </c>
      <c r="AL109" s="250">
        <f>SUMPRODUCT((SC!$A$2:$A$34=$A109)*(SCEmp=AL$1),SC!$F$2:$Z$34)</f>
        <v>0</v>
      </c>
      <c r="AM109" s="250">
        <f>SUMPRODUCT((SC!$A$2:$A$34=$A109)*(SCEmp=AM$1),SC!$F$2:$Z$34)</f>
        <v>0</v>
      </c>
      <c r="AN109" s="250">
        <f>SUMPRODUCT((SC!$A$2:$A$34=$A109)*(SCEmp=AN$1),SC!$F$2:$Z$34)</f>
        <v>0</v>
      </c>
      <c r="AO109" s="250">
        <f>SUMPRODUCT((SC!$A$2:$A$34=$A109)*(SCEmp=AO$1),SC!$F$2:$Z$34)</f>
        <v>0</v>
      </c>
      <c r="AP109" s="250">
        <f>SUMPRODUCT((SC!$A$2:$A$34=$A109)*(SCEmp=AP$1),SC!$F$2:$Z$34)</f>
        <v>0</v>
      </c>
      <c r="AQ109" s="250">
        <f>SUMPRODUCT((SC!$A$2:$A$34=$A109)*(SCEmp=AQ$1),SC!$F$2:$Z$34)</f>
        <v>0</v>
      </c>
      <c r="AR109" s="496">
        <f>SUMPRODUCT((SC!$A$2:$A$34=$A109)*(SCEmp=AR$1),SC!$F$2:$Z$34)</f>
        <v>0</v>
      </c>
    </row>
    <row r="110" spans="1:44" s="271" customFormat="1" x14ac:dyDescent="0.2">
      <c r="A110" s="262">
        <f t="shared" si="63"/>
        <v>42470</v>
      </c>
      <c r="B110" s="263" t="s">
        <v>87</v>
      </c>
      <c r="C110" s="264">
        <f t="shared" ref="C110:AR110" si="64">IF(SUM(C101:C109)&gt;8,SUM(C101:C109)-8,0)+IF(SUM(C101:C109)&gt;12,SUM(C101:C109)-12,0)</f>
        <v>0</v>
      </c>
      <c r="D110" s="265">
        <f t="shared" si="64"/>
        <v>0</v>
      </c>
      <c r="E110" s="265">
        <f t="shared" si="64"/>
        <v>0</v>
      </c>
      <c r="F110" s="265">
        <f t="shared" si="64"/>
        <v>0</v>
      </c>
      <c r="G110" s="265">
        <f t="shared" si="64"/>
        <v>0</v>
      </c>
      <c r="H110" s="265">
        <f t="shared" si="64"/>
        <v>0</v>
      </c>
      <c r="I110" s="265">
        <f t="shared" si="64"/>
        <v>0</v>
      </c>
      <c r="J110" s="265">
        <f t="shared" si="64"/>
        <v>0</v>
      </c>
      <c r="K110" s="265">
        <f t="shared" si="64"/>
        <v>0</v>
      </c>
      <c r="L110" s="265">
        <f t="shared" si="64"/>
        <v>0</v>
      </c>
      <c r="M110" s="265">
        <f t="shared" si="64"/>
        <v>0</v>
      </c>
      <c r="N110" s="265">
        <f t="shared" si="64"/>
        <v>0</v>
      </c>
      <c r="O110" s="265">
        <f t="shared" si="64"/>
        <v>0</v>
      </c>
      <c r="P110" s="265">
        <f t="shared" si="64"/>
        <v>0</v>
      </c>
      <c r="Q110" s="265">
        <f t="shared" si="64"/>
        <v>0</v>
      </c>
      <c r="R110" s="265">
        <f t="shared" si="64"/>
        <v>0</v>
      </c>
      <c r="S110" s="265">
        <f t="shared" si="64"/>
        <v>0</v>
      </c>
      <c r="T110" s="265">
        <f t="shared" si="64"/>
        <v>0</v>
      </c>
      <c r="U110" s="265">
        <f t="shared" si="64"/>
        <v>0</v>
      </c>
      <c r="V110" s="265">
        <f t="shared" si="64"/>
        <v>0</v>
      </c>
      <c r="W110" s="265">
        <f t="shared" si="64"/>
        <v>0</v>
      </c>
      <c r="X110" s="265">
        <f t="shared" si="64"/>
        <v>0</v>
      </c>
      <c r="Y110" s="265">
        <f t="shared" si="64"/>
        <v>0</v>
      </c>
      <c r="Z110" s="265">
        <f t="shared" si="64"/>
        <v>0</v>
      </c>
      <c r="AA110" s="265">
        <f t="shared" si="64"/>
        <v>0</v>
      </c>
      <c r="AB110" s="265">
        <f t="shared" si="64"/>
        <v>0</v>
      </c>
      <c r="AC110" s="265">
        <f t="shared" si="64"/>
        <v>0</v>
      </c>
      <c r="AD110" s="265">
        <f t="shared" si="64"/>
        <v>0</v>
      </c>
      <c r="AE110" s="265">
        <f t="shared" si="64"/>
        <v>0</v>
      </c>
      <c r="AF110" s="265">
        <f t="shared" si="64"/>
        <v>0</v>
      </c>
      <c r="AG110" s="265">
        <f t="shared" si="64"/>
        <v>0</v>
      </c>
      <c r="AH110" s="265">
        <f t="shared" si="64"/>
        <v>0</v>
      </c>
      <c r="AI110" s="265">
        <f t="shared" si="64"/>
        <v>0</v>
      </c>
      <c r="AJ110" s="265">
        <f t="shared" si="64"/>
        <v>0</v>
      </c>
      <c r="AK110" s="265">
        <f t="shared" si="64"/>
        <v>0</v>
      </c>
      <c r="AL110" s="265">
        <f t="shared" si="64"/>
        <v>0</v>
      </c>
      <c r="AM110" s="265">
        <f t="shared" si="64"/>
        <v>0</v>
      </c>
      <c r="AN110" s="265">
        <f t="shared" si="64"/>
        <v>0</v>
      </c>
      <c r="AO110" s="265">
        <f t="shared" ref="AO110:AP110" si="65">IF(SUM(AO101:AO109)&gt;8,SUM(AO101:AO109)-8,0)+IF(SUM(AO101:AO109)&gt;12,SUM(AO101:AO109)-12,0)</f>
        <v>0</v>
      </c>
      <c r="AP110" s="265">
        <f t="shared" si="65"/>
        <v>0</v>
      </c>
      <c r="AQ110" s="265">
        <f t="shared" ref="AQ110" si="66">IF(SUM(AQ101:AQ109)&gt;8,SUM(AQ101:AQ109)-8,0)+IF(SUM(AQ101:AQ109)&gt;12,SUM(AQ101:AQ109)-12,0)</f>
        <v>0</v>
      </c>
      <c r="AR110" s="498">
        <f t="shared" si="64"/>
        <v>0</v>
      </c>
    </row>
    <row r="111" spans="1:44" s="271" customFormat="1" x14ac:dyDescent="0.2">
      <c r="A111" s="266">
        <f t="shared" si="63"/>
        <v>42470</v>
      </c>
      <c r="B111" s="267" t="s">
        <v>86</v>
      </c>
      <c r="C111" s="268">
        <f t="shared" ref="C111:AR111" si="67">IFERROR((C$179*SUM(C101:C106)+C$180*SUM(C107:C109))/SUM(C101:C109)/2,0)*C110</f>
        <v>0</v>
      </c>
      <c r="D111" s="269">
        <f t="shared" si="67"/>
        <v>0</v>
      </c>
      <c r="E111" s="269">
        <f t="shared" si="67"/>
        <v>0</v>
      </c>
      <c r="F111" s="269">
        <f t="shared" si="67"/>
        <v>0</v>
      </c>
      <c r="G111" s="269">
        <f t="shared" si="67"/>
        <v>0</v>
      </c>
      <c r="H111" s="269">
        <f t="shared" si="67"/>
        <v>0</v>
      </c>
      <c r="I111" s="269">
        <f t="shared" si="67"/>
        <v>0</v>
      </c>
      <c r="J111" s="269">
        <f t="shared" si="67"/>
        <v>0</v>
      </c>
      <c r="K111" s="269">
        <f t="shared" si="67"/>
        <v>0</v>
      </c>
      <c r="L111" s="269">
        <f t="shared" si="67"/>
        <v>0</v>
      </c>
      <c r="M111" s="269">
        <f t="shared" si="67"/>
        <v>0</v>
      </c>
      <c r="N111" s="269">
        <f t="shared" si="67"/>
        <v>0</v>
      </c>
      <c r="O111" s="269">
        <f t="shared" si="67"/>
        <v>0</v>
      </c>
      <c r="P111" s="269">
        <f t="shared" si="67"/>
        <v>0</v>
      </c>
      <c r="Q111" s="269">
        <f t="shared" si="67"/>
        <v>0</v>
      </c>
      <c r="R111" s="269">
        <f t="shared" si="67"/>
        <v>0</v>
      </c>
      <c r="S111" s="269">
        <f t="shared" si="67"/>
        <v>0</v>
      </c>
      <c r="T111" s="269">
        <f t="shared" si="67"/>
        <v>0</v>
      </c>
      <c r="U111" s="269">
        <f t="shared" si="67"/>
        <v>0</v>
      </c>
      <c r="V111" s="269">
        <f t="shared" si="67"/>
        <v>0</v>
      </c>
      <c r="W111" s="269">
        <f t="shared" si="67"/>
        <v>0</v>
      </c>
      <c r="X111" s="269">
        <f t="shared" si="67"/>
        <v>0</v>
      </c>
      <c r="Y111" s="269">
        <f t="shared" si="67"/>
        <v>0</v>
      </c>
      <c r="Z111" s="269">
        <f t="shared" si="67"/>
        <v>0</v>
      </c>
      <c r="AA111" s="269">
        <f t="shared" si="67"/>
        <v>0</v>
      </c>
      <c r="AB111" s="269">
        <f t="shared" si="67"/>
        <v>0</v>
      </c>
      <c r="AC111" s="269">
        <f t="shared" si="67"/>
        <v>0</v>
      </c>
      <c r="AD111" s="269">
        <f t="shared" si="67"/>
        <v>0</v>
      </c>
      <c r="AE111" s="269">
        <f t="shared" si="67"/>
        <v>0</v>
      </c>
      <c r="AF111" s="269">
        <f t="shared" si="67"/>
        <v>0</v>
      </c>
      <c r="AG111" s="269">
        <f t="shared" si="67"/>
        <v>0</v>
      </c>
      <c r="AH111" s="269">
        <f t="shared" si="67"/>
        <v>0</v>
      </c>
      <c r="AI111" s="269">
        <f t="shared" si="67"/>
        <v>0</v>
      </c>
      <c r="AJ111" s="269">
        <f t="shared" si="67"/>
        <v>0</v>
      </c>
      <c r="AK111" s="269">
        <f t="shared" si="67"/>
        <v>0</v>
      </c>
      <c r="AL111" s="269">
        <f t="shared" si="67"/>
        <v>0</v>
      </c>
      <c r="AM111" s="269">
        <f t="shared" si="67"/>
        <v>0</v>
      </c>
      <c r="AN111" s="269">
        <f t="shared" si="67"/>
        <v>0</v>
      </c>
      <c r="AO111" s="269">
        <f t="shared" ref="AO111:AP111" si="68">IFERROR((AO$179*SUM(AO101:AO106)+AO$180*SUM(AO107:AO109))/SUM(AO101:AO109)/2,0)*AO110</f>
        <v>0</v>
      </c>
      <c r="AP111" s="269">
        <f t="shared" si="68"/>
        <v>0</v>
      </c>
      <c r="AQ111" s="269">
        <f t="shared" ref="AQ111" si="69">IFERROR((AQ$179*SUM(AQ101:AQ106)+AQ$180*SUM(AQ107:AQ109))/SUM(AQ101:AQ109)/2,0)*AQ110</f>
        <v>0</v>
      </c>
      <c r="AR111" s="499">
        <f t="shared" si="67"/>
        <v>0</v>
      </c>
    </row>
    <row r="112" spans="1:44" s="271" customFormat="1" x14ac:dyDescent="0.2">
      <c r="A112" s="247">
        <f>A101+1</f>
        <v>42471</v>
      </c>
      <c r="B112" s="248" t="s">
        <v>77</v>
      </c>
      <c r="C112" s="249">
        <f>SUMPRODUCT((Driver!$A$2:$A$17=$A112)*(DriverEmp=C$1),Driver!$C$2:$V$17)</f>
        <v>0</v>
      </c>
      <c r="D112" s="250">
        <f>SUMPRODUCT((Driver!$A$2:$A$17=$A112)*(DriverEmp=D$1),Driver!$C$2:$V$17)</f>
        <v>0</v>
      </c>
      <c r="E112" s="250">
        <f>SUMPRODUCT((Driver!$A$2:$A$17=$A112)*(DriverEmp=E$1),Driver!$C$2:$V$17)</f>
        <v>0</v>
      </c>
      <c r="F112" s="250">
        <f>SUMPRODUCT((Driver!$A$2:$A$17=$A112)*(DriverEmp=F$1),Driver!$C$2:$V$17)</f>
        <v>0</v>
      </c>
      <c r="G112" s="250">
        <f>SUMPRODUCT((Driver!$A$2:$A$17=$A112)*(DriverEmp=G$1),Driver!$C$2:$V$17)</f>
        <v>0</v>
      </c>
      <c r="H112" s="250">
        <f>SUMPRODUCT((Driver!$A$2:$A$17=$A112)*(DriverEmp=H$1),Driver!$C$2:$V$17)</f>
        <v>0</v>
      </c>
      <c r="I112" s="250">
        <f>SUMPRODUCT((Driver!$A$2:$A$17=$A112)*(DriverEmp=I$1),Driver!$C$2:$V$17)</f>
        <v>0</v>
      </c>
      <c r="J112" s="250">
        <f>SUMPRODUCT((Driver!$A$2:$A$17=$A112)*(DriverEmp=J$1),Driver!$C$2:$V$17)</f>
        <v>0</v>
      </c>
      <c r="K112" s="250">
        <f>SUMPRODUCT((Driver!$A$2:$A$17=$A112)*(DriverEmp=K$1),Driver!$C$2:$V$17)</f>
        <v>0</v>
      </c>
      <c r="L112" s="250">
        <f>SUMPRODUCT((Driver!$A$2:$A$17=$A112)*(DriverEmp=L$1),Driver!$C$2:$V$17)</f>
        <v>0</v>
      </c>
      <c r="M112" s="250">
        <f>SUMPRODUCT((Driver!$A$2:$A$17=$A112)*(DriverEmp=M$1),Driver!$C$2:$V$17)</f>
        <v>0</v>
      </c>
      <c r="N112" s="250">
        <f>SUMPRODUCT((Driver!$A$2:$A$17=$A112)*(DriverEmp=N$1),Driver!$C$2:$V$17)</f>
        <v>0</v>
      </c>
      <c r="O112" s="250">
        <f>SUMPRODUCT((Driver!$A$2:$A$17=$A112)*(DriverEmp=O$1),Driver!$C$2:$V$17)</f>
        <v>0</v>
      </c>
      <c r="P112" s="250">
        <f>SUMPRODUCT((Driver!$A$2:$A$17=$A112)*(DriverEmp=P$1),Driver!$C$2:$V$17)</f>
        <v>0</v>
      </c>
      <c r="Q112" s="250">
        <f>SUMPRODUCT((Driver!$A$2:$A$17=$A112)*(DriverEmp=Q$1),Driver!$C$2:$V$17)</f>
        <v>0</v>
      </c>
      <c r="R112" s="250">
        <f>SUMPRODUCT((Driver!$A$2:$A$17=$A112)*(DriverEmp=R$1),Driver!$C$2:$V$17)</f>
        <v>0</v>
      </c>
      <c r="S112" s="250">
        <f>SUMPRODUCT((Driver!$A$2:$A$17=$A112)*(DriverEmp=S$1),Driver!$C$2:$V$17)</f>
        <v>0</v>
      </c>
      <c r="T112" s="250">
        <f>SUMPRODUCT((Driver!$A$2:$A$17=$A112)*(DriverEmp=T$1),Driver!$C$2:$V$17)</f>
        <v>0</v>
      </c>
      <c r="U112" s="250">
        <f>SUMPRODUCT((Driver!$A$2:$A$17=$A112)*(DriverEmp=U$1),Driver!$C$2:$V$17)</f>
        <v>0</v>
      </c>
      <c r="V112" s="250">
        <f>SUMPRODUCT((Driver!$A$2:$A$17=$A112)*(DriverEmp=V$1),Driver!$C$2:$V$17)</f>
        <v>0</v>
      </c>
      <c r="W112" s="250">
        <f>SUMPRODUCT((Driver!$A$2:$A$17=$A112)*(DriverEmp=W$1),Driver!$C$2:$V$17)</f>
        <v>0</v>
      </c>
      <c r="X112" s="250">
        <f>SUMPRODUCT((Driver!$A$2:$A$17=$A112)*(DriverEmp=X$1),Driver!$C$2:$V$17)</f>
        <v>0</v>
      </c>
      <c r="Y112" s="250">
        <f>SUMPRODUCT((Driver!$A$2:$A$17=$A112)*(DriverEmp=Y$1),Driver!$C$2:$V$17)</f>
        <v>0</v>
      </c>
      <c r="Z112" s="250">
        <f>SUMPRODUCT((Driver!$A$2:$A$17=$A112)*(DriverEmp=Z$1),Driver!$C$2:$V$17)</f>
        <v>0</v>
      </c>
      <c r="AA112" s="250">
        <f>SUMPRODUCT((Driver!$A$2:$A$17=$A112)*(DriverEmp=AA$1),Driver!$C$2:$V$17)</f>
        <v>0</v>
      </c>
      <c r="AB112" s="250">
        <f>SUMPRODUCT((Driver!$A$2:$A$17=$A112)*(DriverEmp=AB$1),Driver!$C$2:$V$17)</f>
        <v>0</v>
      </c>
      <c r="AC112" s="250">
        <f>SUMPRODUCT((Driver!$A$2:$A$17=$A112)*(DriverEmp=AC$1),Driver!$C$2:$V$17)</f>
        <v>0</v>
      </c>
      <c r="AD112" s="250">
        <f>SUMPRODUCT((Driver!$A$2:$A$17=$A112)*(DriverEmp=AD$1),Driver!$C$2:$V$17)</f>
        <v>0</v>
      </c>
      <c r="AE112" s="250">
        <f>SUMPRODUCT((Driver!$A$2:$A$17=$A112)*(DriverEmp=AE$1),Driver!$C$2:$V$17)</f>
        <v>0</v>
      </c>
      <c r="AF112" s="250">
        <f>SUMPRODUCT((Driver!$A$2:$A$17=$A112)*(DriverEmp=AF$1),Driver!$C$2:$V$17)</f>
        <v>0</v>
      </c>
      <c r="AG112" s="250">
        <f>SUMPRODUCT((Driver!$A$2:$A$17=$A112)*(DriverEmp=AG$1),Driver!$C$2:$V$17)</f>
        <v>0</v>
      </c>
      <c r="AH112" s="250">
        <f>SUMPRODUCT((Driver!$A$2:$A$17=$A112)*(DriverEmp=AH$1),Driver!$C$2:$V$17)</f>
        <v>0</v>
      </c>
      <c r="AI112" s="250">
        <f>SUMPRODUCT((Driver!$A$2:$A$17=$A112)*(DriverEmp=AI$1),Driver!$C$2:$V$17)</f>
        <v>0</v>
      </c>
      <c r="AJ112" s="250">
        <f>SUMPRODUCT((Driver!$A$2:$A$17=$A112)*(DriverEmp=AJ$1),Driver!$C$2:$V$17)</f>
        <v>0</v>
      </c>
      <c r="AK112" s="250">
        <f>SUMPRODUCT((Driver!$A$2:$A$17=$A112)*(DriverEmp=AK$1),Driver!$C$2:$V$17)</f>
        <v>0</v>
      </c>
      <c r="AL112" s="250">
        <f>SUMPRODUCT((Driver!$A$2:$A$17=$A112)*(DriverEmp=AL$1),Driver!$C$2:$V$17)</f>
        <v>0</v>
      </c>
      <c r="AM112" s="250">
        <f>SUMPRODUCT((Driver!$A$2:$A$17=$A112)*(DriverEmp=AM$1),Driver!$C$2:$V$17)</f>
        <v>0</v>
      </c>
      <c r="AN112" s="250">
        <f>SUMPRODUCT((Driver!$A$2:$A$17=$A112)*(DriverEmp=AN$1),Driver!$C$2:$V$17)</f>
        <v>0</v>
      </c>
      <c r="AO112" s="250">
        <f>SUMPRODUCT((Driver!$A$2:$A$17=$A112)*(DriverEmp=AO$1),Driver!$C$2:$V$17)</f>
        <v>0</v>
      </c>
      <c r="AP112" s="250">
        <f>SUMPRODUCT((Driver!$A$2:$A$17=$A112)*(DriverEmp=AP$1),Driver!$C$2:$V$17)</f>
        <v>0</v>
      </c>
      <c r="AQ112" s="250">
        <f>SUMPRODUCT((Driver!$A$2:$A$17=$A112)*(DriverEmp=AQ$1),Driver!$C$2:$V$17)</f>
        <v>0</v>
      </c>
      <c r="AR112" s="496">
        <f>SUMPRODUCT((Driver!$A$2:$A$17=$A112)*(DriverEmp=AR$1),Driver!$C$2:$V$17)</f>
        <v>0</v>
      </c>
    </row>
    <row r="113" spans="1:44" s="271" customFormat="1" x14ac:dyDescent="0.2">
      <c r="A113" s="247">
        <f t="shared" ref="A113:A122" si="70">A112</f>
        <v>42471</v>
      </c>
      <c r="B113" s="251" t="str">
        <f>Total!$H$1</f>
        <v>PP</v>
      </c>
      <c r="C113" s="249">
        <f>SUMPRODUCT((PP!$A$2:$A$80=$A113)*(PPEmp=C$1),PP!$D$2:$BD$80)</f>
        <v>0</v>
      </c>
      <c r="D113" s="250">
        <f>SUMPRODUCT((PP!$A$2:$A$80=$A113)*(PPEmp=D$1),PP!$D$2:$BD$80)</f>
        <v>0</v>
      </c>
      <c r="E113" s="250">
        <f>SUMPRODUCT((PP!$A$2:$A$80=$A113)*(PPEmp=E$1),PP!$D$2:$BD$80)</f>
        <v>0</v>
      </c>
      <c r="F113" s="250">
        <f>SUMPRODUCT((PP!$A$2:$A$80=$A113)*(PPEmp=F$1),PP!$D$2:$BD$80)</f>
        <v>0</v>
      </c>
      <c r="G113" s="250">
        <f>SUMPRODUCT((PP!$A$2:$A$80=$A113)*(PPEmp=G$1),PP!$D$2:$BD$80)</f>
        <v>0</v>
      </c>
      <c r="H113" s="250">
        <f>SUMPRODUCT((PP!$A$2:$A$80=$A113)*(PPEmp=H$1),PP!$D$2:$BD$80)</f>
        <v>0</v>
      </c>
      <c r="I113" s="250">
        <f>SUMPRODUCT((PP!$A$2:$A$80=$A113)*(PPEmp=I$1),PP!$D$2:$BD$80)</f>
        <v>0</v>
      </c>
      <c r="J113" s="250">
        <f>SUMPRODUCT((PP!$A$2:$A$80=$A113)*(PPEmp=J$1),PP!$D$2:$BD$80)</f>
        <v>0</v>
      </c>
      <c r="K113" s="250">
        <f>SUMPRODUCT((PP!$A$2:$A$80=$A113)*(PPEmp=K$1),PP!$D$2:$BD$80)</f>
        <v>0</v>
      </c>
      <c r="L113" s="250">
        <f>SUMPRODUCT((PP!$A$2:$A$80=$A113)*(PPEmp=L$1),PP!$D$2:$BD$80)</f>
        <v>0</v>
      </c>
      <c r="M113" s="250">
        <f>SUMPRODUCT((PP!$A$2:$A$80=$A113)*(PPEmp=M$1),PP!$D$2:$BD$80)</f>
        <v>0</v>
      </c>
      <c r="N113" s="250">
        <f>SUMPRODUCT((PP!$A$2:$A$80=$A113)*(PPEmp=N$1),PP!$D$2:$BD$80)</f>
        <v>0</v>
      </c>
      <c r="O113" s="250">
        <f>SUMPRODUCT((PP!$A$2:$A$80=$A113)*(PPEmp=O$1),PP!$D$2:$BD$80)</f>
        <v>0</v>
      </c>
      <c r="P113" s="250">
        <f>SUMPRODUCT((PP!$A$2:$A$80=$A113)*(PPEmp=P$1),PP!$D$2:$BD$80)</f>
        <v>0</v>
      </c>
      <c r="Q113" s="250">
        <f>SUMPRODUCT((PP!$A$2:$A$80=$A113)*(PPEmp=Q$1),PP!$D$2:$BD$80)</f>
        <v>0</v>
      </c>
      <c r="R113" s="250">
        <f>SUMPRODUCT((PP!$A$2:$A$80=$A113)*(PPEmp=R$1),PP!$D$2:$BD$80)</f>
        <v>0</v>
      </c>
      <c r="S113" s="250">
        <f>SUMPRODUCT((PP!$A$2:$A$80=$A113)*(PPEmp=S$1),PP!$D$2:$BD$80)</f>
        <v>0</v>
      </c>
      <c r="T113" s="250">
        <f>SUMPRODUCT((PP!$A$2:$A$80=$A113)*(PPEmp=T$1),PP!$D$2:$BD$80)</f>
        <v>0</v>
      </c>
      <c r="U113" s="250">
        <f>SUMPRODUCT((PP!$A$2:$A$80=$A113)*(PPEmp=U$1),PP!$D$2:$BD$80)</f>
        <v>0</v>
      </c>
      <c r="V113" s="250">
        <f>SUMPRODUCT((PP!$A$2:$A$80=$A113)*(PPEmp=V$1),PP!$D$2:$BD$80)</f>
        <v>0</v>
      </c>
      <c r="W113" s="250">
        <f>SUMPRODUCT((PP!$A$2:$A$80=$A113)*(PPEmp=W$1),PP!$D$2:$BD$80)</f>
        <v>0</v>
      </c>
      <c r="X113" s="250">
        <f>SUMPRODUCT((PP!$A$2:$A$80=$A113)*(PPEmp=X$1),PP!$D$2:$BD$80)</f>
        <v>0</v>
      </c>
      <c r="Y113" s="250">
        <f>SUMPRODUCT((PP!$A$2:$A$80=$A113)*(PPEmp=Y$1),PP!$D$2:$BD$80)</f>
        <v>0</v>
      </c>
      <c r="Z113" s="250">
        <f>SUMPRODUCT((PP!$A$2:$A$80=$A113)*(PPEmp=Z$1),PP!$D$2:$BD$80)</f>
        <v>0</v>
      </c>
      <c r="AA113" s="250">
        <f>SUMPRODUCT((PP!$A$2:$A$80=$A113)*(PPEmp=AA$1),PP!$D$2:$BD$80)</f>
        <v>0</v>
      </c>
      <c r="AB113" s="250">
        <f>SUMPRODUCT((PP!$A$2:$A$80=$A113)*(PPEmp=AB$1),PP!$D$2:$BD$80)</f>
        <v>0</v>
      </c>
      <c r="AC113" s="250">
        <f>SUMPRODUCT((PP!$A$2:$A$80=$A113)*(PPEmp=AC$1),PP!$D$2:$BD$80)</f>
        <v>0</v>
      </c>
      <c r="AD113" s="250">
        <f>SUMPRODUCT((PP!$A$2:$A$80=$A113)*(PPEmp=AD$1),PP!$D$2:$BD$80)</f>
        <v>0</v>
      </c>
      <c r="AE113" s="250">
        <f>SUMPRODUCT((PP!$A$2:$A$80=$A113)*(PPEmp=AE$1),PP!$D$2:$BD$80)</f>
        <v>0</v>
      </c>
      <c r="AF113" s="250">
        <f>SUMPRODUCT((PP!$A$2:$A$80=$A113)*(PPEmp=AF$1),PP!$D$2:$BD$80)</f>
        <v>0</v>
      </c>
      <c r="AG113" s="250">
        <f>SUMPRODUCT((PP!$A$2:$A$80=$A113)*(PPEmp=AG$1),PP!$D$2:$BD$80)</f>
        <v>0</v>
      </c>
      <c r="AH113" s="250">
        <f>SUMPRODUCT((PP!$A$2:$A$80=$A113)*(PPEmp=AH$1),PP!$D$2:$BD$80)</f>
        <v>0</v>
      </c>
      <c r="AI113" s="250">
        <f>SUMPRODUCT((PP!$A$2:$A$80=$A113)*(PPEmp=AI$1),PP!$D$2:$BD$80)</f>
        <v>0</v>
      </c>
      <c r="AJ113" s="250">
        <f>SUMPRODUCT((PP!$A$2:$A$80=$A113)*(PPEmp=AJ$1),PP!$D$2:$BD$80)</f>
        <v>0</v>
      </c>
      <c r="AK113" s="250">
        <f>SUMPRODUCT((PP!$A$2:$A$80=$A113)*(PPEmp=AK$1),PP!$D$2:$BD$80)</f>
        <v>0</v>
      </c>
      <c r="AL113" s="250">
        <f>SUMPRODUCT((PP!$A$2:$A$80=$A113)*(PPEmp=AL$1),PP!$D$2:$BD$80)</f>
        <v>0</v>
      </c>
      <c r="AM113" s="250">
        <f>SUMPRODUCT((PP!$A$2:$A$80=$A113)*(PPEmp=AM$1),PP!$D$2:$BD$80)</f>
        <v>0</v>
      </c>
      <c r="AN113" s="250">
        <f>SUMPRODUCT((PP!$A$2:$A$80=$A113)*(PPEmp=AN$1),PP!$D$2:$BD$80)</f>
        <v>0</v>
      </c>
      <c r="AO113" s="250">
        <f>SUMPRODUCT((PP!$A$2:$A$80=$A113)*(PPEmp=AO$1),PP!$D$2:$BD$80)</f>
        <v>0</v>
      </c>
      <c r="AP113" s="250">
        <f>SUMPRODUCT((PP!$A$2:$A$80=$A113)*(PPEmp=AP$1),PP!$D$2:$BD$80)</f>
        <v>0</v>
      </c>
      <c r="AQ113" s="250">
        <f>SUMPRODUCT((PP!$A$2:$A$80=$A113)*(PPEmp=AQ$1),PP!$D$2:$BD$80)</f>
        <v>0</v>
      </c>
      <c r="AR113" s="496">
        <f>SUMPRODUCT((PP!$A$2:$A$80=$A113)*(PPEmp=AR$1),PP!$D$2:$BD$80)</f>
        <v>0</v>
      </c>
    </row>
    <row r="114" spans="1:44" s="271" customFormat="1" x14ac:dyDescent="0.2">
      <c r="A114" s="247">
        <f t="shared" si="70"/>
        <v>42471</v>
      </c>
      <c r="B114" s="252" t="str">
        <f>Total!$J$1</f>
        <v>FH</v>
      </c>
      <c r="C114" s="249">
        <f>SUMPRODUCT((FH!$A$2:$A$97=$A114)*(FHEmp=C$1),FH!$E$2:$AZ$97)</f>
        <v>0</v>
      </c>
      <c r="D114" s="250">
        <f>SUMPRODUCT((FH!$A$2:$A$97=$A114)*(FHEmp=D$1),FH!$E$2:$AZ$97)</f>
        <v>0</v>
      </c>
      <c r="E114" s="250">
        <f>SUMPRODUCT((FH!$A$2:$A$97=$A114)*(FHEmp=E$1),FH!$E$2:$AZ$97)</f>
        <v>0</v>
      </c>
      <c r="F114" s="250">
        <f>SUMPRODUCT((FH!$A$2:$A$97=$A114)*(FHEmp=F$1),FH!$E$2:$AZ$97)</f>
        <v>0</v>
      </c>
      <c r="G114" s="250">
        <f>SUMPRODUCT((FH!$A$2:$A$97=$A114)*(FHEmp=G$1),FH!$E$2:$AZ$97)</f>
        <v>0</v>
      </c>
      <c r="H114" s="250">
        <f>SUMPRODUCT((FH!$A$2:$A$97=$A114)*(FHEmp=H$1),FH!$E$2:$AZ$97)</f>
        <v>0</v>
      </c>
      <c r="I114" s="250">
        <f>SUMPRODUCT((FH!$A$2:$A$97=$A114)*(FHEmp=I$1),FH!$E$2:$AZ$97)</f>
        <v>0</v>
      </c>
      <c r="J114" s="250">
        <f>SUMPRODUCT((FH!$A$2:$A$97=$A114)*(FHEmp=J$1),FH!$E$2:$AZ$97)</f>
        <v>0</v>
      </c>
      <c r="K114" s="250">
        <f>SUMPRODUCT((FH!$A$2:$A$97=$A114)*(FHEmp=K$1),FH!$E$2:$AZ$97)</f>
        <v>0</v>
      </c>
      <c r="L114" s="250">
        <f>SUMPRODUCT((FH!$A$2:$A$97=$A114)*(FHEmp=L$1),FH!$E$2:$AZ$97)</f>
        <v>0</v>
      </c>
      <c r="M114" s="250">
        <f>SUMPRODUCT((FH!$A$2:$A$97=$A114)*(FHEmp=M$1),FH!$E$2:$AZ$97)</f>
        <v>0</v>
      </c>
      <c r="N114" s="250">
        <f>SUMPRODUCT((FH!$A$2:$A$97=$A114)*(FHEmp=N$1),FH!$E$2:$AZ$97)</f>
        <v>0</v>
      </c>
      <c r="O114" s="250">
        <f>SUMPRODUCT((FH!$A$2:$A$97=$A114)*(FHEmp=O$1),FH!$E$2:$AZ$97)</f>
        <v>0</v>
      </c>
      <c r="P114" s="250">
        <f>SUMPRODUCT((FH!$A$2:$A$97=$A114)*(FHEmp=P$1),FH!$E$2:$AZ$97)</f>
        <v>0</v>
      </c>
      <c r="Q114" s="250">
        <f>SUMPRODUCT((FH!$A$2:$A$97=$A114)*(FHEmp=Q$1),FH!$E$2:$AZ$97)</f>
        <v>0</v>
      </c>
      <c r="R114" s="250">
        <f>SUMPRODUCT((FH!$A$2:$A$97=$A114)*(FHEmp=R$1),FH!$E$2:$AZ$97)</f>
        <v>0</v>
      </c>
      <c r="S114" s="250">
        <f>SUMPRODUCT((FH!$A$2:$A$97=$A114)*(FHEmp=S$1),FH!$E$2:$AZ$97)</f>
        <v>0</v>
      </c>
      <c r="T114" s="250">
        <f>SUMPRODUCT((FH!$A$2:$A$97=$A114)*(FHEmp=T$1),FH!$E$2:$AZ$97)</f>
        <v>0</v>
      </c>
      <c r="U114" s="250">
        <f>SUMPRODUCT((FH!$A$2:$A$97=$A114)*(FHEmp=U$1),FH!$E$2:$AZ$97)</f>
        <v>0</v>
      </c>
      <c r="V114" s="250">
        <f>SUMPRODUCT((FH!$A$2:$A$97=$A114)*(FHEmp=V$1),FH!$E$2:$AZ$97)</f>
        <v>0</v>
      </c>
      <c r="W114" s="250">
        <f>SUMPRODUCT((FH!$A$2:$A$97=$A114)*(FHEmp=W$1),FH!$E$2:$AZ$97)</f>
        <v>0</v>
      </c>
      <c r="X114" s="250">
        <f>SUMPRODUCT((FH!$A$2:$A$97=$A114)*(FHEmp=X$1),FH!$E$2:$AZ$97)</f>
        <v>0</v>
      </c>
      <c r="Y114" s="250">
        <f>SUMPRODUCT((FH!$A$2:$A$97=$A114)*(FHEmp=Y$1),FH!$E$2:$AZ$97)</f>
        <v>0</v>
      </c>
      <c r="Z114" s="250">
        <f>SUMPRODUCT((FH!$A$2:$A$97=$A114)*(FHEmp=Z$1),FH!$E$2:$AZ$97)</f>
        <v>0</v>
      </c>
      <c r="AA114" s="250">
        <f>SUMPRODUCT((FH!$A$2:$A$97=$A114)*(FHEmp=AA$1),FH!$E$2:$AZ$97)</f>
        <v>0</v>
      </c>
      <c r="AB114" s="250">
        <f>SUMPRODUCT((FH!$A$2:$A$97=$A114)*(FHEmp=AB$1),FH!$E$2:$AZ$97)</f>
        <v>0</v>
      </c>
      <c r="AC114" s="250">
        <f>SUMPRODUCT((FH!$A$2:$A$97=$A114)*(FHEmp=AC$1),FH!$E$2:$AZ$97)</f>
        <v>0</v>
      </c>
      <c r="AD114" s="250">
        <f>SUMPRODUCT((FH!$A$2:$A$97=$A114)*(FHEmp=AD$1),FH!$E$2:$AZ$97)</f>
        <v>0</v>
      </c>
      <c r="AE114" s="250">
        <f>SUMPRODUCT((FH!$A$2:$A$97=$A114)*(FHEmp=AE$1),FH!$E$2:$AZ$97)</f>
        <v>0</v>
      </c>
      <c r="AF114" s="250">
        <f>SUMPRODUCT((FH!$A$2:$A$97=$A114)*(FHEmp=AF$1),FH!$E$2:$AZ$97)</f>
        <v>0</v>
      </c>
      <c r="AG114" s="250">
        <f>SUMPRODUCT((FH!$A$2:$A$97=$A114)*(FHEmp=AG$1),FH!$E$2:$AZ$97)</f>
        <v>0</v>
      </c>
      <c r="AH114" s="250">
        <f>SUMPRODUCT((FH!$A$2:$A$97=$A114)*(FHEmp=AH$1),FH!$E$2:$AZ$97)</f>
        <v>0</v>
      </c>
      <c r="AI114" s="250">
        <f>SUMPRODUCT((FH!$A$2:$A$97=$A114)*(FHEmp=AI$1),FH!$E$2:$AZ$97)</f>
        <v>0</v>
      </c>
      <c r="AJ114" s="250">
        <f>SUMPRODUCT((FH!$A$2:$A$97=$A114)*(FHEmp=AJ$1),FH!$E$2:$AZ$97)</f>
        <v>0</v>
      </c>
      <c r="AK114" s="250">
        <f>SUMPRODUCT((FH!$A$2:$A$97=$A114)*(FHEmp=AK$1),FH!$E$2:$AZ$97)</f>
        <v>0</v>
      </c>
      <c r="AL114" s="250">
        <f>SUMPRODUCT((FH!$A$2:$A$97=$A114)*(FHEmp=AL$1),FH!$E$2:$AZ$97)</f>
        <v>0</v>
      </c>
      <c r="AM114" s="250">
        <f>SUMPRODUCT((FH!$A$2:$A$97=$A114)*(FHEmp=AM$1),FH!$E$2:$AZ$97)</f>
        <v>0</v>
      </c>
      <c r="AN114" s="250">
        <f>SUMPRODUCT((FH!$A$2:$A$97=$A114)*(FHEmp=AN$1),FH!$E$2:$AZ$97)</f>
        <v>0</v>
      </c>
      <c r="AO114" s="250">
        <f>SUMPRODUCT((FH!$A$2:$A$97=$A114)*(FHEmp=AO$1),FH!$E$2:$AZ$97)</f>
        <v>0</v>
      </c>
      <c r="AP114" s="250">
        <f>SUMPRODUCT((FH!$A$2:$A$97=$A114)*(FHEmp=AP$1),FH!$E$2:$AZ$97)</f>
        <v>0</v>
      </c>
      <c r="AQ114" s="250">
        <f>SUMPRODUCT((FH!$A$2:$A$97=$A114)*(FHEmp=AQ$1),FH!$E$2:$AZ$97)</f>
        <v>0</v>
      </c>
      <c r="AR114" s="496">
        <f>SUMPRODUCT((FH!$A$2:$A$97=$A114)*(FHEmp=AR$1),FH!$E$2:$AZ$97)</f>
        <v>0</v>
      </c>
    </row>
    <row r="115" spans="1:44" s="271" customFormat="1" x14ac:dyDescent="0.2">
      <c r="A115" s="247">
        <f t="shared" si="70"/>
        <v>42471</v>
      </c>
      <c r="B115" s="253" t="str">
        <f>Total!$K$1</f>
        <v>T22</v>
      </c>
      <c r="C115" s="249">
        <f>SUMPRODUCT(('T22'!$A$2:$A$97=$A115)*(T22Emp=C$1),'T22'!$E$2:$AZ$97)</f>
        <v>0</v>
      </c>
      <c r="D115" s="250">
        <f>SUMPRODUCT(('T22'!$A$2:$A$97=$A115)*(T22Emp=D$1),'T22'!$E$2:$AZ$97)</f>
        <v>0</v>
      </c>
      <c r="E115" s="250">
        <f>SUMPRODUCT(('T22'!$A$2:$A$97=$A115)*(T22Emp=E$1),'T22'!$E$2:$AZ$97)</f>
        <v>0</v>
      </c>
      <c r="F115" s="250">
        <f>SUMPRODUCT(('T22'!$A$2:$A$97=$A115)*(T22Emp=F$1),'T22'!$E$2:$AZ$97)</f>
        <v>0</v>
      </c>
      <c r="G115" s="250">
        <f>SUMPRODUCT(('T22'!$A$2:$A$97=$A115)*(T22Emp=G$1),'T22'!$E$2:$AZ$97)</f>
        <v>0</v>
      </c>
      <c r="H115" s="250">
        <f>SUMPRODUCT(('T22'!$A$2:$A$97=$A115)*(T22Emp=H$1),'T22'!$E$2:$AZ$97)</f>
        <v>0</v>
      </c>
      <c r="I115" s="250">
        <f>SUMPRODUCT(('T22'!$A$2:$A$97=$A115)*(T22Emp=I$1),'T22'!$E$2:$AZ$97)</f>
        <v>0</v>
      </c>
      <c r="J115" s="250">
        <f>SUMPRODUCT(('T22'!$A$2:$A$97=$A115)*(T22Emp=J$1),'T22'!$E$2:$AZ$97)</f>
        <v>0</v>
      </c>
      <c r="K115" s="250">
        <f>SUMPRODUCT(('T22'!$A$2:$A$97=$A115)*(T22Emp=K$1),'T22'!$E$2:$AZ$97)</f>
        <v>0</v>
      </c>
      <c r="L115" s="250">
        <f>SUMPRODUCT(('T22'!$A$2:$A$97=$A115)*(T22Emp=L$1),'T22'!$E$2:$AZ$97)</f>
        <v>0</v>
      </c>
      <c r="M115" s="250">
        <f>SUMPRODUCT(('T22'!$A$2:$A$97=$A115)*(T22Emp=M$1),'T22'!$E$2:$AZ$97)</f>
        <v>0</v>
      </c>
      <c r="N115" s="250">
        <f>SUMPRODUCT(('T22'!$A$2:$A$97=$A115)*(T22Emp=N$1),'T22'!$E$2:$AZ$97)</f>
        <v>0</v>
      </c>
      <c r="O115" s="250">
        <f>SUMPRODUCT(('T22'!$A$2:$A$97=$A115)*(T22Emp=O$1),'T22'!$E$2:$AZ$97)</f>
        <v>0</v>
      </c>
      <c r="P115" s="250">
        <f>SUMPRODUCT(('T22'!$A$2:$A$97=$A115)*(T22Emp=P$1),'T22'!$E$2:$AZ$97)</f>
        <v>0</v>
      </c>
      <c r="Q115" s="250">
        <f>SUMPRODUCT(('T22'!$A$2:$A$97=$A115)*(T22Emp=Q$1),'T22'!$E$2:$AZ$97)</f>
        <v>0</v>
      </c>
      <c r="R115" s="250">
        <f>SUMPRODUCT(('T22'!$A$2:$A$97=$A115)*(T22Emp=R$1),'T22'!$E$2:$AZ$97)</f>
        <v>0</v>
      </c>
      <c r="S115" s="250">
        <f>SUMPRODUCT(('T22'!$A$2:$A$97=$A115)*(T22Emp=S$1),'T22'!$E$2:$AZ$97)</f>
        <v>0</v>
      </c>
      <c r="T115" s="250">
        <f>SUMPRODUCT(('T22'!$A$2:$A$97=$A115)*(T22Emp=T$1),'T22'!$E$2:$AZ$97)</f>
        <v>0</v>
      </c>
      <c r="U115" s="250">
        <f>SUMPRODUCT(('T22'!$A$2:$A$97=$A115)*(T22Emp=U$1),'T22'!$E$2:$AZ$97)</f>
        <v>0</v>
      </c>
      <c r="V115" s="250">
        <f>SUMPRODUCT(('T22'!$A$2:$A$97=$A115)*(T22Emp=V$1),'T22'!$E$2:$AZ$97)</f>
        <v>0</v>
      </c>
      <c r="W115" s="250">
        <f>SUMPRODUCT(('T22'!$A$2:$A$97=$A115)*(T22Emp=W$1),'T22'!$E$2:$AZ$97)</f>
        <v>0</v>
      </c>
      <c r="X115" s="250">
        <f>SUMPRODUCT(('T22'!$A$2:$A$97=$A115)*(T22Emp=X$1),'T22'!$E$2:$AZ$97)</f>
        <v>0</v>
      </c>
      <c r="Y115" s="250">
        <f>SUMPRODUCT(('T22'!$A$2:$A$97=$A115)*(T22Emp=Y$1),'T22'!$E$2:$AZ$97)</f>
        <v>0</v>
      </c>
      <c r="Z115" s="250">
        <f>SUMPRODUCT(('T22'!$A$2:$A$97=$A115)*(T22Emp=Z$1),'T22'!$E$2:$AZ$97)</f>
        <v>0</v>
      </c>
      <c r="AA115" s="250">
        <f>SUMPRODUCT(('T22'!$A$2:$A$97=$A115)*(T22Emp=AA$1),'T22'!$E$2:$AZ$97)</f>
        <v>0</v>
      </c>
      <c r="AB115" s="250">
        <f>SUMPRODUCT(('T22'!$A$2:$A$97=$A115)*(T22Emp=AB$1),'T22'!$E$2:$AZ$97)</f>
        <v>0</v>
      </c>
      <c r="AC115" s="250">
        <f>SUMPRODUCT(('T22'!$A$2:$A$97=$A115)*(T22Emp=AC$1),'T22'!$E$2:$AZ$97)</f>
        <v>0</v>
      </c>
      <c r="AD115" s="250">
        <f>SUMPRODUCT(('T22'!$A$2:$A$97=$A115)*(T22Emp=AD$1),'T22'!$E$2:$AZ$97)</f>
        <v>0</v>
      </c>
      <c r="AE115" s="250">
        <f>SUMPRODUCT(('T22'!$A$2:$A$97=$A115)*(T22Emp=AE$1),'T22'!$E$2:$AZ$97)</f>
        <v>0</v>
      </c>
      <c r="AF115" s="250">
        <f>SUMPRODUCT(('T22'!$A$2:$A$97=$A115)*(T22Emp=AF$1),'T22'!$E$2:$AZ$97)</f>
        <v>0</v>
      </c>
      <c r="AG115" s="250">
        <f>SUMPRODUCT(('T22'!$A$2:$A$97=$A115)*(T22Emp=AG$1),'T22'!$E$2:$AZ$97)</f>
        <v>0</v>
      </c>
      <c r="AH115" s="250">
        <f>SUMPRODUCT(('T22'!$A$2:$A$97=$A115)*(T22Emp=AH$1),'T22'!$E$2:$AZ$97)</f>
        <v>0</v>
      </c>
      <c r="AI115" s="250">
        <f>SUMPRODUCT(('T22'!$A$2:$A$97=$A115)*(T22Emp=AI$1),'T22'!$E$2:$AZ$97)</f>
        <v>0</v>
      </c>
      <c r="AJ115" s="250">
        <f>SUMPRODUCT(('T22'!$A$2:$A$97=$A115)*(T22Emp=AJ$1),'T22'!$E$2:$AZ$97)</f>
        <v>0</v>
      </c>
      <c r="AK115" s="250">
        <f>SUMPRODUCT(('T22'!$A$2:$A$97=$A115)*(T22Emp=AK$1),'T22'!$E$2:$AZ$97)</f>
        <v>0</v>
      </c>
      <c r="AL115" s="250">
        <f>SUMPRODUCT(('T22'!$A$2:$A$97=$A115)*(T22Emp=AL$1),'T22'!$E$2:$AZ$97)</f>
        <v>0</v>
      </c>
      <c r="AM115" s="250">
        <f>SUMPRODUCT(('T22'!$A$2:$A$97=$A115)*(T22Emp=AM$1),'T22'!$E$2:$AZ$97)</f>
        <v>0</v>
      </c>
      <c r="AN115" s="250">
        <f>SUMPRODUCT(('T22'!$A$2:$A$97=$A115)*(T22Emp=AN$1),'T22'!$E$2:$AZ$97)</f>
        <v>0</v>
      </c>
      <c r="AO115" s="250">
        <f>SUMPRODUCT(('T22'!$A$2:$A$97=$A115)*(T22Emp=AO$1),'T22'!$E$2:$AZ$97)</f>
        <v>0</v>
      </c>
      <c r="AP115" s="250">
        <f>SUMPRODUCT(('T22'!$A$2:$A$97=$A115)*(T22Emp=AP$1),'T22'!$E$2:$AZ$97)</f>
        <v>0</v>
      </c>
      <c r="AQ115" s="250">
        <f>SUMPRODUCT(('T22'!$A$2:$A$97=$A115)*(T22Emp=AQ$1),'T22'!$E$2:$AZ$97)</f>
        <v>0</v>
      </c>
      <c r="AR115" s="496">
        <f>SUMPRODUCT(('T22'!$A$2:$A$97=$A115)*(T22Emp=AR$1),'T22'!$E$2:$AZ$97)</f>
        <v>0</v>
      </c>
    </row>
    <row r="116" spans="1:44" s="271" customFormat="1" x14ac:dyDescent="0.2">
      <c r="A116" s="247">
        <f t="shared" si="70"/>
        <v>42471</v>
      </c>
      <c r="B116" s="254" t="str">
        <f>Total!$L$1</f>
        <v>RF</v>
      </c>
      <c r="C116" s="249">
        <f>SUMPRODUCT((RF!$A$2:$A$17=$A116)*(RFEmp=C$1)*(RF!$H$21:$AO$21="RF Valet"),RF!$H$2:$AO$17)</f>
        <v>0</v>
      </c>
      <c r="D116" s="250">
        <f>SUMPRODUCT((RF!$A$2:$A$17=$A116)*(RFEmp=D$1)*(RF!$H$21:$AO$21="RF Valet"),RF!$H$2:$AO$17)</f>
        <v>0</v>
      </c>
      <c r="E116" s="250">
        <f>SUMPRODUCT((RF!$A$2:$A$17=$A116)*(RFEmp=E$1)*(RF!$H$21:$AO$21="RF Valet"),RF!$H$2:$AO$17)</f>
        <v>0</v>
      </c>
      <c r="F116" s="250">
        <f>SUMPRODUCT((RF!$A$2:$A$17=$A116)*(RFEmp=F$1)*(RF!$H$21:$AO$21="RF Valet"),RF!$H$2:$AO$17)</f>
        <v>0</v>
      </c>
      <c r="G116" s="250">
        <f>SUMPRODUCT((RF!$A$2:$A$17=$A116)*(RFEmp=G$1)*(RF!$H$21:$AO$21="RF Valet"),RF!$H$2:$AO$17)</f>
        <v>0</v>
      </c>
      <c r="H116" s="250">
        <f>SUMPRODUCT((RF!$A$2:$A$17=$A116)*(RFEmp=H$1)*(RF!$H$21:$AO$21="RF Valet"),RF!$H$2:$AO$17)</f>
        <v>0</v>
      </c>
      <c r="I116" s="250">
        <f>SUMPRODUCT((RF!$A$2:$A$17=$A116)*(RFEmp=I$1)*(RF!$H$21:$AO$21="RF Valet"),RF!$H$2:$AO$17)</f>
        <v>0</v>
      </c>
      <c r="J116" s="250">
        <f>SUMPRODUCT((RF!$A$2:$A$17=$A116)*(RFEmp=J$1)*(RF!$H$21:$AO$21="RF Valet"),RF!$H$2:$AO$17)</f>
        <v>0</v>
      </c>
      <c r="K116" s="250">
        <f>SUMPRODUCT((RF!$A$2:$A$17=$A116)*(RFEmp=K$1)*(RF!$H$21:$AO$21="RF Valet"),RF!$H$2:$AO$17)</f>
        <v>0</v>
      </c>
      <c r="L116" s="250">
        <f>SUMPRODUCT((RF!$A$2:$A$17=$A116)*(RFEmp=L$1)*(RF!$H$21:$AO$21="RF Valet"),RF!$H$2:$AO$17)</f>
        <v>0</v>
      </c>
      <c r="M116" s="250">
        <f>SUMPRODUCT((RF!$A$2:$A$17=$A116)*(RFEmp=M$1)*(RF!$H$21:$AO$21="RF Valet"),RF!$H$2:$AO$17)</f>
        <v>0</v>
      </c>
      <c r="N116" s="250">
        <f>SUMPRODUCT((RF!$A$2:$A$17=$A116)*(RFEmp=N$1)*(RF!$H$21:$AO$21="RF Valet"),RF!$H$2:$AO$17)</f>
        <v>0</v>
      </c>
      <c r="O116" s="250">
        <f>SUMPRODUCT((RF!$A$2:$A$17=$A116)*(RFEmp=O$1)*(RF!$H$21:$AO$21="RF Valet"),RF!$H$2:$AO$17)</f>
        <v>0</v>
      </c>
      <c r="P116" s="250">
        <f>SUMPRODUCT((RF!$A$2:$A$17=$A116)*(RFEmp=P$1)*(RF!$H$21:$AO$21="RF Valet"),RF!$H$2:$AO$17)</f>
        <v>0</v>
      </c>
      <c r="Q116" s="250">
        <f>SUMPRODUCT((RF!$A$2:$A$17=$A116)*(RFEmp=Q$1)*(RF!$H$21:$AO$21="RF Valet"),RF!$H$2:$AO$17)</f>
        <v>0</v>
      </c>
      <c r="R116" s="250">
        <f>SUMPRODUCT((RF!$A$2:$A$17=$A116)*(RFEmp=R$1)*(RF!$H$21:$AO$21="RF Valet"),RF!$H$2:$AO$17)</f>
        <v>0</v>
      </c>
      <c r="S116" s="250">
        <f>SUMPRODUCT((RF!$A$2:$A$17=$A116)*(RFEmp=S$1)*(RF!$H$21:$AO$21="RF Valet"),RF!$H$2:$AO$17)</f>
        <v>0</v>
      </c>
      <c r="T116" s="250">
        <f>SUMPRODUCT((RF!$A$2:$A$17=$A116)*(RFEmp=T$1)*(RF!$H$21:$AO$21="RF Valet"),RF!$H$2:$AO$17)</f>
        <v>0</v>
      </c>
      <c r="U116" s="250">
        <f>SUMPRODUCT((RF!$A$2:$A$17=$A116)*(RFEmp=U$1)*(RF!$H$21:$AO$21="RF Valet"),RF!$H$2:$AO$17)</f>
        <v>0</v>
      </c>
      <c r="V116" s="250">
        <f>SUMPRODUCT((RF!$A$2:$A$17=$A116)*(RFEmp=V$1)*(RF!$H$21:$AO$21="RF Valet"),RF!$H$2:$AO$17)</f>
        <v>0</v>
      </c>
      <c r="W116" s="250">
        <f>SUMPRODUCT((RF!$A$2:$A$17=$A116)*(RFEmp=W$1)*(RF!$H$21:$AO$21="RF Valet"),RF!$H$2:$AO$17)</f>
        <v>0</v>
      </c>
      <c r="X116" s="250">
        <f>SUMPRODUCT((RF!$A$2:$A$17=$A116)*(RFEmp=X$1)*(RF!$H$21:$AO$21="RF Valet"),RF!$H$2:$AO$17)</f>
        <v>0</v>
      </c>
      <c r="Y116" s="250">
        <f>SUMPRODUCT((RF!$A$2:$A$17=$A116)*(RFEmp=Y$1)*(RF!$H$21:$AO$21="RF Valet"),RF!$H$2:$AO$17)</f>
        <v>0</v>
      </c>
      <c r="Z116" s="250">
        <f>SUMPRODUCT((RF!$A$2:$A$17=$A116)*(RFEmp=Z$1)*(RF!$H$21:$AO$21="RF Valet"),RF!$H$2:$AO$17)</f>
        <v>0</v>
      </c>
      <c r="AA116" s="250">
        <f>SUMPRODUCT((RF!$A$2:$A$17=$A116)*(RFEmp=AA$1)*(RF!$H$21:$AO$21="RF Valet"),RF!$H$2:$AO$17)</f>
        <v>0</v>
      </c>
      <c r="AB116" s="250">
        <f>SUMPRODUCT((RF!$A$2:$A$17=$A116)*(RFEmp=AB$1)*(RF!$H$21:$AO$21="RF Valet"),RF!$H$2:$AO$17)</f>
        <v>0</v>
      </c>
      <c r="AC116" s="250">
        <f>SUMPRODUCT((RF!$A$2:$A$17=$A116)*(RFEmp=AC$1)*(RF!$H$21:$AO$21="RF Valet"),RF!$H$2:$AO$17)</f>
        <v>0</v>
      </c>
      <c r="AD116" s="250">
        <f>SUMPRODUCT((RF!$A$2:$A$17=$A116)*(RFEmp=AD$1)*(RF!$H$21:$AO$21="RF Valet"),RF!$H$2:$AO$17)</f>
        <v>0</v>
      </c>
      <c r="AE116" s="250">
        <f>SUMPRODUCT((RF!$A$2:$A$17=$A116)*(RFEmp=AE$1)*(RF!$H$21:$AO$21="RF Valet"),RF!$H$2:$AO$17)</f>
        <v>0</v>
      </c>
      <c r="AF116" s="250">
        <f>SUMPRODUCT((RF!$A$2:$A$17=$A116)*(RFEmp=AF$1)*(RF!$H$21:$AO$21="RF Valet"),RF!$H$2:$AO$17)</f>
        <v>0</v>
      </c>
      <c r="AG116" s="250">
        <f>SUMPRODUCT((RF!$A$2:$A$17=$A116)*(RFEmp=AG$1)*(RF!$H$21:$AO$21="RF Valet"),RF!$H$2:$AO$17)</f>
        <v>0</v>
      </c>
      <c r="AH116" s="250">
        <f>SUMPRODUCT((RF!$A$2:$A$17=$A116)*(RFEmp=AH$1)*(RF!$H$21:$AO$21="RF Valet"),RF!$H$2:$AO$17)</f>
        <v>0</v>
      </c>
      <c r="AI116" s="250">
        <f>SUMPRODUCT((RF!$A$2:$A$17=$A116)*(RFEmp=AI$1)*(RF!$H$21:$AO$21="RF Valet"),RF!$H$2:$AO$17)</f>
        <v>0</v>
      </c>
      <c r="AJ116" s="250">
        <f>SUMPRODUCT((RF!$A$2:$A$17=$A116)*(RFEmp=AJ$1)*(RF!$H$21:$AO$21="RF Valet"),RF!$H$2:$AO$17)</f>
        <v>0</v>
      </c>
      <c r="AK116" s="250">
        <f>SUMPRODUCT((RF!$A$2:$A$17=$A116)*(RFEmp=AK$1)*(RF!$H$21:$AO$21="RF Valet"),RF!$H$2:$AO$17)</f>
        <v>0</v>
      </c>
      <c r="AL116" s="250">
        <f>SUMPRODUCT((RF!$A$2:$A$17=$A116)*(RFEmp=AL$1)*(RF!$H$21:$AO$21="RF Valet"),RF!$H$2:$AO$17)</f>
        <v>0</v>
      </c>
      <c r="AM116" s="250">
        <f>SUMPRODUCT((RF!$A$2:$A$17=$A116)*(RFEmp=AM$1)*(RF!$H$21:$AO$21="RF Valet"),RF!$H$2:$AO$17)</f>
        <v>0</v>
      </c>
      <c r="AN116" s="250">
        <f>SUMPRODUCT((RF!$A$2:$A$17=$A116)*(RFEmp=AN$1)*(RF!$H$21:$AO$21="RF Valet"),RF!$H$2:$AO$17)</f>
        <v>0</v>
      </c>
      <c r="AO116" s="250">
        <f>SUMPRODUCT((RF!$A$2:$A$17=$A116)*(RFEmp=AO$1)*(RF!$H$21:$AO$21="RF Valet"),RF!$H$2:$AO$17)</f>
        <v>0</v>
      </c>
      <c r="AP116" s="250">
        <f>SUMPRODUCT((RF!$A$2:$A$17=$A116)*(RFEmp=AP$1)*(RF!$H$21:$AO$21="RF Valet"),RF!$H$2:$AO$17)</f>
        <v>0</v>
      </c>
      <c r="AQ116" s="250">
        <f>SUMPRODUCT((RF!$A$2:$A$17=$A116)*(RFEmp=AQ$1)*(RF!$H$21:$AO$21="RF Valet"),RF!$H$2:$AO$17)</f>
        <v>0</v>
      </c>
      <c r="AR116" s="496">
        <f>SUMPRODUCT((RF!$A$2:$A$17=$A116)*(RFEmp=AR$1)*(RF!$H$21:$AO$21="RF Valet"),RF!$H$2:$AO$17)</f>
        <v>0</v>
      </c>
    </row>
    <row r="117" spans="1:44" s="271" customFormat="1" x14ac:dyDescent="0.2">
      <c r="A117" s="247">
        <f>A116</f>
        <v>42471</v>
      </c>
      <c r="B117" s="255" t="s">
        <v>74</v>
      </c>
      <c r="C117" s="249">
        <f>SUMPRODUCT((TM!$A$2:$A$17=$A117)*(TMEmp=C$1),TM!$D$2:$AK$17)</f>
        <v>0</v>
      </c>
      <c r="D117" s="250">
        <f>SUMPRODUCT((TM!$A$2:$A$17=$A117)*(TMEmp=D$1),TM!$D$2:$AK$17)</f>
        <v>0</v>
      </c>
      <c r="E117" s="250">
        <f>SUMPRODUCT((TM!$A$2:$A$17=$A117)*(TMEmp=E$1),TM!$D$2:$AK$17)</f>
        <v>0</v>
      </c>
      <c r="F117" s="250">
        <f>SUMPRODUCT((TM!$A$2:$A$17=$A117)*(TMEmp=F$1),TM!$D$2:$AK$17)</f>
        <v>0</v>
      </c>
      <c r="G117" s="250">
        <f>SUMPRODUCT((TM!$A$2:$A$17=$A117)*(TMEmp=G$1),TM!$D$2:$AK$17)</f>
        <v>0</v>
      </c>
      <c r="H117" s="250">
        <f>SUMPRODUCT((TM!$A$2:$A$17=$A117)*(TMEmp=H$1),TM!$D$2:$AK$17)</f>
        <v>0</v>
      </c>
      <c r="I117" s="250">
        <f>SUMPRODUCT((TM!$A$2:$A$17=$A117)*(TMEmp=I$1),TM!$D$2:$AK$17)</f>
        <v>0</v>
      </c>
      <c r="J117" s="250">
        <f>SUMPRODUCT((TM!$A$2:$A$17=$A117)*(TMEmp=J$1),TM!$D$2:$AK$17)</f>
        <v>0</v>
      </c>
      <c r="K117" s="250">
        <f>SUMPRODUCT((TM!$A$2:$A$17=$A117)*(TMEmp=K$1),TM!$D$2:$AK$17)</f>
        <v>0</v>
      </c>
      <c r="L117" s="250">
        <f>SUMPRODUCT((TM!$A$2:$A$17=$A117)*(TMEmp=L$1),TM!$D$2:$AK$17)</f>
        <v>0</v>
      </c>
      <c r="M117" s="250">
        <f>SUMPRODUCT((TM!$A$2:$A$17=$A117)*(TMEmp=M$1),TM!$D$2:$AK$17)</f>
        <v>0</v>
      </c>
      <c r="N117" s="250">
        <f>SUMPRODUCT((TM!$A$2:$A$17=$A117)*(TMEmp=N$1),TM!$D$2:$AK$17)</f>
        <v>0</v>
      </c>
      <c r="O117" s="250">
        <f>SUMPRODUCT((TM!$A$2:$A$17=$A117)*(TMEmp=O$1),TM!$D$2:$AK$17)</f>
        <v>0</v>
      </c>
      <c r="P117" s="250">
        <f>SUMPRODUCT((TM!$A$2:$A$17=$A117)*(TMEmp=P$1),TM!$D$2:$AK$17)</f>
        <v>0</v>
      </c>
      <c r="Q117" s="250">
        <f>SUMPRODUCT((TM!$A$2:$A$17=$A117)*(TMEmp=Q$1),TM!$D$2:$AK$17)</f>
        <v>0</v>
      </c>
      <c r="R117" s="250">
        <f>SUMPRODUCT((TM!$A$2:$A$17=$A117)*(TMEmp=R$1),TM!$D$2:$AK$17)</f>
        <v>0</v>
      </c>
      <c r="S117" s="250">
        <f>SUMPRODUCT((TM!$A$2:$A$17=$A117)*(TMEmp=S$1),TM!$D$2:$AK$17)</f>
        <v>0</v>
      </c>
      <c r="T117" s="250">
        <f>SUMPRODUCT((TM!$A$2:$A$17=$A117)*(TMEmp=T$1),TM!$D$2:$AK$17)</f>
        <v>0</v>
      </c>
      <c r="U117" s="250">
        <f>SUMPRODUCT((TM!$A$2:$A$17=$A117)*(TMEmp=U$1),TM!$D$2:$AK$17)</f>
        <v>0</v>
      </c>
      <c r="V117" s="250">
        <f>SUMPRODUCT((TM!$A$2:$A$17=$A117)*(TMEmp=V$1),TM!$D$2:$AK$17)</f>
        <v>0</v>
      </c>
      <c r="W117" s="250">
        <f>SUMPRODUCT((TM!$A$2:$A$17=$A117)*(TMEmp=W$1),TM!$D$2:$AK$17)</f>
        <v>0</v>
      </c>
      <c r="X117" s="250">
        <f>SUMPRODUCT((TM!$A$2:$A$17=$A117)*(TMEmp=X$1),TM!$D$2:$AK$17)</f>
        <v>0</v>
      </c>
      <c r="Y117" s="250">
        <f>SUMPRODUCT((TM!$A$2:$A$17=$A117)*(TMEmp=Y$1),TM!$D$2:$AK$17)</f>
        <v>0</v>
      </c>
      <c r="Z117" s="250">
        <f>SUMPRODUCT((TM!$A$2:$A$17=$A117)*(TMEmp=Z$1),TM!$D$2:$AK$17)</f>
        <v>0</v>
      </c>
      <c r="AA117" s="250">
        <f>SUMPRODUCT((TM!$A$2:$A$17=$A117)*(TMEmp=AA$1),TM!$D$2:$AK$17)</f>
        <v>0</v>
      </c>
      <c r="AB117" s="250">
        <f>SUMPRODUCT((TM!$A$2:$A$17=$A117)*(TMEmp=AB$1),TM!$D$2:$AK$17)</f>
        <v>0</v>
      </c>
      <c r="AC117" s="250">
        <f>SUMPRODUCT((TM!$A$2:$A$17=$A117)*(TMEmp=AC$1),TM!$D$2:$AK$17)</f>
        <v>0</v>
      </c>
      <c r="AD117" s="250">
        <f>SUMPRODUCT((TM!$A$2:$A$17=$A117)*(TMEmp=AD$1),TM!$D$2:$AK$17)</f>
        <v>0</v>
      </c>
      <c r="AE117" s="250">
        <f>SUMPRODUCT((TM!$A$2:$A$17=$A117)*(TMEmp=AE$1),TM!$D$2:$AK$17)</f>
        <v>0</v>
      </c>
      <c r="AF117" s="250">
        <f>SUMPRODUCT((TM!$A$2:$A$17=$A117)*(TMEmp=AF$1),TM!$D$2:$AK$17)</f>
        <v>0</v>
      </c>
      <c r="AG117" s="250">
        <f>SUMPRODUCT((TM!$A$2:$A$17=$A117)*(TMEmp=AG$1),TM!$D$2:$AK$17)</f>
        <v>0</v>
      </c>
      <c r="AH117" s="250">
        <f>SUMPRODUCT((TM!$A$2:$A$17=$A117)*(TMEmp=AH$1),TM!$D$2:$AK$17)</f>
        <v>0</v>
      </c>
      <c r="AI117" s="250">
        <f>SUMPRODUCT((TM!$A$2:$A$17=$A117)*(TMEmp=AI$1),TM!$D$2:$AK$17)</f>
        <v>0</v>
      </c>
      <c r="AJ117" s="250">
        <f>SUMPRODUCT((TM!$A$2:$A$17=$A117)*(TMEmp=AJ$1),TM!$D$2:$AK$17)</f>
        <v>0</v>
      </c>
      <c r="AK117" s="250">
        <f>SUMPRODUCT((TM!$A$2:$A$17=$A117)*(TMEmp=AK$1),TM!$D$2:$AK$17)</f>
        <v>0</v>
      </c>
      <c r="AL117" s="250">
        <f>SUMPRODUCT((TM!$A$2:$A$17=$A117)*(TMEmp=AL$1),TM!$D$2:$AK$17)</f>
        <v>0</v>
      </c>
      <c r="AM117" s="250">
        <f>SUMPRODUCT((TM!$A$2:$A$17=$A117)*(TMEmp=AM$1),TM!$D$2:$AK$17)</f>
        <v>0</v>
      </c>
      <c r="AN117" s="250">
        <f>SUMPRODUCT((TM!$A$2:$A$17=$A117)*(TMEmp=AN$1),TM!$D$2:$AK$17)</f>
        <v>0</v>
      </c>
      <c r="AO117" s="250">
        <f>SUMPRODUCT((TM!$A$2:$A$17=$A117)*(TMEmp=AO$1),TM!$D$2:$AK$17)</f>
        <v>0</v>
      </c>
      <c r="AP117" s="250">
        <f>SUMPRODUCT((TM!$A$2:$A$17=$A117)*(TMEmp=AP$1),TM!$D$2:$AK$17)</f>
        <v>0</v>
      </c>
      <c r="AQ117" s="250">
        <f>SUMPRODUCT((TM!$A$2:$A$17=$A117)*(TMEmp=AQ$1),TM!$D$2:$AK$17)</f>
        <v>0</v>
      </c>
      <c r="AR117" s="496">
        <f>SUMPRODUCT((TM!$A$2:$A$17=$A117)*(TMEmp=AR$1),TM!$D$2:$AK$17)</f>
        <v>0</v>
      </c>
    </row>
    <row r="118" spans="1:44" s="271" customFormat="1" x14ac:dyDescent="0.2">
      <c r="A118" s="256">
        <f t="shared" si="70"/>
        <v>42471</v>
      </c>
      <c r="B118" s="257" t="s">
        <v>72</v>
      </c>
      <c r="C118" s="258">
        <f>SUMPRODUCT((PC!$A$2:$A$80=$A118)*(PCEmp=C$1),PC!$D$2:$BD$80)</f>
        <v>0</v>
      </c>
      <c r="D118" s="259">
        <f>SUMPRODUCT((PC!$A$2:$A$80=$A118)*(PCEmp=D$1),PC!$D$2:$BD$80)</f>
        <v>0</v>
      </c>
      <c r="E118" s="259">
        <f>SUMPRODUCT((PC!$A$2:$A$80=$A118)*(PCEmp=E$1),PC!$D$2:$BD$80)</f>
        <v>0</v>
      </c>
      <c r="F118" s="259">
        <f>SUMPRODUCT((PC!$A$2:$A$80=$A118)*(PCEmp=F$1),PC!$D$2:$BD$80)</f>
        <v>0</v>
      </c>
      <c r="G118" s="259">
        <f>SUMPRODUCT((PC!$A$2:$A$80=$A118)*(PCEmp=G$1),PC!$D$2:$BD$80)</f>
        <v>0</v>
      </c>
      <c r="H118" s="259">
        <f>SUMPRODUCT((PC!$A$2:$A$80=$A118)*(PCEmp=H$1),PC!$D$2:$BD$80)</f>
        <v>0</v>
      </c>
      <c r="I118" s="259">
        <f>SUMPRODUCT((PC!$A$2:$A$80=$A118)*(PCEmp=I$1),PC!$D$2:$BD$80)</f>
        <v>0</v>
      </c>
      <c r="J118" s="259">
        <f>SUMPRODUCT((PC!$A$2:$A$80=$A118)*(PCEmp=J$1),PC!$D$2:$BD$80)</f>
        <v>0</v>
      </c>
      <c r="K118" s="259">
        <f>SUMPRODUCT((PC!$A$2:$A$80=$A118)*(PCEmp=K$1),PC!$D$2:$BD$80)</f>
        <v>0</v>
      </c>
      <c r="L118" s="259">
        <f>SUMPRODUCT((PC!$A$2:$A$80=$A118)*(PCEmp=L$1),PC!$D$2:$BD$80)</f>
        <v>0</v>
      </c>
      <c r="M118" s="259">
        <f>SUMPRODUCT((PC!$A$2:$A$80=$A118)*(PCEmp=M$1),PC!$D$2:$BD$80)</f>
        <v>0</v>
      </c>
      <c r="N118" s="259">
        <f>SUMPRODUCT((PC!$A$2:$A$80=$A118)*(PCEmp=N$1),PC!$D$2:$BD$80)</f>
        <v>0</v>
      </c>
      <c r="O118" s="259">
        <f>SUMPRODUCT((PC!$A$2:$A$80=$A118)*(PCEmp=O$1),PC!$D$2:$BD$80)</f>
        <v>0</v>
      </c>
      <c r="P118" s="259">
        <f>SUMPRODUCT((PC!$A$2:$A$80=$A118)*(PCEmp=P$1),PC!$D$2:$BD$80)</f>
        <v>0</v>
      </c>
      <c r="Q118" s="259">
        <f>SUMPRODUCT((PC!$A$2:$A$80=$A118)*(PCEmp=Q$1),PC!$D$2:$BD$80)</f>
        <v>0</v>
      </c>
      <c r="R118" s="259">
        <f>SUMPRODUCT((PC!$A$2:$A$80=$A118)*(PCEmp=R$1),PC!$D$2:$BD$80)</f>
        <v>0</v>
      </c>
      <c r="S118" s="259">
        <f>SUMPRODUCT((PC!$A$2:$A$80=$A118)*(PCEmp=S$1),PC!$D$2:$BD$80)</f>
        <v>0</v>
      </c>
      <c r="T118" s="259">
        <f>SUMPRODUCT((PC!$A$2:$A$80=$A118)*(PCEmp=T$1),PC!$D$2:$BD$80)</f>
        <v>0</v>
      </c>
      <c r="U118" s="259">
        <f>SUMPRODUCT((PC!$A$2:$A$80=$A118)*(PCEmp=U$1),PC!$D$2:$BD$80)</f>
        <v>0</v>
      </c>
      <c r="V118" s="259">
        <f>SUMPRODUCT((PC!$A$2:$A$80=$A118)*(PCEmp=V$1),PC!$D$2:$BD$80)</f>
        <v>0</v>
      </c>
      <c r="W118" s="259">
        <f>SUMPRODUCT((PC!$A$2:$A$80=$A118)*(PCEmp=W$1),PC!$D$2:$BD$80)</f>
        <v>0</v>
      </c>
      <c r="X118" s="259">
        <f>SUMPRODUCT((PC!$A$2:$A$80=$A118)*(PCEmp=X$1),PC!$D$2:$BD$80)</f>
        <v>0</v>
      </c>
      <c r="Y118" s="259">
        <f>SUMPRODUCT((PC!$A$2:$A$80=$A118)*(PCEmp=Y$1),PC!$D$2:$BD$80)</f>
        <v>0</v>
      </c>
      <c r="Z118" s="259">
        <f>SUMPRODUCT((PC!$A$2:$A$80=$A118)*(PCEmp=Z$1),PC!$D$2:$BD$80)</f>
        <v>0</v>
      </c>
      <c r="AA118" s="259">
        <f>SUMPRODUCT((PC!$A$2:$A$80=$A118)*(PCEmp=AA$1),PC!$D$2:$BD$80)</f>
        <v>0</v>
      </c>
      <c r="AB118" s="259">
        <f>SUMPRODUCT((PC!$A$2:$A$80=$A118)*(PCEmp=AB$1),PC!$D$2:$BD$80)</f>
        <v>0</v>
      </c>
      <c r="AC118" s="259">
        <f>SUMPRODUCT((PC!$A$2:$A$80=$A118)*(PCEmp=AC$1),PC!$D$2:$BD$80)</f>
        <v>0</v>
      </c>
      <c r="AD118" s="259">
        <f>SUMPRODUCT((PC!$A$2:$A$80=$A118)*(PCEmp=AD$1),PC!$D$2:$BD$80)</f>
        <v>0</v>
      </c>
      <c r="AE118" s="259">
        <f>SUMPRODUCT((PC!$A$2:$A$80=$A118)*(PCEmp=AE$1),PC!$D$2:$BD$80)</f>
        <v>0</v>
      </c>
      <c r="AF118" s="259">
        <f>SUMPRODUCT((PC!$A$2:$A$80=$A118)*(PCEmp=AF$1),PC!$D$2:$BD$80)</f>
        <v>0</v>
      </c>
      <c r="AG118" s="259">
        <f>SUMPRODUCT((PC!$A$2:$A$80=$A118)*(PCEmp=AG$1),PC!$D$2:$BD$80)</f>
        <v>0</v>
      </c>
      <c r="AH118" s="259">
        <f>SUMPRODUCT((PC!$A$2:$A$80=$A118)*(PCEmp=AH$1),PC!$D$2:$BD$80)</f>
        <v>0</v>
      </c>
      <c r="AI118" s="259">
        <f>SUMPRODUCT((PC!$A$2:$A$80=$A118)*(PCEmp=AI$1),PC!$D$2:$BD$80)</f>
        <v>0</v>
      </c>
      <c r="AJ118" s="259">
        <f>SUMPRODUCT((PC!$A$2:$A$80=$A118)*(PCEmp=AJ$1),PC!$D$2:$BD$80)</f>
        <v>0</v>
      </c>
      <c r="AK118" s="259">
        <f>SUMPRODUCT((PC!$A$2:$A$80=$A118)*(PCEmp=AK$1),PC!$D$2:$BD$80)</f>
        <v>0</v>
      </c>
      <c r="AL118" s="259">
        <f>SUMPRODUCT((PC!$A$2:$A$80=$A118)*(PCEmp=AL$1),PC!$D$2:$BD$80)</f>
        <v>0</v>
      </c>
      <c r="AM118" s="259">
        <f>SUMPRODUCT((PC!$A$2:$A$80=$A118)*(PCEmp=AM$1),PC!$D$2:$BD$80)</f>
        <v>0</v>
      </c>
      <c r="AN118" s="259">
        <f>SUMPRODUCT((PC!$A$2:$A$80=$A118)*(PCEmp=AN$1),PC!$D$2:$BD$80)</f>
        <v>0</v>
      </c>
      <c r="AO118" s="259">
        <f>SUMPRODUCT((PC!$A$2:$A$80=$A118)*(PCEmp=AO$1),PC!$D$2:$BD$80)</f>
        <v>0</v>
      </c>
      <c r="AP118" s="259">
        <f>SUMPRODUCT((PC!$A$2:$A$80=$A118)*(PCEmp=AP$1),PC!$D$2:$BD$80)</f>
        <v>0</v>
      </c>
      <c r="AQ118" s="259">
        <f>SUMPRODUCT((PC!$A$2:$A$80=$A118)*(PCEmp=AQ$1),PC!$D$2:$BD$80)</f>
        <v>0</v>
      </c>
      <c r="AR118" s="497">
        <f>SUMPRODUCT((PC!$A$2:$A$80=$A118)*(PCEmp=AR$1),PC!$D$2:$BD$80)</f>
        <v>0</v>
      </c>
    </row>
    <row r="119" spans="1:44" s="271" customFormat="1" x14ac:dyDescent="0.2">
      <c r="A119" s="247">
        <f t="shared" si="70"/>
        <v>42471</v>
      </c>
      <c r="B119" s="254" t="s">
        <v>85</v>
      </c>
      <c r="C119" s="249">
        <f>SUMPRODUCT((RF!$A$2:$A$17=$A119)*(RFEmp=C$1)*(RF!$H$21:$AO$21="RF Lead"),RF!$H$2:$AO$17)</f>
        <v>0</v>
      </c>
      <c r="D119" s="250">
        <f>SUMPRODUCT((RF!$A$2:$A$17=$A119)*(RFEmp=D$1)*(RF!$H$21:$AO$21="RF Lead"),RF!$H$2:$AO$17)</f>
        <v>0</v>
      </c>
      <c r="E119" s="250">
        <f>SUMPRODUCT((RF!$A$2:$A$17=$A119)*(RFEmp=E$1)*(RF!$H$21:$AO$21="RF Lead"),RF!$H$2:$AO$17)</f>
        <v>0</v>
      </c>
      <c r="F119" s="250">
        <f>SUMPRODUCT((RF!$A$2:$A$17=$A119)*(RFEmp=F$1)*(RF!$H$21:$AO$21="RF Lead"),RF!$H$2:$AO$17)</f>
        <v>0</v>
      </c>
      <c r="G119" s="250">
        <f>SUMPRODUCT((RF!$A$2:$A$17=$A119)*(RFEmp=G$1)*(RF!$H$21:$AO$21="RF Lead"),RF!$H$2:$AO$17)</f>
        <v>0</v>
      </c>
      <c r="H119" s="250">
        <f>SUMPRODUCT((RF!$A$2:$A$17=$A119)*(RFEmp=H$1)*(RF!$H$21:$AO$21="RF Lead"),RF!$H$2:$AO$17)</f>
        <v>0</v>
      </c>
      <c r="I119" s="250">
        <f>SUMPRODUCT((RF!$A$2:$A$17=$A119)*(RFEmp=I$1)*(RF!$H$21:$AO$21="RF Lead"),RF!$H$2:$AO$17)</f>
        <v>0</v>
      </c>
      <c r="J119" s="250">
        <f>SUMPRODUCT((RF!$A$2:$A$17=$A119)*(RFEmp=J$1)*(RF!$H$21:$AO$21="RF Lead"),RF!$H$2:$AO$17)</f>
        <v>0</v>
      </c>
      <c r="K119" s="250">
        <f>SUMPRODUCT((RF!$A$2:$A$17=$A119)*(RFEmp=K$1)*(RF!$H$21:$AO$21="RF Lead"),RF!$H$2:$AO$17)</f>
        <v>0</v>
      </c>
      <c r="L119" s="250">
        <f>SUMPRODUCT((RF!$A$2:$A$17=$A119)*(RFEmp=L$1)*(RF!$H$21:$AO$21="RF Lead"),RF!$H$2:$AO$17)</f>
        <v>0</v>
      </c>
      <c r="M119" s="250">
        <f>SUMPRODUCT((RF!$A$2:$A$17=$A119)*(RFEmp=M$1)*(RF!$H$21:$AO$21="RF Lead"),RF!$H$2:$AO$17)</f>
        <v>0</v>
      </c>
      <c r="N119" s="250">
        <f>SUMPRODUCT((RF!$A$2:$A$17=$A119)*(RFEmp=N$1)*(RF!$H$21:$AO$21="RF Lead"),RF!$H$2:$AO$17)</f>
        <v>0</v>
      </c>
      <c r="O119" s="250">
        <f>SUMPRODUCT((RF!$A$2:$A$17=$A119)*(RFEmp=O$1)*(RF!$H$21:$AO$21="RF Lead"),RF!$H$2:$AO$17)</f>
        <v>0</v>
      </c>
      <c r="P119" s="250">
        <f>SUMPRODUCT((RF!$A$2:$A$17=$A119)*(RFEmp=P$1)*(RF!$H$21:$AO$21="RF Lead"),RF!$H$2:$AO$17)</f>
        <v>0</v>
      </c>
      <c r="Q119" s="250">
        <f>SUMPRODUCT((RF!$A$2:$A$17=$A119)*(RFEmp=Q$1)*(RF!$H$21:$AO$21="RF Lead"),RF!$H$2:$AO$17)</f>
        <v>0</v>
      </c>
      <c r="R119" s="250">
        <f>SUMPRODUCT((RF!$A$2:$A$17=$A119)*(RFEmp=R$1)*(RF!$H$21:$AO$21="RF Lead"),RF!$H$2:$AO$17)</f>
        <v>0</v>
      </c>
      <c r="S119" s="250">
        <f>SUMPRODUCT((RF!$A$2:$A$17=$A119)*(RFEmp=S$1)*(RF!$H$21:$AO$21="RF Lead"),RF!$H$2:$AO$17)</f>
        <v>0</v>
      </c>
      <c r="T119" s="250">
        <f>SUMPRODUCT((RF!$A$2:$A$17=$A119)*(RFEmp=T$1)*(RF!$H$21:$AO$21="RF Lead"),RF!$H$2:$AO$17)</f>
        <v>0</v>
      </c>
      <c r="U119" s="250">
        <f>SUMPRODUCT((RF!$A$2:$A$17=$A119)*(RFEmp=U$1)*(RF!$H$21:$AO$21="RF Lead"),RF!$H$2:$AO$17)</f>
        <v>0</v>
      </c>
      <c r="V119" s="250">
        <f>SUMPRODUCT((RF!$A$2:$A$17=$A119)*(RFEmp=V$1)*(RF!$H$21:$AO$21="RF Lead"),RF!$H$2:$AO$17)</f>
        <v>0</v>
      </c>
      <c r="W119" s="250">
        <f>SUMPRODUCT((RF!$A$2:$A$17=$A119)*(RFEmp=W$1)*(RF!$H$21:$AO$21="RF Lead"),RF!$H$2:$AO$17)</f>
        <v>0</v>
      </c>
      <c r="X119" s="250">
        <f>SUMPRODUCT((RF!$A$2:$A$17=$A119)*(RFEmp=X$1)*(RF!$H$21:$AO$21="RF Lead"),RF!$H$2:$AO$17)</f>
        <v>0</v>
      </c>
      <c r="Y119" s="250">
        <f>SUMPRODUCT((RF!$A$2:$A$17=$A119)*(RFEmp=Y$1)*(RF!$H$21:$AO$21="RF Lead"),RF!$H$2:$AO$17)</f>
        <v>0</v>
      </c>
      <c r="Z119" s="250">
        <f>SUMPRODUCT((RF!$A$2:$A$17=$A119)*(RFEmp=Z$1)*(RF!$H$21:$AO$21="RF Lead"),RF!$H$2:$AO$17)</f>
        <v>0</v>
      </c>
      <c r="AA119" s="250">
        <f>SUMPRODUCT((RF!$A$2:$A$17=$A119)*(RFEmp=AA$1)*(RF!$H$21:$AO$21="RF Lead"),RF!$H$2:$AO$17)</f>
        <v>0</v>
      </c>
      <c r="AB119" s="250">
        <f>SUMPRODUCT((RF!$A$2:$A$17=$A119)*(RFEmp=AB$1)*(RF!$H$21:$AO$21="RF Lead"),RF!$H$2:$AO$17)</f>
        <v>0</v>
      </c>
      <c r="AC119" s="250">
        <f>SUMPRODUCT((RF!$A$2:$A$17=$A119)*(RFEmp=AC$1)*(RF!$H$21:$AO$21="RF Lead"),RF!$H$2:$AO$17)</f>
        <v>0</v>
      </c>
      <c r="AD119" s="250">
        <f>SUMPRODUCT((RF!$A$2:$A$17=$A119)*(RFEmp=AD$1)*(RF!$H$21:$AO$21="RF Lead"),RF!$H$2:$AO$17)</f>
        <v>0</v>
      </c>
      <c r="AE119" s="250">
        <f>SUMPRODUCT((RF!$A$2:$A$17=$A119)*(RFEmp=AE$1)*(RF!$H$21:$AO$21="RF Lead"),RF!$H$2:$AO$17)</f>
        <v>0</v>
      </c>
      <c r="AF119" s="250">
        <f>SUMPRODUCT((RF!$A$2:$A$17=$A119)*(RFEmp=AF$1)*(RF!$H$21:$AO$21="RF Lead"),RF!$H$2:$AO$17)</f>
        <v>0</v>
      </c>
      <c r="AG119" s="250">
        <f>SUMPRODUCT((RF!$A$2:$A$17=$A119)*(RFEmp=AG$1)*(RF!$H$21:$AO$21="RF Lead"),RF!$H$2:$AO$17)</f>
        <v>0</v>
      </c>
      <c r="AH119" s="250">
        <f>SUMPRODUCT((RF!$A$2:$A$17=$A119)*(RFEmp=AH$1)*(RF!$H$21:$AO$21="RF Lead"),RF!$H$2:$AO$17)</f>
        <v>0</v>
      </c>
      <c r="AI119" s="250">
        <f>SUMPRODUCT((RF!$A$2:$A$17=$A119)*(RFEmp=AI$1)*(RF!$H$21:$AO$21="RF Lead"),RF!$H$2:$AO$17)</f>
        <v>0</v>
      </c>
      <c r="AJ119" s="250">
        <f>SUMPRODUCT((RF!$A$2:$A$17=$A119)*(RFEmp=AJ$1)*(RF!$H$21:$AO$21="RF Lead"),RF!$H$2:$AO$17)</f>
        <v>0</v>
      </c>
      <c r="AK119" s="250">
        <f>SUMPRODUCT((RF!$A$2:$A$17=$A119)*(RFEmp=AK$1)*(RF!$H$21:$AO$21="RF Lead"),RF!$H$2:$AO$17)</f>
        <v>0</v>
      </c>
      <c r="AL119" s="250">
        <f>SUMPRODUCT((RF!$A$2:$A$17=$A119)*(RFEmp=AL$1)*(RF!$H$21:$AO$21="RF Lead"),RF!$H$2:$AO$17)</f>
        <v>0</v>
      </c>
      <c r="AM119" s="250">
        <f>SUMPRODUCT((RF!$A$2:$A$17=$A119)*(RFEmp=AM$1)*(RF!$H$21:$AO$21="RF Lead"),RF!$H$2:$AO$17)</f>
        <v>0</v>
      </c>
      <c r="AN119" s="250">
        <f>SUMPRODUCT((RF!$A$2:$A$17=$A119)*(RFEmp=AN$1)*(RF!$H$21:$AO$21="RF Lead"),RF!$H$2:$AO$17)</f>
        <v>0</v>
      </c>
      <c r="AO119" s="250">
        <f>SUMPRODUCT((RF!$A$2:$A$17=$A119)*(RFEmp=AO$1)*(RF!$H$21:$AO$21="RF Lead"),RF!$H$2:$AO$17)</f>
        <v>0</v>
      </c>
      <c r="AP119" s="250">
        <f>SUMPRODUCT((RF!$A$2:$A$17=$A119)*(RFEmp=AP$1)*(RF!$H$21:$AO$21="RF Lead"),RF!$H$2:$AO$17)</f>
        <v>0</v>
      </c>
      <c r="AQ119" s="250">
        <f>SUMPRODUCT((RF!$A$2:$A$17=$A119)*(RFEmp=AQ$1)*(RF!$H$21:$AO$21="RF Lead"),RF!$H$2:$AO$17)</f>
        <v>0</v>
      </c>
      <c r="AR119" s="496">
        <f>SUMPRODUCT((RF!$A$2:$A$17=$A119)*(RFEmp=AR$1)*(RF!$H$21:$AO$21="RF Lead"),RF!$H$2:$AO$17)</f>
        <v>0</v>
      </c>
    </row>
    <row r="120" spans="1:44" s="271" customFormat="1" x14ac:dyDescent="0.2">
      <c r="A120" s="260">
        <f t="shared" si="70"/>
        <v>42471</v>
      </c>
      <c r="B120" s="261" t="str">
        <f>Total!$M$1</f>
        <v>SC</v>
      </c>
      <c r="C120" s="249">
        <f>SUMPRODUCT((SC!$A$2:$A$34=$A120)*(SCEmp=C$1),SC!$F$2:$Z$34)</f>
        <v>0</v>
      </c>
      <c r="D120" s="250">
        <f>SUMPRODUCT((SC!$A$2:$A$34=$A120)*(SCEmp=D$1),SC!$F$2:$Z$34)</f>
        <v>0</v>
      </c>
      <c r="E120" s="250">
        <f>SUMPRODUCT((SC!$A$2:$A$34=$A120)*(SCEmp=E$1),SC!$F$2:$Z$34)</f>
        <v>0</v>
      </c>
      <c r="F120" s="250">
        <f>SUMPRODUCT((SC!$A$2:$A$34=$A120)*(SCEmp=F$1),SC!$F$2:$Z$34)</f>
        <v>0</v>
      </c>
      <c r="G120" s="250">
        <f>SUMPRODUCT((SC!$A$2:$A$34=$A120)*(SCEmp=G$1),SC!$F$2:$Z$34)</f>
        <v>0</v>
      </c>
      <c r="H120" s="250">
        <f>SUMPRODUCT((SC!$A$2:$A$34=$A120)*(SCEmp=H$1),SC!$F$2:$Z$34)</f>
        <v>0</v>
      </c>
      <c r="I120" s="250">
        <f>SUMPRODUCT((SC!$A$2:$A$34=$A120)*(SCEmp=I$1),SC!$F$2:$Z$34)</f>
        <v>0</v>
      </c>
      <c r="J120" s="250">
        <f>SUMPRODUCT((SC!$A$2:$A$34=$A120)*(SCEmp=J$1),SC!$F$2:$Z$34)</f>
        <v>0</v>
      </c>
      <c r="K120" s="250">
        <f>SUMPRODUCT((SC!$A$2:$A$34=$A120)*(SCEmp=K$1),SC!$F$2:$Z$34)</f>
        <v>0</v>
      </c>
      <c r="L120" s="250">
        <f>SUMPRODUCT((SC!$A$2:$A$34=$A120)*(SCEmp=L$1),SC!$F$2:$Z$34)</f>
        <v>0</v>
      </c>
      <c r="M120" s="250">
        <f>SUMPRODUCT((SC!$A$2:$A$34=$A120)*(SCEmp=M$1),SC!$F$2:$Z$34)</f>
        <v>0</v>
      </c>
      <c r="N120" s="250">
        <f>SUMPRODUCT((SC!$A$2:$A$34=$A120)*(SCEmp=N$1),SC!$F$2:$Z$34)</f>
        <v>0</v>
      </c>
      <c r="O120" s="250">
        <f>SUMPRODUCT((SC!$A$2:$A$34=$A120)*(SCEmp=O$1),SC!$F$2:$Z$34)</f>
        <v>0</v>
      </c>
      <c r="P120" s="250">
        <f>SUMPRODUCT((SC!$A$2:$A$34=$A120)*(SCEmp=P$1),SC!$F$2:$Z$34)</f>
        <v>0</v>
      </c>
      <c r="Q120" s="250">
        <f>SUMPRODUCT((SC!$A$2:$A$34=$A120)*(SCEmp=Q$1),SC!$F$2:$Z$34)</f>
        <v>0</v>
      </c>
      <c r="R120" s="250">
        <f>SUMPRODUCT((SC!$A$2:$A$34=$A120)*(SCEmp=R$1),SC!$F$2:$Z$34)</f>
        <v>0</v>
      </c>
      <c r="S120" s="250">
        <f>SUMPRODUCT((SC!$A$2:$A$34=$A120)*(SCEmp=S$1),SC!$F$2:$Z$34)</f>
        <v>0</v>
      </c>
      <c r="T120" s="250">
        <f>SUMPRODUCT((SC!$A$2:$A$34=$A120)*(SCEmp=T$1),SC!$F$2:$Z$34)</f>
        <v>0</v>
      </c>
      <c r="U120" s="250">
        <f>SUMPRODUCT((SC!$A$2:$A$34=$A120)*(SCEmp=U$1),SC!$F$2:$Z$34)</f>
        <v>0</v>
      </c>
      <c r="V120" s="250">
        <f>SUMPRODUCT((SC!$A$2:$A$34=$A120)*(SCEmp=V$1),SC!$F$2:$Z$34)</f>
        <v>0</v>
      </c>
      <c r="W120" s="250">
        <f>SUMPRODUCT((SC!$A$2:$A$34=$A120)*(SCEmp=W$1),SC!$F$2:$Z$34)</f>
        <v>0</v>
      </c>
      <c r="X120" s="250">
        <f>SUMPRODUCT((SC!$A$2:$A$34=$A120)*(SCEmp=X$1),SC!$F$2:$Z$34)</f>
        <v>0</v>
      </c>
      <c r="Y120" s="250">
        <f>SUMPRODUCT((SC!$A$2:$A$34=$A120)*(SCEmp=Y$1),SC!$F$2:$Z$34)</f>
        <v>0</v>
      </c>
      <c r="Z120" s="250">
        <f>SUMPRODUCT((SC!$A$2:$A$34=$A120)*(SCEmp=Z$1),SC!$F$2:$Z$34)</f>
        <v>0</v>
      </c>
      <c r="AA120" s="250">
        <f>SUMPRODUCT((SC!$A$2:$A$34=$A120)*(SCEmp=AA$1),SC!$F$2:$Z$34)</f>
        <v>0</v>
      </c>
      <c r="AB120" s="250">
        <f>SUMPRODUCT((SC!$A$2:$A$34=$A120)*(SCEmp=AB$1),SC!$F$2:$Z$34)</f>
        <v>0</v>
      </c>
      <c r="AC120" s="250">
        <f>SUMPRODUCT((SC!$A$2:$A$34=$A120)*(SCEmp=AC$1),SC!$F$2:$Z$34)</f>
        <v>0</v>
      </c>
      <c r="AD120" s="250">
        <f>SUMPRODUCT((SC!$A$2:$A$34=$A120)*(SCEmp=AD$1),SC!$F$2:$Z$34)</f>
        <v>0</v>
      </c>
      <c r="AE120" s="250">
        <f>SUMPRODUCT((SC!$A$2:$A$34=$A120)*(SCEmp=AE$1),SC!$F$2:$Z$34)</f>
        <v>0</v>
      </c>
      <c r="AF120" s="250">
        <f>SUMPRODUCT((SC!$A$2:$A$34=$A120)*(SCEmp=AF$1),SC!$F$2:$Z$34)</f>
        <v>0</v>
      </c>
      <c r="AG120" s="250">
        <f>SUMPRODUCT((SC!$A$2:$A$34=$A120)*(SCEmp=AG$1),SC!$F$2:$Z$34)</f>
        <v>0</v>
      </c>
      <c r="AH120" s="250">
        <f>SUMPRODUCT((SC!$A$2:$A$34=$A120)*(SCEmp=AH$1),SC!$F$2:$Z$34)</f>
        <v>0</v>
      </c>
      <c r="AI120" s="250">
        <f>SUMPRODUCT((SC!$A$2:$A$34=$A120)*(SCEmp=AI$1),SC!$F$2:$Z$34)</f>
        <v>0</v>
      </c>
      <c r="AJ120" s="250">
        <f>SUMPRODUCT((SC!$A$2:$A$34=$A120)*(SCEmp=AJ$1),SC!$F$2:$Z$34)</f>
        <v>0</v>
      </c>
      <c r="AK120" s="250">
        <f>SUMPRODUCT((SC!$A$2:$A$34=$A120)*(SCEmp=AK$1),SC!$F$2:$Z$34)</f>
        <v>0</v>
      </c>
      <c r="AL120" s="250">
        <f>SUMPRODUCT((SC!$A$2:$A$34=$A120)*(SCEmp=AL$1),SC!$F$2:$Z$34)</f>
        <v>0</v>
      </c>
      <c r="AM120" s="250">
        <f>SUMPRODUCT((SC!$A$2:$A$34=$A120)*(SCEmp=AM$1),SC!$F$2:$Z$34)</f>
        <v>0</v>
      </c>
      <c r="AN120" s="250">
        <f>SUMPRODUCT((SC!$A$2:$A$34=$A120)*(SCEmp=AN$1),SC!$F$2:$Z$34)</f>
        <v>0</v>
      </c>
      <c r="AO120" s="250">
        <f>SUMPRODUCT((SC!$A$2:$A$34=$A120)*(SCEmp=AO$1),SC!$F$2:$Z$34)</f>
        <v>0</v>
      </c>
      <c r="AP120" s="250">
        <f>SUMPRODUCT((SC!$A$2:$A$34=$A120)*(SCEmp=AP$1),SC!$F$2:$Z$34)</f>
        <v>0</v>
      </c>
      <c r="AQ120" s="250">
        <f>SUMPRODUCT((SC!$A$2:$A$34=$A120)*(SCEmp=AQ$1),SC!$F$2:$Z$34)</f>
        <v>0</v>
      </c>
      <c r="AR120" s="496">
        <f>SUMPRODUCT((SC!$A$2:$A$34=$A120)*(SCEmp=AR$1),SC!$F$2:$Z$34)</f>
        <v>0</v>
      </c>
    </row>
    <row r="121" spans="1:44" s="271" customFormat="1" x14ac:dyDescent="0.2">
      <c r="A121" s="262">
        <f t="shared" si="70"/>
        <v>42471</v>
      </c>
      <c r="B121" s="263" t="s">
        <v>87</v>
      </c>
      <c r="C121" s="264">
        <f t="shared" ref="C121:AR121" si="71">IF(SUM(C112:C120)&gt;8,SUM(C112:C120)-8,0)+IF(SUM(C112:C120)&gt;12,SUM(C112:C120)-12,0)</f>
        <v>0</v>
      </c>
      <c r="D121" s="265">
        <f t="shared" si="71"/>
        <v>0</v>
      </c>
      <c r="E121" s="265">
        <f t="shared" si="71"/>
        <v>0</v>
      </c>
      <c r="F121" s="265">
        <f t="shared" si="71"/>
        <v>0</v>
      </c>
      <c r="G121" s="265">
        <f t="shared" si="71"/>
        <v>0</v>
      </c>
      <c r="H121" s="265">
        <f t="shared" si="71"/>
        <v>0</v>
      </c>
      <c r="I121" s="265">
        <f t="shared" si="71"/>
        <v>0</v>
      </c>
      <c r="J121" s="265">
        <f t="shared" si="71"/>
        <v>0</v>
      </c>
      <c r="K121" s="265">
        <f t="shared" si="71"/>
        <v>0</v>
      </c>
      <c r="L121" s="265">
        <f t="shared" si="71"/>
        <v>0</v>
      </c>
      <c r="M121" s="265">
        <f t="shared" si="71"/>
        <v>0</v>
      </c>
      <c r="N121" s="265">
        <f t="shared" si="71"/>
        <v>0</v>
      </c>
      <c r="O121" s="265">
        <f t="shared" si="71"/>
        <v>0</v>
      </c>
      <c r="P121" s="265">
        <f t="shared" si="71"/>
        <v>0</v>
      </c>
      <c r="Q121" s="265">
        <f t="shared" si="71"/>
        <v>0</v>
      </c>
      <c r="R121" s="265">
        <f t="shared" si="71"/>
        <v>0</v>
      </c>
      <c r="S121" s="265">
        <f t="shared" si="71"/>
        <v>0</v>
      </c>
      <c r="T121" s="265">
        <f t="shared" si="71"/>
        <v>0</v>
      </c>
      <c r="U121" s="265">
        <f t="shared" si="71"/>
        <v>0</v>
      </c>
      <c r="V121" s="265">
        <f t="shared" si="71"/>
        <v>0</v>
      </c>
      <c r="W121" s="265">
        <f t="shared" si="71"/>
        <v>0</v>
      </c>
      <c r="X121" s="265">
        <f t="shared" si="71"/>
        <v>0</v>
      </c>
      <c r="Y121" s="265">
        <f t="shared" si="71"/>
        <v>0</v>
      </c>
      <c r="Z121" s="265">
        <f t="shared" si="71"/>
        <v>0</v>
      </c>
      <c r="AA121" s="265">
        <f t="shared" si="71"/>
        <v>0</v>
      </c>
      <c r="AB121" s="265">
        <f t="shared" si="71"/>
        <v>0</v>
      </c>
      <c r="AC121" s="265">
        <f t="shared" si="71"/>
        <v>0</v>
      </c>
      <c r="AD121" s="265">
        <f t="shared" si="71"/>
        <v>0</v>
      </c>
      <c r="AE121" s="265">
        <f t="shared" si="71"/>
        <v>0</v>
      </c>
      <c r="AF121" s="265">
        <f t="shared" si="71"/>
        <v>0</v>
      </c>
      <c r="AG121" s="265">
        <f t="shared" si="71"/>
        <v>0</v>
      </c>
      <c r="AH121" s="265">
        <f t="shared" si="71"/>
        <v>0</v>
      </c>
      <c r="AI121" s="265">
        <f t="shared" si="71"/>
        <v>0</v>
      </c>
      <c r="AJ121" s="265">
        <f t="shared" si="71"/>
        <v>0</v>
      </c>
      <c r="AK121" s="265">
        <f t="shared" si="71"/>
        <v>0</v>
      </c>
      <c r="AL121" s="265">
        <f t="shared" si="71"/>
        <v>0</v>
      </c>
      <c r="AM121" s="265">
        <f t="shared" si="71"/>
        <v>0</v>
      </c>
      <c r="AN121" s="265">
        <f t="shared" si="71"/>
        <v>0</v>
      </c>
      <c r="AO121" s="265">
        <f t="shared" ref="AO121:AP121" si="72">IF(SUM(AO112:AO120)&gt;8,SUM(AO112:AO120)-8,0)+IF(SUM(AO112:AO120)&gt;12,SUM(AO112:AO120)-12,0)</f>
        <v>0</v>
      </c>
      <c r="AP121" s="265">
        <f t="shared" si="72"/>
        <v>0</v>
      </c>
      <c r="AQ121" s="265">
        <f t="shared" ref="AQ121" si="73">IF(SUM(AQ112:AQ120)&gt;8,SUM(AQ112:AQ120)-8,0)+IF(SUM(AQ112:AQ120)&gt;12,SUM(AQ112:AQ120)-12,0)</f>
        <v>0</v>
      </c>
      <c r="AR121" s="498">
        <f t="shared" si="71"/>
        <v>0</v>
      </c>
    </row>
    <row r="122" spans="1:44" s="271" customFormat="1" x14ac:dyDescent="0.2">
      <c r="A122" s="266">
        <f t="shared" si="70"/>
        <v>42471</v>
      </c>
      <c r="B122" s="267" t="s">
        <v>86</v>
      </c>
      <c r="C122" s="268">
        <f t="shared" ref="C122:AR122" si="74">IFERROR((C$179*SUM(C112:C117)+C$180*SUM(C118:C120))/SUM(C112:C120)/2,0)*C121</f>
        <v>0</v>
      </c>
      <c r="D122" s="269">
        <f t="shared" si="74"/>
        <v>0</v>
      </c>
      <c r="E122" s="269">
        <f t="shared" si="74"/>
        <v>0</v>
      </c>
      <c r="F122" s="269">
        <f t="shared" si="74"/>
        <v>0</v>
      </c>
      <c r="G122" s="269">
        <f t="shared" si="74"/>
        <v>0</v>
      </c>
      <c r="H122" s="269">
        <f t="shared" si="74"/>
        <v>0</v>
      </c>
      <c r="I122" s="269">
        <f t="shared" si="74"/>
        <v>0</v>
      </c>
      <c r="J122" s="269">
        <f t="shared" si="74"/>
        <v>0</v>
      </c>
      <c r="K122" s="269">
        <f t="shared" si="74"/>
        <v>0</v>
      </c>
      <c r="L122" s="269">
        <f t="shared" si="74"/>
        <v>0</v>
      </c>
      <c r="M122" s="269">
        <f t="shared" si="74"/>
        <v>0</v>
      </c>
      <c r="N122" s="269">
        <f t="shared" si="74"/>
        <v>0</v>
      </c>
      <c r="O122" s="269">
        <f t="shared" si="74"/>
        <v>0</v>
      </c>
      <c r="P122" s="269">
        <f t="shared" si="74"/>
        <v>0</v>
      </c>
      <c r="Q122" s="269">
        <f t="shared" si="74"/>
        <v>0</v>
      </c>
      <c r="R122" s="269">
        <f t="shared" si="74"/>
        <v>0</v>
      </c>
      <c r="S122" s="269">
        <f t="shared" si="74"/>
        <v>0</v>
      </c>
      <c r="T122" s="269">
        <f t="shared" si="74"/>
        <v>0</v>
      </c>
      <c r="U122" s="269">
        <f t="shared" si="74"/>
        <v>0</v>
      </c>
      <c r="V122" s="269">
        <f t="shared" si="74"/>
        <v>0</v>
      </c>
      <c r="W122" s="269">
        <f t="shared" si="74"/>
        <v>0</v>
      </c>
      <c r="X122" s="269">
        <f t="shared" si="74"/>
        <v>0</v>
      </c>
      <c r="Y122" s="269">
        <f t="shared" si="74"/>
        <v>0</v>
      </c>
      <c r="Z122" s="269">
        <f t="shared" si="74"/>
        <v>0</v>
      </c>
      <c r="AA122" s="269">
        <f t="shared" si="74"/>
        <v>0</v>
      </c>
      <c r="AB122" s="269">
        <f t="shared" si="74"/>
        <v>0</v>
      </c>
      <c r="AC122" s="269">
        <f t="shared" si="74"/>
        <v>0</v>
      </c>
      <c r="AD122" s="269">
        <f t="shared" si="74"/>
        <v>0</v>
      </c>
      <c r="AE122" s="269">
        <f t="shared" si="74"/>
        <v>0</v>
      </c>
      <c r="AF122" s="269">
        <f t="shared" si="74"/>
        <v>0</v>
      </c>
      <c r="AG122" s="269">
        <f t="shared" si="74"/>
        <v>0</v>
      </c>
      <c r="AH122" s="269">
        <f t="shared" si="74"/>
        <v>0</v>
      </c>
      <c r="AI122" s="269">
        <f t="shared" si="74"/>
        <v>0</v>
      </c>
      <c r="AJ122" s="269">
        <f t="shared" si="74"/>
        <v>0</v>
      </c>
      <c r="AK122" s="269">
        <f t="shared" si="74"/>
        <v>0</v>
      </c>
      <c r="AL122" s="269">
        <f t="shared" si="74"/>
        <v>0</v>
      </c>
      <c r="AM122" s="269">
        <f t="shared" si="74"/>
        <v>0</v>
      </c>
      <c r="AN122" s="269">
        <f t="shared" si="74"/>
        <v>0</v>
      </c>
      <c r="AO122" s="269">
        <f t="shared" ref="AO122:AP122" si="75">IFERROR((AO$179*SUM(AO112:AO117)+AO$180*SUM(AO118:AO120))/SUM(AO112:AO120)/2,0)*AO121</f>
        <v>0</v>
      </c>
      <c r="AP122" s="269">
        <f t="shared" si="75"/>
        <v>0</v>
      </c>
      <c r="AQ122" s="269">
        <f t="shared" ref="AQ122" si="76">IFERROR((AQ$179*SUM(AQ112:AQ117)+AQ$180*SUM(AQ118:AQ120))/SUM(AQ112:AQ120)/2,0)*AQ121</f>
        <v>0</v>
      </c>
      <c r="AR122" s="499">
        <f t="shared" si="74"/>
        <v>0</v>
      </c>
    </row>
    <row r="123" spans="1:44" s="271" customFormat="1" x14ac:dyDescent="0.2">
      <c r="A123" s="247">
        <f>A112+1</f>
        <v>42472</v>
      </c>
      <c r="B123" s="248" t="s">
        <v>77</v>
      </c>
      <c r="C123" s="249">
        <f>SUMPRODUCT((Driver!$A$2:$A$17=$A123)*(DriverEmp=C$1),Driver!$C$2:$V$17)</f>
        <v>0</v>
      </c>
      <c r="D123" s="250">
        <f>SUMPRODUCT((Driver!$A$2:$A$17=$A123)*(DriverEmp=D$1),Driver!$C$2:$V$17)</f>
        <v>0</v>
      </c>
      <c r="E123" s="250">
        <f>SUMPRODUCT((Driver!$A$2:$A$17=$A123)*(DriverEmp=E$1),Driver!$C$2:$V$17)</f>
        <v>0</v>
      </c>
      <c r="F123" s="250">
        <f>SUMPRODUCT((Driver!$A$2:$A$17=$A123)*(DriverEmp=F$1),Driver!$C$2:$V$17)</f>
        <v>0</v>
      </c>
      <c r="G123" s="250">
        <f>SUMPRODUCT((Driver!$A$2:$A$17=$A123)*(DriverEmp=G$1),Driver!$C$2:$V$17)</f>
        <v>0</v>
      </c>
      <c r="H123" s="250">
        <f>SUMPRODUCT((Driver!$A$2:$A$17=$A123)*(DriverEmp=H$1),Driver!$C$2:$V$17)</f>
        <v>0</v>
      </c>
      <c r="I123" s="250">
        <f>SUMPRODUCT((Driver!$A$2:$A$17=$A123)*(DriverEmp=I$1),Driver!$C$2:$V$17)</f>
        <v>0</v>
      </c>
      <c r="J123" s="250">
        <f>SUMPRODUCT((Driver!$A$2:$A$17=$A123)*(DriverEmp=J$1),Driver!$C$2:$V$17)</f>
        <v>0</v>
      </c>
      <c r="K123" s="250">
        <f>SUMPRODUCT((Driver!$A$2:$A$17=$A123)*(DriverEmp=K$1),Driver!$C$2:$V$17)</f>
        <v>0</v>
      </c>
      <c r="L123" s="250">
        <f>SUMPRODUCT((Driver!$A$2:$A$17=$A123)*(DriverEmp=L$1),Driver!$C$2:$V$17)</f>
        <v>0</v>
      </c>
      <c r="M123" s="250">
        <f>SUMPRODUCT((Driver!$A$2:$A$17=$A123)*(DriverEmp=M$1),Driver!$C$2:$V$17)</f>
        <v>0</v>
      </c>
      <c r="N123" s="250">
        <f>SUMPRODUCT((Driver!$A$2:$A$17=$A123)*(DriverEmp=N$1),Driver!$C$2:$V$17)</f>
        <v>0</v>
      </c>
      <c r="O123" s="250">
        <f>SUMPRODUCT((Driver!$A$2:$A$17=$A123)*(DriverEmp=O$1),Driver!$C$2:$V$17)</f>
        <v>0</v>
      </c>
      <c r="P123" s="250">
        <f>SUMPRODUCT((Driver!$A$2:$A$17=$A123)*(DriverEmp=P$1),Driver!$C$2:$V$17)</f>
        <v>0</v>
      </c>
      <c r="Q123" s="250">
        <f>SUMPRODUCT((Driver!$A$2:$A$17=$A123)*(DriverEmp=Q$1),Driver!$C$2:$V$17)</f>
        <v>0</v>
      </c>
      <c r="R123" s="250">
        <f>SUMPRODUCT((Driver!$A$2:$A$17=$A123)*(DriverEmp=R$1),Driver!$C$2:$V$17)</f>
        <v>0</v>
      </c>
      <c r="S123" s="250">
        <f>SUMPRODUCT((Driver!$A$2:$A$17=$A123)*(DriverEmp=S$1),Driver!$C$2:$V$17)</f>
        <v>0</v>
      </c>
      <c r="T123" s="250">
        <f>SUMPRODUCT((Driver!$A$2:$A$17=$A123)*(DriverEmp=T$1),Driver!$C$2:$V$17)</f>
        <v>0</v>
      </c>
      <c r="U123" s="250">
        <f>SUMPRODUCT((Driver!$A$2:$A$17=$A123)*(DriverEmp=U$1),Driver!$C$2:$V$17)</f>
        <v>0</v>
      </c>
      <c r="V123" s="250">
        <f>SUMPRODUCT((Driver!$A$2:$A$17=$A123)*(DriverEmp=V$1),Driver!$C$2:$V$17)</f>
        <v>0</v>
      </c>
      <c r="W123" s="250">
        <f>SUMPRODUCT((Driver!$A$2:$A$17=$A123)*(DriverEmp=W$1),Driver!$C$2:$V$17)</f>
        <v>0</v>
      </c>
      <c r="X123" s="250">
        <f>SUMPRODUCT((Driver!$A$2:$A$17=$A123)*(DriverEmp=X$1),Driver!$C$2:$V$17)</f>
        <v>0</v>
      </c>
      <c r="Y123" s="250">
        <f>SUMPRODUCT((Driver!$A$2:$A$17=$A123)*(DriverEmp=Y$1),Driver!$C$2:$V$17)</f>
        <v>0</v>
      </c>
      <c r="Z123" s="250">
        <f>SUMPRODUCT((Driver!$A$2:$A$17=$A123)*(DriverEmp=Z$1),Driver!$C$2:$V$17)</f>
        <v>0</v>
      </c>
      <c r="AA123" s="250">
        <f>SUMPRODUCT((Driver!$A$2:$A$17=$A123)*(DriverEmp=AA$1),Driver!$C$2:$V$17)</f>
        <v>0</v>
      </c>
      <c r="AB123" s="250">
        <f>SUMPRODUCT((Driver!$A$2:$A$17=$A123)*(DriverEmp=AB$1),Driver!$C$2:$V$17)</f>
        <v>0</v>
      </c>
      <c r="AC123" s="250">
        <f>SUMPRODUCT((Driver!$A$2:$A$17=$A123)*(DriverEmp=AC$1),Driver!$C$2:$V$17)</f>
        <v>0</v>
      </c>
      <c r="AD123" s="250">
        <f>SUMPRODUCT((Driver!$A$2:$A$17=$A123)*(DriverEmp=AD$1),Driver!$C$2:$V$17)</f>
        <v>0</v>
      </c>
      <c r="AE123" s="250">
        <f>SUMPRODUCT((Driver!$A$2:$A$17=$A123)*(DriverEmp=AE$1),Driver!$C$2:$V$17)</f>
        <v>0</v>
      </c>
      <c r="AF123" s="250">
        <f>SUMPRODUCT((Driver!$A$2:$A$17=$A123)*(DriverEmp=AF$1),Driver!$C$2:$V$17)</f>
        <v>0</v>
      </c>
      <c r="AG123" s="250">
        <f>SUMPRODUCT((Driver!$A$2:$A$17=$A123)*(DriverEmp=AG$1),Driver!$C$2:$V$17)</f>
        <v>0</v>
      </c>
      <c r="AH123" s="250">
        <f>SUMPRODUCT((Driver!$A$2:$A$17=$A123)*(DriverEmp=AH$1),Driver!$C$2:$V$17)</f>
        <v>0</v>
      </c>
      <c r="AI123" s="250">
        <f>SUMPRODUCT((Driver!$A$2:$A$17=$A123)*(DriverEmp=AI$1),Driver!$C$2:$V$17)</f>
        <v>0</v>
      </c>
      <c r="AJ123" s="250">
        <f>SUMPRODUCT((Driver!$A$2:$A$17=$A123)*(DriverEmp=AJ$1),Driver!$C$2:$V$17)</f>
        <v>0</v>
      </c>
      <c r="AK123" s="250">
        <f>SUMPRODUCT((Driver!$A$2:$A$17=$A123)*(DriverEmp=AK$1),Driver!$C$2:$V$17)</f>
        <v>0</v>
      </c>
      <c r="AL123" s="250">
        <f>SUMPRODUCT((Driver!$A$2:$A$17=$A123)*(DriverEmp=AL$1),Driver!$C$2:$V$17)</f>
        <v>0</v>
      </c>
      <c r="AM123" s="250">
        <f>SUMPRODUCT((Driver!$A$2:$A$17=$A123)*(DriverEmp=AM$1),Driver!$C$2:$V$17)</f>
        <v>0</v>
      </c>
      <c r="AN123" s="250">
        <f>SUMPRODUCT((Driver!$A$2:$A$17=$A123)*(DriverEmp=AN$1),Driver!$C$2:$V$17)</f>
        <v>0</v>
      </c>
      <c r="AO123" s="250">
        <f>SUMPRODUCT((Driver!$A$2:$A$17=$A123)*(DriverEmp=AO$1),Driver!$C$2:$V$17)</f>
        <v>0</v>
      </c>
      <c r="AP123" s="250">
        <f>SUMPRODUCT((Driver!$A$2:$A$17=$A123)*(DriverEmp=AP$1),Driver!$C$2:$V$17)</f>
        <v>0</v>
      </c>
      <c r="AQ123" s="250">
        <f>SUMPRODUCT((Driver!$A$2:$A$17=$A123)*(DriverEmp=AQ$1),Driver!$C$2:$V$17)</f>
        <v>0</v>
      </c>
      <c r="AR123" s="496">
        <f>SUMPRODUCT((Driver!$A$2:$A$17=$A123)*(DriverEmp=AR$1),Driver!$C$2:$V$17)</f>
        <v>0</v>
      </c>
    </row>
    <row r="124" spans="1:44" s="271" customFormat="1" x14ac:dyDescent="0.2">
      <c r="A124" s="247">
        <f t="shared" ref="A124:A133" si="77">A123</f>
        <v>42472</v>
      </c>
      <c r="B124" s="251" t="str">
        <f>Total!$H$1</f>
        <v>PP</v>
      </c>
      <c r="C124" s="249">
        <f>SUMPRODUCT((PP!$A$2:$A$80=$A124)*(PPEmp=C$1),PP!$D$2:$BD$80)</f>
        <v>0</v>
      </c>
      <c r="D124" s="250">
        <f>SUMPRODUCT((PP!$A$2:$A$80=$A124)*(PPEmp=D$1),PP!$D$2:$BD$80)</f>
        <v>0</v>
      </c>
      <c r="E124" s="250">
        <f>SUMPRODUCT((PP!$A$2:$A$80=$A124)*(PPEmp=E$1),PP!$D$2:$BD$80)</f>
        <v>0</v>
      </c>
      <c r="F124" s="250">
        <f>SUMPRODUCT((PP!$A$2:$A$80=$A124)*(PPEmp=F$1),PP!$D$2:$BD$80)</f>
        <v>0</v>
      </c>
      <c r="G124" s="250">
        <f>SUMPRODUCT((PP!$A$2:$A$80=$A124)*(PPEmp=G$1),PP!$D$2:$BD$80)</f>
        <v>0</v>
      </c>
      <c r="H124" s="250">
        <f>SUMPRODUCT((PP!$A$2:$A$80=$A124)*(PPEmp=H$1),PP!$D$2:$BD$80)</f>
        <v>0</v>
      </c>
      <c r="I124" s="250">
        <f>SUMPRODUCT((PP!$A$2:$A$80=$A124)*(PPEmp=I$1),PP!$D$2:$BD$80)</f>
        <v>0</v>
      </c>
      <c r="J124" s="250">
        <f>SUMPRODUCT((PP!$A$2:$A$80=$A124)*(PPEmp=J$1),PP!$D$2:$BD$80)</f>
        <v>0</v>
      </c>
      <c r="K124" s="250">
        <f>SUMPRODUCT((PP!$A$2:$A$80=$A124)*(PPEmp=K$1),PP!$D$2:$BD$80)</f>
        <v>0</v>
      </c>
      <c r="L124" s="250">
        <f>SUMPRODUCT((PP!$A$2:$A$80=$A124)*(PPEmp=L$1),PP!$D$2:$BD$80)</f>
        <v>0</v>
      </c>
      <c r="M124" s="250">
        <f>SUMPRODUCT((PP!$A$2:$A$80=$A124)*(PPEmp=M$1),PP!$D$2:$BD$80)</f>
        <v>0</v>
      </c>
      <c r="N124" s="250">
        <f>SUMPRODUCT((PP!$A$2:$A$80=$A124)*(PPEmp=N$1),PP!$D$2:$BD$80)</f>
        <v>0</v>
      </c>
      <c r="O124" s="250">
        <f>SUMPRODUCT((PP!$A$2:$A$80=$A124)*(PPEmp=O$1),PP!$D$2:$BD$80)</f>
        <v>0</v>
      </c>
      <c r="P124" s="250">
        <f>SUMPRODUCT((PP!$A$2:$A$80=$A124)*(PPEmp=P$1),PP!$D$2:$BD$80)</f>
        <v>0</v>
      </c>
      <c r="Q124" s="250">
        <f>SUMPRODUCT((PP!$A$2:$A$80=$A124)*(PPEmp=Q$1),PP!$D$2:$BD$80)</f>
        <v>0</v>
      </c>
      <c r="R124" s="250">
        <f>SUMPRODUCT((PP!$A$2:$A$80=$A124)*(PPEmp=R$1),PP!$D$2:$BD$80)</f>
        <v>0</v>
      </c>
      <c r="S124" s="250">
        <f>SUMPRODUCT((PP!$A$2:$A$80=$A124)*(PPEmp=S$1),PP!$D$2:$BD$80)</f>
        <v>0</v>
      </c>
      <c r="T124" s="250">
        <f>SUMPRODUCT((PP!$A$2:$A$80=$A124)*(PPEmp=T$1),PP!$D$2:$BD$80)</f>
        <v>0</v>
      </c>
      <c r="U124" s="250">
        <f>SUMPRODUCT((PP!$A$2:$A$80=$A124)*(PPEmp=U$1),PP!$D$2:$BD$80)</f>
        <v>0</v>
      </c>
      <c r="V124" s="250">
        <f>SUMPRODUCT((PP!$A$2:$A$80=$A124)*(PPEmp=V$1),PP!$D$2:$BD$80)</f>
        <v>0</v>
      </c>
      <c r="W124" s="250">
        <f>SUMPRODUCT((PP!$A$2:$A$80=$A124)*(PPEmp=W$1),PP!$D$2:$BD$80)</f>
        <v>0</v>
      </c>
      <c r="X124" s="250">
        <f>SUMPRODUCT((PP!$A$2:$A$80=$A124)*(PPEmp=X$1),PP!$D$2:$BD$80)</f>
        <v>0</v>
      </c>
      <c r="Y124" s="250">
        <f>SUMPRODUCT((PP!$A$2:$A$80=$A124)*(PPEmp=Y$1),PP!$D$2:$BD$80)</f>
        <v>0</v>
      </c>
      <c r="Z124" s="250">
        <f>SUMPRODUCT((PP!$A$2:$A$80=$A124)*(PPEmp=Z$1),PP!$D$2:$BD$80)</f>
        <v>0</v>
      </c>
      <c r="AA124" s="250">
        <f>SUMPRODUCT((PP!$A$2:$A$80=$A124)*(PPEmp=AA$1),PP!$D$2:$BD$80)</f>
        <v>0</v>
      </c>
      <c r="AB124" s="250">
        <f>SUMPRODUCT((PP!$A$2:$A$80=$A124)*(PPEmp=AB$1),PP!$D$2:$BD$80)</f>
        <v>0</v>
      </c>
      <c r="AC124" s="250">
        <f>SUMPRODUCT((PP!$A$2:$A$80=$A124)*(PPEmp=AC$1),PP!$D$2:$BD$80)</f>
        <v>0</v>
      </c>
      <c r="AD124" s="250">
        <f>SUMPRODUCT((PP!$A$2:$A$80=$A124)*(PPEmp=AD$1),PP!$D$2:$BD$80)</f>
        <v>0</v>
      </c>
      <c r="AE124" s="250">
        <f>SUMPRODUCT((PP!$A$2:$A$80=$A124)*(PPEmp=AE$1),PP!$D$2:$BD$80)</f>
        <v>0</v>
      </c>
      <c r="AF124" s="250">
        <f>SUMPRODUCT((PP!$A$2:$A$80=$A124)*(PPEmp=AF$1),PP!$D$2:$BD$80)</f>
        <v>0</v>
      </c>
      <c r="AG124" s="250">
        <f>SUMPRODUCT((PP!$A$2:$A$80=$A124)*(PPEmp=AG$1),PP!$D$2:$BD$80)</f>
        <v>0</v>
      </c>
      <c r="AH124" s="250">
        <f>SUMPRODUCT((PP!$A$2:$A$80=$A124)*(PPEmp=AH$1),PP!$D$2:$BD$80)</f>
        <v>0</v>
      </c>
      <c r="AI124" s="250">
        <f>SUMPRODUCT((PP!$A$2:$A$80=$A124)*(PPEmp=AI$1),PP!$D$2:$BD$80)</f>
        <v>0</v>
      </c>
      <c r="AJ124" s="250">
        <f>SUMPRODUCT((PP!$A$2:$A$80=$A124)*(PPEmp=AJ$1),PP!$D$2:$BD$80)</f>
        <v>0</v>
      </c>
      <c r="AK124" s="250">
        <f>SUMPRODUCT((PP!$A$2:$A$80=$A124)*(PPEmp=AK$1),PP!$D$2:$BD$80)</f>
        <v>0</v>
      </c>
      <c r="AL124" s="250">
        <f>SUMPRODUCT((PP!$A$2:$A$80=$A124)*(PPEmp=AL$1),PP!$D$2:$BD$80)</f>
        <v>0</v>
      </c>
      <c r="AM124" s="250">
        <f>SUMPRODUCT((PP!$A$2:$A$80=$A124)*(PPEmp=AM$1),PP!$D$2:$BD$80)</f>
        <v>0</v>
      </c>
      <c r="AN124" s="250">
        <f>SUMPRODUCT((PP!$A$2:$A$80=$A124)*(PPEmp=AN$1),PP!$D$2:$BD$80)</f>
        <v>0</v>
      </c>
      <c r="AO124" s="250">
        <f>SUMPRODUCT((PP!$A$2:$A$80=$A124)*(PPEmp=AO$1),PP!$D$2:$BD$80)</f>
        <v>0</v>
      </c>
      <c r="AP124" s="250">
        <f>SUMPRODUCT((PP!$A$2:$A$80=$A124)*(PPEmp=AP$1),PP!$D$2:$BD$80)</f>
        <v>0</v>
      </c>
      <c r="AQ124" s="250">
        <f>SUMPRODUCT((PP!$A$2:$A$80=$A124)*(PPEmp=AQ$1),PP!$D$2:$BD$80)</f>
        <v>0</v>
      </c>
      <c r="AR124" s="496">
        <f>SUMPRODUCT((PP!$A$2:$A$80=$A124)*(PPEmp=AR$1),PP!$D$2:$BD$80)</f>
        <v>0</v>
      </c>
    </row>
    <row r="125" spans="1:44" s="271" customFormat="1" x14ac:dyDescent="0.2">
      <c r="A125" s="247">
        <f t="shared" si="77"/>
        <v>42472</v>
      </c>
      <c r="B125" s="252" t="str">
        <f>Total!$J$1</f>
        <v>FH</v>
      </c>
      <c r="C125" s="249">
        <f>SUMPRODUCT((FH!$A$2:$A$97=$A125)*(FHEmp=C$1),FH!$E$2:$AZ$97)</f>
        <v>0</v>
      </c>
      <c r="D125" s="250">
        <f>SUMPRODUCT((FH!$A$2:$A$97=$A125)*(FHEmp=D$1),FH!$E$2:$AZ$97)</f>
        <v>0</v>
      </c>
      <c r="E125" s="250">
        <f>SUMPRODUCT((FH!$A$2:$A$97=$A125)*(FHEmp=E$1),FH!$E$2:$AZ$97)</f>
        <v>0</v>
      </c>
      <c r="F125" s="250">
        <f>SUMPRODUCT((FH!$A$2:$A$97=$A125)*(FHEmp=F$1),FH!$E$2:$AZ$97)</f>
        <v>0</v>
      </c>
      <c r="G125" s="250">
        <f>SUMPRODUCT((FH!$A$2:$A$97=$A125)*(FHEmp=G$1),FH!$E$2:$AZ$97)</f>
        <v>0</v>
      </c>
      <c r="H125" s="250">
        <f>SUMPRODUCT((FH!$A$2:$A$97=$A125)*(FHEmp=H$1),FH!$E$2:$AZ$97)</f>
        <v>0</v>
      </c>
      <c r="I125" s="250">
        <f>SUMPRODUCT((FH!$A$2:$A$97=$A125)*(FHEmp=I$1),FH!$E$2:$AZ$97)</f>
        <v>0</v>
      </c>
      <c r="J125" s="250">
        <f>SUMPRODUCT((FH!$A$2:$A$97=$A125)*(FHEmp=J$1),FH!$E$2:$AZ$97)</f>
        <v>0</v>
      </c>
      <c r="K125" s="250">
        <f>SUMPRODUCT((FH!$A$2:$A$97=$A125)*(FHEmp=K$1),FH!$E$2:$AZ$97)</f>
        <v>0</v>
      </c>
      <c r="L125" s="250">
        <f>SUMPRODUCT((FH!$A$2:$A$97=$A125)*(FHEmp=L$1),FH!$E$2:$AZ$97)</f>
        <v>0</v>
      </c>
      <c r="M125" s="250">
        <f>SUMPRODUCT((FH!$A$2:$A$97=$A125)*(FHEmp=M$1),FH!$E$2:$AZ$97)</f>
        <v>0</v>
      </c>
      <c r="N125" s="250">
        <f>SUMPRODUCT((FH!$A$2:$A$97=$A125)*(FHEmp=N$1),FH!$E$2:$AZ$97)</f>
        <v>0</v>
      </c>
      <c r="O125" s="250">
        <f>SUMPRODUCT((FH!$A$2:$A$97=$A125)*(FHEmp=O$1),FH!$E$2:$AZ$97)</f>
        <v>0</v>
      </c>
      <c r="P125" s="250">
        <f>SUMPRODUCT((FH!$A$2:$A$97=$A125)*(FHEmp=P$1),FH!$E$2:$AZ$97)</f>
        <v>0</v>
      </c>
      <c r="Q125" s="250">
        <f>SUMPRODUCT((FH!$A$2:$A$97=$A125)*(FHEmp=Q$1),FH!$E$2:$AZ$97)</f>
        <v>0</v>
      </c>
      <c r="R125" s="250">
        <f>SUMPRODUCT((FH!$A$2:$A$97=$A125)*(FHEmp=R$1),FH!$E$2:$AZ$97)</f>
        <v>0</v>
      </c>
      <c r="S125" s="250">
        <f>SUMPRODUCT((FH!$A$2:$A$97=$A125)*(FHEmp=S$1),FH!$E$2:$AZ$97)</f>
        <v>0</v>
      </c>
      <c r="T125" s="250">
        <f>SUMPRODUCT((FH!$A$2:$A$97=$A125)*(FHEmp=T$1),FH!$E$2:$AZ$97)</f>
        <v>0</v>
      </c>
      <c r="U125" s="250">
        <f>SUMPRODUCT((FH!$A$2:$A$97=$A125)*(FHEmp=U$1),FH!$E$2:$AZ$97)</f>
        <v>0</v>
      </c>
      <c r="V125" s="250">
        <f>SUMPRODUCT((FH!$A$2:$A$97=$A125)*(FHEmp=V$1),FH!$E$2:$AZ$97)</f>
        <v>0</v>
      </c>
      <c r="W125" s="250">
        <f>SUMPRODUCT((FH!$A$2:$A$97=$A125)*(FHEmp=W$1),FH!$E$2:$AZ$97)</f>
        <v>0</v>
      </c>
      <c r="X125" s="250">
        <f>SUMPRODUCT((FH!$A$2:$A$97=$A125)*(FHEmp=X$1),FH!$E$2:$AZ$97)</f>
        <v>0</v>
      </c>
      <c r="Y125" s="250">
        <f>SUMPRODUCT((FH!$A$2:$A$97=$A125)*(FHEmp=Y$1),FH!$E$2:$AZ$97)</f>
        <v>0</v>
      </c>
      <c r="Z125" s="250">
        <f>SUMPRODUCT((FH!$A$2:$A$97=$A125)*(FHEmp=Z$1),FH!$E$2:$AZ$97)</f>
        <v>0</v>
      </c>
      <c r="AA125" s="250">
        <f>SUMPRODUCT((FH!$A$2:$A$97=$A125)*(FHEmp=AA$1),FH!$E$2:$AZ$97)</f>
        <v>0</v>
      </c>
      <c r="AB125" s="250">
        <f>SUMPRODUCT((FH!$A$2:$A$97=$A125)*(FHEmp=AB$1),FH!$E$2:$AZ$97)</f>
        <v>0</v>
      </c>
      <c r="AC125" s="250">
        <f>SUMPRODUCT((FH!$A$2:$A$97=$A125)*(FHEmp=AC$1),FH!$E$2:$AZ$97)</f>
        <v>0</v>
      </c>
      <c r="AD125" s="250">
        <f>SUMPRODUCT((FH!$A$2:$A$97=$A125)*(FHEmp=AD$1),FH!$E$2:$AZ$97)</f>
        <v>0</v>
      </c>
      <c r="AE125" s="250">
        <f>SUMPRODUCT((FH!$A$2:$A$97=$A125)*(FHEmp=AE$1),FH!$E$2:$AZ$97)</f>
        <v>0</v>
      </c>
      <c r="AF125" s="250">
        <f>SUMPRODUCT((FH!$A$2:$A$97=$A125)*(FHEmp=AF$1),FH!$E$2:$AZ$97)</f>
        <v>0</v>
      </c>
      <c r="AG125" s="250">
        <f>SUMPRODUCT((FH!$A$2:$A$97=$A125)*(FHEmp=AG$1),FH!$E$2:$AZ$97)</f>
        <v>0</v>
      </c>
      <c r="AH125" s="250">
        <f>SUMPRODUCT((FH!$A$2:$A$97=$A125)*(FHEmp=AH$1),FH!$E$2:$AZ$97)</f>
        <v>0</v>
      </c>
      <c r="AI125" s="250">
        <f>SUMPRODUCT((FH!$A$2:$A$97=$A125)*(FHEmp=AI$1),FH!$E$2:$AZ$97)</f>
        <v>0</v>
      </c>
      <c r="AJ125" s="250">
        <f>SUMPRODUCT((FH!$A$2:$A$97=$A125)*(FHEmp=AJ$1),FH!$E$2:$AZ$97)</f>
        <v>0</v>
      </c>
      <c r="AK125" s="250">
        <f>SUMPRODUCT((FH!$A$2:$A$97=$A125)*(FHEmp=AK$1),FH!$E$2:$AZ$97)</f>
        <v>0</v>
      </c>
      <c r="AL125" s="250">
        <f>SUMPRODUCT((FH!$A$2:$A$97=$A125)*(FHEmp=AL$1),FH!$E$2:$AZ$97)</f>
        <v>0</v>
      </c>
      <c r="AM125" s="250">
        <f>SUMPRODUCT((FH!$A$2:$A$97=$A125)*(FHEmp=AM$1),FH!$E$2:$AZ$97)</f>
        <v>0</v>
      </c>
      <c r="AN125" s="250">
        <f>SUMPRODUCT((FH!$A$2:$A$97=$A125)*(FHEmp=AN$1),FH!$E$2:$AZ$97)</f>
        <v>0</v>
      </c>
      <c r="AO125" s="250">
        <f>SUMPRODUCT((FH!$A$2:$A$97=$A125)*(FHEmp=AO$1),FH!$E$2:$AZ$97)</f>
        <v>0</v>
      </c>
      <c r="AP125" s="250">
        <f>SUMPRODUCT((FH!$A$2:$A$97=$A125)*(FHEmp=AP$1),FH!$E$2:$AZ$97)</f>
        <v>0</v>
      </c>
      <c r="AQ125" s="250">
        <f>SUMPRODUCT((FH!$A$2:$A$97=$A125)*(FHEmp=AQ$1),FH!$E$2:$AZ$97)</f>
        <v>0</v>
      </c>
      <c r="AR125" s="496">
        <f>SUMPRODUCT((FH!$A$2:$A$97=$A125)*(FHEmp=AR$1),FH!$E$2:$AZ$97)</f>
        <v>0</v>
      </c>
    </row>
    <row r="126" spans="1:44" s="271" customFormat="1" x14ac:dyDescent="0.2">
      <c r="A126" s="247">
        <f t="shared" si="77"/>
        <v>42472</v>
      </c>
      <c r="B126" s="253" t="str">
        <f>Total!$K$1</f>
        <v>T22</v>
      </c>
      <c r="C126" s="249">
        <f>SUMPRODUCT(('T22'!$A$2:$A$97=$A126)*(T22Emp=C$1),'T22'!$E$2:$AZ$97)</f>
        <v>0</v>
      </c>
      <c r="D126" s="250">
        <f>SUMPRODUCT(('T22'!$A$2:$A$97=$A126)*(T22Emp=D$1),'T22'!$E$2:$AZ$97)</f>
        <v>0</v>
      </c>
      <c r="E126" s="250">
        <f>SUMPRODUCT(('T22'!$A$2:$A$97=$A126)*(T22Emp=E$1),'T22'!$E$2:$AZ$97)</f>
        <v>0</v>
      </c>
      <c r="F126" s="250">
        <f>SUMPRODUCT(('T22'!$A$2:$A$97=$A126)*(T22Emp=F$1),'T22'!$E$2:$AZ$97)</f>
        <v>0</v>
      </c>
      <c r="G126" s="250">
        <f>SUMPRODUCT(('T22'!$A$2:$A$97=$A126)*(T22Emp=G$1),'T22'!$E$2:$AZ$97)</f>
        <v>0</v>
      </c>
      <c r="H126" s="250">
        <f>SUMPRODUCT(('T22'!$A$2:$A$97=$A126)*(T22Emp=H$1),'T22'!$E$2:$AZ$97)</f>
        <v>0</v>
      </c>
      <c r="I126" s="250">
        <f>SUMPRODUCT(('T22'!$A$2:$A$97=$A126)*(T22Emp=I$1),'T22'!$E$2:$AZ$97)</f>
        <v>0</v>
      </c>
      <c r="J126" s="250">
        <f>SUMPRODUCT(('T22'!$A$2:$A$97=$A126)*(T22Emp=J$1),'T22'!$E$2:$AZ$97)</f>
        <v>0</v>
      </c>
      <c r="K126" s="250">
        <f>SUMPRODUCT(('T22'!$A$2:$A$97=$A126)*(T22Emp=K$1),'T22'!$E$2:$AZ$97)</f>
        <v>0</v>
      </c>
      <c r="L126" s="250">
        <f>SUMPRODUCT(('T22'!$A$2:$A$97=$A126)*(T22Emp=L$1),'T22'!$E$2:$AZ$97)</f>
        <v>0</v>
      </c>
      <c r="M126" s="250">
        <f>SUMPRODUCT(('T22'!$A$2:$A$97=$A126)*(T22Emp=M$1),'T22'!$E$2:$AZ$97)</f>
        <v>0</v>
      </c>
      <c r="N126" s="250">
        <f>SUMPRODUCT(('T22'!$A$2:$A$97=$A126)*(T22Emp=N$1),'T22'!$E$2:$AZ$97)</f>
        <v>0</v>
      </c>
      <c r="O126" s="250">
        <f>SUMPRODUCT(('T22'!$A$2:$A$97=$A126)*(T22Emp=O$1),'T22'!$E$2:$AZ$97)</f>
        <v>0</v>
      </c>
      <c r="P126" s="250">
        <f>SUMPRODUCT(('T22'!$A$2:$A$97=$A126)*(T22Emp=P$1),'T22'!$E$2:$AZ$97)</f>
        <v>0</v>
      </c>
      <c r="Q126" s="250">
        <f>SUMPRODUCT(('T22'!$A$2:$A$97=$A126)*(T22Emp=Q$1),'T22'!$E$2:$AZ$97)</f>
        <v>0</v>
      </c>
      <c r="R126" s="250">
        <f>SUMPRODUCT(('T22'!$A$2:$A$97=$A126)*(T22Emp=R$1),'T22'!$E$2:$AZ$97)</f>
        <v>0</v>
      </c>
      <c r="S126" s="250">
        <f>SUMPRODUCT(('T22'!$A$2:$A$97=$A126)*(T22Emp=S$1),'T22'!$E$2:$AZ$97)</f>
        <v>0</v>
      </c>
      <c r="T126" s="250">
        <f>SUMPRODUCT(('T22'!$A$2:$A$97=$A126)*(T22Emp=T$1),'T22'!$E$2:$AZ$97)</f>
        <v>0</v>
      </c>
      <c r="U126" s="250">
        <f>SUMPRODUCT(('T22'!$A$2:$A$97=$A126)*(T22Emp=U$1),'T22'!$E$2:$AZ$97)</f>
        <v>0</v>
      </c>
      <c r="V126" s="250">
        <f>SUMPRODUCT(('T22'!$A$2:$A$97=$A126)*(T22Emp=V$1),'T22'!$E$2:$AZ$97)</f>
        <v>0</v>
      </c>
      <c r="W126" s="250">
        <f>SUMPRODUCT(('T22'!$A$2:$A$97=$A126)*(T22Emp=W$1),'T22'!$E$2:$AZ$97)</f>
        <v>0</v>
      </c>
      <c r="X126" s="250">
        <f>SUMPRODUCT(('T22'!$A$2:$A$97=$A126)*(T22Emp=X$1),'T22'!$E$2:$AZ$97)</f>
        <v>0</v>
      </c>
      <c r="Y126" s="250">
        <f>SUMPRODUCT(('T22'!$A$2:$A$97=$A126)*(T22Emp=Y$1),'T22'!$E$2:$AZ$97)</f>
        <v>0</v>
      </c>
      <c r="Z126" s="250">
        <f>SUMPRODUCT(('T22'!$A$2:$A$97=$A126)*(T22Emp=Z$1),'T22'!$E$2:$AZ$97)</f>
        <v>0</v>
      </c>
      <c r="AA126" s="250">
        <f>SUMPRODUCT(('T22'!$A$2:$A$97=$A126)*(T22Emp=AA$1),'T22'!$E$2:$AZ$97)</f>
        <v>0</v>
      </c>
      <c r="AB126" s="250">
        <f>SUMPRODUCT(('T22'!$A$2:$A$97=$A126)*(T22Emp=AB$1),'T22'!$E$2:$AZ$97)</f>
        <v>0</v>
      </c>
      <c r="AC126" s="250">
        <f>SUMPRODUCT(('T22'!$A$2:$A$97=$A126)*(T22Emp=AC$1),'T22'!$E$2:$AZ$97)</f>
        <v>0</v>
      </c>
      <c r="AD126" s="250">
        <f>SUMPRODUCT(('T22'!$A$2:$A$97=$A126)*(T22Emp=AD$1),'T22'!$E$2:$AZ$97)</f>
        <v>0</v>
      </c>
      <c r="AE126" s="250">
        <f>SUMPRODUCT(('T22'!$A$2:$A$97=$A126)*(T22Emp=AE$1),'T22'!$E$2:$AZ$97)</f>
        <v>0</v>
      </c>
      <c r="AF126" s="250">
        <f>SUMPRODUCT(('T22'!$A$2:$A$97=$A126)*(T22Emp=AF$1),'T22'!$E$2:$AZ$97)</f>
        <v>0</v>
      </c>
      <c r="AG126" s="250">
        <f>SUMPRODUCT(('T22'!$A$2:$A$97=$A126)*(T22Emp=AG$1),'T22'!$E$2:$AZ$97)</f>
        <v>0</v>
      </c>
      <c r="AH126" s="250">
        <f>SUMPRODUCT(('T22'!$A$2:$A$97=$A126)*(T22Emp=AH$1),'T22'!$E$2:$AZ$97)</f>
        <v>0</v>
      </c>
      <c r="AI126" s="250">
        <f>SUMPRODUCT(('T22'!$A$2:$A$97=$A126)*(T22Emp=AI$1),'T22'!$E$2:$AZ$97)</f>
        <v>0</v>
      </c>
      <c r="AJ126" s="250">
        <f>SUMPRODUCT(('T22'!$A$2:$A$97=$A126)*(T22Emp=AJ$1),'T22'!$E$2:$AZ$97)</f>
        <v>0</v>
      </c>
      <c r="AK126" s="250">
        <f>SUMPRODUCT(('T22'!$A$2:$A$97=$A126)*(T22Emp=AK$1),'T22'!$E$2:$AZ$97)</f>
        <v>0</v>
      </c>
      <c r="AL126" s="250">
        <f>SUMPRODUCT(('T22'!$A$2:$A$97=$A126)*(T22Emp=AL$1),'T22'!$E$2:$AZ$97)</f>
        <v>0</v>
      </c>
      <c r="AM126" s="250">
        <f>SUMPRODUCT(('T22'!$A$2:$A$97=$A126)*(T22Emp=AM$1),'T22'!$E$2:$AZ$97)</f>
        <v>0</v>
      </c>
      <c r="AN126" s="250">
        <f>SUMPRODUCT(('T22'!$A$2:$A$97=$A126)*(T22Emp=AN$1),'T22'!$E$2:$AZ$97)</f>
        <v>0</v>
      </c>
      <c r="AO126" s="250">
        <f>SUMPRODUCT(('T22'!$A$2:$A$97=$A126)*(T22Emp=AO$1),'T22'!$E$2:$AZ$97)</f>
        <v>0</v>
      </c>
      <c r="AP126" s="250">
        <f>SUMPRODUCT(('T22'!$A$2:$A$97=$A126)*(T22Emp=AP$1),'T22'!$E$2:$AZ$97)</f>
        <v>0</v>
      </c>
      <c r="AQ126" s="250">
        <f>SUMPRODUCT(('T22'!$A$2:$A$97=$A126)*(T22Emp=AQ$1),'T22'!$E$2:$AZ$97)</f>
        <v>0</v>
      </c>
      <c r="AR126" s="496">
        <f>SUMPRODUCT(('T22'!$A$2:$A$97=$A126)*(T22Emp=AR$1),'T22'!$E$2:$AZ$97)</f>
        <v>0</v>
      </c>
    </row>
    <row r="127" spans="1:44" s="271" customFormat="1" x14ac:dyDescent="0.2">
      <c r="A127" s="247">
        <f t="shared" si="77"/>
        <v>42472</v>
      </c>
      <c r="B127" s="254" t="str">
        <f>Total!$L$1</f>
        <v>RF</v>
      </c>
      <c r="C127" s="249">
        <f>SUMPRODUCT((RF!$A$2:$A$17=$A127)*(RFEmp=C$1)*(RF!$H$21:$AO$21="RF Valet"),RF!$H$2:$AO$17)</f>
        <v>0</v>
      </c>
      <c r="D127" s="250">
        <f>SUMPRODUCT((RF!$A$2:$A$17=$A127)*(RFEmp=D$1)*(RF!$H$21:$AO$21="RF Valet"),RF!$H$2:$AO$17)</f>
        <v>0</v>
      </c>
      <c r="E127" s="250">
        <f>SUMPRODUCT((RF!$A$2:$A$17=$A127)*(RFEmp=E$1)*(RF!$H$21:$AO$21="RF Valet"),RF!$H$2:$AO$17)</f>
        <v>0</v>
      </c>
      <c r="F127" s="250">
        <f>SUMPRODUCT((RF!$A$2:$A$17=$A127)*(RFEmp=F$1)*(RF!$H$21:$AO$21="RF Valet"),RF!$H$2:$AO$17)</f>
        <v>0</v>
      </c>
      <c r="G127" s="250">
        <f>SUMPRODUCT((RF!$A$2:$A$17=$A127)*(RFEmp=G$1)*(RF!$H$21:$AO$21="RF Valet"),RF!$H$2:$AO$17)</f>
        <v>0</v>
      </c>
      <c r="H127" s="250">
        <f>SUMPRODUCT((RF!$A$2:$A$17=$A127)*(RFEmp=H$1)*(RF!$H$21:$AO$21="RF Valet"),RF!$H$2:$AO$17)</f>
        <v>0</v>
      </c>
      <c r="I127" s="250">
        <f>SUMPRODUCT((RF!$A$2:$A$17=$A127)*(RFEmp=I$1)*(RF!$H$21:$AO$21="RF Valet"),RF!$H$2:$AO$17)</f>
        <v>0</v>
      </c>
      <c r="J127" s="250">
        <f>SUMPRODUCT((RF!$A$2:$A$17=$A127)*(RFEmp=J$1)*(RF!$H$21:$AO$21="RF Valet"),RF!$H$2:$AO$17)</f>
        <v>0</v>
      </c>
      <c r="K127" s="250">
        <f>SUMPRODUCT((RF!$A$2:$A$17=$A127)*(RFEmp=K$1)*(RF!$H$21:$AO$21="RF Valet"),RF!$H$2:$AO$17)</f>
        <v>0</v>
      </c>
      <c r="L127" s="250">
        <f>SUMPRODUCT((RF!$A$2:$A$17=$A127)*(RFEmp=L$1)*(RF!$H$21:$AO$21="RF Valet"),RF!$H$2:$AO$17)</f>
        <v>0</v>
      </c>
      <c r="M127" s="250">
        <f>SUMPRODUCT((RF!$A$2:$A$17=$A127)*(RFEmp=M$1)*(RF!$H$21:$AO$21="RF Valet"),RF!$H$2:$AO$17)</f>
        <v>0</v>
      </c>
      <c r="N127" s="250">
        <f>SUMPRODUCT((RF!$A$2:$A$17=$A127)*(RFEmp=N$1)*(RF!$H$21:$AO$21="RF Valet"),RF!$H$2:$AO$17)</f>
        <v>0</v>
      </c>
      <c r="O127" s="250">
        <f>SUMPRODUCT((RF!$A$2:$A$17=$A127)*(RFEmp=O$1)*(RF!$H$21:$AO$21="RF Valet"),RF!$H$2:$AO$17)</f>
        <v>0</v>
      </c>
      <c r="P127" s="250">
        <f>SUMPRODUCT((RF!$A$2:$A$17=$A127)*(RFEmp=P$1)*(RF!$H$21:$AO$21="RF Valet"),RF!$H$2:$AO$17)</f>
        <v>0</v>
      </c>
      <c r="Q127" s="250">
        <f>SUMPRODUCT((RF!$A$2:$A$17=$A127)*(RFEmp=Q$1)*(RF!$H$21:$AO$21="RF Valet"),RF!$H$2:$AO$17)</f>
        <v>0</v>
      </c>
      <c r="R127" s="250">
        <f>SUMPRODUCT((RF!$A$2:$A$17=$A127)*(RFEmp=R$1)*(RF!$H$21:$AO$21="RF Valet"),RF!$H$2:$AO$17)</f>
        <v>0</v>
      </c>
      <c r="S127" s="250">
        <f>SUMPRODUCT((RF!$A$2:$A$17=$A127)*(RFEmp=S$1)*(RF!$H$21:$AO$21="RF Valet"),RF!$H$2:$AO$17)</f>
        <v>0</v>
      </c>
      <c r="T127" s="250">
        <f>SUMPRODUCT((RF!$A$2:$A$17=$A127)*(RFEmp=T$1)*(RF!$H$21:$AO$21="RF Valet"),RF!$H$2:$AO$17)</f>
        <v>0</v>
      </c>
      <c r="U127" s="250">
        <f>SUMPRODUCT((RF!$A$2:$A$17=$A127)*(RFEmp=U$1)*(RF!$H$21:$AO$21="RF Valet"),RF!$H$2:$AO$17)</f>
        <v>0</v>
      </c>
      <c r="V127" s="250">
        <f>SUMPRODUCT((RF!$A$2:$A$17=$A127)*(RFEmp=V$1)*(RF!$H$21:$AO$21="RF Valet"),RF!$H$2:$AO$17)</f>
        <v>0</v>
      </c>
      <c r="W127" s="250">
        <f>SUMPRODUCT((RF!$A$2:$A$17=$A127)*(RFEmp=W$1)*(RF!$H$21:$AO$21="RF Valet"),RF!$H$2:$AO$17)</f>
        <v>0</v>
      </c>
      <c r="X127" s="250">
        <f>SUMPRODUCT((RF!$A$2:$A$17=$A127)*(RFEmp=X$1)*(RF!$H$21:$AO$21="RF Valet"),RF!$H$2:$AO$17)</f>
        <v>0</v>
      </c>
      <c r="Y127" s="250">
        <f>SUMPRODUCT((RF!$A$2:$A$17=$A127)*(RFEmp=Y$1)*(RF!$H$21:$AO$21="RF Valet"),RF!$H$2:$AO$17)</f>
        <v>0</v>
      </c>
      <c r="Z127" s="250">
        <f>SUMPRODUCT((RF!$A$2:$A$17=$A127)*(RFEmp=Z$1)*(RF!$H$21:$AO$21="RF Valet"),RF!$H$2:$AO$17)</f>
        <v>0</v>
      </c>
      <c r="AA127" s="250">
        <f>SUMPRODUCT((RF!$A$2:$A$17=$A127)*(RFEmp=AA$1)*(RF!$H$21:$AO$21="RF Valet"),RF!$H$2:$AO$17)</f>
        <v>0</v>
      </c>
      <c r="AB127" s="250">
        <f>SUMPRODUCT((RF!$A$2:$A$17=$A127)*(RFEmp=AB$1)*(RF!$H$21:$AO$21="RF Valet"),RF!$H$2:$AO$17)</f>
        <v>0</v>
      </c>
      <c r="AC127" s="250">
        <f>SUMPRODUCT((RF!$A$2:$A$17=$A127)*(RFEmp=AC$1)*(RF!$H$21:$AO$21="RF Valet"),RF!$H$2:$AO$17)</f>
        <v>0</v>
      </c>
      <c r="AD127" s="250">
        <f>SUMPRODUCT((RF!$A$2:$A$17=$A127)*(RFEmp=AD$1)*(RF!$H$21:$AO$21="RF Valet"),RF!$H$2:$AO$17)</f>
        <v>0</v>
      </c>
      <c r="AE127" s="250">
        <f>SUMPRODUCT((RF!$A$2:$A$17=$A127)*(RFEmp=AE$1)*(RF!$H$21:$AO$21="RF Valet"),RF!$H$2:$AO$17)</f>
        <v>0</v>
      </c>
      <c r="AF127" s="250">
        <f>SUMPRODUCT((RF!$A$2:$A$17=$A127)*(RFEmp=AF$1)*(RF!$H$21:$AO$21="RF Valet"),RF!$H$2:$AO$17)</f>
        <v>0</v>
      </c>
      <c r="AG127" s="250">
        <f>SUMPRODUCT((RF!$A$2:$A$17=$A127)*(RFEmp=AG$1)*(RF!$H$21:$AO$21="RF Valet"),RF!$H$2:$AO$17)</f>
        <v>0</v>
      </c>
      <c r="AH127" s="250">
        <f>SUMPRODUCT((RF!$A$2:$A$17=$A127)*(RFEmp=AH$1)*(RF!$H$21:$AO$21="RF Valet"),RF!$H$2:$AO$17)</f>
        <v>0</v>
      </c>
      <c r="AI127" s="250">
        <f>SUMPRODUCT((RF!$A$2:$A$17=$A127)*(RFEmp=AI$1)*(RF!$H$21:$AO$21="RF Valet"),RF!$H$2:$AO$17)</f>
        <v>0</v>
      </c>
      <c r="AJ127" s="250">
        <f>SUMPRODUCT((RF!$A$2:$A$17=$A127)*(RFEmp=AJ$1)*(RF!$H$21:$AO$21="RF Valet"),RF!$H$2:$AO$17)</f>
        <v>0</v>
      </c>
      <c r="AK127" s="250">
        <f>SUMPRODUCT((RF!$A$2:$A$17=$A127)*(RFEmp=AK$1)*(RF!$H$21:$AO$21="RF Valet"),RF!$H$2:$AO$17)</f>
        <v>0</v>
      </c>
      <c r="AL127" s="250">
        <f>SUMPRODUCT((RF!$A$2:$A$17=$A127)*(RFEmp=AL$1)*(RF!$H$21:$AO$21="RF Valet"),RF!$H$2:$AO$17)</f>
        <v>0</v>
      </c>
      <c r="AM127" s="250">
        <f>SUMPRODUCT((RF!$A$2:$A$17=$A127)*(RFEmp=AM$1)*(RF!$H$21:$AO$21="RF Valet"),RF!$H$2:$AO$17)</f>
        <v>0</v>
      </c>
      <c r="AN127" s="250">
        <f>SUMPRODUCT((RF!$A$2:$A$17=$A127)*(RFEmp=AN$1)*(RF!$H$21:$AO$21="RF Valet"),RF!$H$2:$AO$17)</f>
        <v>0</v>
      </c>
      <c r="AO127" s="250">
        <f>SUMPRODUCT((RF!$A$2:$A$17=$A127)*(RFEmp=AO$1)*(RF!$H$21:$AO$21="RF Valet"),RF!$H$2:$AO$17)</f>
        <v>0</v>
      </c>
      <c r="AP127" s="250">
        <f>SUMPRODUCT((RF!$A$2:$A$17=$A127)*(RFEmp=AP$1)*(RF!$H$21:$AO$21="RF Valet"),RF!$H$2:$AO$17)</f>
        <v>0</v>
      </c>
      <c r="AQ127" s="250">
        <f>SUMPRODUCT((RF!$A$2:$A$17=$A127)*(RFEmp=AQ$1)*(RF!$H$21:$AO$21="RF Valet"),RF!$H$2:$AO$17)</f>
        <v>0</v>
      </c>
      <c r="AR127" s="496">
        <f>SUMPRODUCT((RF!$A$2:$A$17=$A127)*(RFEmp=AR$1)*(RF!$H$21:$AO$21="RF Valet"),RF!$H$2:$AO$17)</f>
        <v>0</v>
      </c>
    </row>
    <row r="128" spans="1:44" s="271" customFormat="1" x14ac:dyDescent="0.2">
      <c r="A128" s="247">
        <f>A127</f>
        <v>42472</v>
      </c>
      <c r="B128" s="255" t="s">
        <v>74</v>
      </c>
      <c r="C128" s="249">
        <f>SUMPRODUCT((TM!$A$2:$A$17=$A128)*(TMEmp=C$1),TM!$D$2:$AK$17)</f>
        <v>0</v>
      </c>
      <c r="D128" s="250">
        <f>SUMPRODUCT((TM!$A$2:$A$17=$A128)*(TMEmp=D$1),TM!$D$2:$AK$17)</f>
        <v>0</v>
      </c>
      <c r="E128" s="250">
        <f>SUMPRODUCT((TM!$A$2:$A$17=$A128)*(TMEmp=E$1),TM!$D$2:$AK$17)</f>
        <v>0</v>
      </c>
      <c r="F128" s="250">
        <f>SUMPRODUCT((TM!$A$2:$A$17=$A128)*(TMEmp=F$1),TM!$D$2:$AK$17)</f>
        <v>0</v>
      </c>
      <c r="G128" s="250">
        <f>SUMPRODUCT((TM!$A$2:$A$17=$A128)*(TMEmp=G$1),TM!$D$2:$AK$17)</f>
        <v>0</v>
      </c>
      <c r="H128" s="250">
        <f>SUMPRODUCT((TM!$A$2:$A$17=$A128)*(TMEmp=H$1),TM!$D$2:$AK$17)</f>
        <v>0</v>
      </c>
      <c r="I128" s="250">
        <f>SUMPRODUCT((TM!$A$2:$A$17=$A128)*(TMEmp=I$1),TM!$D$2:$AK$17)</f>
        <v>0</v>
      </c>
      <c r="J128" s="250">
        <f>SUMPRODUCT((TM!$A$2:$A$17=$A128)*(TMEmp=J$1),TM!$D$2:$AK$17)</f>
        <v>0</v>
      </c>
      <c r="K128" s="250">
        <f>SUMPRODUCT((TM!$A$2:$A$17=$A128)*(TMEmp=K$1),TM!$D$2:$AK$17)</f>
        <v>0</v>
      </c>
      <c r="L128" s="250">
        <f>SUMPRODUCT((TM!$A$2:$A$17=$A128)*(TMEmp=L$1),TM!$D$2:$AK$17)</f>
        <v>0</v>
      </c>
      <c r="M128" s="250">
        <f>SUMPRODUCT((TM!$A$2:$A$17=$A128)*(TMEmp=M$1),TM!$D$2:$AK$17)</f>
        <v>0</v>
      </c>
      <c r="N128" s="250">
        <f>SUMPRODUCT((TM!$A$2:$A$17=$A128)*(TMEmp=N$1),TM!$D$2:$AK$17)</f>
        <v>0</v>
      </c>
      <c r="O128" s="250">
        <f>SUMPRODUCT((TM!$A$2:$A$17=$A128)*(TMEmp=O$1),TM!$D$2:$AK$17)</f>
        <v>0</v>
      </c>
      <c r="P128" s="250">
        <f>SUMPRODUCT((TM!$A$2:$A$17=$A128)*(TMEmp=P$1),TM!$D$2:$AK$17)</f>
        <v>0</v>
      </c>
      <c r="Q128" s="250">
        <f>SUMPRODUCT((TM!$A$2:$A$17=$A128)*(TMEmp=Q$1),TM!$D$2:$AK$17)</f>
        <v>0</v>
      </c>
      <c r="R128" s="250">
        <f>SUMPRODUCT((TM!$A$2:$A$17=$A128)*(TMEmp=R$1),TM!$D$2:$AK$17)</f>
        <v>0</v>
      </c>
      <c r="S128" s="250">
        <f>SUMPRODUCT((TM!$A$2:$A$17=$A128)*(TMEmp=S$1),TM!$D$2:$AK$17)</f>
        <v>0</v>
      </c>
      <c r="T128" s="250">
        <f>SUMPRODUCT((TM!$A$2:$A$17=$A128)*(TMEmp=T$1),TM!$D$2:$AK$17)</f>
        <v>0</v>
      </c>
      <c r="U128" s="250">
        <f>SUMPRODUCT((TM!$A$2:$A$17=$A128)*(TMEmp=U$1),TM!$D$2:$AK$17)</f>
        <v>0</v>
      </c>
      <c r="V128" s="250">
        <f>SUMPRODUCT((TM!$A$2:$A$17=$A128)*(TMEmp=V$1),TM!$D$2:$AK$17)</f>
        <v>0</v>
      </c>
      <c r="W128" s="250">
        <f>SUMPRODUCT((TM!$A$2:$A$17=$A128)*(TMEmp=W$1),TM!$D$2:$AK$17)</f>
        <v>0</v>
      </c>
      <c r="X128" s="250">
        <f>SUMPRODUCT((TM!$A$2:$A$17=$A128)*(TMEmp=X$1),TM!$D$2:$AK$17)</f>
        <v>0</v>
      </c>
      <c r="Y128" s="250">
        <f>SUMPRODUCT((TM!$A$2:$A$17=$A128)*(TMEmp=Y$1),TM!$D$2:$AK$17)</f>
        <v>0</v>
      </c>
      <c r="Z128" s="250">
        <f>SUMPRODUCT((TM!$A$2:$A$17=$A128)*(TMEmp=Z$1),TM!$D$2:$AK$17)</f>
        <v>0</v>
      </c>
      <c r="AA128" s="250">
        <f>SUMPRODUCT((TM!$A$2:$A$17=$A128)*(TMEmp=AA$1),TM!$D$2:$AK$17)</f>
        <v>0</v>
      </c>
      <c r="AB128" s="250">
        <f>SUMPRODUCT((TM!$A$2:$A$17=$A128)*(TMEmp=AB$1),TM!$D$2:$AK$17)</f>
        <v>0</v>
      </c>
      <c r="AC128" s="250">
        <f>SUMPRODUCT((TM!$A$2:$A$17=$A128)*(TMEmp=AC$1),TM!$D$2:$AK$17)</f>
        <v>0</v>
      </c>
      <c r="AD128" s="250">
        <f>SUMPRODUCT((TM!$A$2:$A$17=$A128)*(TMEmp=AD$1),TM!$D$2:$AK$17)</f>
        <v>0</v>
      </c>
      <c r="AE128" s="250">
        <f>SUMPRODUCT((TM!$A$2:$A$17=$A128)*(TMEmp=AE$1),TM!$D$2:$AK$17)</f>
        <v>0</v>
      </c>
      <c r="AF128" s="250">
        <f>SUMPRODUCT((TM!$A$2:$A$17=$A128)*(TMEmp=AF$1),TM!$D$2:$AK$17)</f>
        <v>0</v>
      </c>
      <c r="AG128" s="250">
        <f>SUMPRODUCT((TM!$A$2:$A$17=$A128)*(TMEmp=AG$1),TM!$D$2:$AK$17)</f>
        <v>0</v>
      </c>
      <c r="AH128" s="250">
        <f>SUMPRODUCT((TM!$A$2:$A$17=$A128)*(TMEmp=AH$1),TM!$D$2:$AK$17)</f>
        <v>0</v>
      </c>
      <c r="AI128" s="250">
        <f>SUMPRODUCT((TM!$A$2:$A$17=$A128)*(TMEmp=AI$1),TM!$D$2:$AK$17)</f>
        <v>0</v>
      </c>
      <c r="AJ128" s="250">
        <f>SUMPRODUCT((TM!$A$2:$A$17=$A128)*(TMEmp=AJ$1),TM!$D$2:$AK$17)</f>
        <v>0</v>
      </c>
      <c r="AK128" s="250">
        <f>SUMPRODUCT((TM!$A$2:$A$17=$A128)*(TMEmp=AK$1),TM!$D$2:$AK$17)</f>
        <v>0</v>
      </c>
      <c r="AL128" s="250">
        <f>SUMPRODUCT((TM!$A$2:$A$17=$A128)*(TMEmp=AL$1),TM!$D$2:$AK$17)</f>
        <v>0</v>
      </c>
      <c r="AM128" s="250">
        <f>SUMPRODUCT((TM!$A$2:$A$17=$A128)*(TMEmp=AM$1),TM!$D$2:$AK$17)</f>
        <v>0</v>
      </c>
      <c r="AN128" s="250">
        <f>SUMPRODUCT((TM!$A$2:$A$17=$A128)*(TMEmp=AN$1),TM!$D$2:$AK$17)</f>
        <v>0</v>
      </c>
      <c r="AO128" s="250">
        <f>SUMPRODUCT((TM!$A$2:$A$17=$A128)*(TMEmp=AO$1),TM!$D$2:$AK$17)</f>
        <v>0</v>
      </c>
      <c r="AP128" s="250">
        <f>SUMPRODUCT((TM!$A$2:$A$17=$A128)*(TMEmp=AP$1),TM!$D$2:$AK$17)</f>
        <v>0</v>
      </c>
      <c r="AQ128" s="250">
        <f>SUMPRODUCT((TM!$A$2:$A$17=$A128)*(TMEmp=AQ$1),TM!$D$2:$AK$17)</f>
        <v>0</v>
      </c>
      <c r="AR128" s="496">
        <f>SUMPRODUCT((TM!$A$2:$A$17=$A128)*(TMEmp=AR$1),TM!$D$2:$AK$17)</f>
        <v>0</v>
      </c>
    </row>
    <row r="129" spans="1:44" s="271" customFormat="1" x14ac:dyDescent="0.2">
      <c r="A129" s="256">
        <f t="shared" si="77"/>
        <v>42472</v>
      </c>
      <c r="B129" s="257" t="s">
        <v>72</v>
      </c>
      <c r="C129" s="258">
        <f>SUMPRODUCT((PC!$A$2:$A$80=$A129)*(PCEmp=C$1),PC!$D$2:$BD$80)</f>
        <v>0</v>
      </c>
      <c r="D129" s="259">
        <f>SUMPRODUCT((PC!$A$2:$A$80=$A129)*(PCEmp=D$1),PC!$D$2:$BD$80)</f>
        <v>0</v>
      </c>
      <c r="E129" s="259">
        <f>SUMPRODUCT((PC!$A$2:$A$80=$A129)*(PCEmp=E$1),PC!$D$2:$BD$80)</f>
        <v>0</v>
      </c>
      <c r="F129" s="259">
        <f>SUMPRODUCT((PC!$A$2:$A$80=$A129)*(PCEmp=F$1),PC!$D$2:$BD$80)</f>
        <v>0</v>
      </c>
      <c r="G129" s="259">
        <f>SUMPRODUCT((PC!$A$2:$A$80=$A129)*(PCEmp=G$1),PC!$D$2:$BD$80)</f>
        <v>0</v>
      </c>
      <c r="H129" s="259">
        <f>SUMPRODUCT((PC!$A$2:$A$80=$A129)*(PCEmp=H$1),PC!$D$2:$BD$80)</f>
        <v>0</v>
      </c>
      <c r="I129" s="259">
        <f>SUMPRODUCT((PC!$A$2:$A$80=$A129)*(PCEmp=I$1),PC!$D$2:$BD$80)</f>
        <v>0</v>
      </c>
      <c r="J129" s="259">
        <f>SUMPRODUCT((PC!$A$2:$A$80=$A129)*(PCEmp=J$1),PC!$D$2:$BD$80)</f>
        <v>0</v>
      </c>
      <c r="K129" s="259">
        <f>SUMPRODUCT((PC!$A$2:$A$80=$A129)*(PCEmp=K$1),PC!$D$2:$BD$80)</f>
        <v>0</v>
      </c>
      <c r="L129" s="259">
        <f>SUMPRODUCT((PC!$A$2:$A$80=$A129)*(PCEmp=L$1),PC!$D$2:$BD$80)</f>
        <v>0</v>
      </c>
      <c r="M129" s="259">
        <f>SUMPRODUCT((PC!$A$2:$A$80=$A129)*(PCEmp=M$1),PC!$D$2:$BD$80)</f>
        <v>0</v>
      </c>
      <c r="N129" s="259">
        <f>SUMPRODUCT((PC!$A$2:$A$80=$A129)*(PCEmp=N$1),PC!$D$2:$BD$80)</f>
        <v>0</v>
      </c>
      <c r="O129" s="259">
        <f>SUMPRODUCT((PC!$A$2:$A$80=$A129)*(PCEmp=O$1),PC!$D$2:$BD$80)</f>
        <v>0</v>
      </c>
      <c r="P129" s="259">
        <f>SUMPRODUCT((PC!$A$2:$A$80=$A129)*(PCEmp=P$1),PC!$D$2:$BD$80)</f>
        <v>0</v>
      </c>
      <c r="Q129" s="259">
        <f>SUMPRODUCT((PC!$A$2:$A$80=$A129)*(PCEmp=Q$1),PC!$D$2:$BD$80)</f>
        <v>0</v>
      </c>
      <c r="R129" s="259">
        <f>SUMPRODUCT((PC!$A$2:$A$80=$A129)*(PCEmp=R$1),PC!$D$2:$BD$80)</f>
        <v>0</v>
      </c>
      <c r="S129" s="259">
        <f>SUMPRODUCT((PC!$A$2:$A$80=$A129)*(PCEmp=S$1),PC!$D$2:$BD$80)</f>
        <v>0</v>
      </c>
      <c r="T129" s="259">
        <f>SUMPRODUCT((PC!$A$2:$A$80=$A129)*(PCEmp=T$1),PC!$D$2:$BD$80)</f>
        <v>0</v>
      </c>
      <c r="U129" s="259">
        <f>SUMPRODUCT((PC!$A$2:$A$80=$A129)*(PCEmp=U$1),PC!$D$2:$BD$80)</f>
        <v>0</v>
      </c>
      <c r="V129" s="259">
        <f>SUMPRODUCT((PC!$A$2:$A$80=$A129)*(PCEmp=V$1),PC!$D$2:$BD$80)</f>
        <v>0</v>
      </c>
      <c r="W129" s="259">
        <f>SUMPRODUCT((PC!$A$2:$A$80=$A129)*(PCEmp=W$1),PC!$D$2:$BD$80)</f>
        <v>0</v>
      </c>
      <c r="X129" s="259">
        <f>SUMPRODUCT((PC!$A$2:$A$80=$A129)*(PCEmp=X$1),PC!$D$2:$BD$80)</f>
        <v>0</v>
      </c>
      <c r="Y129" s="259">
        <f>SUMPRODUCT((PC!$A$2:$A$80=$A129)*(PCEmp=Y$1),PC!$D$2:$BD$80)</f>
        <v>0</v>
      </c>
      <c r="Z129" s="259">
        <f>SUMPRODUCT((PC!$A$2:$A$80=$A129)*(PCEmp=Z$1),PC!$D$2:$BD$80)</f>
        <v>0</v>
      </c>
      <c r="AA129" s="259">
        <f>SUMPRODUCT((PC!$A$2:$A$80=$A129)*(PCEmp=AA$1),PC!$D$2:$BD$80)</f>
        <v>0</v>
      </c>
      <c r="AB129" s="259">
        <f>SUMPRODUCT((PC!$A$2:$A$80=$A129)*(PCEmp=AB$1),PC!$D$2:$BD$80)</f>
        <v>0</v>
      </c>
      <c r="AC129" s="259">
        <f>SUMPRODUCT((PC!$A$2:$A$80=$A129)*(PCEmp=AC$1),PC!$D$2:$BD$80)</f>
        <v>0</v>
      </c>
      <c r="AD129" s="259">
        <f>SUMPRODUCT((PC!$A$2:$A$80=$A129)*(PCEmp=AD$1),PC!$D$2:$BD$80)</f>
        <v>0</v>
      </c>
      <c r="AE129" s="259">
        <f>SUMPRODUCT((PC!$A$2:$A$80=$A129)*(PCEmp=AE$1),PC!$D$2:$BD$80)</f>
        <v>0</v>
      </c>
      <c r="AF129" s="259">
        <f>SUMPRODUCT((PC!$A$2:$A$80=$A129)*(PCEmp=AF$1),PC!$D$2:$BD$80)</f>
        <v>0</v>
      </c>
      <c r="AG129" s="259">
        <f>SUMPRODUCT((PC!$A$2:$A$80=$A129)*(PCEmp=AG$1),PC!$D$2:$BD$80)</f>
        <v>0</v>
      </c>
      <c r="AH129" s="259">
        <f>SUMPRODUCT((PC!$A$2:$A$80=$A129)*(PCEmp=AH$1),PC!$D$2:$BD$80)</f>
        <v>0</v>
      </c>
      <c r="AI129" s="259">
        <f>SUMPRODUCT((PC!$A$2:$A$80=$A129)*(PCEmp=AI$1),PC!$D$2:$BD$80)</f>
        <v>0</v>
      </c>
      <c r="AJ129" s="259">
        <f>SUMPRODUCT((PC!$A$2:$A$80=$A129)*(PCEmp=AJ$1),PC!$D$2:$BD$80)</f>
        <v>0</v>
      </c>
      <c r="AK129" s="259">
        <f>SUMPRODUCT((PC!$A$2:$A$80=$A129)*(PCEmp=AK$1),PC!$D$2:$BD$80)</f>
        <v>0</v>
      </c>
      <c r="AL129" s="259">
        <f>SUMPRODUCT((PC!$A$2:$A$80=$A129)*(PCEmp=AL$1),PC!$D$2:$BD$80)</f>
        <v>0</v>
      </c>
      <c r="AM129" s="259">
        <f>SUMPRODUCT((PC!$A$2:$A$80=$A129)*(PCEmp=AM$1),PC!$D$2:$BD$80)</f>
        <v>0</v>
      </c>
      <c r="AN129" s="259">
        <f>SUMPRODUCT((PC!$A$2:$A$80=$A129)*(PCEmp=AN$1),PC!$D$2:$BD$80)</f>
        <v>0</v>
      </c>
      <c r="AO129" s="259">
        <f>SUMPRODUCT((PC!$A$2:$A$80=$A129)*(PCEmp=AO$1),PC!$D$2:$BD$80)</f>
        <v>0</v>
      </c>
      <c r="AP129" s="259">
        <f>SUMPRODUCT((PC!$A$2:$A$80=$A129)*(PCEmp=AP$1),PC!$D$2:$BD$80)</f>
        <v>0</v>
      </c>
      <c r="AQ129" s="259">
        <f>SUMPRODUCT((PC!$A$2:$A$80=$A129)*(PCEmp=AQ$1),PC!$D$2:$BD$80)</f>
        <v>0</v>
      </c>
      <c r="AR129" s="497">
        <f>SUMPRODUCT((PC!$A$2:$A$80=$A129)*(PCEmp=AR$1),PC!$D$2:$BD$80)</f>
        <v>0</v>
      </c>
    </row>
    <row r="130" spans="1:44" s="271" customFormat="1" x14ac:dyDescent="0.2">
      <c r="A130" s="247">
        <f t="shared" si="77"/>
        <v>42472</v>
      </c>
      <c r="B130" s="254" t="s">
        <v>85</v>
      </c>
      <c r="C130" s="249">
        <f>SUMPRODUCT((RF!$A$2:$A$17=$A130)*(RFEmp=C$1)*(RF!$H$21:$AO$21="RF Lead"),RF!$H$2:$AO$17)</f>
        <v>0</v>
      </c>
      <c r="D130" s="250">
        <f>SUMPRODUCT((RF!$A$2:$A$17=$A130)*(RFEmp=D$1)*(RF!$H$21:$AO$21="RF Lead"),RF!$H$2:$AO$17)</f>
        <v>0</v>
      </c>
      <c r="E130" s="250">
        <f>SUMPRODUCT((RF!$A$2:$A$17=$A130)*(RFEmp=E$1)*(RF!$H$21:$AO$21="RF Lead"),RF!$H$2:$AO$17)</f>
        <v>0</v>
      </c>
      <c r="F130" s="250">
        <f>SUMPRODUCT((RF!$A$2:$A$17=$A130)*(RFEmp=F$1)*(RF!$H$21:$AO$21="RF Lead"),RF!$H$2:$AO$17)</f>
        <v>0</v>
      </c>
      <c r="G130" s="250">
        <f>SUMPRODUCT((RF!$A$2:$A$17=$A130)*(RFEmp=G$1)*(RF!$H$21:$AO$21="RF Lead"),RF!$H$2:$AO$17)</f>
        <v>0</v>
      </c>
      <c r="H130" s="250">
        <f>SUMPRODUCT((RF!$A$2:$A$17=$A130)*(RFEmp=H$1)*(RF!$H$21:$AO$21="RF Lead"),RF!$H$2:$AO$17)</f>
        <v>0</v>
      </c>
      <c r="I130" s="250">
        <f>SUMPRODUCT((RF!$A$2:$A$17=$A130)*(RFEmp=I$1)*(RF!$H$21:$AO$21="RF Lead"),RF!$H$2:$AO$17)</f>
        <v>0</v>
      </c>
      <c r="J130" s="250">
        <f>SUMPRODUCT((RF!$A$2:$A$17=$A130)*(RFEmp=J$1)*(RF!$H$21:$AO$21="RF Lead"),RF!$H$2:$AO$17)</f>
        <v>0</v>
      </c>
      <c r="K130" s="250">
        <f>SUMPRODUCT((RF!$A$2:$A$17=$A130)*(RFEmp=K$1)*(RF!$H$21:$AO$21="RF Lead"),RF!$H$2:$AO$17)</f>
        <v>0</v>
      </c>
      <c r="L130" s="250">
        <f>SUMPRODUCT((RF!$A$2:$A$17=$A130)*(RFEmp=L$1)*(RF!$H$21:$AO$21="RF Lead"),RF!$H$2:$AO$17)</f>
        <v>0</v>
      </c>
      <c r="M130" s="250">
        <f>SUMPRODUCT((RF!$A$2:$A$17=$A130)*(RFEmp=M$1)*(RF!$H$21:$AO$21="RF Lead"),RF!$H$2:$AO$17)</f>
        <v>0</v>
      </c>
      <c r="N130" s="250">
        <f>SUMPRODUCT((RF!$A$2:$A$17=$A130)*(RFEmp=N$1)*(RF!$H$21:$AO$21="RF Lead"),RF!$H$2:$AO$17)</f>
        <v>0</v>
      </c>
      <c r="O130" s="250">
        <f>SUMPRODUCT((RF!$A$2:$A$17=$A130)*(RFEmp=O$1)*(RF!$H$21:$AO$21="RF Lead"),RF!$H$2:$AO$17)</f>
        <v>0</v>
      </c>
      <c r="P130" s="250">
        <f>SUMPRODUCT((RF!$A$2:$A$17=$A130)*(RFEmp=P$1)*(RF!$H$21:$AO$21="RF Lead"),RF!$H$2:$AO$17)</f>
        <v>0</v>
      </c>
      <c r="Q130" s="250">
        <f>SUMPRODUCT((RF!$A$2:$A$17=$A130)*(RFEmp=Q$1)*(RF!$H$21:$AO$21="RF Lead"),RF!$H$2:$AO$17)</f>
        <v>0</v>
      </c>
      <c r="R130" s="250">
        <f>SUMPRODUCT((RF!$A$2:$A$17=$A130)*(RFEmp=R$1)*(RF!$H$21:$AO$21="RF Lead"),RF!$H$2:$AO$17)</f>
        <v>0</v>
      </c>
      <c r="S130" s="250">
        <f>SUMPRODUCT((RF!$A$2:$A$17=$A130)*(RFEmp=S$1)*(RF!$H$21:$AO$21="RF Lead"),RF!$H$2:$AO$17)</f>
        <v>0</v>
      </c>
      <c r="T130" s="250">
        <f>SUMPRODUCT((RF!$A$2:$A$17=$A130)*(RFEmp=T$1)*(RF!$H$21:$AO$21="RF Lead"),RF!$H$2:$AO$17)</f>
        <v>0</v>
      </c>
      <c r="U130" s="250">
        <f>SUMPRODUCT((RF!$A$2:$A$17=$A130)*(RFEmp=U$1)*(RF!$H$21:$AO$21="RF Lead"),RF!$H$2:$AO$17)</f>
        <v>0</v>
      </c>
      <c r="V130" s="250">
        <f>SUMPRODUCT((RF!$A$2:$A$17=$A130)*(RFEmp=V$1)*(RF!$H$21:$AO$21="RF Lead"),RF!$H$2:$AO$17)</f>
        <v>0</v>
      </c>
      <c r="W130" s="250">
        <f>SUMPRODUCT((RF!$A$2:$A$17=$A130)*(RFEmp=W$1)*(RF!$H$21:$AO$21="RF Lead"),RF!$H$2:$AO$17)</f>
        <v>0</v>
      </c>
      <c r="X130" s="250">
        <f>SUMPRODUCT((RF!$A$2:$A$17=$A130)*(RFEmp=X$1)*(RF!$H$21:$AO$21="RF Lead"),RF!$H$2:$AO$17)</f>
        <v>0</v>
      </c>
      <c r="Y130" s="250">
        <f>SUMPRODUCT((RF!$A$2:$A$17=$A130)*(RFEmp=Y$1)*(RF!$H$21:$AO$21="RF Lead"),RF!$H$2:$AO$17)</f>
        <v>0</v>
      </c>
      <c r="Z130" s="250">
        <f>SUMPRODUCT((RF!$A$2:$A$17=$A130)*(RFEmp=Z$1)*(RF!$H$21:$AO$21="RF Lead"),RF!$H$2:$AO$17)</f>
        <v>0</v>
      </c>
      <c r="AA130" s="250">
        <f>SUMPRODUCT((RF!$A$2:$A$17=$A130)*(RFEmp=AA$1)*(RF!$H$21:$AO$21="RF Lead"),RF!$H$2:$AO$17)</f>
        <v>0</v>
      </c>
      <c r="AB130" s="250">
        <f>SUMPRODUCT((RF!$A$2:$A$17=$A130)*(RFEmp=AB$1)*(RF!$H$21:$AO$21="RF Lead"),RF!$H$2:$AO$17)</f>
        <v>0</v>
      </c>
      <c r="AC130" s="250">
        <f>SUMPRODUCT((RF!$A$2:$A$17=$A130)*(RFEmp=AC$1)*(RF!$H$21:$AO$21="RF Lead"),RF!$H$2:$AO$17)</f>
        <v>0</v>
      </c>
      <c r="AD130" s="250">
        <f>SUMPRODUCT((RF!$A$2:$A$17=$A130)*(RFEmp=AD$1)*(RF!$H$21:$AO$21="RF Lead"),RF!$H$2:$AO$17)</f>
        <v>0</v>
      </c>
      <c r="AE130" s="250">
        <f>SUMPRODUCT((RF!$A$2:$A$17=$A130)*(RFEmp=AE$1)*(RF!$H$21:$AO$21="RF Lead"),RF!$H$2:$AO$17)</f>
        <v>0</v>
      </c>
      <c r="AF130" s="250">
        <f>SUMPRODUCT((RF!$A$2:$A$17=$A130)*(RFEmp=AF$1)*(RF!$H$21:$AO$21="RF Lead"),RF!$H$2:$AO$17)</f>
        <v>0</v>
      </c>
      <c r="AG130" s="250">
        <f>SUMPRODUCT((RF!$A$2:$A$17=$A130)*(RFEmp=AG$1)*(RF!$H$21:$AO$21="RF Lead"),RF!$H$2:$AO$17)</f>
        <v>0</v>
      </c>
      <c r="AH130" s="250">
        <f>SUMPRODUCT((RF!$A$2:$A$17=$A130)*(RFEmp=AH$1)*(RF!$H$21:$AO$21="RF Lead"),RF!$H$2:$AO$17)</f>
        <v>0</v>
      </c>
      <c r="AI130" s="250">
        <f>SUMPRODUCT((RF!$A$2:$A$17=$A130)*(RFEmp=AI$1)*(RF!$H$21:$AO$21="RF Lead"),RF!$H$2:$AO$17)</f>
        <v>0</v>
      </c>
      <c r="AJ130" s="250">
        <f>SUMPRODUCT((RF!$A$2:$A$17=$A130)*(RFEmp=AJ$1)*(RF!$H$21:$AO$21="RF Lead"),RF!$H$2:$AO$17)</f>
        <v>0</v>
      </c>
      <c r="AK130" s="250">
        <f>SUMPRODUCT((RF!$A$2:$A$17=$A130)*(RFEmp=AK$1)*(RF!$H$21:$AO$21="RF Lead"),RF!$H$2:$AO$17)</f>
        <v>0</v>
      </c>
      <c r="AL130" s="250">
        <f>SUMPRODUCT((RF!$A$2:$A$17=$A130)*(RFEmp=AL$1)*(RF!$H$21:$AO$21="RF Lead"),RF!$H$2:$AO$17)</f>
        <v>0</v>
      </c>
      <c r="AM130" s="250">
        <f>SUMPRODUCT((RF!$A$2:$A$17=$A130)*(RFEmp=AM$1)*(RF!$H$21:$AO$21="RF Lead"),RF!$H$2:$AO$17)</f>
        <v>0</v>
      </c>
      <c r="AN130" s="250">
        <f>SUMPRODUCT((RF!$A$2:$A$17=$A130)*(RFEmp=AN$1)*(RF!$H$21:$AO$21="RF Lead"),RF!$H$2:$AO$17)</f>
        <v>0</v>
      </c>
      <c r="AO130" s="250">
        <f>SUMPRODUCT((RF!$A$2:$A$17=$A130)*(RFEmp=AO$1)*(RF!$H$21:$AO$21="RF Lead"),RF!$H$2:$AO$17)</f>
        <v>0</v>
      </c>
      <c r="AP130" s="250">
        <f>SUMPRODUCT((RF!$A$2:$A$17=$A130)*(RFEmp=AP$1)*(RF!$H$21:$AO$21="RF Lead"),RF!$H$2:$AO$17)</f>
        <v>0</v>
      </c>
      <c r="AQ130" s="250">
        <f>SUMPRODUCT((RF!$A$2:$A$17=$A130)*(RFEmp=AQ$1)*(RF!$H$21:$AO$21="RF Lead"),RF!$H$2:$AO$17)</f>
        <v>0</v>
      </c>
      <c r="AR130" s="496">
        <f>SUMPRODUCT((RF!$A$2:$A$17=$A130)*(RFEmp=AR$1)*(RF!$H$21:$AO$21="RF Lead"),RF!$H$2:$AO$17)</f>
        <v>0</v>
      </c>
    </row>
    <row r="131" spans="1:44" s="271" customFormat="1" x14ac:dyDescent="0.2">
      <c r="A131" s="260">
        <f t="shared" si="77"/>
        <v>42472</v>
      </c>
      <c r="B131" s="261" t="str">
        <f>Total!$M$1</f>
        <v>SC</v>
      </c>
      <c r="C131" s="249">
        <f>SUMPRODUCT((SC!$A$2:$A$34=$A131)*(SCEmp=C$1),SC!$F$2:$Z$34)</f>
        <v>0</v>
      </c>
      <c r="D131" s="250">
        <f>SUMPRODUCT((SC!$A$2:$A$34=$A131)*(SCEmp=D$1),SC!$F$2:$Z$34)</f>
        <v>0</v>
      </c>
      <c r="E131" s="250">
        <f>SUMPRODUCT((SC!$A$2:$A$34=$A131)*(SCEmp=E$1),SC!$F$2:$Z$34)</f>
        <v>0</v>
      </c>
      <c r="F131" s="250">
        <f>SUMPRODUCT((SC!$A$2:$A$34=$A131)*(SCEmp=F$1),SC!$F$2:$Z$34)</f>
        <v>0</v>
      </c>
      <c r="G131" s="250">
        <f>SUMPRODUCT((SC!$A$2:$A$34=$A131)*(SCEmp=G$1),SC!$F$2:$Z$34)</f>
        <v>0</v>
      </c>
      <c r="H131" s="250">
        <f>SUMPRODUCT((SC!$A$2:$A$34=$A131)*(SCEmp=H$1),SC!$F$2:$Z$34)</f>
        <v>0</v>
      </c>
      <c r="I131" s="250">
        <f>SUMPRODUCT((SC!$A$2:$A$34=$A131)*(SCEmp=I$1),SC!$F$2:$Z$34)</f>
        <v>0</v>
      </c>
      <c r="J131" s="250">
        <f>SUMPRODUCT((SC!$A$2:$A$34=$A131)*(SCEmp=J$1),SC!$F$2:$Z$34)</f>
        <v>0</v>
      </c>
      <c r="K131" s="250">
        <f>SUMPRODUCT((SC!$A$2:$A$34=$A131)*(SCEmp=K$1),SC!$F$2:$Z$34)</f>
        <v>0</v>
      </c>
      <c r="L131" s="250">
        <f>SUMPRODUCT((SC!$A$2:$A$34=$A131)*(SCEmp=L$1),SC!$F$2:$Z$34)</f>
        <v>0</v>
      </c>
      <c r="M131" s="250">
        <f>SUMPRODUCT((SC!$A$2:$A$34=$A131)*(SCEmp=M$1),SC!$F$2:$Z$34)</f>
        <v>0</v>
      </c>
      <c r="N131" s="250">
        <f>SUMPRODUCT((SC!$A$2:$A$34=$A131)*(SCEmp=N$1),SC!$F$2:$Z$34)</f>
        <v>0</v>
      </c>
      <c r="O131" s="250">
        <f>SUMPRODUCT((SC!$A$2:$A$34=$A131)*(SCEmp=O$1),SC!$F$2:$Z$34)</f>
        <v>0</v>
      </c>
      <c r="P131" s="250">
        <f>SUMPRODUCT((SC!$A$2:$A$34=$A131)*(SCEmp=P$1),SC!$F$2:$Z$34)</f>
        <v>0</v>
      </c>
      <c r="Q131" s="250">
        <f>SUMPRODUCT((SC!$A$2:$A$34=$A131)*(SCEmp=Q$1),SC!$F$2:$Z$34)</f>
        <v>0</v>
      </c>
      <c r="R131" s="250">
        <f>SUMPRODUCT((SC!$A$2:$A$34=$A131)*(SCEmp=R$1),SC!$F$2:$Z$34)</f>
        <v>0</v>
      </c>
      <c r="S131" s="250">
        <f>SUMPRODUCT((SC!$A$2:$A$34=$A131)*(SCEmp=S$1),SC!$F$2:$Z$34)</f>
        <v>0</v>
      </c>
      <c r="T131" s="250">
        <f>SUMPRODUCT((SC!$A$2:$A$34=$A131)*(SCEmp=T$1),SC!$F$2:$Z$34)</f>
        <v>0</v>
      </c>
      <c r="U131" s="250">
        <f>SUMPRODUCT((SC!$A$2:$A$34=$A131)*(SCEmp=U$1),SC!$F$2:$Z$34)</f>
        <v>0</v>
      </c>
      <c r="V131" s="250">
        <f>SUMPRODUCT((SC!$A$2:$A$34=$A131)*(SCEmp=V$1),SC!$F$2:$Z$34)</f>
        <v>0</v>
      </c>
      <c r="W131" s="250">
        <f>SUMPRODUCT((SC!$A$2:$A$34=$A131)*(SCEmp=W$1),SC!$F$2:$Z$34)</f>
        <v>0</v>
      </c>
      <c r="X131" s="250">
        <f>SUMPRODUCT((SC!$A$2:$A$34=$A131)*(SCEmp=X$1),SC!$F$2:$Z$34)</f>
        <v>0</v>
      </c>
      <c r="Y131" s="250">
        <f>SUMPRODUCT((SC!$A$2:$A$34=$A131)*(SCEmp=Y$1),SC!$F$2:$Z$34)</f>
        <v>0</v>
      </c>
      <c r="Z131" s="250">
        <f>SUMPRODUCT((SC!$A$2:$A$34=$A131)*(SCEmp=Z$1),SC!$F$2:$Z$34)</f>
        <v>0</v>
      </c>
      <c r="AA131" s="250">
        <f>SUMPRODUCT((SC!$A$2:$A$34=$A131)*(SCEmp=AA$1),SC!$F$2:$Z$34)</f>
        <v>0</v>
      </c>
      <c r="AB131" s="250">
        <f>SUMPRODUCT((SC!$A$2:$A$34=$A131)*(SCEmp=AB$1),SC!$F$2:$Z$34)</f>
        <v>0</v>
      </c>
      <c r="AC131" s="250">
        <f>SUMPRODUCT((SC!$A$2:$A$34=$A131)*(SCEmp=AC$1),SC!$F$2:$Z$34)</f>
        <v>0</v>
      </c>
      <c r="AD131" s="250">
        <f>SUMPRODUCT((SC!$A$2:$A$34=$A131)*(SCEmp=AD$1),SC!$F$2:$Z$34)</f>
        <v>0</v>
      </c>
      <c r="AE131" s="250">
        <f>SUMPRODUCT((SC!$A$2:$A$34=$A131)*(SCEmp=AE$1),SC!$F$2:$Z$34)</f>
        <v>0</v>
      </c>
      <c r="AF131" s="250">
        <f>SUMPRODUCT((SC!$A$2:$A$34=$A131)*(SCEmp=AF$1),SC!$F$2:$Z$34)</f>
        <v>0</v>
      </c>
      <c r="AG131" s="250">
        <f>SUMPRODUCT((SC!$A$2:$A$34=$A131)*(SCEmp=AG$1),SC!$F$2:$Z$34)</f>
        <v>0</v>
      </c>
      <c r="AH131" s="250">
        <f>SUMPRODUCT((SC!$A$2:$A$34=$A131)*(SCEmp=AH$1),SC!$F$2:$Z$34)</f>
        <v>0</v>
      </c>
      <c r="AI131" s="250">
        <f>SUMPRODUCT((SC!$A$2:$A$34=$A131)*(SCEmp=AI$1),SC!$F$2:$Z$34)</f>
        <v>0</v>
      </c>
      <c r="AJ131" s="250">
        <f>SUMPRODUCT((SC!$A$2:$A$34=$A131)*(SCEmp=AJ$1),SC!$F$2:$Z$34)</f>
        <v>0</v>
      </c>
      <c r="AK131" s="250">
        <f>SUMPRODUCT((SC!$A$2:$A$34=$A131)*(SCEmp=AK$1),SC!$F$2:$Z$34)</f>
        <v>0</v>
      </c>
      <c r="AL131" s="250">
        <f>SUMPRODUCT((SC!$A$2:$A$34=$A131)*(SCEmp=AL$1),SC!$F$2:$Z$34)</f>
        <v>0</v>
      </c>
      <c r="AM131" s="250">
        <f>SUMPRODUCT((SC!$A$2:$A$34=$A131)*(SCEmp=AM$1),SC!$F$2:$Z$34)</f>
        <v>0</v>
      </c>
      <c r="AN131" s="250">
        <f>SUMPRODUCT((SC!$A$2:$A$34=$A131)*(SCEmp=AN$1),SC!$F$2:$Z$34)</f>
        <v>0</v>
      </c>
      <c r="AO131" s="250">
        <f>SUMPRODUCT((SC!$A$2:$A$34=$A131)*(SCEmp=AO$1),SC!$F$2:$Z$34)</f>
        <v>0</v>
      </c>
      <c r="AP131" s="250">
        <f>SUMPRODUCT((SC!$A$2:$A$34=$A131)*(SCEmp=AP$1),SC!$F$2:$Z$34)</f>
        <v>0</v>
      </c>
      <c r="AQ131" s="250">
        <f>SUMPRODUCT((SC!$A$2:$A$34=$A131)*(SCEmp=AQ$1),SC!$F$2:$Z$34)</f>
        <v>0</v>
      </c>
      <c r="AR131" s="496">
        <f>SUMPRODUCT((SC!$A$2:$A$34=$A131)*(SCEmp=AR$1),SC!$F$2:$Z$34)</f>
        <v>0</v>
      </c>
    </row>
    <row r="132" spans="1:44" s="271" customFormat="1" x14ac:dyDescent="0.2">
      <c r="A132" s="262">
        <f t="shared" si="77"/>
        <v>42472</v>
      </c>
      <c r="B132" s="263" t="s">
        <v>87</v>
      </c>
      <c r="C132" s="264">
        <f t="shared" ref="C132:AR132" si="78">IF(SUM(C123:C131)&gt;8,SUM(C123:C131)-8,0)+IF(SUM(C123:C131)&gt;12,SUM(C123:C131)-12,0)</f>
        <v>0</v>
      </c>
      <c r="D132" s="265">
        <f t="shared" si="78"/>
        <v>0</v>
      </c>
      <c r="E132" s="265">
        <f t="shared" si="78"/>
        <v>0</v>
      </c>
      <c r="F132" s="265">
        <f t="shared" si="78"/>
        <v>0</v>
      </c>
      <c r="G132" s="265">
        <f t="shared" si="78"/>
        <v>0</v>
      </c>
      <c r="H132" s="265">
        <f t="shared" si="78"/>
        <v>0</v>
      </c>
      <c r="I132" s="265">
        <f t="shared" si="78"/>
        <v>0</v>
      </c>
      <c r="J132" s="265">
        <f t="shared" si="78"/>
        <v>0</v>
      </c>
      <c r="K132" s="265">
        <f t="shared" si="78"/>
        <v>0</v>
      </c>
      <c r="L132" s="265">
        <f t="shared" si="78"/>
        <v>0</v>
      </c>
      <c r="M132" s="265">
        <f t="shared" si="78"/>
        <v>0</v>
      </c>
      <c r="N132" s="265">
        <f t="shared" si="78"/>
        <v>0</v>
      </c>
      <c r="O132" s="265">
        <f t="shared" si="78"/>
        <v>0</v>
      </c>
      <c r="P132" s="265">
        <f t="shared" si="78"/>
        <v>0</v>
      </c>
      <c r="Q132" s="265">
        <f t="shared" si="78"/>
        <v>0</v>
      </c>
      <c r="R132" s="265">
        <f t="shared" si="78"/>
        <v>0</v>
      </c>
      <c r="S132" s="265">
        <f t="shared" si="78"/>
        <v>0</v>
      </c>
      <c r="T132" s="265">
        <f t="shared" si="78"/>
        <v>0</v>
      </c>
      <c r="U132" s="265">
        <f t="shared" si="78"/>
        <v>0</v>
      </c>
      <c r="V132" s="265">
        <f t="shared" si="78"/>
        <v>0</v>
      </c>
      <c r="W132" s="265">
        <f t="shared" si="78"/>
        <v>0</v>
      </c>
      <c r="X132" s="265">
        <f t="shared" si="78"/>
        <v>0</v>
      </c>
      <c r="Y132" s="265">
        <f t="shared" si="78"/>
        <v>0</v>
      </c>
      <c r="Z132" s="265">
        <f t="shared" si="78"/>
        <v>0</v>
      </c>
      <c r="AA132" s="265">
        <f t="shared" si="78"/>
        <v>0</v>
      </c>
      <c r="AB132" s="265">
        <f t="shared" si="78"/>
        <v>0</v>
      </c>
      <c r="AC132" s="265">
        <f t="shared" si="78"/>
        <v>0</v>
      </c>
      <c r="AD132" s="265">
        <f t="shared" si="78"/>
        <v>0</v>
      </c>
      <c r="AE132" s="265">
        <f t="shared" si="78"/>
        <v>0</v>
      </c>
      <c r="AF132" s="265">
        <f t="shared" si="78"/>
        <v>0</v>
      </c>
      <c r="AG132" s="265">
        <f t="shared" si="78"/>
        <v>0</v>
      </c>
      <c r="AH132" s="265">
        <f t="shared" si="78"/>
        <v>0</v>
      </c>
      <c r="AI132" s="265">
        <f t="shared" si="78"/>
        <v>0</v>
      </c>
      <c r="AJ132" s="265">
        <f t="shared" si="78"/>
        <v>0</v>
      </c>
      <c r="AK132" s="265">
        <f t="shared" si="78"/>
        <v>0</v>
      </c>
      <c r="AL132" s="265">
        <f t="shared" si="78"/>
        <v>0</v>
      </c>
      <c r="AM132" s="265">
        <f t="shared" si="78"/>
        <v>0</v>
      </c>
      <c r="AN132" s="265">
        <f t="shared" si="78"/>
        <v>0</v>
      </c>
      <c r="AO132" s="265">
        <f t="shared" ref="AO132:AP132" si="79">IF(SUM(AO123:AO131)&gt;8,SUM(AO123:AO131)-8,0)+IF(SUM(AO123:AO131)&gt;12,SUM(AO123:AO131)-12,0)</f>
        <v>0</v>
      </c>
      <c r="AP132" s="265">
        <f t="shared" si="79"/>
        <v>0</v>
      </c>
      <c r="AQ132" s="265">
        <f t="shared" ref="AQ132" si="80">IF(SUM(AQ123:AQ131)&gt;8,SUM(AQ123:AQ131)-8,0)+IF(SUM(AQ123:AQ131)&gt;12,SUM(AQ123:AQ131)-12,0)</f>
        <v>0</v>
      </c>
      <c r="AR132" s="498">
        <f t="shared" si="78"/>
        <v>0</v>
      </c>
    </row>
    <row r="133" spans="1:44" s="271" customFormat="1" x14ac:dyDescent="0.2">
      <c r="A133" s="266">
        <f t="shared" si="77"/>
        <v>42472</v>
      </c>
      <c r="B133" s="267" t="s">
        <v>86</v>
      </c>
      <c r="C133" s="268">
        <f t="shared" ref="C133:AR133" si="81">IFERROR((C$179*SUM(C123:C128)+C$180*SUM(C129:C131))/SUM(C123:C131)/2,0)*C132</f>
        <v>0</v>
      </c>
      <c r="D133" s="269">
        <f t="shared" si="81"/>
        <v>0</v>
      </c>
      <c r="E133" s="269">
        <f t="shared" si="81"/>
        <v>0</v>
      </c>
      <c r="F133" s="269">
        <f t="shared" si="81"/>
        <v>0</v>
      </c>
      <c r="G133" s="269">
        <f t="shared" si="81"/>
        <v>0</v>
      </c>
      <c r="H133" s="269">
        <f t="shared" si="81"/>
        <v>0</v>
      </c>
      <c r="I133" s="269">
        <f t="shared" si="81"/>
        <v>0</v>
      </c>
      <c r="J133" s="269">
        <f t="shared" si="81"/>
        <v>0</v>
      </c>
      <c r="K133" s="269">
        <f t="shared" si="81"/>
        <v>0</v>
      </c>
      <c r="L133" s="269">
        <f t="shared" si="81"/>
        <v>0</v>
      </c>
      <c r="M133" s="269">
        <f t="shared" si="81"/>
        <v>0</v>
      </c>
      <c r="N133" s="269">
        <f t="shared" si="81"/>
        <v>0</v>
      </c>
      <c r="O133" s="269">
        <f t="shared" si="81"/>
        <v>0</v>
      </c>
      <c r="P133" s="269">
        <f t="shared" si="81"/>
        <v>0</v>
      </c>
      <c r="Q133" s="269">
        <f t="shared" si="81"/>
        <v>0</v>
      </c>
      <c r="R133" s="269">
        <f t="shared" si="81"/>
        <v>0</v>
      </c>
      <c r="S133" s="269">
        <f t="shared" si="81"/>
        <v>0</v>
      </c>
      <c r="T133" s="269">
        <f t="shared" si="81"/>
        <v>0</v>
      </c>
      <c r="U133" s="269">
        <f t="shared" si="81"/>
        <v>0</v>
      </c>
      <c r="V133" s="269">
        <f t="shared" si="81"/>
        <v>0</v>
      </c>
      <c r="W133" s="269">
        <f t="shared" si="81"/>
        <v>0</v>
      </c>
      <c r="X133" s="269">
        <f t="shared" si="81"/>
        <v>0</v>
      </c>
      <c r="Y133" s="269">
        <f t="shared" si="81"/>
        <v>0</v>
      </c>
      <c r="Z133" s="269">
        <f t="shared" si="81"/>
        <v>0</v>
      </c>
      <c r="AA133" s="269">
        <f t="shared" si="81"/>
        <v>0</v>
      </c>
      <c r="AB133" s="269">
        <f t="shared" si="81"/>
        <v>0</v>
      </c>
      <c r="AC133" s="269">
        <f t="shared" si="81"/>
        <v>0</v>
      </c>
      <c r="AD133" s="269">
        <f t="shared" si="81"/>
        <v>0</v>
      </c>
      <c r="AE133" s="269">
        <f t="shared" si="81"/>
        <v>0</v>
      </c>
      <c r="AF133" s="269">
        <f t="shared" si="81"/>
        <v>0</v>
      </c>
      <c r="AG133" s="269">
        <f t="shared" si="81"/>
        <v>0</v>
      </c>
      <c r="AH133" s="269">
        <f t="shared" si="81"/>
        <v>0</v>
      </c>
      <c r="AI133" s="269">
        <f t="shared" si="81"/>
        <v>0</v>
      </c>
      <c r="AJ133" s="269">
        <f t="shared" si="81"/>
        <v>0</v>
      </c>
      <c r="AK133" s="269">
        <f t="shared" si="81"/>
        <v>0</v>
      </c>
      <c r="AL133" s="269">
        <f t="shared" si="81"/>
        <v>0</v>
      </c>
      <c r="AM133" s="269">
        <f t="shared" si="81"/>
        <v>0</v>
      </c>
      <c r="AN133" s="269">
        <f t="shared" si="81"/>
        <v>0</v>
      </c>
      <c r="AO133" s="269">
        <f t="shared" ref="AO133:AP133" si="82">IFERROR((AO$179*SUM(AO123:AO128)+AO$180*SUM(AO129:AO131))/SUM(AO123:AO131)/2,0)*AO132</f>
        <v>0</v>
      </c>
      <c r="AP133" s="269">
        <f t="shared" si="82"/>
        <v>0</v>
      </c>
      <c r="AQ133" s="269">
        <f t="shared" ref="AQ133" si="83">IFERROR((AQ$179*SUM(AQ123:AQ128)+AQ$180*SUM(AQ129:AQ131))/SUM(AQ123:AQ131)/2,0)*AQ132</f>
        <v>0</v>
      </c>
      <c r="AR133" s="499">
        <f t="shared" si="81"/>
        <v>0</v>
      </c>
    </row>
    <row r="134" spans="1:44" s="271" customFormat="1" x14ac:dyDescent="0.2">
      <c r="A134" s="247">
        <f>A123+1</f>
        <v>42473</v>
      </c>
      <c r="B134" s="248" t="s">
        <v>77</v>
      </c>
      <c r="C134" s="249">
        <f>SUMPRODUCT((Driver!$A$2:$A$17=$A134)*(DriverEmp=C$1),Driver!$C$2:$V$17)</f>
        <v>0</v>
      </c>
      <c r="D134" s="250">
        <f>SUMPRODUCT((Driver!$A$2:$A$17=$A134)*(DriverEmp=D$1),Driver!$C$2:$V$17)</f>
        <v>0</v>
      </c>
      <c r="E134" s="250">
        <f>SUMPRODUCT((Driver!$A$2:$A$17=$A134)*(DriverEmp=E$1),Driver!$C$2:$V$17)</f>
        <v>0</v>
      </c>
      <c r="F134" s="250">
        <f>SUMPRODUCT((Driver!$A$2:$A$17=$A134)*(DriverEmp=F$1),Driver!$C$2:$V$17)</f>
        <v>0</v>
      </c>
      <c r="G134" s="250">
        <f>SUMPRODUCT((Driver!$A$2:$A$17=$A134)*(DriverEmp=G$1),Driver!$C$2:$V$17)</f>
        <v>0</v>
      </c>
      <c r="H134" s="250">
        <f>SUMPRODUCT((Driver!$A$2:$A$17=$A134)*(DriverEmp=H$1),Driver!$C$2:$V$17)</f>
        <v>0</v>
      </c>
      <c r="I134" s="250">
        <f>SUMPRODUCT((Driver!$A$2:$A$17=$A134)*(DriverEmp=I$1),Driver!$C$2:$V$17)</f>
        <v>0</v>
      </c>
      <c r="J134" s="250">
        <f>SUMPRODUCT((Driver!$A$2:$A$17=$A134)*(DriverEmp=J$1),Driver!$C$2:$V$17)</f>
        <v>0</v>
      </c>
      <c r="K134" s="250">
        <f>SUMPRODUCT((Driver!$A$2:$A$17=$A134)*(DriverEmp=K$1),Driver!$C$2:$V$17)</f>
        <v>0</v>
      </c>
      <c r="L134" s="250">
        <f>SUMPRODUCT((Driver!$A$2:$A$17=$A134)*(DriverEmp=L$1),Driver!$C$2:$V$17)</f>
        <v>0</v>
      </c>
      <c r="M134" s="250">
        <f>SUMPRODUCT((Driver!$A$2:$A$17=$A134)*(DriverEmp=M$1),Driver!$C$2:$V$17)</f>
        <v>0</v>
      </c>
      <c r="N134" s="250">
        <f>SUMPRODUCT((Driver!$A$2:$A$17=$A134)*(DriverEmp=N$1),Driver!$C$2:$V$17)</f>
        <v>0</v>
      </c>
      <c r="O134" s="250">
        <f>SUMPRODUCT((Driver!$A$2:$A$17=$A134)*(DriverEmp=O$1),Driver!$C$2:$V$17)</f>
        <v>0</v>
      </c>
      <c r="P134" s="250">
        <f>SUMPRODUCT((Driver!$A$2:$A$17=$A134)*(DriverEmp=P$1),Driver!$C$2:$V$17)</f>
        <v>0</v>
      </c>
      <c r="Q134" s="250">
        <f>SUMPRODUCT((Driver!$A$2:$A$17=$A134)*(DriverEmp=Q$1),Driver!$C$2:$V$17)</f>
        <v>0</v>
      </c>
      <c r="R134" s="250">
        <f>SUMPRODUCT((Driver!$A$2:$A$17=$A134)*(DriverEmp=R$1),Driver!$C$2:$V$17)</f>
        <v>0</v>
      </c>
      <c r="S134" s="250">
        <f>SUMPRODUCT((Driver!$A$2:$A$17=$A134)*(DriverEmp=S$1),Driver!$C$2:$V$17)</f>
        <v>0</v>
      </c>
      <c r="T134" s="250">
        <f>SUMPRODUCT((Driver!$A$2:$A$17=$A134)*(DriverEmp=T$1),Driver!$C$2:$V$17)</f>
        <v>0</v>
      </c>
      <c r="U134" s="250">
        <f>SUMPRODUCT((Driver!$A$2:$A$17=$A134)*(DriverEmp=U$1),Driver!$C$2:$V$17)</f>
        <v>0</v>
      </c>
      <c r="V134" s="250">
        <f>SUMPRODUCT((Driver!$A$2:$A$17=$A134)*(DriverEmp=V$1),Driver!$C$2:$V$17)</f>
        <v>0</v>
      </c>
      <c r="W134" s="250">
        <f>SUMPRODUCT((Driver!$A$2:$A$17=$A134)*(DriverEmp=W$1),Driver!$C$2:$V$17)</f>
        <v>0</v>
      </c>
      <c r="X134" s="250">
        <f>SUMPRODUCT((Driver!$A$2:$A$17=$A134)*(DriverEmp=X$1),Driver!$C$2:$V$17)</f>
        <v>0</v>
      </c>
      <c r="Y134" s="250">
        <f>SUMPRODUCT((Driver!$A$2:$A$17=$A134)*(DriverEmp=Y$1),Driver!$C$2:$V$17)</f>
        <v>0</v>
      </c>
      <c r="Z134" s="250">
        <f>SUMPRODUCT((Driver!$A$2:$A$17=$A134)*(DriverEmp=Z$1),Driver!$C$2:$V$17)</f>
        <v>0</v>
      </c>
      <c r="AA134" s="250">
        <f>SUMPRODUCT((Driver!$A$2:$A$17=$A134)*(DriverEmp=AA$1),Driver!$C$2:$V$17)</f>
        <v>0</v>
      </c>
      <c r="AB134" s="250">
        <f>SUMPRODUCT((Driver!$A$2:$A$17=$A134)*(DriverEmp=AB$1),Driver!$C$2:$V$17)</f>
        <v>0</v>
      </c>
      <c r="AC134" s="250">
        <f>SUMPRODUCT((Driver!$A$2:$A$17=$A134)*(DriverEmp=AC$1),Driver!$C$2:$V$17)</f>
        <v>0</v>
      </c>
      <c r="AD134" s="250">
        <f>SUMPRODUCT((Driver!$A$2:$A$17=$A134)*(DriverEmp=AD$1),Driver!$C$2:$V$17)</f>
        <v>0</v>
      </c>
      <c r="AE134" s="250">
        <f>SUMPRODUCT((Driver!$A$2:$A$17=$A134)*(DriverEmp=AE$1),Driver!$C$2:$V$17)</f>
        <v>0</v>
      </c>
      <c r="AF134" s="250">
        <f>SUMPRODUCT((Driver!$A$2:$A$17=$A134)*(DriverEmp=AF$1),Driver!$C$2:$V$17)</f>
        <v>0</v>
      </c>
      <c r="AG134" s="250">
        <f>SUMPRODUCT((Driver!$A$2:$A$17=$A134)*(DriverEmp=AG$1),Driver!$C$2:$V$17)</f>
        <v>0</v>
      </c>
      <c r="AH134" s="250">
        <f>SUMPRODUCT((Driver!$A$2:$A$17=$A134)*(DriverEmp=AH$1),Driver!$C$2:$V$17)</f>
        <v>0</v>
      </c>
      <c r="AI134" s="250">
        <f>SUMPRODUCT((Driver!$A$2:$A$17=$A134)*(DriverEmp=AI$1),Driver!$C$2:$V$17)</f>
        <v>0</v>
      </c>
      <c r="AJ134" s="250">
        <f>SUMPRODUCT((Driver!$A$2:$A$17=$A134)*(DriverEmp=AJ$1),Driver!$C$2:$V$17)</f>
        <v>0</v>
      </c>
      <c r="AK134" s="250">
        <f>SUMPRODUCT((Driver!$A$2:$A$17=$A134)*(DriverEmp=AK$1),Driver!$C$2:$V$17)</f>
        <v>0</v>
      </c>
      <c r="AL134" s="250">
        <f>SUMPRODUCT((Driver!$A$2:$A$17=$A134)*(DriverEmp=AL$1),Driver!$C$2:$V$17)</f>
        <v>0</v>
      </c>
      <c r="AM134" s="250">
        <f>SUMPRODUCT((Driver!$A$2:$A$17=$A134)*(DriverEmp=AM$1),Driver!$C$2:$V$17)</f>
        <v>0</v>
      </c>
      <c r="AN134" s="250">
        <f>SUMPRODUCT((Driver!$A$2:$A$17=$A134)*(DriverEmp=AN$1),Driver!$C$2:$V$17)</f>
        <v>0</v>
      </c>
      <c r="AO134" s="250">
        <f>SUMPRODUCT((Driver!$A$2:$A$17=$A134)*(DriverEmp=AO$1),Driver!$C$2:$V$17)</f>
        <v>0</v>
      </c>
      <c r="AP134" s="250">
        <f>SUMPRODUCT((Driver!$A$2:$A$17=$A134)*(DriverEmp=AP$1),Driver!$C$2:$V$17)</f>
        <v>0</v>
      </c>
      <c r="AQ134" s="250">
        <f>SUMPRODUCT((Driver!$A$2:$A$17=$A134)*(DriverEmp=AQ$1),Driver!$C$2:$V$17)</f>
        <v>0</v>
      </c>
      <c r="AR134" s="496">
        <f>SUMPRODUCT((Driver!$A$2:$A$17=$A134)*(DriverEmp=AR$1),Driver!$C$2:$V$17)</f>
        <v>0</v>
      </c>
    </row>
    <row r="135" spans="1:44" s="271" customFormat="1" x14ac:dyDescent="0.2">
      <c r="A135" s="247">
        <f t="shared" ref="A135:A144" si="84">A134</f>
        <v>42473</v>
      </c>
      <c r="B135" s="251" t="str">
        <f>Total!$H$1</f>
        <v>PP</v>
      </c>
      <c r="C135" s="249">
        <f>SUMPRODUCT((PP!$A$2:$A$80=$A135)*(PPEmp=C$1),PP!$D$2:$BD$80)</f>
        <v>0</v>
      </c>
      <c r="D135" s="250">
        <f>SUMPRODUCT((PP!$A$2:$A$80=$A135)*(PPEmp=D$1),PP!$D$2:$BD$80)</f>
        <v>0</v>
      </c>
      <c r="E135" s="250">
        <f>SUMPRODUCT((PP!$A$2:$A$80=$A135)*(PPEmp=E$1),PP!$D$2:$BD$80)</f>
        <v>0</v>
      </c>
      <c r="F135" s="250">
        <f>SUMPRODUCT((PP!$A$2:$A$80=$A135)*(PPEmp=F$1),PP!$D$2:$BD$80)</f>
        <v>0</v>
      </c>
      <c r="G135" s="250">
        <f>SUMPRODUCT((PP!$A$2:$A$80=$A135)*(PPEmp=G$1),PP!$D$2:$BD$80)</f>
        <v>0</v>
      </c>
      <c r="H135" s="250">
        <f>SUMPRODUCT((PP!$A$2:$A$80=$A135)*(PPEmp=H$1),PP!$D$2:$BD$80)</f>
        <v>0</v>
      </c>
      <c r="I135" s="250">
        <f>SUMPRODUCT((PP!$A$2:$A$80=$A135)*(PPEmp=I$1),PP!$D$2:$BD$80)</f>
        <v>0</v>
      </c>
      <c r="J135" s="250">
        <f>SUMPRODUCT((PP!$A$2:$A$80=$A135)*(PPEmp=J$1),PP!$D$2:$BD$80)</f>
        <v>0</v>
      </c>
      <c r="K135" s="250">
        <f>SUMPRODUCT((PP!$A$2:$A$80=$A135)*(PPEmp=K$1),PP!$D$2:$BD$80)</f>
        <v>0</v>
      </c>
      <c r="L135" s="250">
        <f>SUMPRODUCT((PP!$A$2:$A$80=$A135)*(PPEmp=L$1),PP!$D$2:$BD$80)</f>
        <v>0</v>
      </c>
      <c r="M135" s="250">
        <f>SUMPRODUCT((PP!$A$2:$A$80=$A135)*(PPEmp=M$1),PP!$D$2:$BD$80)</f>
        <v>0</v>
      </c>
      <c r="N135" s="250">
        <f>SUMPRODUCT((PP!$A$2:$A$80=$A135)*(PPEmp=N$1),PP!$D$2:$BD$80)</f>
        <v>0</v>
      </c>
      <c r="O135" s="250">
        <f>SUMPRODUCT((PP!$A$2:$A$80=$A135)*(PPEmp=O$1),PP!$D$2:$BD$80)</f>
        <v>0</v>
      </c>
      <c r="P135" s="250">
        <f>SUMPRODUCT((PP!$A$2:$A$80=$A135)*(PPEmp=P$1),PP!$D$2:$BD$80)</f>
        <v>0</v>
      </c>
      <c r="Q135" s="250">
        <f>SUMPRODUCT((PP!$A$2:$A$80=$A135)*(PPEmp=Q$1),PP!$D$2:$BD$80)</f>
        <v>0</v>
      </c>
      <c r="R135" s="250">
        <f>SUMPRODUCT((PP!$A$2:$A$80=$A135)*(PPEmp=R$1),PP!$D$2:$BD$80)</f>
        <v>0</v>
      </c>
      <c r="S135" s="250">
        <f>SUMPRODUCT((PP!$A$2:$A$80=$A135)*(PPEmp=S$1),PP!$D$2:$BD$80)</f>
        <v>0</v>
      </c>
      <c r="T135" s="250">
        <f>SUMPRODUCT((PP!$A$2:$A$80=$A135)*(PPEmp=T$1),PP!$D$2:$BD$80)</f>
        <v>0</v>
      </c>
      <c r="U135" s="250">
        <f>SUMPRODUCT((PP!$A$2:$A$80=$A135)*(PPEmp=U$1),PP!$D$2:$BD$80)</f>
        <v>0</v>
      </c>
      <c r="V135" s="250">
        <f>SUMPRODUCT((PP!$A$2:$A$80=$A135)*(PPEmp=V$1),PP!$D$2:$BD$80)</f>
        <v>0</v>
      </c>
      <c r="W135" s="250">
        <f>SUMPRODUCT((PP!$A$2:$A$80=$A135)*(PPEmp=W$1),PP!$D$2:$BD$80)</f>
        <v>0</v>
      </c>
      <c r="X135" s="250">
        <f>SUMPRODUCT((PP!$A$2:$A$80=$A135)*(PPEmp=X$1),PP!$D$2:$BD$80)</f>
        <v>0</v>
      </c>
      <c r="Y135" s="250">
        <f>SUMPRODUCT((PP!$A$2:$A$80=$A135)*(PPEmp=Y$1),PP!$D$2:$BD$80)</f>
        <v>0</v>
      </c>
      <c r="Z135" s="250">
        <f>SUMPRODUCT((PP!$A$2:$A$80=$A135)*(PPEmp=Z$1),PP!$D$2:$BD$80)</f>
        <v>0</v>
      </c>
      <c r="AA135" s="250">
        <f>SUMPRODUCT((PP!$A$2:$A$80=$A135)*(PPEmp=AA$1),PP!$D$2:$BD$80)</f>
        <v>0</v>
      </c>
      <c r="AB135" s="250">
        <f>SUMPRODUCT((PP!$A$2:$A$80=$A135)*(PPEmp=AB$1),PP!$D$2:$BD$80)</f>
        <v>0</v>
      </c>
      <c r="AC135" s="250">
        <f>SUMPRODUCT((PP!$A$2:$A$80=$A135)*(PPEmp=AC$1),PP!$D$2:$BD$80)</f>
        <v>0</v>
      </c>
      <c r="AD135" s="250">
        <f>SUMPRODUCT((PP!$A$2:$A$80=$A135)*(PPEmp=AD$1),PP!$D$2:$BD$80)</f>
        <v>0</v>
      </c>
      <c r="AE135" s="250">
        <f>SUMPRODUCT((PP!$A$2:$A$80=$A135)*(PPEmp=AE$1),PP!$D$2:$BD$80)</f>
        <v>0</v>
      </c>
      <c r="AF135" s="250">
        <f>SUMPRODUCT((PP!$A$2:$A$80=$A135)*(PPEmp=AF$1),PP!$D$2:$BD$80)</f>
        <v>0</v>
      </c>
      <c r="AG135" s="250">
        <f>SUMPRODUCT((PP!$A$2:$A$80=$A135)*(PPEmp=AG$1),PP!$D$2:$BD$80)</f>
        <v>0</v>
      </c>
      <c r="AH135" s="250">
        <f>SUMPRODUCT((PP!$A$2:$A$80=$A135)*(PPEmp=AH$1),PP!$D$2:$BD$80)</f>
        <v>0</v>
      </c>
      <c r="AI135" s="250">
        <f>SUMPRODUCT((PP!$A$2:$A$80=$A135)*(PPEmp=AI$1),PP!$D$2:$BD$80)</f>
        <v>0</v>
      </c>
      <c r="AJ135" s="250">
        <f>SUMPRODUCT((PP!$A$2:$A$80=$A135)*(PPEmp=AJ$1),PP!$D$2:$BD$80)</f>
        <v>0</v>
      </c>
      <c r="AK135" s="250">
        <f>SUMPRODUCT((PP!$A$2:$A$80=$A135)*(PPEmp=AK$1),PP!$D$2:$BD$80)</f>
        <v>0</v>
      </c>
      <c r="AL135" s="250">
        <f>SUMPRODUCT((PP!$A$2:$A$80=$A135)*(PPEmp=AL$1),PP!$D$2:$BD$80)</f>
        <v>0</v>
      </c>
      <c r="AM135" s="250">
        <f>SUMPRODUCT((PP!$A$2:$A$80=$A135)*(PPEmp=AM$1),PP!$D$2:$BD$80)</f>
        <v>0</v>
      </c>
      <c r="AN135" s="250">
        <f>SUMPRODUCT((PP!$A$2:$A$80=$A135)*(PPEmp=AN$1),PP!$D$2:$BD$80)</f>
        <v>0</v>
      </c>
      <c r="AO135" s="250">
        <f>SUMPRODUCT((PP!$A$2:$A$80=$A135)*(PPEmp=AO$1),PP!$D$2:$BD$80)</f>
        <v>0</v>
      </c>
      <c r="AP135" s="250">
        <f>SUMPRODUCT((PP!$A$2:$A$80=$A135)*(PPEmp=AP$1),PP!$D$2:$BD$80)</f>
        <v>0</v>
      </c>
      <c r="AQ135" s="250">
        <f>SUMPRODUCT((PP!$A$2:$A$80=$A135)*(PPEmp=AQ$1),PP!$D$2:$BD$80)</f>
        <v>0</v>
      </c>
      <c r="AR135" s="496">
        <f>SUMPRODUCT((PP!$A$2:$A$80=$A135)*(PPEmp=AR$1),PP!$D$2:$BD$80)</f>
        <v>0</v>
      </c>
    </row>
    <row r="136" spans="1:44" s="271" customFormat="1" x14ac:dyDescent="0.2">
      <c r="A136" s="247">
        <f t="shared" si="84"/>
        <v>42473</v>
      </c>
      <c r="B136" s="252" t="str">
        <f>Total!$J$1</f>
        <v>FH</v>
      </c>
      <c r="C136" s="249">
        <f>SUMPRODUCT((FH!$A$2:$A$97=$A136)*(FHEmp=C$1),FH!$E$2:$AZ$97)</f>
        <v>0</v>
      </c>
      <c r="D136" s="250">
        <f>SUMPRODUCT((FH!$A$2:$A$97=$A136)*(FHEmp=D$1),FH!$E$2:$AZ$97)</f>
        <v>0</v>
      </c>
      <c r="E136" s="250">
        <f>SUMPRODUCT((FH!$A$2:$A$97=$A136)*(FHEmp=E$1),FH!$E$2:$AZ$97)</f>
        <v>0</v>
      </c>
      <c r="F136" s="250">
        <f>SUMPRODUCT((FH!$A$2:$A$97=$A136)*(FHEmp=F$1),FH!$E$2:$AZ$97)</f>
        <v>0</v>
      </c>
      <c r="G136" s="250">
        <f>SUMPRODUCT((FH!$A$2:$A$97=$A136)*(FHEmp=G$1),FH!$E$2:$AZ$97)</f>
        <v>0</v>
      </c>
      <c r="H136" s="250">
        <f>SUMPRODUCT((FH!$A$2:$A$97=$A136)*(FHEmp=H$1),FH!$E$2:$AZ$97)</f>
        <v>0</v>
      </c>
      <c r="I136" s="250">
        <f>SUMPRODUCT((FH!$A$2:$A$97=$A136)*(FHEmp=I$1),FH!$E$2:$AZ$97)</f>
        <v>0</v>
      </c>
      <c r="J136" s="250">
        <f>SUMPRODUCT((FH!$A$2:$A$97=$A136)*(FHEmp=J$1),FH!$E$2:$AZ$97)</f>
        <v>0</v>
      </c>
      <c r="K136" s="250">
        <f>SUMPRODUCT((FH!$A$2:$A$97=$A136)*(FHEmp=K$1),FH!$E$2:$AZ$97)</f>
        <v>0</v>
      </c>
      <c r="L136" s="250">
        <f>SUMPRODUCT((FH!$A$2:$A$97=$A136)*(FHEmp=L$1),FH!$E$2:$AZ$97)</f>
        <v>0</v>
      </c>
      <c r="M136" s="250">
        <f>SUMPRODUCT((FH!$A$2:$A$97=$A136)*(FHEmp=M$1),FH!$E$2:$AZ$97)</f>
        <v>0</v>
      </c>
      <c r="N136" s="250">
        <f>SUMPRODUCT((FH!$A$2:$A$97=$A136)*(FHEmp=N$1),FH!$E$2:$AZ$97)</f>
        <v>0</v>
      </c>
      <c r="O136" s="250">
        <f>SUMPRODUCT((FH!$A$2:$A$97=$A136)*(FHEmp=O$1),FH!$E$2:$AZ$97)</f>
        <v>0</v>
      </c>
      <c r="P136" s="250">
        <f>SUMPRODUCT((FH!$A$2:$A$97=$A136)*(FHEmp=P$1),FH!$E$2:$AZ$97)</f>
        <v>0</v>
      </c>
      <c r="Q136" s="250">
        <f>SUMPRODUCT((FH!$A$2:$A$97=$A136)*(FHEmp=Q$1),FH!$E$2:$AZ$97)</f>
        <v>0</v>
      </c>
      <c r="R136" s="250">
        <f>SUMPRODUCT((FH!$A$2:$A$97=$A136)*(FHEmp=R$1),FH!$E$2:$AZ$97)</f>
        <v>0</v>
      </c>
      <c r="S136" s="250">
        <f>SUMPRODUCT((FH!$A$2:$A$97=$A136)*(FHEmp=S$1),FH!$E$2:$AZ$97)</f>
        <v>0</v>
      </c>
      <c r="T136" s="250">
        <f>SUMPRODUCT((FH!$A$2:$A$97=$A136)*(FHEmp=T$1),FH!$E$2:$AZ$97)</f>
        <v>0</v>
      </c>
      <c r="U136" s="250">
        <f>SUMPRODUCT((FH!$A$2:$A$97=$A136)*(FHEmp=U$1),FH!$E$2:$AZ$97)</f>
        <v>0</v>
      </c>
      <c r="V136" s="250">
        <f>SUMPRODUCT((FH!$A$2:$A$97=$A136)*(FHEmp=V$1),FH!$E$2:$AZ$97)</f>
        <v>0</v>
      </c>
      <c r="W136" s="250">
        <f>SUMPRODUCT((FH!$A$2:$A$97=$A136)*(FHEmp=W$1),FH!$E$2:$AZ$97)</f>
        <v>0</v>
      </c>
      <c r="X136" s="250">
        <f>SUMPRODUCT((FH!$A$2:$A$97=$A136)*(FHEmp=X$1),FH!$E$2:$AZ$97)</f>
        <v>0</v>
      </c>
      <c r="Y136" s="250">
        <f>SUMPRODUCT((FH!$A$2:$A$97=$A136)*(FHEmp=Y$1),FH!$E$2:$AZ$97)</f>
        <v>0</v>
      </c>
      <c r="Z136" s="250">
        <f>SUMPRODUCT((FH!$A$2:$A$97=$A136)*(FHEmp=Z$1),FH!$E$2:$AZ$97)</f>
        <v>0</v>
      </c>
      <c r="AA136" s="250">
        <f>SUMPRODUCT((FH!$A$2:$A$97=$A136)*(FHEmp=AA$1),FH!$E$2:$AZ$97)</f>
        <v>0</v>
      </c>
      <c r="AB136" s="250">
        <f>SUMPRODUCT((FH!$A$2:$A$97=$A136)*(FHEmp=AB$1),FH!$E$2:$AZ$97)</f>
        <v>0</v>
      </c>
      <c r="AC136" s="250">
        <f>SUMPRODUCT((FH!$A$2:$A$97=$A136)*(FHEmp=AC$1),FH!$E$2:$AZ$97)</f>
        <v>0</v>
      </c>
      <c r="AD136" s="250">
        <f>SUMPRODUCT((FH!$A$2:$A$97=$A136)*(FHEmp=AD$1),FH!$E$2:$AZ$97)</f>
        <v>0</v>
      </c>
      <c r="AE136" s="250">
        <f>SUMPRODUCT((FH!$A$2:$A$97=$A136)*(FHEmp=AE$1),FH!$E$2:$AZ$97)</f>
        <v>0</v>
      </c>
      <c r="AF136" s="250">
        <f>SUMPRODUCT((FH!$A$2:$A$97=$A136)*(FHEmp=AF$1),FH!$E$2:$AZ$97)</f>
        <v>0</v>
      </c>
      <c r="AG136" s="250">
        <f>SUMPRODUCT((FH!$A$2:$A$97=$A136)*(FHEmp=AG$1),FH!$E$2:$AZ$97)</f>
        <v>0</v>
      </c>
      <c r="AH136" s="250">
        <f>SUMPRODUCT((FH!$A$2:$A$97=$A136)*(FHEmp=AH$1),FH!$E$2:$AZ$97)</f>
        <v>0</v>
      </c>
      <c r="AI136" s="250">
        <f>SUMPRODUCT((FH!$A$2:$A$97=$A136)*(FHEmp=AI$1),FH!$E$2:$AZ$97)</f>
        <v>0</v>
      </c>
      <c r="AJ136" s="250">
        <f>SUMPRODUCT((FH!$A$2:$A$97=$A136)*(FHEmp=AJ$1),FH!$E$2:$AZ$97)</f>
        <v>0</v>
      </c>
      <c r="AK136" s="250">
        <f>SUMPRODUCT((FH!$A$2:$A$97=$A136)*(FHEmp=AK$1),FH!$E$2:$AZ$97)</f>
        <v>0</v>
      </c>
      <c r="AL136" s="250">
        <f>SUMPRODUCT((FH!$A$2:$A$97=$A136)*(FHEmp=AL$1),FH!$E$2:$AZ$97)</f>
        <v>0</v>
      </c>
      <c r="AM136" s="250">
        <f>SUMPRODUCT((FH!$A$2:$A$97=$A136)*(FHEmp=AM$1),FH!$E$2:$AZ$97)</f>
        <v>0</v>
      </c>
      <c r="AN136" s="250">
        <f>SUMPRODUCT((FH!$A$2:$A$97=$A136)*(FHEmp=AN$1),FH!$E$2:$AZ$97)</f>
        <v>0</v>
      </c>
      <c r="AO136" s="250">
        <f>SUMPRODUCT((FH!$A$2:$A$97=$A136)*(FHEmp=AO$1),FH!$E$2:$AZ$97)</f>
        <v>0</v>
      </c>
      <c r="AP136" s="250">
        <f>SUMPRODUCT((FH!$A$2:$A$97=$A136)*(FHEmp=AP$1),FH!$E$2:$AZ$97)</f>
        <v>0</v>
      </c>
      <c r="AQ136" s="250">
        <f>SUMPRODUCT((FH!$A$2:$A$97=$A136)*(FHEmp=AQ$1),FH!$E$2:$AZ$97)</f>
        <v>0</v>
      </c>
      <c r="AR136" s="496">
        <f>SUMPRODUCT((FH!$A$2:$A$97=$A136)*(FHEmp=AR$1),FH!$E$2:$AZ$97)</f>
        <v>0</v>
      </c>
    </row>
    <row r="137" spans="1:44" s="271" customFormat="1" x14ac:dyDescent="0.2">
      <c r="A137" s="247">
        <f t="shared" si="84"/>
        <v>42473</v>
      </c>
      <c r="B137" s="253" t="str">
        <f>Total!$K$1</f>
        <v>T22</v>
      </c>
      <c r="C137" s="249">
        <f>SUMPRODUCT(('T22'!$A$2:$A$97=$A137)*(T22Emp=C$1),'T22'!$E$2:$AZ$97)</f>
        <v>0</v>
      </c>
      <c r="D137" s="250">
        <f>SUMPRODUCT(('T22'!$A$2:$A$97=$A137)*(T22Emp=D$1),'T22'!$E$2:$AZ$97)</f>
        <v>0</v>
      </c>
      <c r="E137" s="250">
        <f>SUMPRODUCT(('T22'!$A$2:$A$97=$A137)*(T22Emp=E$1),'T22'!$E$2:$AZ$97)</f>
        <v>0</v>
      </c>
      <c r="F137" s="250">
        <f>SUMPRODUCT(('T22'!$A$2:$A$97=$A137)*(T22Emp=F$1),'T22'!$E$2:$AZ$97)</f>
        <v>0</v>
      </c>
      <c r="G137" s="250">
        <f>SUMPRODUCT(('T22'!$A$2:$A$97=$A137)*(T22Emp=G$1),'T22'!$E$2:$AZ$97)</f>
        <v>0</v>
      </c>
      <c r="H137" s="250">
        <f>SUMPRODUCT(('T22'!$A$2:$A$97=$A137)*(T22Emp=H$1),'T22'!$E$2:$AZ$97)</f>
        <v>0</v>
      </c>
      <c r="I137" s="250">
        <f>SUMPRODUCT(('T22'!$A$2:$A$97=$A137)*(T22Emp=I$1),'T22'!$E$2:$AZ$97)</f>
        <v>0</v>
      </c>
      <c r="J137" s="250">
        <f>SUMPRODUCT(('T22'!$A$2:$A$97=$A137)*(T22Emp=J$1),'T22'!$E$2:$AZ$97)</f>
        <v>0</v>
      </c>
      <c r="K137" s="250">
        <f>SUMPRODUCT(('T22'!$A$2:$A$97=$A137)*(T22Emp=K$1),'T22'!$E$2:$AZ$97)</f>
        <v>0</v>
      </c>
      <c r="L137" s="250">
        <f>SUMPRODUCT(('T22'!$A$2:$A$97=$A137)*(T22Emp=L$1),'T22'!$E$2:$AZ$97)</f>
        <v>0</v>
      </c>
      <c r="M137" s="250">
        <f>SUMPRODUCT(('T22'!$A$2:$A$97=$A137)*(T22Emp=M$1),'T22'!$E$2:$AZ$97)</f>
        <v>0</v>
      </c>
      <c r="N137" s="250">
        <f>SUMPRODUCT(('T22'!$A$2:$A$97=$A137)*(T22Emp=N$1),'T22'!$E$2:$AZ$97)</f>
        <v>0</v>
      </c>
      <c r="O137" s="250">
        <f>SUMPRODUCT(('T22'!$A$2:$A$97=$A137)*(T22Emp=O$1),'T22'!$E$2:$AZ$97)</f>
        <v>0</v>
      </c>
      <c r="P137" s="250">
        <f>SUMPRODUCT(('T22'!$A$2:$A$97=$A137)*(T22Emp=P$1),'T22'!$E$2:$AZ$97)</f>
        <v>0</v>
      </c>
      <c r="Q137" s="250">
        <f>SUMPRODUCT(('T22'!$A$2:$A$97=$A137)*(T22Emp=Q$1),'T22'!$E$2:$AZ$97)</f>
        <v>0</v>
      </c>
      <c r="R137" s="250">
        <f>SUMPRODUCT(('T22'!$A$2:$A$97=$A137)*(T22Emp=R$1),'T22'!$E$2:$AZ$97)</f>
        <v>0</v>
      </c>
      <c r="S137" s="250">
        <f>SUMPRODUCT(('T22'!$A$2:$A$97=$A137)*(T22Emp=S$1),'T22'!$E$2:$AZ$97)</f>
        <v>0</v>
      </c>
      <c r="T137" s="250">
        <f>SUMPRODUCT(('T22'!$A$2:$A$97=$A137)*(T22Emp=T$1),'T22'!$E$2:$AZ$97)</f>
        <v>0</v>
      </c>
      <c r="U137" s="250">
        <f>SUMPRODUCT(('T22'!$A$2:$A$97=$A137)*(T22Emp=U$1),'T22'!$E$2:$AZ$97)</f>
        <v>0</v>
      </c>
      <c r="V137" s="250">
        <f>SUMPRODUCT(('T22'!$A$2:$A$97=$A137)*(T22Emp=V$1),'T22'!$E$2:$AZ$97)</f>
        <v>0</v>
      </c>
      <c r="W137" s="250">
        <f>SUMPRODUCT(('T22'!$A$2:$A$97=$A137)*(T22Emp=W$1),'T22'!$E$2:$AZ$97)</f>
        <v>0</v>
      </c>
      <c r="X137" s="250">
        <f>SUMPRODUCT(('T22'!$A$2:$A$97=$A137)*(T22Emp=X$1),'T22'!$E$2:$AZ$97)</f>
        <v>0</v>
      </c>
      <c r="Y137" s="250">
        <f>SUMPRODUCT(('T22'!$A$2:$A$97=$A137)*(T22Emp=Y$1),'T22'!$E$2:$AZ$97)</f>
        <v>0</v>
      </c>
      <c r="Z137" s="250">
        <f>SUMPRODUCT(('T22'!$A$2:$A$97=$A137)*(T22Emp=Z$1),'T22'!$E$2:$AZ$97)</f>
        <v>0</v>
      </c>
      <c r="AA137" s="250">
        <f>SUMPRODUCT(('T22'!$A$2:$A$97=$A137)*(T22Emp=AA$1),'T22'!$E$2:$AZ$97)</f>
        <v>0</v>
      </c>
      <c r="AB137" s="250">
        <f>SUMPRODUCT(('T22'!$A$2:$A$97=$A137)*(T22Emp=AB$1),'T22'!$E$2:$AZ$97)</f>
        <v>0</v>
      </c>
      <c r="AC137" s="250">
        <f>SUMPRODUCT(('T22'!$A$2:$A$97=$A137)*(T22Emp=AC$1),'T22'!$E$2:$AZ$97)</f>
        <v>0</v>
      </c>
      <c r="AD137" s="250">
        <f>SUMPRODUCT(('T22'!$A$2:$A$97=$A137)*(T22Emp=AD$1),'T22'!$E$2:$AZ$97)</f>
        <v>0</v>
      </c>
      <c r="AE137" s="250">
        <f>SUMPRODUCT(('T22'!$A$2:$A$97=$A137)*(T22Emp=AE$1),'T22'!$E$2:$AZ$97)</f>
        <v>0</v>
      </c>
      <c r="AF137" s="250">
        <f>SUMPRODUCT(('T22'!$A$2:$A$97=$A137)*(T22Emp=AF$1),'T22'!$E$2:$AZ$97)</f>
        <v>0</v>
      </c>
      <c r="AG137" s="250">
        <f>SUMPRODUCT(('T22'!$A$2:$A$97=$A137)*(T22Emp=AG$1),'T22'!$E$2:$AZ$97)</f>
        <v>0</v>
      </c>
      <c r="AH137" s="250">
        <f>SUMPRODUCT(('T22'!$A$2:$A$97=$A137)*(T22Emp=AH$1),'T22'!$E$2:$AZ$97)</f>
        <v>0</v>
      </c>
      <c r="AI137" s="250">
        <f>SUMPRODUCT(('T22'!$A$2:$A$97=$A137)*(T22Emp=AI$1),'T22'!$E$2:$AZ$97)</f>
        <v>0</v>
      </c>
      <c r="AJ137" s="250">
        <f>SUMPRODUCT(('T22'!$A$2:$A$97=$A137)*(T22Emp=AJ$1),'T22'!$E$2:$AZ$97)</f>
        <v>0</v>
      </c>
      <c r="AK137" s="250">
        <f>SUMPRODUCT(('T22'!$A$2:$A$97=$A137)*(T22Emp=AK$1),'T22'!$E$2:$AZ$97)</f>
        <v>0</v>
      </c>
      <c r="AL137" s="250">
        <f>SUMPRODUCT(('T22'!$A$2:$A$97=$A137)*(T22Emp=AL$1),'T22'!$E$2:$AZ$97)</f>
        <v>0</v>
      </c>
      <c r="AM137" s="250">
        <f>SUMPRODUCT(('T22'!$A$2:$A$97=$A137)*(T22Emp=AM$1),'T22'!$E$2:$AZ$97)</f>
        <v>0</v>
      </c>
      <c r="AN137" s="250">
        <f>SUMPRODUCT(('T22'!$A$2:$A$97=$A137)*(T22Emp=AN$1),'T22'!$E$2:$AZ$97)</f>
        <v>0</v>
      </c>
      <c r="AO137" s="250">
        <f>SUMPRODUCT(('T22'!$A$2:$A$97=$A137)*(T22Emp=AO$1),'T22'!$E$2:$AZ$97)</f>
        <v>0</v>
      </c>
      <c r="AP137" s="250">
        <f>SUMPRODUCT(('T22'!$A$2:$A$97=$A137)*(T22Emp=AP$1),'T22'!$E$2:$AZ$97)</f>
        <v>0</v>
      </c>
      <c r="AQ137" s="250">
        <f>SUMPRODUCT(('T22'!$A$2:$A$97=$A137)*(T22Emp=AQ$1),'T22'!$E$2:$AZ$97)</f>
        <v>0</v>
      </c>
      <c r="AR137" s="496">
        <f>SUMPRODUCT(('T22'!$A$2:$A$97=$A137)*(T22Emp=AR$1),'T22'!$E$2:$AZ$97)</f>
        <v>0</v>
      </c>
    </row>
    <row r="138" spans="1:44" s="271" customFormat="1" x14ac:dyDescent="0.2">
      <c r="A138" s="247">
        <f t="shared" si="84"/>
        <v>42473</v>
      </c>
      <c r="B138" s="254" t="str">
        <f>Total!$L$1</f>
        <v>RF</v>
      </c>
      <c r="C138" s="249">
        <f>SUMPRODUCT((RF!$A$2:$A$17=$A138)*(RFEmp=C$1)*(RF!$H$21:$AO$21="RF Valet"),RF!$H$2:$AO$17)</f>
        <v>0</v>
      </c>
      <c r="D138" s="250">
        <f>SUMPRODUCT((RF!$A$2:$A$17=$A138)*(RFEmp=D$1)*(RF!$H$21:$AO$21="RF Valet"),RF!$H$2:$AO$17)</f>
        <v>0</v>
      </c>
      <c r="E138" s="250">
        <f>SUMPRODUCT((RF!$A$2:$A$17=$A138)*(RFEmp=E$1)*(RF!$H$21:$AO$21="RF Valet"),RF!$H$2:$AO$17)</f>
        <v>0</v>
      </c>
      <c r="F138" s="250">
        <f>SUMPRODUCT((RF!$A$2:$A$17=$A138)*(RFEmp=F$1)*(RF!$H$21:$AO$21="RF Valet"),RF!$H$2:$AO$17)</f>
        <v>0</v>
      </c>
      <c r="G138" s="250">
        <f>SUMPRODUCT((RF!$A$2:$A$17=$A138)*(RFEmp=G$1)*(RF!$H$21:$AO$21="RF Valet"),RF!$H$2:$AO$17)</f>
        <v>0</v>
      </c>
      <c r="H138" s="250">
        <f>SUMPRODUCT((RF!$A$2:$A$17=$A138)*(RFEmp=H$1)*(RF!$H$21:$AO$21="RF Valet"),RF!$H$2:$AO$17)</f>
        <v>0</v>
      </c>
      <c r="I138" s="250">
        <f>SUMPRODUCT((RF!$A$2:$A$17=$A138)*(RFEmp=I$1)*(RF!$H$21:$AO$21="RF Valet"),RF!$H$2:$AO$17)</f>
        <v>0</v>
      </c>
      <c r="J138" s="250">
        <f>SUMPRODUCT((RF!$A$2:$A$17=$A138)*(RFEmp=J$1)*(RF!$H$21:$AO$21="RF Valet"),RF!$H$2:$AO$17)</f>
        <v>0</v>
      </c>
      <c r="K138" s="250">
        <f>SUMPRODUCT((RF!$A$2:$A$17=$A138)*(RFEmp=K$1)*(RF!$H$21:$AO$21="RF Valet"),RF!$H$2:$AO$17)</f>
        <v>0</v>
      </c>
      <c r="L138" s="250">
        <f>SUMPRODUCT((RF!$A$2:$A$17=$A138)*(RFEmp=L$1)*(RF!$H$21:$AO$21="RF Valet"),RF!$H$2:$AO$17)</f>
        <v>0</v>
      </c>
      <c r="M138" s="250">
        <f>SUMPRODUCT((RF!$A$2:$A$17=$A138)*(RFEmp=M$1)*(RF!$H$21:$AO$21="RF Valet"),RF!$H$2:$AO$17)</f>
        <v>0</v>
      </c>
      <c r="N138" s="250">
        <f>SUMPRODUCT((RF!$A$2:$A$17=$A138)*(RFEmp=N$1)*(RF!$H$21:$AO$21="RF Valet"),RF!$H$2:$AO$17)</f>
        <v>0</v>
      </c>
      <c r="O138" s="250">
        <f>SUMPRODUCT((RF!$A$2:$A$17=$A138)*(RFEmp=O$1)*(RF!$H$21:$AO$21="RF Valet"),RF!$H$2:$AO$17)</f>
        <v>0</v>
      </c>
      <c r="P138" s="250">
        <f>SUMPRODUCT((RF!$A$2:$A$17=$A138)*(RFEmp=P$1)*(RF!$H$21:$AO$21="RF Valet"),RF!$H$2:$AO$17)</f>
        <v>0</v>
      </c>
      <c r="Q138" s="250">
        <f>SUMPRODUCT((RF!$A$2:$A$17=$A138)*(RFEmp=Q$1)*(RF!$H$21:$AO$21="RF Valet"),RF!$H$2:$AO$17)</f>
        <v>0</v>
      </c>
      <c r="R138" s="250">
        <f>SUMPRODUCT((RF!$A$2:$A$17=$A138)*(RFEmp=R$1)*(RF!$H$21:$AO$21="RF Valet"),RF!$H$2:$AO$17)</f>
        <v>0</v>
      </c>
      <c r="S138" s="250">
        <f>SUMPRODUCT((RF!$A$2:$A$17=$A138)*(RFEmp=S$1)*(RF!$H$21:$AO$21="RF Valet"),RF!$H$2:$AO$17)</f>
        <v>0</v>
      </c>
      <c r="T138" s="250">
        <f>SUMPRODUCT((RF!$A$2:$A$17=$A138)*(RFEmp=T$1)*(RF!$H$21:$AO$21="RF Valet"),RF!$H$2:$AO$17)</f>
        <v>0</v>
      </c>
      <c r="U138" s="250">
        <f>SUMPRODUCT((RF!$A$2:$A$17=$A138)*(RFEmp=U$1)*(RF!$H$21:$AO$21="RF Valet"),RF!$H$2:$AO$17)</f>
        <v>0</v>
      </c>
      <c r="V138" s="250">
        <f>SUMPRODUCT((RF!$A$2:$A$17=$A138)*(RFEmp=V$1)*(RF!$H$21:$AO$21="RF Valet"),RF!$H$2:$AO$17)</f>
        <v>0</v>
      </c>
      <c r="W138" s="250">
        <f>SUMPRODUCT((RF!$A$2:$A$17=$A138)*(RFEmp=W$1)*(RF!$H$21:$AO$21="RF Valet"),RF!$H$2:$AO$17)</f>
        <v>0</v>
      </c>
      <c r="X138" s="250">
        <f>SUMPRODUCT((RF!$A$2:$A$17=$A138)*(RFEmp=X$1)*(RF!$H$21:$AO$21="RF Valet"),RF!$H$2:$AO$17)</f>
        <v>0</v>
      </c>
      <c r="Y138" s="250">
        <f>SUMPRODUCT((RF!$A$2:$A$17=$A138)*(RFEmp=Y$1)*(RF!$H$21:$AO$21="RF Valet"),RF!$H$2:$AO$17)</f>
        <v>0</v>
      </c>
      <c r="Z138" s="250">
        <f>SUMPRODUCT((RF!$A$2:$A$17=$A138)*(RFEmp=Z$1)*(RF!$H$21:$AO$21="RF Valet"),RF!$H$2:$AO$17)</f>
        <v>0</v>
      </c>
      <c r="AA138" s="250">
        <f>SUMPRODUCT((RF!$A$2:$A$17=$A138)*(RFEmp=AA$1)*(RF!$H$21:$AO$21="RF Valet"),RF!$H$2:$AO$17)</f>
        <v>0</v>
      </c>
      <c r="AB138" s="250">
        <f>SUMPRODUCT((RF!$A$2:$A$17=$A138)*(RFEmp=AB$1)*(RF!$H$21:$AO$21="RF Valet"),RF!$H$2:$AO$17)</f>
        <v>0</v>
      </c>
      <c r="AC138" s="250">
        <f>SUMPRODUCT((RF!$A$2:$A$17=$A138)*(RFEmp=AC$1)*(RF!$H$21:$AO$21="RF Valet"),RF!$H$2:$AO$17)</f>
        <v>0</v>
      </c>
      <c r="AD138" s="250">
        <f>SUMPRODUCT((RF!$A$2:$A$17=$A138)*(RFEmp=AD$1)*(RF!$H$21:$AO$21="RF Valet"),RF!$H$2:$AO$17)</f>
        <v>0</v>
      </c>
      <c r="AE138" s="250">
        <f>SUMPRODUCT((RF!$A$2:$A$17=$A138)*(RFEmp=AE$1)*(RF!$H$21:$AO$21="RF Valet"),RF!$H$2:$AO$17)</f>
        <v>0</v>
      </c>
      <c r="AF138" s="250">
        <f>SUMPRODUCT((RF!$A$2:$A$17=$A138)*(RFEmp=AF$1)*(RF!$H$21:$AO$21="RF Valet"),RF!$H$2:$AO$17)</f>
        <v>0</v>
      </c>
      <c r="AG138" s="250">
        <f>SUMPRODUCT((RF!$A$2:$A$17=$A138)*(RFEmp=AG$1)*(RF!$H$21:$AO$21="RF Valet"),RF!$H$2:$AO$17)</f>
        <v>0</v>
      </c>
      <c r="AH138" s="250">
        <f>SUMPRODUCT((RF!$A$2:$A$17=$A138)*(RFEmp=AH$1)*(RF!$H$21:$AO$21="RF Valet"),RF!$H$2:$AO$17)</f>
        <v>0</v>
      </c>
      <c r="AI138" s="250">
        <f>SUMPRODUCT((RF!$A$2:$A$17=$A138)*(RFEmp=AI$1)*(RF!$H$21:$AO$21="RF Valet"),RF!$H$2:$AO$17)</f>
        <v>0</v>
      </c>
      <c r="AJ138" s="250">
        <f>SUMPRODUCT((RF!$A$2:$A$17=$A138)*(RFEmp=AJ$1)*(RF!$H$21:$AO$21="RF Valet"),RF!$H$2:$AO$17)</f>
        <v>0</v>
      </c>
      <c r="AK138" s="250">
        <f>SUMPRODUCT((RF!$A$2:$A$17=$A138)*(RFEmp=AK$1)*(RF!$H$21:$AO$21="RF Valet"),RF!$H$2:$AO$17)</f>
        <v>0</v>
      </c>
      <c r="AL138" s="250">
        <f>SUMPRODUCT((RF!$A$2:$A$17=$A138)*(RFEmp=AL$1)*(RF!$H$21:$AO$21="RF Valet"),RF!$H$2:$AO$17)</f>
        <v>0</v>
      </c>
      <c r="AM138" s="250">
        <f>SUMPRODUCT((RF!$A$2:$A$17=$A138)*(RFEmp=AM$1)*(RF!$H$21:$AO$21="RF Valet"),RF!$H$2:$AO$17)</f>
        <v>0</v>
      </c>
      <c r="AN138" s="250">
        <f>SUMPRODUCT((RF!$A$2:$A$17=$A138)*(RFEmp=AN$1)*(RF!$H$21:$AO$21="RF Valet"),RF!$H$2:$AO$17)</f>
        <v>0</v>
      </c>
      <c r="AO138" s="250">
        <f>SUMPRODUCT((RF!$A$2:$A$17=$A138)*(RFEmp=AO$1)*(RF!$H$21:$AO$21="RF Valet"),RF!$H$2:$AO$17)</f>
        <v>0</v>
      </c>
      <c r="AP138" s="250">
        <f>SUMPRODUCT((RF!$A$2:$A$17=$A138)*(RFEmp=AP$1)*(RF!$H$21:$AO$21="RF Valet"),RF!$H$2:$AO$17)</f>
        <v>0</v>
      </c>
      <c r="AQ138" s="250">
        <f>SUMPRODUCT((RF!$A$2:$A$17=$A138)*(RFEmp=AQ$1)*(RF!$H$21:$AO$21="RF Valet"),RF!$H$2:$AO$17)</f>
        <v>0</v>
      </c>
      <c r="AR138" s="496">
        <f>SUMPRODUCT((RF!$A$2:$A$17=$A138)*(RFEmp=AR$1)*(RF!$H$21:$AO$21="RF Valet"),RF!$H$2:$AO$17)</f>
        <v>0</v>
      </c>
    </row>
    <row r="139" spans="1:44" s="271" customFormat="1" x14ac:dyDescent="0.2">
      <c r="A139" s="247">
        <f>A138</f>
        <v>42473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496">
        <f>SUMPRODUCT((TM!$A$2:$A$17=$A139)*(TMEmp=AR$1),TM!$D$2:$AK$17)</f>
        <v>0</v>
      </c>
    </row>
    <row r="140" spans="1:44" s="271" customFormat="1" x14ac:dyDescent="0.2">
      <c r="A140" s="256">
        <f t="shared" si="84"/>
        <v>42473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497">
        <f>SUMPRODUCT((PC!$A$2:$A$80=$A140)*(PCEmp=AR$1),PC!$D$2:$BD$80)</f>
        <v>0</v>
      </c>
    </row>
    <row r="141" spans="1:44" s="271" customFormat="1" x14ac:dyDescent="0.2">
      <c r="A141" s="247">
        <f t="shared" si="84"/>
        <v>42473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496">
        <f>SUMPRODUCT((RF!$A$2:$A$17=$A141)*(RFEmp=AR$1)*(RF!$H$21:$AO$21="RF Lead"),RF!$H$2:$AO$17)</f>
        <v>0</v>
      </c>
    </row>
    <row r="142" spans="1:44" s="271" customFormat="1" x14ac:dyDescent="0.2">
      <c r="A142" s="260">
        <f t="shared" si="84"/>
        <v>42473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496">
        <f>SUMPRODUCT((SC!$A$2:$A$34=$A142)*(SCEmp=AR$1),SC!$F$2:$Z$34)</f>
        <v>0</v>
      </c>
    </row>
    <row r="143" spans="1:44" s="271" customFormat="1" x14ac:dyDescent="0.2">
      <c r="A143" s="262">
        <f t="shared" si="84"/>
        <v>42473</v>
      </c>
      <c r="B143" s="263" t="s">
        <v>87</v>
      </c>
      <c r="C143" s="264">
        <f t="shared" ref="C143:AR143" si="85">IF(SUM(C134:C142)&gt;8,SUM(C134:C142)-8,0)+IF(SUM(C134:C142)&gt;12,SUM(C134:C142)-12,0)</f>
        <v>0</v>
      </c>
      <c r="D143" s="265">
        <f t="shared" si="85"/>
        <v>0</v>
      </c>
      <c r="E143" s="265">
        <f t="shared" si="85"/>
        <v>0</v>
      </c>
      <c r="F143" s="265">
        <f t="shared" si="85"/>
        <v>0</v>
      </c>
      <c r="G143" s="265">
        <f t="shared" si="85"/>
        <v>0</v>
      </c>
      <c r="H143" s="265">
        <f t="shared" si="85"/>
        <v>0</v>
      </c>
      <c r="I143" s="265">
        <f t="shared" si="85"/>
        <v>0</v>
      </c>
      <c r="J143" s="265">
        <f t="shared" si="85"/>
        <v>0</v>
      </c>
      <c r="K143" s="265">
        <f t="shared" si="85"/>
        <v>0</v>
      </c>
      <c r="L143" s="265">
        <f t="shared" si="85"/>
        <v>0</v>
      </c>
      <c r="M143" s="265">
        <f t="shared" si="85"/>
        <v>0</v>
      </c>
      <c r="N143" s="265">
        <f t="shared" si="85"/>
        <v>0</v>
      </c>
      <c r="O143" s="265">
        <f t="shared" si="85"/>
        <v>0</v>
      </c>
      <c r="P143" s="265">
        <f t="shared" si="85"/>
        <v>0</v>
      </c>
      <c r="Q143" s="265">
        <f t="shared" si="85"/>
        <v>0</v>
      </c>
      <c r="R143" s="265">
        <f t="shared" si="85"/>
        <v>0</v>
      </c>
      <c r="S143" s="265">
        <f t="shared" si="85"/>
        <v>0</v>
      </c>
      <c r="T143" s="265">
        <f t="shared" si="85"/>
        <v>0</v>
      </c>
      <c r="U143" s="265">
        <f t="shared" si="85"/>
        <v>0</v>
      </c>
      <c r="V143" s="265">
        <f t="shared" si="85"/>
        <v>0</v>
      </c>
      <c r="W143" s="265">
        <f t="shared" si="85"/>
        <v>0</v>
      </c>
      <c r="X143" s="265">
        <f t="shared" si="85"/>
        <v>0</v>
      </c>
      <c r="Y143" s="265">
        <f t="shared" si="85"/>
        <v>0</v>
      </c>
      <c r="Z143" s="265">
        <f t="shared" si="85"/>
        <v>0</v>
      </c>
      <c r="AA143" s="265">
        <f t="shared" si="85"/>
        <v>0</v>
      </c>
      <c r="AB143" s="265">
        <f t="shared" si="85"/>
        <v>0</v>
      </c>
      <c r="AC143" s="265">
        <f t="shared" si="85"/>
        <v>0</v>
      </c>
      <c r="AD143" s="265">
        <f t="shared" si="85"/>
        <v>0</v>
      </c>
      <c r="AE143" s="265">
        <f t="shared" si="85"/>
        <v>0</v>
      </c>
      <c r="AF143" s="265">
        <f t="shared" si="85"/>
        <v>0</v>
      </c>
      <c r="AG143" s="265">
        <f t="shared" si="85"/>
        <v>0</v>
      </c>
      <c r="AH143" s="265">
        <f t="shared" si="85"/>
        <v>0</v>
      </c>
      <c r="AI143" s="265">
        <f t="shared" si="85"/>
        <v>0</v>
      </c>
      <c r="AJ143" s="265">
        <f t="shared" si="85"/>
        <v>0</v>
      </c>
      <c r="AK143" s="265">
        <f t="shared" si="85"/>
        <v>0</v>
      </c>
      <c r="AL143" s="265">
        <f t="shared" si="85"/>
        <v>0</v>
      </c>
      <c r="AM143" s="265">
        <f t="shared" si="85"/>
        <v>0</v>
      </c>
      <c r="AN143" s="265">
        <f t="shared" si="85"/>
        <v>0</v>
      </c>
      <c r="AO143" s="265">
        <f t="shared" ref="AO143:AP143" si="86">IF(SUM(AO134:AO142)&gt;8,SUM(AO134:AO142)-8,0)+IF(SUM(AO134:AO142)&gt;12,SUM(AO134:AO142)-12,0)</f>
        <v>0</v>
      </c>
      <c r="AP143" s="265">
        <f t="shared" si="86"/>
        <v>0</v>
      </c>
      <c r="AQ143" s="265">
        <f t="shared" ref="AQ143" si="87">IF(SUM(AQ134:AQ142)&gt;8,SUM(AQ134:AQ142)-8,0)+IF(SUM(AQ134:AQ142)&gt;12,SUM(AQ134:AQ142)-12,0)</f>
        <v>0</v>
      </c>
      <c r="AR143" s="498">
        <f t="shared" si="85"/>
        <v>0</v>
      </c>
    </row>
    <row r="144" spans="1:44" s="271" customFormat="1" x14ac:dyDescent="0.2">
      <c r="A144" s="266">
        <f t="shared" si="84"/>
        <v>42473</v>
      </c>
      <c r="B144" s="267" t="s">
        <v>86</v>
      </c>
      <c r="C144" s="268">
        <f t="shared" ref="C144:AR144" si="88">IFERROR((C$179*SUM(C134:C139)+C$180*SUM(C140:C142))/SUM(C134:C142)/2,0)*C143</f>
        <v>0</v>
      </c>
      <c r="D144" s="269">
        <f t="shared" si="88"/>
        <v>0</v>
      </c>
      <c r="E144" s="269">
        <f t="shared" si="88"/>
        <v>0</v>
      </c>
      <c r="F144" s="269">
        <f t="shared" si="88"/>
        <v>0</v>
      </c>
      <c r="G144" s="269">
        <f t="shared" si="88"/>
        <v>0</v>
      </c>
      <c r="H144" s="269">
        <f t="shared" si="88"/>
        <v>0</v>
      </c>
      <c r="I144" s="269">
        <f t="shared" si="88"/>
        <v>0</v>
      </c>
      <c r="J144" s="269">
        <f t="shared" si="88"/>
        <v>0</v>
      </c>
      <c r="K144" s="269">
        <f t="shared" si="88"/>
        <v>0</v>
      </c>
      <c r="L144" s="269">
        <f t="shared" si="88"/>
        <v>0</v>
      </c>
      <c r="M144" s="269">
        <f t="shared" si="88"/>
        <v>0</v>
      </c>
      <c r="N144" s="269">
        <f t="shared" si="88"/>
        <v>0</v>
      </c>
      <c r="O144" s="269">
        <f t="shared" si="88"/>
        <v>0</v>
      </c>
      <c r="P144" s="269">
        <f t="shared" si="88"/>
        <v>0</v>
      </c>
      <c r="Q144" s="269">
        <f t="shared" si="88"/>
        <v>0</v>
      </c>
      <c r="R144" s="269">
        <f t="shared" si="88"/>
        <v>0</v>
      </c>
      <c r="S144" s="269">
        <f t="shared" si="88"/>
        <v>0</v>
      </c>
      <c r="T144" s="269">
        <f t="shared" si="88"/>
        <v>0</v>
      </c>
      <c r="U144" s="269">
        <f t="shared" si="88"/>
        <v>0</v>
      </c>
      <c r="V144" s="269">
        <f t="shared" si="88"/>
        <v>0</v>
      </c>
      <c r="W144" s="269">
        <f t="shared" si="88"/>
        <v>0</v>
      </c>
      <c r="X144" s="269">
        <f t="shared" si="88"/>
        <v>0</v>
      </c>
      <c r="Y144" s="269">
        <f t="shared" si="88"/>
        <v>0</v>
      </c>
      <c r="Z144" s="269">
        <f t="shared" si="88"/>
        <v>0</v>
      </c>
      <c r="AA144" s="269">
        <f t="shared" si="88"/>
        <v>0</v>
      </c>
      <c r="AB144" s="269">
        <f t="shared" si="88"/>
        <v>0</v>
      </c>
      <c r="AC144" s="269">
        <f t="shared" si="88"/>
        <v>0</v>
      </c>
      <c r="AD144" s="269">
        <f t="shared" si="88"/>
        <v>0</v>
      </c>
      <c r="AE144" s="269">
        <f t="shared" si="88"/>
        <v>0</v>
      </c>
      <c r="AF144" s="269">
        <f t="shared" si="88"/>
        <v>0</v>
      </c>
      <c r="AG144" s="269">
        <f t="shared" si="88"/>
        <v>0</v>
      </c>
      <c r="AH144" s="269">
        <f t="shared" si="88"/>
        <v>0</v>
      </c>
      <c r="AI144" s="269">
        <f t="shared" si="88"/>
        <v>0</v>
      </c>
      <c r="AJ144" s="269">
        <f t="shared" si="88"/>
        <v>0</v>
      </c>
      <c r="AK144" s="269">
        <f t="shared" si="88"/>
        <v>0</v>
      </c>
      <c r="AL144" s="269">
        <f t="shared" si="88"/>
        <v>0</v>
      </c>
      <c r="AM144" s="269">
        <f t="shared" si="88"/>
        <v>0</v>
      </c>
      <c r="AN144" s="269">
        <f t="shared" si="88"/>
        <v>0</v>
      </c>
      <c r="AO144" s="269">
        <f t="shared" ref="AO144:AP144" si="89">IFERROR((AO$179*SUM(AO134:AO139)+AO$180*SUM(AO140:AO142))/SUM(AO134:AO142)/2,0)*AO143</f>
        <v>0</v>
      </c>
      <c r="AP144" s="269">
        <f t="shared" si="89"/>
        <v>0</v>
      </c>
      <c r="AQ144" s="269">
        <f t="shared" ref="AQ144" si="90">IFERROR((AQ$179*SUM(AQ134:AQ139)+AQ$180*SUM(AQ140:AQ142))/SUM(AQ134:AQ142)/2,0)*AQ143</f>
        <v>0</v>
      </c>
      <c r="AR144" s="499">
        <f t="shared" si="88"/>
        <v>0</v>
      </c>
    </row>
    <row r="145" spans="1:44" s="271" customFormat="1" x14ac:dyDescent="0.2">
      <c r="A145" s="247">
        <f>A134+1</f>
        <v>42474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496">
        <f>SUMPRODUCT((Driver!$A$2:$A$17=$A145)*(DriverEmp=AR$1),Driver!$C$2:$V$17)</f>
        <v>0</v>
      </c>
    </row>
    <row r="146" spans="1:44" s="271" customFormat="1" x14ac:dyDescent="0.2">
      <c r="A146" s="247">
        <f t="shared" ref="A146:A155" si="91">A145</f>
        <v>42474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496">
        <f>SUMPRODUCT((PP!$A$2:$A$80=$A146)*(PPEmp=AR$1),PP!$D$2:$BD$80)</f>
        <v>0</v>
      </c>
    </row>
    <row r="147" spans="1:44" s="271" customFormat="1" x14ac:dyDescent="0.2">
      <c r="A147" s="247">
        <f t="shared" si="91"/>
        <v>42474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496">
        <f>SUMPRODUCT((FH!$A$2:$A$97=$A147)*(FHEmp=AR$1),FH!$E$2:$AZ$97)</f>
        <v>0</v>
      </c>
    </row>
    <row r="148" spans="1:44" s="271" customFormat="1" x14ac:dyDescent="0.2">
      <c r="A148" s="247">
        <f t="shared" si="91"/>
        <v>42474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496">
        <f>SUMPRODUCT(('T22'!$A$2:$A$97=$A148)*(T22Emp=AR$1),'T22'!$E$2:$AZ$97)</f>
        <v>0</v>
      </c>
    </row>
    <row r="149" spans="1:44" s="271" customFormat="1" x14ac:dyDescent="0.2">
      <c r="A149" s="247">
        <f t="shared" si="91"/>
        <v>42474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496">
        <f>SUMPRODUCT((RF!$A$2:$A$17=$A149)*(RFEmp=AR$1)*(RF!$H$21:$AO$21="RF Valet"),RF!$H$2:$AO$17)</f>
        <v>0</v>
      </c>
    </row>
    <row r="150" spans="1:44" s="271" customFormat="1" x14ac:dyDescent="0.2">
      <c r="A150" s="247">
        <f>A149</f>
        <v>42474</v>
      </c>
      <c r="B150" s="255" t="s">
        <v>74</v>
      </c>
      <c r="C150" s="249">
        <f>SUMPRODUCT((TM!$A$2:$A$17=$A150)*(TMEmp=C$1),TM!$D$2:$AK$17)</f>
        <v>0</v>
      </c>
      <c r="D150" s="250">
        <f>SUMPRODUCT((TM!$A$2:$A$17=$A150)*(TMEmp=D$1),TM!$D$2:$AK$17)</f>
        <v>0</v>
      </c>
      <c r="E150" s="250">
        <f>SUMPRODUCT((TM!$A$2:$A$17=$A150)*(TMEmp=E$1),TM!$D$2:$AK$17)</f>
        <v>0</v>
      </c>
      <c r="F150" s="250">
        <f>SUMPRODUCT((TM!$A$2:$A$17=$A150)*(TMEmp=F$1),TM!$D$2:$AK$17)</f>
        <v>0</v>
      </c>
      <c r="G150" s="250">
        <f>SUMPRODUCT((TM!$A$2:$A$17=$A150)*(TMEmp=G$1),TM!$D$2:$AK$17)</f>
        <v>0</v>
      </c>
      <c r="H150" s="250">
        <f>SUMPRODUCT((TM!$A$2:$A$17=$A150)*(TMEmp=H$1),TM!$D$2:$AK$17)</f>
        <v>0</v>
      </c>
      <c r="I150" s="250">
        <f>SUMPRODUCT((TM!$A$2:$A$17=$A150)*(TMEmp=I$1),TM!$D$2:$AK$17)</f>
        <v>0</v>
      </c>
      <c r="J150" s="250">
        <f>SUMPRODUCT((TM!$A$2:$A$17=$A150)*(TMEmp=J$1),TM!$D$2:$AK$17)</f>
        <v>0</v>
      </c>
      <c r="K150" s="250">
        <f>SUMPRODUCT((TM!$A$2:$A$17=$A150)*(TMEmp=K$1),TM!$D$2:$AK$17)</f>
        <v>0</v>
      </c>
      <c r="L150" s="250">
        <f>SUMPRODUCT((TM!$A$2:$A$17=$A150)*(TMEmp=L$1),TM!$D$2:$AK$17)</f>
        <v>0</v>
      </c>
      <c r="M150" s="250">
        <f>SUMPRODUCT((TM!$A$2:$A$17=$A150)*(TMEmp=M$1),TM!$D$2:$AK$17)</f>
        <v>0</v>
      </c>
      <c r="N150" s="250">
        <f>SUMPRODUCT((TM!$A$2:$A$17=$A150)*(TMEmp=N$1),TM!$D$2:$AK$17)</f>
        <v>0</v>
      </c>
      <c r="O150" s="250">
        <f>SUMPRODUCT((TM!$A$2:$A$17=$A150)*(TMEmp=O$1),TM!$D$2:$AK$17)</f>
        <v>0</v>
      </c>
      <c r="P150" s="250">
        <f>SUMPRODUCT((TM!$A$2:$A$17=$A150)*(TMEmp=P$1),TM!$D$2:$AK$17)</f>
        <v>0</v>
      </c>
      <c r="Q150" s="250">
        <f>SUMPRODUCT((TM!$A$2:$A$17=$A150)*(TMEmp=Q$1),TM!$D$2:$AK$17)</f>
        <v>0</v>
      </c>
      <c r="R150" s="250">
        <f>SUMPRODUCT((TM!$A$2:$A$17=$A150)*(TMEmp=R$1),TM!$D$2:$AK$17)</f>
        <v>0</v>
      </c>
      <c r="S150" s="250">
        <f>SUMPRODUCT((TM!$A$2:$A$17=$A150)*(TMEmp=S$1),TM!$D$2:$AK$17)</f>
        <v>0</v>
      </c>
      <c r="T150" s="250">
        <f>SUMPRODUCT((TM!$A$2:$A$17=$A150)*(TMEmp=T$1),TM!$D$2:$AK$17)</f>
        <v>0</v>
      </c>
      <c r="U150" s="250">
        <f>SUMPRODUCT((TM!$A$2:$A$17=$A150)*(TMEmp=U$1),TM!$D$2:$AK$17)</f>
        <v>0</v>
      </c>
      <c r="V150" s="250">
        <f>SUMPRODUCT((TM!$A$2:$A$17=$A150)*(TMEmp=V$1),TM!$D$2:$AK$17)</f>
        <v>0</v>
      </c>
      <c r="W150" s="250">
        <f>SUMPRODUCT((TM!$A$2:$A$17=$A150)*(TMEmp=W$1),TM!$D$2:$AK$17)</f>
        <v>0</v>
      </c>
      <c r="X150" s="250">
        <f>SUMPRODUCT((TM!$A$2:$A$17=$A150)*(TMEmp=X$1),TM!$D$2:$AK$17)</f>
        <v>0</v>
      </c>
      <c r="Y150" s="250">
        <f>SUMPRODUCT((TM!$A$2:$A$17=$A150)*(TMEmp=Y$1),TM!$D$2:$AK$17)</f>
        <v>0</v>
      </c>
      <c r="Z150" s="250">
        <f>SUMPRODUCT((TM!$A$2:$A$17=$A150)*(TMEmp=Z$1),TM!$D$2:$AK$17)</f>
        <v>0</v>
      </c>
      <c r="AA150" s="250">
        <f>SUMPRODUCT((TM!$A$2:$A$17=$A150)*(TMEmp=AA$1),TM!$D$2:$AK$17)</f>
        <v>0</v>
      </c>
      <c r="AB150" s="250">
        <f>SUMPRODUCT((TM!$A$2:$A$17=$A150)*(TMEmp=AB$1),TM!$D$2:$AK$17)</f>
        <v>0</v>
      </c>
      <c r="AC150" s="250">
        <f>SUMPRODUCT((TM!$A$2:$A$17=$A150)*(TMEmp=AC$1),TM!$D$2:$AK$17)</f>
        <v>0</v>
      </c>
      <c r="AD150" s="250">
        <f>SUMPRODUCT((TM!$A$2:$A$17=$A150)*(TMEmp=AD$1),TM!$D$2:$AK$17)</f>
        <v>0</v>
      </c>
      <c r="AE150" s="250">
        <f>SUMPRODUCT((TM!$A$2:$A$17=$A150)*(TMEmp=AE$1),TM!$D$2:$AK$17)</f>
        <v>0</v>
      </c>
      <c r="AF150" s="250">
        <f>SUMPRODUCT((TM!$A$2:$A$17=$A150)*(TMEmp=AF$1),TM!$D$2:$AK$17)</f>
        <v>0</v>
      </c>
      <c r="AG150" s="250">
        <f>SUMPRODUCT((TM!$A$2:$A$17=$A150)*(TMEmp=AG$1),TM!$D$2:$AK$17)</f>
        <v>0</v>
      </c>
      <c r="AH150" s="250">
        <f>SUMPRODUCT((TM!$A$2:$A$17=$A150)*(TMEmp=AH$1),TM!$D$2:$AK$17)</f>
        <v>0</v>
      </c>
      <c r="AI150" s="250">
        <f>SUMPRODUCT((TM!$A$2:$A$17=$A150)*(TMEmp=AI$1),TM!$D$2:$AK$17)</f>
        <v>0</v>
      </c>
      <c r="AJ150" s="250">
        <f>SUMPRODUCT((TM!$A$2:$A$17=$A150)*(TMEmp=AJ$1),TM!$D$2:$AK$17)</f>
        <v>0</v>
      </c>
      <c r="AK150" s="250">
        <f>SUMPRODUCT((TM!$A$2:$A$17=$A150)*(TMEmp=AK$1),TM!$D$2:$AK$17)</f>
        <v>0</v>
      </c>
      <c r="AL150" s="250">
        <f>SUMPRODUCT((TM!$A$2:$A$17=$A150)*(TMEmp=AL$1),TM!$D$2:$AK$17)</f>
        <v>0</v>
      </c>
      <c r="AM150" s="250">
        <f>SUMPRODUCT((TM!$A$2:$A$17=$A150)*(TMEmp=AM$1),TM!$D$2:$AK$17)</f>
        <v>0</v>
      </c>
      <c r="AN150" s="250">
        <f>SUMPRODUCT((TM!$A$2:$A$17=$A150)*(TMEmp=AN$1),TM!$D$2:$AK$17)</f>
        <v>0</v>
      </c>
      <c r="AO150" s="250">
        <f>SUMPRODUCT((TM!$A$2:$A$17=$A150)*(TMEmp=AO$1),TM!$D$2:$AK$17)</f>
        <v>0</v>
      </c>
      <c r="AP150" s="250">
        <f>SUMPRODUCT((TM!$A$2:$A$17=$A150)*(TMEmp=AP$1),TM!$D$2:$AK$17)</f>
        <v>0</v>
      </c>
      <c r="AQ150" s="250">
        <f>SUMPRODUCT((TM!$A$2:$A$17=$A150)*(TMEmp=AQ$1),TM!$D$2:$AK$17)</f>
        <v>0</v>
      </c>
      <c r="AR150" s="496">
        <f>SUMPRODUCT((TM!$A$2:$A$17=$A150)*(TMEmp=AR$1),TM!$D$2:$AK$17)</f>
        <v>0</v>
      </c>
    </row>
    <row r="151" spans="1:44" s="271" customFormat="1" x14ac:dyDescent="0.2">
      <c r="A151" s="256">
        <f t="shared" si="91"/>
        <v>42474</v>
      </c>
      <c r="B151" s="257" t="s">
        <v>72</v>
      </c>
      <c r="C151" s="258">
        <f>SUMPRODUCT((PC!$A$2:$A$80=$A151)*(PCEmp=C$1),PC!$D$2:$BD$80)</f>
        <v>0</v>
      </c>
      <c r="D151" s="259">
        <f>SUMPRODUCT((PC!$A$2:$A$80=$A151)*(PCEmp=D$1),PC!$D$2:$BD$80)</f>
        <v>0</v>
      </c>
      <c r="E151" s="259">
        <f>SUMPRODUCT((PC!$A$2:$A$80=$A151)*(PCEmp=E$1),PC!$D$2:$BD$80)</f>
        <v>0</v>
      </c>
      <c r="F151" s="259">
        <f>SUMPRODUCT((PC!$A$2:$A$80=$A151)*(PCEmp=F$1),PC!$D$2:$BD$80)</f>
        <v>0</v>
      </c>
      <c r="G151" s="259">
        <f>SUMPRODUCT((PC!$A$2:$A$80=$A151)*(PCEmp=G$1),PC!$D$2:$BD$80)</f>
        <v>0</v>
      </c>
      <c r="H151" s="259">
        <f>SUMPRODUCT((PC!$A$2:$A$80=$A151)*(PCEmp=H$1),PC!$D$2:$BD$80)</f>
        <v>0</v>
      </c>
      <c r="I151" s="259">
        <f>SUMPRODUCT((PC!$A$2:$A$80=$A151)*(PCEmp=I$1),PC!$D$2:$BD$80)</f>
        <v>0</v>
      </c>
      <c r="J151" s="259">
        <f>SUMPRODUCT((PC!$A$2:$A$80=$A151)*(PCEmp=J$1),PC!$D$2:$BD$80)</f>
        <v>0</v>
      </c>
      <c r="K151" s="259">
        <f>SUMPRODUCT((PC!$A$2:$A$80=$A151)*(PCEmp=K$1),PC!$D$2:$BD$80)</f>
        <v>0</v>
      </c>
      <c r="L151" s="259">
        <f>SUMPRODUCT((PC!$A$2:$A$80=$A151)*(PCEmp=L$1),PC!$D$2:$BD$80)</f>
        <v>0</v>
      </c>
      <c r="M151" s="259">
        <f>SUMPRODUCT((PC!$A$2:$A$80=$A151)*(PCEmp=M$1),PC!$D$2:$BD$80)</f>
        <v>0</v>
      </c>
      <c r="N151" s="259">
        <f>SUMPRODUCT((PC!$A$2:$A$80=$A151)*(PCEmp=N$1),PC!$D$2:$BD$80)</f>
        <v>0</v>
      </c>
      <c r="O151" s="259">
        <f>SUMPRODUCT((PC!$A$2:$A$80=$A151)*(PCEmp=O$1),PC!$D$2:$BD$80)</f>
        <v>0</v>
      </c>
      <c r="P151" s="259">
        <f>SUMPRODUCT((PC!$A$2:$A$80=$A151)*(PCEmp=P$1),PC!$D$2:$BD$80)</f>
        <v>0</v>
      </c>
      <c r="Q151" s="259">
        <f>SUMPRODUCT((PC!$A$2:$A$80=$A151)*(PCEmp=Q$1),PC!$D$2:$BD$80)</f>
        <v>0</v>
      </c>
      <c r="R151" s="259">
        <f>SUMPRODUCT((PC!$A$2:$A$80=$A151)*(PCEmp=R$1),PC!$D$2:$BD$80)</f>
        <v>0</v>
      </c>
      <c r="S151" s="259">
        <f>SUMPRODUCT((PC!$A$2:$A$80=$A151)*(PCEmp=S$1),PC!$D$2:$BD$80)</f>
        <v>0</v>
      </c>
      <c r="T151" s="259">
        <f>SUMPRODUCT((PC!$A$2:$A$80=$A151)*(PCEmp=T$1),PC!$D$2:$BD$80)</f>
        <v>0</v>
      </c>
      <c r="U151" s="259">
        <f>SUMPRODUCT((PC!$A$2:$A$80=$A151)*(PCEmp=U$1),PC!$D$2:$BD$80)</f>
        <v>0</v>
      </c>
      <c r="V151" s="259">
        <f>SUMPRODUCT((PC!$A$2:$A$80=$A151)*(PCEmp=V$1),PC!$D$2:$BD$80)</f>
        <v>0</v>
      </c>
      <c r="W151" s="259">
        <f>SUMPRODUCT((PC!$A$2:$A$80=$A151)*(PCEmp=W$1),PC!$D$2:$BD$80)</f>
        <v>0</v>
      </c>
      <c r="X151" s="259">
        <f>SUMPRODUCT((PC!$A$2:$A$80=$A151)*(PCEmp=X$1),PC!$D$2:$BD$80)</f>
        <v>0</v>
      </c>
      <c r="Y151" s="259">
        <f>SUMPRODUCT((PC!$A$2:$A$80=$A151)*(PCEmp=Y$1),PC!$D$2:$BD$80)</f>
        <v>0</v>
      </c>
      <c r="Z151" s="259">
        <f>SUMPRODUCT((PC!$A$2:$A$80=$A151)*(PCEmp=Z$1),PC!$D$2:$BD$80)</f>
        <v>0</v>
      </c>
      <c r="AA151" s="259">
        <f>SUMPRODUCT((PC!$A$2:$A$80=$A151)*(PCEmp=AA$1),PC!$D$2:$BD$80)</f>
        <v>0</v>
      </c>
      <c r="AB151" s="259">
        <f>SUMPRODUCT((PC!$A$2:$A$80=$A151)*(PCEmp=AB$1),PC!$D$2:$BD$80)</f>
        <v>0</v>
      </c>
      <c r="AC151" s="259">
        <f>SUMPRODUCT((PC!$A$2:$A$80=$A151)*(PCEmp=AC$1),PC!$D$2:$BD$80)</f>
        <v>0</v>
      </c>
      <c r="AD151" s="259">
        <f>SUMPRODUCT((PC!$A$2:$A$80=$A151)*(PCEmp=AD$1),PC!$D$2:$BD$80)</f>
        <v>0</v>
      </c>
      <c r="AE151" s="259">
        <f>SUMPRODUCT((PC!$A$2:$A$80=$A151)*(PCEmp=AE$1),PC!$D$2:$BD$80)</f>
        <v>0</v>
      </c>
      <c r="AF151" s="259">
        <f>SUMPRODUCT((PC!$A$2:$A$80=$A151)*(PCEmp=AF$1),PC!$D$2:$BD$80)</f>
        <v>0</v>
      </c>
      <c r="AG151" s="259">
        <f>SUMPRODUCT((PC!$A$2:$A$80=$A151)*(PCEmp=AG$1),PC!$D$2:$BD$80)</f>
        <v>0</v>
      </c>
      <c r="AH151" s="259">
        <f>SUMPRODUCT((PC!$A$2:$A$80=$A151)*(PCEmp=AH$1),PC!$D$2:$BD$80)</f>
        <v>0</v>
      </c>
      <c r="AI151" s="259">
        <f>SUMPRODUCT((PC!$A$2:$A$80=$A151)*(PCEmp=AI$1),PC!$D$2:$BD$80)</f>
        <v>0</v>
      </c>
      <c r="AJ151" s="259">
        <f>SUMPRODUCT((PC!$A$2:$A$80=$A151)*(PCEmp=AJ$1),PC!$D$2:$BD$80)</f>
        <v>0</v>
      </c>
      <c r="AK151" s="259">
        <f>SUMPRODUCT((PC!$A$2:$A$80=$A151)*(PCEmp=AK$1),PC!$D$2:$BD$80)</f>
        <v>0</v>
      </c>
      <c r="AL151" s="259">
        <f>SUMPRODUCT((PC!$A$2:$A$80=$A151)*(PCEmp=AL$1),PC!$D$2:$BD$80)</f>
        <v>0</v>
      </c>
      <c r="AM151" s="259">
        <f>SUMPRODUCT((PC!$A$2:$A$80=$A151)*(PCEmp=AM$1),PC!$D$2:$BD$80)</f>
        <v>0</v>
      </c>
      <c r="AN151" s="259">
        <f>SUMPRODUCT((PC!$A$2:$A$80=$A151)*(PCEmp=AN$1),PC!$D$2:$BD$80)</f>
        <v>0</v>
      </c>
      <c r="AO151" s="259">
        <f>SUMPRODUCT((PC!$A$2:$A$80=$A151)*(PCEmp=AO$1),PC!$D$2:$BD$80)</f>
        <v>0</v>
      </c>
      <c r="AP151" s="259">
        <f>SUMPRODUCT((PC!$A$2:$A$80=$A151)*(PCEmp=AP$1),PC!$D$2:$BD$80)</f>
        <v>0</v>
      </c>
      <c r="AQ151" s="259">
        <f>SUMPRODUCT((PC!$A$2:$A$80=$A151)*(PCEmp=AQ$1),PC!$D$2:$BD$80)</f>
        <v>0</v>
      </c>
      <c r="AR151" s="497">
        <f>SUMPRODUCT((PC!$A$2:$A$80=$A151)*(PCEmp=AR$1),PC!$D$2:$BD$80)</f>
        <v>0</v>
      </c>
    </row>
    <row r="152" spans="1:44" s="271" customFormat="1" x14ac:dyDescent="0.2">
      <c r="A152" s="247">
        <f t="shared" si="91"/>
        <v>42474</v>
      </c>
      <c r="B152" s="254" t="s">
        <v>85</v>
      </c>
      <c r="C152" s="249">
        <f>SUMPRODUCT((RF!$A$2:$A$17=$A152)*(RFEmp=C$1)*(RF!$H$21:$AO$21="RF Lead"),RF!$H$2:$AO$17)</f>
        <v>0</v>
      </c>
      <c r="D152" s="250">
        <f>SUMPRODUCT((RF!$A$2:$A$17=$A152)*(RFEmp=D$1)*(RF!$H$21:$AO$21="RF Lead"),RF!$H$2:$AO$17)</f>
        <v>0</v>
      </c>
      <c r="E152" s="250">
        <f>SUMPRODUCT((RF!$A$2:$A$17=$A152)*(RFEmp=E$1)*(RF!$H$21:$AO$21="RF Lead"),RF!$H$2:$AO$17)</f>
        <v>0</v>
      </c>
      <c r="F152" s="250">
        <f>SUMPRODUCT((RF!$A$2:$A$17=$A152)*(RFEmp=F$1)*(RF!$H$21:$AO$21="RF Lead"),RF!$H$2:$AO$17)</f>
        <v>0</v>
      </c>
      <c r="G152" s="250">
        <f>SUMPRODUCT((RF!$A$2:$A$17=$A152)*(RFEmp=G$1)*(RF!$H$21:$AO$21="RF Lead"),RF!$H$2:$AO$17)</f>
        <v>0</v>
      </c>
      <c r="H152" s="250">
        <f>SUMPRODUCT((RF!$A$2:$A$17=$A152)*(RFEmp=H$1)*(RF!$H$21:$AO$21="RF Lead"),RF!$H$2:$AO$17)</f>
        <v>0</v>
      </c>
      <c r="I152" s="250">
        <f>SUMPRODUCT((RF!$A$2:$A$17=$A152)*(RFEmp=I$1)*(RF!$H$21:$AO$21="RF Lead"),RF!$H$2:$AO$17)</f>
        <v>0</v>
      </c>
      <c r="J152" s="250">
        <f>SUMPRODUCT((RF!$A$2:$A$17=$A152)*(RFEmp=J$1)*(RF!$H$21:$AO$21="RF Lead"),RF!$H$2:$AO$17)</f>
        <v>0</v>
      </c>
      <c r="K152" s="250">
        <f>SUMPRODUCT((RF!$A$2:$A$17=$A152)*(RFEmp=K$1)*(RF!$H$21:$AO$21="RF Lead"),RF!$H$2:$AO$17)</f>
        <v>0</v>
      </c>
      <c r="L152" s="250">
        <f>SUMPRODUCT((RF!$A$2:$A$17=$A152)*(RFEmp=L$1)*(RF!$H$21:$AO$21="RF Lead"),RF!$H$2:$AO$17)</f>
        <v>0</v>
      </c>
      <c r="M152" s="250">
        <f>SUMPRODUCT((RF!$A$2:$A$17=$A152)*(RFEmp=M$1)*(RF!$H$21:$AO$21="RF Lead"),RF!$H$2:$AO$17)</f>
        <v>0</v>
      </c>
      <c r="N152" s="250">
        <f>SUMPRODUCT((RF!$A$2:$A$17=$A152)*(RFEmp=N$1)*(RF!$H$21:$AO$21="RF Lead"),RF!$H$2:$AO$17)</f>
        <v>0</v>
      </c>
      <c r="O152" s="250">
        <f>SUMPRODUCT((RF!$A$2:$A$17=$A152)*(RFEmp=O$1)*(RF!$H$21:$AO$21="RF Lead"),RF!$H$2:$AO$17)</f>
        <v>0</v>
      </c>
      <c r="P152" s="250">
        <f>SUMPRODUCT((RF!$A$2:$A$17=$A152)*(RFEmp=P$1)*(RF!$H$21:$AO$21="RF Lead"),RF!$H$2:$AO$17)</f>
        <v>0</v>
      </c>
      <c r="Q152" s="250">
        <f>SUMPRODUCT((RF!$A$2:$A$17=$A152)*(RFEmp=Q$1)*(RF!$H$21:$AO$21="RF Lead"),RF!$H$2:$AO$17)</f>
        <v>0</v>
      </c>
      <c r="R152" s="250">
        <f>SUMPRODUCT((RF!$A$2:$A$17=$A152)*(RFEmp=R$1)*(RF!$H$21:$AO$21="RF Lead"),RF!$H$2:$AO$17)</f>
        <v>0</v>
      </c>
      <c r="S152" s="250">
        <f>SUMPRODUCT((RF!$A$2:$A$17=$A152)*(RFEmp=S$1)*(RF!$H$21:$AO$21="RF Lead"),RF!$H$2:$AO$17)</f>
        <v>0</v>
      </c>
      <c r="T152" s="250">
        <f>SUMPRODUCT((RF!$A$2:$A$17=$A152)*(RFEmp=T$1)*(RF!$H$21:$AO$21="RF Lead"),RF!$H$2:$AO$17)</f>
        <v>0</v>
      </c>
      <c r="U152" s="250">
        <f>SUMPRODUCT((RF!$A$2:$A$17=$A152)*(RFEmp=U$1)*(RF!$H$21:$AO$21="RF Lead"),RF!$H$2:$AO$17)</f>
        <v>0</v>
      </c>
      <c r="V152" s="250">
        <f>SUMPRODUCT((RF!$A$2:$A$17=$A152)*(RFEmp=V$1)*(RF!$H$21:$AO$21="RF Lead"),RF!$H$2:$AO$17)</f>
        <v>0</v>
      </c>
      <c r="W152" s="250">
        <f>SUMPRODUCT((RF!$A$2:$A$17=$A152)*(RFEmp=W$1)*(RF!$H$21:$AO$21="RF Lead"),RF!$H$2:$AO$17)</f>
        <v>0</v>
      </c>
      <c r="X152" s="250">
        <f>SUMPRODUCT((RF!$A$2:$A$17=$A152)*(RFEmp=X$1)*(RF!$H$21:$AO$21="RF Lead"),RF!$H$2:$AO$17)</f>
        <v>0</v>
      </c>
      <c r="Y152" s="250">
        <f>SUMPRODUCT((RF!$A$2:$A$17=$A152)*(RFEmp=Y$1)*(RF!$H$21:$AO$21="RF Lead"),RF!$H$2:$AO$17)</f>
        <v>0</v>
      </c>
      <c r="Z152" s="250">
        <f>SUMPRODUCT((RF!$A$2:$A$17=$A152)*(RFEmp=Z$1)*(RF!$H$21:$AO$21="RF Lead"),RF!$H$2:$AO$17)</f>
        <v>0</v>
      </c>
      <c r="AA152" s="250">
        <f>SUMPRODUCT((RF!$A$2:$A$17=$A152)*(RFEmp=AA$1)*(RF!$H$21:$AO$21="RF Lead"),RF!$H$2:$AO$17)</f>
        <v>0</v>
      </c>
      <c r="AB152" s="250">
        <f>SUMPRODUCT((RF!$A$2:$A$17=$A152)*(RFEmp=AB$1)*(RF!$H$21:$AO$21="RF Lead"),RF!$H$2:$AO$17)</f>
        <v>0</v>
      </c>
      <c r="AC152" s="250">
        <f>SUMPRODUCT((RF!$A$2:$A$17=$A152)*(RFEmp=AC$1)*(RF!$H$21:$AO$21="RF Lead"),RF!$H$2:$AO$17)</f>
        <v>0</v>
      </c>
      <c r="AD152" s="250">
        <f>SUMPRODUCT((RF!$A$2:$A$17=$A152)*(RFEmp=AD$1)*(RF!$H$21:$AO$21="RF Lead"),RF!$H$2:$AO$17)</f>
        <v>0</v>
      </c>
      <c r="AE152" s="250">
        <f>SUMPRODUCT((RF!$A$2:$A$17=$A152)*(RFEmp=AE$1)*(RF!$H$21:$AO$21="RF Lead"),RF!$H$2:$AO$17)</f>
        <v>0</v>
      </c>
      <c r="AF152" s="250">
        <f>SUMPRODUCT((RF!$A$2:$A$17=$A152)*(RFEmp=AF$1)*(RF!$H$21:$AO$21="RF Lead"),RF!$H$2:$AO$17)</f>
        <v>0</v>
      </c>
      <c r="AG152" s="250">
        <f>SUMPRODUCT((RF!$A$2:$A$17=$A152)*(RFEmp=AG$1)*(RF!$H$21:$AO$21="RF Lead"),RF!$H$2:$AO$17)</f>
        <v>0</v>
      </c>
      <c r="AH152" s="250">
        <f>SUMPRODUCT((RF!$A$2:$A$17=$A152)*(RFEmp=AH$1)*(RF!$H$21:$AO$21="RF Lead"),RF!$H$2:$AO$17)</f>
        <v>0</v>
      </c>
      <c r="AI152" s="250">
        <f>SUMPRODUCT((RF!$A$2:$A$17=$A152)*(RFEmp=AI$1)*(RF!$H$21:$AO$21="RF Lead"),RF!$H$2:$AO$17)</f>
        <v>0</v>
      </c>
      <c r="AJ152" s="250">
        <f>SUMPRODUCT((RF!$A$2:$A$17=$A152)*(RFEmp=AJ$1)*(RF!$H$21:$AO$21="RF Lead"),RF!$H$2:$AO$17)</f>
        <v>0</v>
      </c>
      <c r="AK152" s="250">
        <f>SUMPRODUCT((RF!$A$2:$A$17=$A152)*(RFEmp=AK$1)*(RF!$H$21:$AO$21="RF Lead"),RF!$H$2:$AO$17)</f>
        <v>0</v>
      </c>
      <c r="AL152" s="250">
        <f>SUMPRODUCT((RF!$A$2:$A$17=$A152)*(RFEmp=AL$1)*(RF!$H$21:$AO$21="RF Lead"),RF!$H$2:$AO$17)</f>
        <v>0</v>
      </c>
      <c r="AM152" s="250">
        <f>SUMPRODUCT((RF!$A$2:$A$17=$A152)*(RFEmp=AM$1)*(RF!$H$21:$AO$21="RF Lead"),RF!$H$2:$AO$17)</f>
        <v>0</v>
      </c>
      <c r="AN152" s="250">
        <f>SUMPRODUCT((RF!$A$2:$A$17=$A152)*(RFEmp=AN$1)*(RF!$H$21:$AO$21="RF Lead"),RF!$H$2:$AO$17)</f>
        <v>0</v>
      </c>
      <c r="AO152" s="250">
        <f>SUMPRODUCT((RF!$A$2:$A$17=$A152)*(RFEmp=AO$1)*(RF!$H$21:$AO$21="RF Lead"),RF!$H$2:$AO$17)</f>
        <v>0</v>
      </c>
      <c r="AP152" s="250">
        <f>SUMPRODUCT((RF!$A$2:$A$17=$A152)*(RFEmp=AP$1)*(RF!$H$21:$AO$21="RF Lead"),RF!$H$2:$AO$17)</f>
        <v>0</v>
      </c>
      <c r="AQ152" s="250">
        <f>SUMPRODUCT((RF!$A$2:$A$17=$A152)*(RFEmp=AQ$1)*(RF!$H$21:$AO$21="RF Lead"),RF!$H$2:$AO$17)</f>
        <v>0</v>
      </c>
      <c r="AR152" s="496">
        <f>SUMPRODUCT((RF!$A$2:$A$17=$A152)*(RFEmp=AR$1)*(RF!$H$21:$AO$21="RF Lead"),RF!$H$2:$AO$17)</f>
        <v>0</v>
      </c>
    </row>
    <row r="153" spans="1:44" s="271" customFormat="1" x14ac:dyDescent="0.2">
      <c r="A153" s="260">
        <f t="shared" si="91"/>
        <v>42474</v>
      </c>
      <c r="B153" s="261" t="str">
        <f>Total!$M$1</f>
        <v>SC</v>
      </c>
      <c r="C153" s="249">
        <f>SUMPRODUCT((SC!$A$2:$A$34=$A153)*(SCEmp=C$1),SC!$F$2:$Z$34)</f>
        <v>0</v>
      </c>
      <c r="D153" s="250">
        <f>SUMPRODUCT((SC!$A$2:$A$34=$A153)*(SCEmp=D$1),SC!$F$2:$Z$34)</f>
        <v>0</v>
      </c>
      <c r="E153" s="250">
        <f>SUMPRODUCT((SC!$A$2:$A$34=$A153)*(SCEmp=E$1),SC!$F$2:$Z$34)</f>
        <v>0</v>
      </c>
      <c r="F153" s="250">
        <f>SUMPRODUCT((SC!$A$2:$A$34=$A153)*(SCEmp=F$1),SC!$F$2:$Z$34)</f>
        <v>0</v>
      </c>
      <c r="G153" s="250">
        <f>SUMPRODUCT((SC!$A$2:$A$34=$A153)*(SCEmp=G$1),SC!$F$2:$Z$34)</f>
        <v>0</v>
      </c>
      <c r="H153" s="250">
        <f>SUMPRODUCT((SC!$A$2:$A$34=$A153)*(SCEmp=H$1),SC!$F$2:$Z$34)</f>
        <v>0</v>
      </c>
      <c r="I153" s="250">
        <f>SUMPRODUCT((SC!$A$2:$A$34=$A153)*(SCEmp=I$1),SC!$F$2:$Z$34)</f>
        <v>0</v>
      </c>
      <c r="J153" s="250">
        <f>SUMPRODUCT((SC!$A$2:$A$34=$A153)*(SCEmp=J$1),SC!$F$2:$Z$34)</f>
        <v>0</v>
      </c>
      <c r="K153" s="250">
        <f>SUMPRODUCT((SC!$A$2:$A$34=$A153)*(SCEmp=K$1),SC!$F$2:$Z$34)</f>
        <v>0</v>
      </c>
      <c r="L153" s="250">
        <f>SUMPRODUCT((SC!$A$2:$A$34=$A153)*(SCEmp=L$1),SC!$F$2:$Z$34)</f>
        <v>0</v>
      </c>
      <c r="M153" s="250">
        <f>SUMPRODUCT((SC!$A$2:$A$34=$A153)*(SCEmp=M$1),SC!$F$2:$Z$34)</f>
        <v>0</v>
      </c>
      <c r="N153" s="250">
        <f>SUMPRODUCT((SC!$A$2:$A$34=$A153)*(SCEmp=N$1),SC!$F$2:$Z$34)</f>
        <v>0</v>
      </c>
      <c r="O153" s="250">
        <f>SUMPRODUCT((SC!$A$2:$A$34=$A153)*(SCEmp=O$1),SC!$F$2:$Z$34)</f>
        <v>0</v>
      </c>
      <c r="P153" s="250">
        <f>SUMPRODUCT((SC!$A$2:$A$34=$A153)*(SCEmp=P$1),SC!$F$2:$Z$34)</f>
        <v>0</v>
      </c>
      <c r="Q153" s="250">
        <f>SUMPRODUCT((SC!$A$2:$A$34=$A153)*(SCEmp=Q$1),SC!$F$2:$Z$34)</f>
        <v>0</v>
      </c>
      <c r="R153" s="250">
        <f>SUMPRODUCT((SC!$A$2:$A$34=$A153)*(SCEmp=R$1),SC!$F$2:$Z$34)</f>
        <v>0</v>
      </c>
      <c r="S153" s="250">
        <f>SUMPRODUCT((SC!$A$2:$A$34=$A153)*(SCEmp=S$1),SC!$F$2:$Z$34)</f>
        <v>0</v>
      </c>
      <c r="T153" s="250">
        <f>SUMPRODUCT((SC!$A$2:$A$34=$A153)*(SCEmp=T$1),SC!$F$2:$Z$34)</f>
        <v>0</v>
      </c>
      <c r="U153" s="250">
        <f>SUMPRODUCT((SC!$A$2:$A$34=$A153)*(SCEmp=U$1),SC!$F$2:$Z$34)</f>
        <v>0</v>
      </c>
      <c r="V153" s="250">
        <f>SUMPRODUCT((SC!$A$2:$A$34=$A153)*(SCEmp=V$1),SC!$F$2:$Z$34)</f>
        <v>0</v>
      </c>
      <c r="W153" s="250">
        <f>SUMPRODUCT((SC!$A$2:$A$34=$A153)*(SCEmp=W$1),SC!$F$2:$Z$34)</f>
        <v>0</v>
      </c>
      <c r="X153" s="250">
        <f>SUMPRODUCT((SC!$A$2:$A$34=$A153)*(SCEmp=X$1),SC!$F$2:$Z$34)</f>
        <v>0</v>
      </c>
      <c r="Y153" s="250">
        <f>SUMPRODUCT((SC!$A$2:$A$34=$A153)*(SCEmp=Y$1),SC!$F$2:$Z$34)</f>
        <v>0</v>
      </c>
      <c r="Z153" s="250">
        <f>SUMPRODUCT((SC!$A$2:$A$34=$A153)*(SCEmp=Z$1),SC!$F$2:$Z$34)</f>
        <v>0</v>
      </c>
      <c r="AA153" s="250">
        <f>SUMPRODUCT((SC!$A$2:$A$34=$A153)*(SCEmp=AA$1),SC!$F$2:$Z$34)</f>
        <v>0</v>
      </c>
      <c r="AB153" s="250">
        <f>SUMPRODUCT((SC!$A$2:$A$34=$A153)*(SCEmp=AB$1),SC!$F$2:$Z$34)</f>
        <v>0</v>
      </c>
      <c r="AC153" s="250">
        <f>SUMPRODUCT((SC!$A$2:$A$34=$A153)*(SCEmp=AC$1),SC!$F$2:$Z$34)</f>
        <v>0</v>
      </c>
      <c r="AD153" s="250">
        <f>SUMPRODUCT((SC!$A$2:$A$34=$A153)*(SCEmp=AD$1),SC!$F$2:$Z$34)</f>
        <v>0</v>
      </c>
      <c r="AE153" s="250">
        <f>SUMPRODUCT((SC!$A$2:$A$34=$A153)*(SCEmp=AE$1),SC!$F$2:$Z$34)</f>
        <v>0</v>
      </c>
      <c r="AF153" s="250">
        <f>SUMPRODUCT((SC!$A$2:$A$34=$A153)*(SCEmp=AF$1),SC!$F$2:$Z$34)</f>
        <v>0</v>
      </c>
      <c r="AG153" s="250">
        <f>SUMPRODUCT((SC!$A$2:$A$34=$A153)*(SCEmp=AG$1),SC!$F$2:$Z$34)</f>
        <v>0</v>
      </c>
      <c r="AH153" s="250">
        <f>SUMPRODUCT((SC!$A$2:$A$34=$A153)*(SCEmp=AH$1),SC!$F$2:$Z$34)</f>
        <v>0</v>
      </c>
      <c r="AI153" s="250">
        <f>SUMPRODUCT((SC!$A$2:$A$34=$A153)*(SCEmp=AI$1),SC!$F$2:$Z$34)</f>
        <v>0</v>
      </c>
      <c r="AJ153" s="250">
        <f>SUMPRODUCT((SC!$A$2:$A$34=$A153)*(SCEmp=AJ$1),SC!$F$2:$Z$34)</f>
        <v>0</v>
      </c>
      <c r="AK153" s="250">
        <f>SUMPRODUCT((SC!$A$2:$A$34=$A153)*(SCEmp=AK$1),SC!$F$2:$Z$34)</f>
        <v>0</v>
      </c>
      <c r="AL153" s="250">
        <f>SUMPRODUCT((SC!$A$2:$A$34=$A153)*(SCEmp=AL$1),SC!$F$2:$Z$34)</f>
        <v>0</v>
      </c>
      <c r="AM153" s="250">
        <f>SUMPRODUCT((SC!$A$2:$A$34=$A153)*(SCEmp=AM$1),SC!$F$2:$Z$34)</f>
        <v>0</v>
      </c>
      <c r="AN153" s="250">
        <f>SUMPRODUCT((SC!$A$2:$A$34=$A153)*(SCEmp=AN$1),SC!$F$2:$Z$34)</f>
        <v>0</v>
      </c>
      <c r="AO153" s="250">
        <f>SUMPRODUCT((SC!$A$2:$A$34=$A153)*(SCEmp=AO$1),SC!$F$2:$Z$34)</f>
        <v>0</v>
      </c>
      <c r="AP153" s="250">
        <f>SUMPRODUCT((SC!$A$2:$A$34=$A153)*(SCEmp=AP$1),SC!$F$2:$Z$34)</f>
        <v>0</v>
      </c>
      <c r="AQ153" s="250">
        <f>SUMPRODUCT((SC!$A$2:$A$34=$A153)*(SCEmp=AQ$1),SC!$F$2:$Z$34)</f>
        <v>0</v>
      </c>
      <c r="AR153" s="496">
        <f>SUMPRODUCT((SC!$A$2:$A$34=$A153)*(SCEmp=AR$1),SC!$F$2:$Z$34)</f>
        <v>0</v>
      </c>
    </row>
    <row r="154" spans="1:44" s="271" customFormat="1" x14ac:dyDescent="0.2">
      <c r="A154" s="262">
        <f t="shared" si="91"/>
        <v>42474</v>
      </c>
      <c r="B154" s="263" t="s">
        <v>87</v>
      </c>
      <c r="C154" s="264">
        <f t="shared" ref="C154:AR154" si="92">IF(SUM(C145:C153)&gt;8,SUM(C145:C153)-8,0)+IF(SUM(C145:C153)&gt;12,SUM(C145:C153)-12,0)</f>
        <v>0</v>
      </c>
      <c r="D154" s="265">
        <f t="shared" si="92"/>
        <v>0</v>
      </c>
      <c r="E154" s="265">
        <f t="shared" si="92"/>
        <v>0</v>
      </c>
      <c r="F154" s="265">
        <f t="shared" si="92"/>
        <v>0</v>
      </c>
      <c r="G154" s="265">
        <f t="shared" si="92"/>
        <v>0</v>
      </c>
      <c r="H154" s="265">
        <f t="shared" si="92"/>
        <v>0</v>
      </c>
      <c r="I154" s="265">
        <f t="shared" si="92"/>
        <v>0</v>
      </c>
      <c r="J154" s="265">
        <f t="shared" si="92"/>
        <v>0</v>
      </c>
      <c r="K154" s="265">
        <f t="shared" si="92"/>
        <v>0</v>
      </c>
      <c r="L154" s="265">
        <f t="shared" si="92"/>
        <v>0</v>
      </c>
      <c r="M154" s="265">
        <f t="shared" si="92"/>
        <v>0</v>
      </c>
      <c r="N154" s="265">
        <f t="shared" si="92"/>
        <v>0</v>
      </c>
      <c r="O154" s="265">
        <f t="shared" si="92"/>
        <v>0</v>
      </c>
      <c r="P154" s="265">
        <f t="shared" si="92"/>
        <v>0</v>
      </c>
      <c r="Q154" s="265">
        <f t="shared" si="92"/>
        <v>0</v>
      </c>
      <c r="R154" s="265">
        <f t="shared" si="92"/>
        <v>0</v>
      </c>
      <c r="S154" s="265">
        <f t="shared" si="92"/>
        <v>0</v>
      </c>
      <c r="T154" s="265">
        <f t="shared" si="92"/>
        <v>0</v>
      </c>
      <c r="U154" s="265">
        <f t="shared" si="92"/>
        <v>0</v>
      </c>
      <c r="V154" s="265">
        <f t="shared" si="92"/>
        <v>0</v>
      </c>
      <c r="W154" s="265">
        <f t="shared" si="92"/>
        <v>0</v>
      </c>
      <c r="X154" s="265">
        <f t="shared" si="92"/>
        <v>0</v>
      </c>
      <c r="Y154" s="265">
        <f t="shared" si="92"/>
        <v>0</v>
      </c>
      <c r="Z154" s="265">
        <f t="shared" si="92"/>
        <v>0</v>
      </c>
      <c r="AA154" s="265">
        <f t="shared" si="92"/>
        <v>0</v>
      </c>
      <c r="AB154" s="265">
        <f t="shared" si="92"/>
        <v>0</v>
      </c>
      <c r="AC154" s="265">
        <f t="shared" si="92"/>
        <v>0</v>
      </c>
      <c r="AD154" s="265">
        <f t="shared" si="92"/>
        <v>0</v>
      </c>
      <c r="AE154" s="265">
        <f t="shared" si="92"/>
        <v>0</v>
      </c>
      <c r="AF154" s="265">
        <f t="shared" si="92"/>
        <v>0</v>
      </c>
      <c r="AG154" s="265">
        <f t="shared" si="92"/>
        <v>0</v>
      </c>
      <c r="AH154" s="265">
        <f t="shared" si="92"/>
        <v>0</v>
      </c>
      <c r="AI154" s="265">
        <f t="shared" si="92"/>
        <v>0</v>
      </c>
      <c r="AJ154" s="265">
        <f t="shared" si="92"/>
        <v>0</v>
      </c>
      <c r="AK154" s="265">
        <f t="shared" si="92"/>
        <v>0</v>
      </c>
      <c r="AL154" s="265">
        <f t="shared" si="92"/>
        <v>0</v>
      </c>
      <c r="AM154" s="265">
        <f t="shared" si="92"/>
        <v>0</v>
      </c>
      <c r="AN154" s="265">
        <f t="shared" si="92"/>
        <v>0</v>
      </c>
      <c r="AO154" s="265">
        <f t="shared" ref="AO154:AP154" si="93">IF(SUM(AO145:AO153)&gt;8,SUM(AO145:AO153)-8,0)+IF(SUM(AO145:AO153)&gt;12,SUM(AO145:AO153)-12,0)</f>
        <v>0</v>
      </c>
      <c r="AP154" s="265">
        <f t="shared" si="93"/>
        <v>0</v>
      </c>
      <c r="AQ154" s="265">
        <f t="shared" ref="AQ154" si="94">IF(SUM(AQ145:AQ153)&gt;8,SUM(AQ145:AQ153)-8,0)+IF(SUM(AQ145:AQ153)&gt;12,SUM(AQ145:AQ153)-12,0)</f>
        <v>0</v>
      </c>
      <c r="AR154" s="498">
        <f t="shared" si="92"/>
        <v>0</v>
      </c>
    </row>
    <row r="155" spans="1:44" s="271" customFormat="1" x14ac:dyDescent="0.2">
      <c r="A155" s="266">
        <f t="shared" si="91"/>
        <v>42474</v>
      </c>
      <c r="B155" s="267" t="s">
        <v>86</v>
      </c>
      <c r="C155" s="268">
        <f t="shared" ref="C155:AR155" si="95">IFERROR((C$179*SUM(C145:C150)+C$180*SUM(C151:C153))/SUM(C145:C153)/2,0)*C154</f>
        <v>0</v>
      </c>
      <c r="D155" s="269">
        <f t="shared" si="95"/>
        <v>0</v>
      </c>
      <c r="E155" s="269">
        <f t="shared" si="95"/>
        <v>0</v>
      </c>
      <c r="F155" s="269">
        <f t="shared" si="95"/>
        <v>0</v>
      </c>
      <c r="G155" s="269">
        <f t="shared" si="95"/>
        <v>0</v>
      </c>
      <c r="H155" s="269">
        <f t="shared" si="95"/>
        <v>0</v>
      </c>
      <c r="I155" s="269">
        <f t="shared" si="95"/>
        <v>0</v>
      </c>
      <c r="J155" s="269">
        <f t="shared" si="95"/>
        <v>0</v>
      </c>
      <c r="K155" s="269">
        <f t="shared" si="95"/>
        <v>0</v>
      </c>
      <c r="L155" s="269">
        <f t="shared" si="95"/>
        <v>0</v>
      </c>
      <c r="M155" s="269">
        <f t="shared" si="95"/>
        <v>0</v>
      </c>
      <c r="N155" s="269">
        <f t="shared" si="95"/>
        <v>0</v>
      </c>
      <c r="O155" s="269">
        <f t="shared" si="95"/>
        <v>0</v>
      </c>
      <c r="P155" s="269">
        <f t="shared" si="95"/>
        <v>0</v>
      </c>
      <c r="Q155" s="269">
        <f t="shared" si="95"/>
        <v>0</v>
      </c>
      <c r="R155" s="269">
        <f t="shared" si="95"/>
        <v>0</v>
      </c>
      <c r="S155" s="269">
        <f t="shared" si="95"/>
        <v>0</v>
      </c>
      <c r="T155" s="269">
        <f t="shared" si="95"/>
        <v>0</v>
      </c>
      <c r="U155" s="269">
        <f t="shared" si="95"/>
        <v>0</v>
      </c>
      <c r="V155" s="269">
        <f t="shared" si="95"/>
        <v>0</v>
      </c>
      <c r="W155" s="269">
        <f t="shared" si="95"/>
        <v>0</v>
      </c>
      <c r="X155" s="269">
        <f t="shared" si="95"/>
        <v>0</v>
      </c>
      <c r="Y155" s="269">
        <f t="shared" si="95"/>
        <v>0</v>
      </c>
      <c r="Z155" s="269">
        <f t="shared" si="95"/>
        <v>0</v>
      </c>
      <c r="AA155" s="269">
        <f t="shared" si="95"/>
        <v>0</v>
      </c>
      <c r="AB155" s="269">
        <f t="shared" si="95"/>
        <v>0</v>
      </c>
      <c r="AC155" s="269">
        <f t="shared" si="95"/>
        <v>0</v>
      </c>
      <c r="AD155" s="269">
        <f t="shared" si="95"/>
        <v>0</v>
      </c>
      <c r="AE155" s="269">
        <f t="shared" si="95"/>
        <v>0</v>
      </c>
      <c r="AF155" s="269">
        <f t="shared" si="95"/>
        <v>0</v>
      </c>
      <c r="AG155" s="269">
        <f t="shared" si="95"/>
        <v>0</v>
      </c>
      <c r="AH155" s="269">
        <f t="shared" si="95"/>
        <v>0</v>
      </c>
      <c r="AI155" s="269">
        <f t="shared" si="95"/>
        <v>0</v>
      </c>
      <c r="AJ155" s="269">
        <f t="shared" si="95"/>
        <v>0</v>
      </c>
      <c r="AK155" s="269">
        <f t="shared" si="95"/>
        <v>0</v>
      </c>
      <c r="AL155" s="269">
        <f t="shared" si="95"/>
        <v>0</v>
      </c>
      <c r="AM155" s="269">
        <f t="shared" si="95"/>
        <v>0</v>
      </c>
      <c r="AN155" s="269">
        <f t="shared" si="95"/>
        <v>0</v>
      </c>
      <c r="AO155" s="269">
        <f t="shared" ref="AO155:AP155" si="96">IFERROR((AO$179*SUM(AO145:AO150)+AO$180*SUM(AO151:AO153))/SUM(AO145:AO153)/2,0)*AO154</f>
        <v>0</v>
      </c>
      <c r="AP155" s="269">
        <f t="shared" si="96"/>
        <v>0</v>
      </c>
      <c r="AQ155" s="269">
        <f t="shared" ref="AQ155" si="97">IFERROR((AQ$179*SUM(AQ145:AQ150)+AQ$180*SUM(AQ151:AQ153))/SUM(AQ145:AQ153)/2,0)*AQ154</f>
        <v>0</v>
      </c>
      <c r="AR155" s="499">
        <f t="shared" si="95"/>
        <v>0</v>
      </c>
    </row>
    <row r="156" spans="1:44" s="271" customFormat="1" x14ac:dyDescent="0.2">
      <c r="A156" s="247">
        <f>A145+1</f>
        <v>42475</v>
      </c>
      <c r="B156" s="248" t="s">
        <v>77</v>
      </c>
      <c r="C156" s="249">
        <f>SUMPRODUCT((Driver!$A$2:$A$17=$A156)*(DriverEmp=C$1),Driver!$C$2:$V$17)</f>
        <v>0</v>
      </c>
      <c r="D156" s="250">
        <f>SUMPRODUCT((Driver!$A$2:$A$17=$A156)*(DriverEmp=D$1),Driver!$C$2:$V$17)</f>
        <v>0</v>
      </c>
      <c r="E156" s="250">
        <f>SUMPRODUCT((Driver!$A$2:$A$17=$A156)*(DriverEmp=E$1),Driver!$C$2:$V$17)</f>
        <v>0</v>
      </c>
      <c r="F156" s="250">
        <f>SUMPRODUCT((Driver!$A$2:$A$17=$A156)*(DriverEmp=F$1),Driver!$C$2:$V$17)</f>
        <v>0</v>
      </c>
      <c r="G156" s="250">
        <f>SUMPRODUCT((Driver!$A$2:$A$17=$A156)*(DriverEmp=G$1),Driver!$C$2:$V$17)</f>
        <v>0</v>
      </c>
      <c r="H156" s="250">
        <f>SUMPRODUCT((Driver!$A$2:$A$17=$A156)*(DriverEmp=H$1),Driver!$C$2:$V$17)</f>
        <v>0</v>
      </c>
      <c r="I156" s="250">
        <f>SUMPRODUCT((Driver!$A$2:$A$17=$A156)*(DriverEmp=I$1),Driver!$C$2:$V$17)</f>
        <v>0</v>
      </c>
      <c r="J156" s="250">
        <f>SUMPRODUCT((Driver!$A$2:$A$17=$A156)*(DriverEmp=J$1),Driver!$C$2:$V$17)</f>
        <v>0</v>
      </c>
      <c r="K156" s="250">
        <f>SUMPRODUCT((Driver!$A$2:$A$17=$A156)*(DriverEmp=K$1),Driver!$C$2:$V$17)</f>
        <v>0</v>
      </c>
      <c r="L156" s="250">
        <f>SUMPRODUCT((Driver!$A$2:$A$17=$A156)*(DriverEmp=L$1),Driver!$C$2:$V$17)</f>
        <v>0</v>
      </c>
      <c r="M156" s="250">
        <f>SUMPRODUCT((Driver!$A$2:$A$17=$A156)*(DriverEmp=M$1),Driver!$C$2:$V$17)</f>
        <v>0</v>
      </c>
      <c r="N156" s="250">
        <f>SUMPRODUCT((Driver!$A$2:$A$17=$A156)*(DriverEmp=N$1),Driver!$C$2:$V$17)</f>
        <v>0</v>
      </c>
      <c r="O156" s="250">
        <f>SUMPRODUCT((Driver!$A$2:$A$17=$A156)*(DriverEmp=O$1),Driver!$C$2:$V$17)</f>
        <v>0</v>
      </c>
      <c r="P156" s="250">
        <f>SUMPRODUCT((Driver!$A$2:$A$17=$A156)*(DriverEmp=P$1),Driver!$C$2:$V$17)</f>
        <v>0</v>
      </c>
      <c r="Q156" s="250">
        <f>SUMPRODUCT((Driver!$A$2:$A$17=$A156)*(DriverEmp=Q$1),Driver!$C$2:$V$17)</f>
        <v>0</v>
      </c>
      <c r="R156" s="250">
        <f>SUMPRODUCT((Driver!$A$2:$A$17=$A156)*(DriverEmp=R$1),Driver!$C$2:$V$17)</f>
        <v>0</v>
      </c>
      <c r="S156" s="250">
        <f>SUMPRODUCT((Driver!$A$2:$A$17=$A156)*(DriverEmp=S$1),Driver!$C$2:$V$17)</f>
        <v>0</v>
      </c>
      <c r="T156" s="250">
        <f>SUMPRODUCT((Driver!$A$2:$A$17=$A156)*(DriverEmp=T$1),Driver!$C$2:$V$17)</f>
        <v>0</v>
      </c>
      <c r="U156" s="250">
        <f>SUMPRODUCT((Driver!$A$2:$A$17=$A156)*(DriverEmp=U$1),Driver!$C$2:$V$17)</f>
        <v>0</v>
      </c>
      <c r="V156" s="250">
        <f>SUMPRODUCT((Driver!$A$2:$A$17=$A156)*(DriverEmp=V$1),Driver!$C$2:$V$17)</f>
        <v>0</v>
      </c>
      <c r="W156" s="250">
        <f>SUMPRODUCT((Driver!$A$2:$A$17=$A156)*(DriverEmp=W$1),Driver!$C$2:$V$17)</f>
        <v>0</v>
      </c>
      <c r="X156" s="250">
        <f>SUMPRODUCT((Driver!$A$2:$A$17=$A156)*(DriverEmp=X$1),Driver!$C$2:$V$17)</f>
        <v>0</v>
      </c>
      <c r="Y156" s="250">
        <f>SUMPRODUCT((Driver!$A$2:$A$17=$A156)*(DriverEmp=Y$1),Driver!$C$2:$V$17)</f>
        <v>0</v>
      </c>
      <c r="Z156" s="250">
        <f>SUMPRODUCT((Driver!$A$2:$A$17=$A156)*(DriverEmp=Z$1),Driver!$C$2:$V$17)</f>
        <v>0</v>
      </c>
      <c r="AA156" s="250">
        <f>SUMPRODUCT((Driver!$A$2:$A$17=$A156)*(DriverEmp=AA$1),Driver!$C$2:$V$17)</f>
        <v>0</v>
      </c>
      <c r="AB156" s="250">
        <f>SUMPRODUCT((Driver!$A$2:$A$17=$A156)*(DriverEmp=AB$1),Driver!$C$2:$V$17)</f>
        <v>0</v>
      </c>
      <c r="AC156" s="250">
        <f>SUMPRODUCT((Driver!$A$2:$A$17=$A156)*(DriverEmp=AC$1),Driver!$C$2:$V$17)</f>
        <v>0</v>
      </c>
      <c r="AD156" s="250">
        <f>SUMPRODUCT((Driver!$A$2:$A$17=$A156)*(DriverEmp=AD$1),Driver!$C$2:$V$17)</f>
        <v>0</v>
      </c>
      <c r="AE156" s="250">
        <f>SUMPRODUCT((Driver!$A$2:$A$17=$A156)*(DriverEmp=AE$1),Driver!$C$2:$V$17)</f>
        <v>0</v>
      </c>
      <c r="AF156" s="250">
        <f>SUMPRODUCT((Driver!$A$2:$A$17=$A156)*(DriverEmp=AF$1),Driver!$C$2:$V$17)</f>
        <v>0</v>
      </c>
      <c r="AG156" s="250">
        <f>SUMPRODUCT((Driver!$A$2:$A$17=$A156)*(DriverEmp=AG$1),Driver!$C$2:$V$17)</f>
        <v>0</v>
      </c>
      <c r="AH156" s="250">
        <f>SUMPRODUCT((Driver!$A$2:$A$17=$A156)*(DriverEmp=AH$1),Driver!$C$2:$V$17)</f>
        <v>0</v>
      </c>
      <c r="AI156" s="250">
        <f>SUMPRODUCT((Driver!$A$2:$A$17=$A156)*(DriverEmp=AI$1),Driver!$C$2:$V$17)</f>
        <v>0</v>
      </c>
      <c r="AJ156" s="250">
        <f>SUMPRODUCT((Driver!$A$2:$A$17=$A156)*(DriverEmp=AJ$1),Driver!$C$2:$V$17)</f>
        <v>0</v>
      </c>
      <c r="AK156" s="250">
        <f>SUMPRODUCT((Driver!$A$2:$A$17=$A156)*(DriverEmp=AK$1),Driver!$C$2:$V$17)</f>
        <v>0</v>
      </c>
      <c r="AL156" s="250">
        <f>SUMPRODUCT((Driver!$A$2:$A$17=$A156)*(DriverEmp=AL$1),Driver!$C$2:$V$17)</f>
        <v>0</v>
      </c>
      <c r="AM156" s="250">
        <f>SUMPRODUCT((Driver!$A$2:$A$17=$A156)*(DriverEmp=AM$1),Driver!$C$2:$V$17)</f>
        <v>0</v>
      </c>
      <c r="AN156" s="250">
        <f>SUMPRODUCT((Driver!$A$2:$A$17=$A156)*(DriverEmp=AN$1),Driver!$C$2:$V$17)</f>
        <v>0</v>
      </c>
      <c r="AO156" s="250">
        <f>SUMPRODUCT((Driver!$A$2:$A$17=$A156)*(DriverEmp=AO$1),Driver!$C$2:$V$17)</f>
        <v>0</v>
      </c>
      <c r="AP156" s="250">
        <f>SUMPRODUCT((Driver!$A$2:$A$17=$A156)*(DriverEmp=AP$1),Driver!$C$2:$V$17)</f>
        <v>0</v>
      </c>
      <c r="AQ156" s="250">
        <f>SUMPRODUCT((Driver!$A$2:$A$17=$A156)*(DriverEmp=AQ$1),Driver!$C$2:$V$17)</f>
        <v>0</v>
      </c>
      <c r="AR156" s="496">
        <f>SUMPRODUCT((Driver!$A$2:$A$17=$A156)*(DriverEmp=AR$1),Driver!$C$2:$V$17)</f>
        <v>0</v>
      </c>
    </row>
    <row r="157" spans="1:44" s="271" customFormat="1" x14ac:dyDescent="0.2">
      <c r="A157" s="247">
        <f t="shared" ref="A157:A166" si="98">A156</f>
        <v>42475</v>
      </c>
      <c r="B157" s="251" t="str">
        <f>Total!$H$1</f>
        <v>PP</v>
      </c>
      <c r="C157" s="249">
        <f>SUMPRODUCT((PP!$A$2:$A$80=$A157)*(PPEmp=C$1),PP!$D$2:$BD$80)</f>
        <v>0</v>
      </c>
      <c r="D157" s="250">
        <f>SUMPRODUCT((PP!$A$2:$A$80=$A157)*(PPEmp=D$1),PP!$D$2:$BD$80)</f>
        <v>0</v>
      </c>
      <c r="E157" s="250">
        <f>SUMPRODUCT((PP!$A$2:$A$80=$A157)*(PPEmp=E$1),PP!$D$2:$BD$80)</f>
        <v>0</v>
      </c>
      <c r="F157" s="250">
        <f>SUMPRODUCT((PP!$A$2:$A$80=$A157)*(PPEmp=F$1),PP!$D$2:$BD$80)</f>
        <v>0</v>
      </c>
      <c r="G157" s="250">
        <f>SUMPRODUCT((PP!$A$2:$A$80=$A157)*(PPEmp=G$1),PP!$D$2:$BD$80)</f>
        <v>0</v>
      </c>
      <c r="H157" s="250">
        <f>SUMPRODUCT((PP!$A$2:$A$80=$A157)*(PPEmp=H$1),PP!$D$2:$BD$80)</f>
        <v>0</v>
      </c>
      <c r="I157" s="250">
        <f>SUMPRODUCT((PP!$A$2:$A$80=$A157)*(PPEmp=I$1),PP!$D$2:$BD$80)</f>
        <v>0</v>
      </c>
      <c r="J157" s="250">
        <f>SUMPRODUCT((PP!$A$2:$A$80=$A157)*(PPEmp=J$1),PP!$D$2:$BD$80)</f>
        <v>0</v>
      </c>
      <c r="K157" s="250">
        <f>SUMPRODUCT((PP!$A$2:$A$80=$A157)*(PPEmp=K$1),PP!$D$2:$BD$80)</f>
        <v>0</v>
      </c>
      <c r="L157" s="250">
        <f>SUMPRODUCT((PP!$A$2:$A$80=$A157)*(PPEmp=L$1),PP!$D$2:$BD$80)</f>
        <v>0</v>
      </c>
      <c r="M157" s="250">
        <f>SUMPRODUCT((PP!$A$2:$A$80=$A157)*(PPEmp=M$1),PP!$D$2:$BD$80)</f>
        <v>0</v>
      </c>
      <c r="N157" s="250">
        <f>SUMPRODUCT((PP!$A$2:$A$80=$A157)*(PPEmp=N$1),PP!$D$2:$BD$80)</f>
        <v>0</v>
      </c>
      <c r="O157" s="250">
        <f>SUMPRODUCT((PP!$A$2:$A$80=$A157)*(PPEmp=O$1),PP!$D$2:$BD$80)</f>
        <v>0</v>
      </c>
      <c r="P157" s="250">
        <f>SUMPRODUCT((PP!$A$2:$A$80=$A157)*(PPEmp=P$1),PP!$D$2:$BD$80)</f>
        <v>0</v>
      </c>
      <c r="Q157" s="250">
        <f>SUMPRODUCT((PP!$A$2:$A$80=$A157)*(PPEmp=Q$1),PP!$D$2:$BD$80)</f>
        <v>0</v>
      </c>
      <c r="R157" s="250">
        <f>SUMPRODUCT((PP!$A$2:$A$80=$A157)*(PPEmp=R$1),PP!$D$2:$BD$80)</f>
        <v>0</v>
      </c>
      <c r="S157" s="250">
        <f>SUMPRODUCT((PP!$A$2:$A$80=$A157)*(PPEmp=S$1),PP!$D$2:$BD$80)</f>
        <v>0</v>
      </c>
      <c r="T157" s="250">
        <f>SUMPRODUCT((PP!$A$2:$A$80=$A157)*(PPEmp=T$1),PP!$D$2:$BD$80)</f>
        <v>0</v>
      </c>
      <c r="U157" s="250">
        <f>SUMPRODUCT((PP!$A$2:$A$80=$A157)*(PPEmp=U$1),PP!$D$2:$BD$80)</f>
        <v>0</v>
      </c>
      <c r="V157" s="250">
        <f>SUMPRODUCT((PP!$A$2:$A$80=$A157)*(PPEmp=V$1),PP!$D$2:$BD$80)</f>
        <v>0</v>
      </c>
      <c r="W157" s="250">
        <f>SUMPRODUCT((PP!$A$2:$A$80=$A157)*(PPEmp=W$1),PP!$D$2:$BD$80)</f>
        <v>0</v>
      </c>
      <c r="X157" s="250">
        <f>SUMPRODUCT((PP!$A$2:$A$80=$A157)*(PPEmp=X$1),PP!$D$2:$BD$80)</f>
        <v>0</v>
      </c>
      <c r="Y157" s="250">
        <f>SUMPRODUCT((PP!$A$2:$A$80=$A157)*(PPEmp=Y$1),PP!$D$2:$BD$80)</f>
        <v>0</v>
      </c>
      <c r="Z157" s="250">
        <f>SUMPRODUCT((PP!$A$2:$A$80=$A157)*(PPEmp=Z$1),PP!$D$2:$BD$80)</f>
        <v>0</v>
      </c>
      <c r="AA157" s="250">
        <f>SUMPRODUCT((PP!$A$2:$A$80=$A157)*(PPEmp=AA$1),PP!$D$2:$BD$80)</f>
        <v>0</v>
      </c>
      <c r="AB157" s="250">
        <f>SUMPRODUCT((PP!$A$2:$A$80=$A157)*(PPEmp=AB$1),PP!$D$2:$BD$80)</f>
        <v>0</v>
      </c>
      <c r="AC157" s="250">
        <f>SUMPRODUCT((PP!$A$2:$A$80=$A157)*(PPEmp=AC$1),PP!$D$2:$BD$80)</f>
        <v>0</v>
      </c>
      <c r="AD157" s="250">
        <f>SUMPRODUCT((PP!$A$2:$A$80=$A157)*(PPEmp=AD$1),PP!$D$2:$BD$80)</f>
        <v>0</v>
      </c>
      <c r="AE157" s="250">
        <f>SUMPRODUCT((PP!$A$2:$A$80=$A157)*(PPEmp=AE$1),PP!$D$2:$BD$80)</f>
        <v>0</v>
      </c>
      <c r="AF157" s="250">
        <f>SUMPRODUCT((PP!$A$2:$A$80=$A157)*(PPEmp=AF$1),PP!$D$2:$BD$80)</f>
        <v>0</v>
      </c>
      <c r="AG157" s="250">
        <f>SUMPRODUCT((PP!$A$2:$A$80=$A157)*(PPEmp=AG$1),PP!$D$2:$BD$80)</f>
        <v>0</v>
      </c>
      <c r="AH157" s="250">
        <f>SUMPRODUCT((PP!$A$2:$A$80=$A157)*(PPEmp=AH$1),PP!$D$2:$BD$80)</f>
        <v>0</v>
      </c>
      <c r="AI157" s="250">
        <f>SUMPRODUCT((PP!$A$2:$A$80=$A157)*(PPEmp=AI$1),PP!$D$2:$BD$80)</f>
        <v>0</v>
      </c>
      <c r="AJ157" s="250">
        <f>SUMPRODUCT((PP!$A$2:$A$80=$A157)*(PPEmp=AJ$1),PP!$D$2:$BD$80)</f>
        <v>0</v>
      </c>
      <c r="AK157" s="250">
        <f>SUMPRODUCT((PP!$A$2:$A$80=$A157)*(PPEmp=AK$1),PP!$D$2:$BD$80)</f>
        <v>0</v>
      </c>
      <c r="AL157" s="250">
        <f>SUMPRODUCT((PP!$A$2:$A$80=$A157)*(PPEmp=AL$1),PP!$D$2:$BD$80)</f>
        <v>0</v>
      </c>
      <c r="AM157" s="250">
        <f>SUMPRODUCT((PP!$A$2:$A$80=$A157)*(PPEmp=AM$1),PP!$D$2:$BD$80)</f>
        <v>0</v>
      </c>
      <c r="AN157" s="250">
        <f>SUMPRODUCT((PP!$A$2:$A$80=$A157)*(PPEmp=AN$1),PP!$D$2:$BD$80)</f>
        <v>0</v>
      </c>
      <c r="AO157" s="250">
        <f>SUMPRODUCT((PP!$A$2:$A$80=$A157)*(PPEmp=AO$1),PP!$D$2:$BD$80)</f>
        <v>0</v>
      </c>
      <c r="AP157" s="250">
        <f>SUMPRODUCT((PP!$A$2:$A$80=$A157)*(PPEmp=AP$1),PP!$D$2:$BD$80)</f>
        <v>0</v>
      </c>
      <c r="AQ157" s="250">
        <f>SUMPRODUCT((PP!$A$2:$A$80=$A157)*(PPEmp=AQ$1),PP!$D$2:$BD$80)</f>
        <v>0</v>
      </c>
      <c r="AR157" s="496">
        <f>SUMPRODUCT((PP!$A$2:$A$80=$A157)*(PPEmp=AR$1),PP!$D$2:$BD$80)</f>
        <v>0</v>
      </c>
    </row>
    <row r="158" spans="1:44" s="271" customFormat="1" x14ac:dyDescent="0.2">
      <c r="A158" s="247">
        <f t="shared" si="98"/>
        <v>42475</v>
      </c>
      <c r="B158" s="252" t="str">
        <f>Total!$J$1</f>
        <v>FH</v>
      </c>
      <c r="C158" s="249">
        <f>SUMPRODUCT((FH!$A$2:$A$97=$A158)*(FHEmp=C$1),FH!$E$2:$AZ$97)</f>
        <v>0</v>
      </c>
      <c r="D158" s="250">
        <f>SUMPRODUCT((FH!$A$2:$A$97=$A158)*(FHEmp=D$1),FH!$E$2:$AZ$97)</f>
        <v>0</v>
      </c>
      <c r="E158" s="250">
        <f>SUMPRODUCT((FH!$A$2:$A$97=$A158)*(FHEmp=E$1),FH!$E$2:$AZ$97)</f>
        <v>0</v>
      </c>
      <c r="F158" s="250">
        <f>SUMPRODUCT((FH!$A$2:$A$97=$A158)*(FHEmp=F$1),FH!$E$2:$AZ$97)</f>
        <v>0</v>
      </c>
      <c r="G158" s="250">
        <f>SUMPRODUCT((FH!$A$2:$A$97=$A158)*(FHEmp=G$1),FH!$E$2:$AZ$97)</f>
        <v>0</v>
      </c>
      <c r="H158" s="250">
        <f>SUMPRODUCT((FH!$A$2:$A$97=$A158)*(FHEmp=H$1),FH!$E$2:$AZ$97)</f>
        <v>0</v>
      </c>
      <c r="I158" s="250">
        <f>SUMPRODUCT((FH!$A$2:$A$97=$A158)*(FHEmp=I$1),FH!$E$2:$AZ$97)</f>
        <v>0</v>
      </c>
      <c r="J158" s="250">
        <f>SUMPRODUCT((FH!$A$2:$A$97=$A158)*(FHEmp=J$1),FH!$E$2:$AZ$97)</f>
        <v>0</v>
      </c>
      <c r="K158" s="250">
        <f>SUMPRODUCT((FH!$A$2:$A$97=$A158)*(FHEmp=K$1),FH!$E$2:$AZ$97)</f>
        <v>0</v>
      </c>
      <c r="L158" s="250">
        <f>SUMPRODUCT((FH!$A$2:$A$97=$A158)*(FHEmp=L$1),FH!$E$2:$AZ$97)</f>
        <v>0</v>
      </c>
      <c r="M158" s="250">
        <f>SUMPRODUCT((FH!$A$2:$A$97=$A158)*(FHEmp=M$1),FH!$E$2:$AZ$97)</f>
        <v>0</v>
      </c>
      <c r="N158" s="250">
        <f>SUMPRODUCT((FH!$A$2:$A$97=$A158)*(FHEmp=N$1),FH!$E$2:$AZ$97)</f>
        <v>0</v>
      </c>
      <c r="O158" s="250">
        <f>SUMPRODUCT((FH!$A$2:$A$97=$A158)*(FHEmp=O$1),FH!$E$2:$AZ$97)</f>
        <v>0</v>
      </c>
      <c r="P158" s="250">
        <f>SUMPRODUCT((FH!$A$2:$A$97=$A158)*(FHEmp=P$1),FH!$E$2:$AZ$97)</f>
        <v>0</v>
      </c>
      <c r="Q158" s="250">
        <f>SUMPRODUCT((FH!$A$2:$A$97=$A158)*(FHEmp=Q$1),FH!$E$2:$AZ$97)</f>
        <v>0</v>
      </c>
      <c r="R158" s="250">
        <f>SUMPRODUCT((FH!$A$2:$A$97=$A158)*(FHEmp=R$1),FH!$E$2:$AZ$97)</f>
        <v>0</v>
      </c>
      <c r="S158" s="250">
        <f>SUMPRODUCT((FH!$A$2:$A$97=$A158)*(FHEmp=S$1),FH!$E$2:$AZ$97)</f>
        <v>0</v>
      </c>
      <c r="T158" s="250">
        <f>SUMPRODUCT((FH!$A$2:$A$97=$A158)*(FHEmp=T$1),FH!$E$2:$AZ$97)</f>
        <v>0</v>
      </c>
      <c r="U158" s="250">
        <f>SUMPRODUCT((FH!$A$2:$A$97=$A158)*(FHEmp=U$1),FH!$E$2:$AZ$97)</f>
        <v>0</v>
      </c>
      <c r="V158" s="250">
        <f>SUMPRODUCT((FH!$A$2:$A$97=$A158)*(FHEmp=V$1),FH!$E$2:$AZ$97)</f>
        <v>0</v>
      </c>
      <c r="W158" s="250">
        <f>SUMPRODUCT((FH!$A$2:$A$97=$A158)*(FHEmp=W$1),FH!$E$2:$AZ$97)</f>
        <v>0</v>
      </c>
      <c r="X158" s="250">
        <f>SUMPRODUCT((FH!$A$2:$A$97=$A158)*(FHEmp=X$1),FH!$E$2:$AZ$97)</f>
        <v>0</v>
      </c>
      <c r="Y158" s="250">
        <f>SUMPRODUCT((FH!$A$2:$A$97=$A158)*(FHEmp=Y$1),FH!$E$2:$AZ$97)</f>
        <v>0</v>
      </c>
      <c r="Z158" s="250">
        <f>SUMPRODUCT((FH!$A$2:$A$97=$A158)*(FHEmp=Z$1),FH!$E$2:$AZ$97)</f>
        <v>0</v>
      </c>
      <c r="AA158" s="250">
        <f>SUMPRODUCT((FH!$A$2:$A$97=$A158)*(FHEmp=AA$1),FH!$E$2:$AZ$97)</f>
        <v>0</v>
      </c>
      <c r="AB158" s="250">
        <f>SUMPRODUCT((FH!$A$2:$A$97=$A158)*(FHEmp=AB$1),FH!$E$2:$AZ$97)</f>
        <v>0</v>
      </c>
      <c r="AC158" s="250">
        <f>SUMPRODUCT((FH!$A$2:$A$97=$A158)*(FHEmp=AC$1),FH!$E$2:$AZ$97)</f>
        <v>0</v>
      </c>
      <c r="AD158" s="250">
        <f>SUMPRODUCT((FH!$A$2:$A$97=$A158)*(FHEmp=AD$1),FH!$E$2:$AZ$97)</f>
        <v>0</v>
      </c>
      <c r="AE158" s="250">
        <f>SUMPRODUCT((FH!$A$2:$A$97=$A158)*(FHEmp=AE$1),FH!$E$2:$AZ$97)</f>
        <v>0</v>
      </c>
      <c r="AF158" s="250">
        <f>SUMPRODUCT((FH!$A$2:$A$97=$A158)*(FHEmp=AF$1),FH!$E$2:$AZ$97)</f>
        <v>0</v>
      </c>
      <c r="AG158" s="250">
        <f>SUMPRODUCT((FH!$A$2:$A$97=$A158)*(FHEmp=AG$1),FH!$E$2:$AZ$97)</f>
        <v>0</v>
      </c>
      <c r="AH158" s="250">
        <f>SUMPRODUCT((FH!$A$2:$A$97=$A158)*(FHEmp=AH$1),FH!$E$2:$AZ$97)</f>
        <v>0</v>
      </c>
      <c r="AI158" s="250">
        <f>SUMPRODUCT((FH!$A$2:$A$97=$A158)*(FHEmp=AI$1),FH!$E$2:$AZ$97)</f>
        <v>0</v>
      </c>
      <c r="AJ158" s="250">
        <f>SUMPRODUCT((FH!$A$2:$A$97=$A158)*(FHEmp=AJ$1),FH!$E$2:$AZ$97)</f>
        <v>0</v>
      </c>
      <c r="AK158" s="250">
        <f>SUMPRODUCT((FH!$A$2:$A$97=$A158)*(FHEmp=AK$1),FH!$E$2:$AZ$97)</f>
        <v>0</v>
      </c>
      <c r="AL158" s="250">
        <f>SUMPRODUCT((FH!$A$2:$A$97=$A158)*(FHEmp=AL$1),FH!$E$2:$AZ$97)</f>
        <v>0</v>
      </c>
      <c r="AM158" s="250">
        <f>SUMPRODUCT((FH!$A$2:$A$97=$A158)*(FHEmp=AM$1),FH!$E$2:$AZ$97)</f>
        <v>0</v>
      </c>
      <c r="AN158" s="250">
        <f>SUMPRODUCT((FH!$A$2:$A$97=$A158)*(FHEmp=AN$1),FH!$E$2:$AZ$97)</f>
        <v>0</v>
      </c>
      <c r="AO158" s="250">
        <f>SUMPRODUCT((FH!$A$2:$A$97=$A158)*(FHEmp=AO$1),FH!$E$2:$AZ$97)</f>
        <v>0</v>
      </c>
      <c r="AP158" s="250">
        <f>SUMPRODUCT((FH!$A$2:$A$97=$A158)*(FHEmp=AP$1),FH!$E$2:$AZ$97)</f>
        <v>0</v>
      </c>
      <c r="AQ158" s="250">
        <f>SUMPRODUCT((FH!$A$2:$A$97=$A158)*(FHEmp=AQ$1),FH!$E$2:$AZ$97)</f>
        <v>0</v>
      </c>
      <c r="AR158" s="496">
        <f>SUMPRODUCT((FH!$A$2:$A$97=$A158)*(FHEmp=AR$1),FH!$E$2:$AZ$97)</f>
        <v>0</v>
      </c>
    </row>
    <row r="159" spans="1:44" s="271" customFormat="1" x14ac:dyDescent="0.2">
      <c r="A159" s="247">
        <f t="shared" si="98"/>
        <v>42475</v>
      </c>
      <c r="B159" s="253" t="str">
        <f>Total!$K$1</f>
        <v>T22</v>
      </c>
      <c r="C159" s="249">
        <f>SUMPRODUCT(('T22'!$A$2:$A$97=$A159)*(T22Emp=C$1),'T22'!$E$2:$AZ$97)</f>
        <v>0</v>
      </c>
      <c r="D159" s="250">
        <f>SUMPRODUCT(('T22'!$A$2:$A$97=$A159)*(T22Emp=D$1),'T22'!$E$2:$AZ$97)</f>
        <v>0</v>
      </c>
      <c r="E159" s="250">
        <f>SUMPRODUCT(('T22'!$A$2:$A$97=$A159)*(T22Emp=E$1),'T22'!$E$2:$AZ$97)</f>
        <v>0</v>
      </c>
      <c r="F159" s="250">
        <f>SUMPRODUCT(('T22'!$A$2:$A$97=$A159)*(T22Emp=F$1),'T22'!$E$2:$AZ$97)</f>
        <v>0</v>
      </c>
      <c r="G159" s="250">
        <f>SUMPRODUCT(('T22'!$A$2:$A$97=$A159)*(T22Emp=G$1),'T22'!$E$2:$AZ$97)</f>
        <v>0</v>
      </c>
      <c r="H159" s="250">
        <f>SUMPRODUCT(('T22'!$A$2:$A$97=$A159)*(T22Emp=H$1),'T22'!$E$2:$AZ$97)</f>
        <v>0</v>
      </c>
      <c r="I159" s="250">
        <f>SUMPRODUCT(('T22'!$A$2:$A$97=$A159)*(T22Emp=I$1),'T22'!$E$2:$AZ$97)</f>
        <v>0</v>
      </c>
      <c r="J159" s="250">
        <f>SUMPRODUCT(('T22'!$A$2:$A$97=$A159)*(T22Emp=J$1),'T22'!$E$2:$AZ$97)</f>
        <v>0</v>
      </c>
      <c r="K159" s="250">
        <f>SUMPRODUCT(('T22'!$A$2:$A$97=$A159)*(T22Emp=K$1),'T22'!$E$2:$AZ$97)</f>
        <v>0</v>
      </c>
      <c r="L159" s="250">
        <f>SUMPRODUCT(('T22'!$A$2:$A$97=$A159)*(T22Emp=L$1),'T22'!$E$2:$AZ$97)</f>
        <v>0</v>
      </c>
      <c r="M159" s="250">
        <f>SUMPRODUCT(('T22'!$A$2:$A$97=$A159)*(T22Emp=M$1),'T22'!$E$2:$AZ$97)</f>
        <v>0</v>
      </c>
      <c r="N159" s="250">
        <f>SUMPRODUCT(('T22'!$A$2:$A$97=$A159)*(T22Emp=N$1),'T22'!$E$2:$AZ$97)</f>
        <v>0</v>
      </c>
      <c r="O159" s="250">
        <f>SUMPRODUCT(('T22'!$A$2:$A$97=$A159)*(T22Emp=O$1),'T22'!$E$2:$AZ$97)</f>
        <v>0</v>
      </c>
      <c r="P159" s="250">
        <f>SUMPRODUCT(('T22'!$A$2:$A$97=$A159)*(T22Emp=P$1),'T22'!$E$2:$AZ$97)</f>
        <v>0</v>
      </c>
      <c r="Q159" s="250">
        <f>SUMPRODUCT(('T22'!$A$2:$A$97=$A159)*(T22Emp=Q$1),'T22'!$E$2:$AZ$97)</f>
        <v>0</v>
      </c>
      <c r="R159" s="250">
        <f>SUMPRODUCT(('T22'!$A$2:$A$97=$A159)*(T22Emp=R$1),'T22'!$E$2:$AZ$97)</f>
        <v>0</v>
      </c>
      <c r="S159" s="250">
        <f>SUMPRODUCT(('T22'!$A$2:$A$97=$A159)*(T22Emp=S$1),'T22'!$E$2:$AZ$97)</f>
        <v>0</v>
      </c>
      <c r="T159" s="250">
        <f>SUMPRODUCT(('T22'!$A$2:$A$97=$A159)*(T22Emp=T$1),'T22'!$E$2:$AZ$97)</f>
        <v>0</v>
      </c>
      <c r="U159" s="250">
        <f>SUMPRODUCT(('T22'!$A$2:$A$97=$A159)*(T22Emp=U$1),'T22'!$E$2:$AZ$97)</f>
        <v>0</v>
      </c>
      <c r="V159" s="250">
        <f>SUMPRODUCT(('T22'!$A$2:$A$97=$A159)*(T22Emp=V$1),'T22'!$E$2:$AZ$97)</f>
        <v>0</v>
      </c>
      <c r="W159" s="250">
        <f>SUMPRODUCT(('T22'!$A$2:$A$97=$A159)*(T22Emp=W$1),'T22'!$E$2:$AZ$97)</f>
        <v>0</v>
      </c>
      <c r="X159" s="250">
        <f>SUMPRODUCT(('T22'!$A$2:$A$97=$A159)*(T22Emp=X$1),'T22'!$E$2:$AZ$97)</f>
        <v>0</v>
      </c>
      <c r="Y159" s="250">
        <f>SUMPRODUCT(('T22'!$A$2:$A$97=$A159)*(T22Emp=Y$1),'T22'!$E$2:$AZ$97)</f>
        <v>0</v>
      </c>
      <c r="Z159" s="250">
        <f>SUMPRODUCT(('T22'!$A$2:$A$97=$A159)*(T22Emp=Z$1),'T22'!$E$2:$AZ$97)</f>
        <v>0</v>
      </c>
      <c r="AA159" s="250">
        <f>SUMPRODUCT(('T22'!$A$2:$A$97=$A159)*(T22Emp=AA$1),'T22'!$E$2:$AZ$97)</f>
        <v>0</v>
      </c>
      <c r="AB159" s="250">
        <f>SUMPRODUCT(('T22'!$A$2:$A$97=$A159)*(T22Emp=AB$1),'T22'!$E$2:$AZ$97)</f>
        <v>0</v>
      </c>
      <c r="AC159" s="250">
        <f>SUMPRODUCT(('T22'!$A$2:$A$97=$A159)*(T22Emp=AC$1),'T22'!$E$2:$AZ$97)</f>
        <v>0</v>
      </c>
      <c r="AD159" s="250">
        <f>SUMPRODUCT(('T22'!$A$2:$A$97=$A159)*(T22Emp=AD$1),'T22'!$E$2:$AZ$97)</f>
        <v>0</v>
      </c>
      <c r="AE159" s="250">
        <f>SUMPRODUCT(('T22'!$A$2:$A$97=$A159)*(T22Emp=AE$1),'T22'!$E$2:$AZ$97)</f>
        <v>0</v>
      </c>
      <c r="AF159" s="250">
        <f>SUMPRODUCT(('T22'!$A$2:$A$97=$A159)*(T22Emp=AF$1),'T22'!$E$2:$AZ$97)</f>
        <v>0</v>
      </c>
      <c r="AG159" s="250">
        <f>SUMPRODUCT(('T22'!$A$2:$A$97=$A159)*(T22Emp=AG$1),'T22'!$E$2:$AZ$97)</f>
        <v>0</v>
      </c>
      <c r="AH159" s="250">
        <f>SUMPRODUCT(('T22'!$A$2:$A$97=$A159)*(T22Emp=AH$1),'T22'!$E$2:$AZ$97)</f>
        <v>0</v>
      </c>
      <c r="AI159" s="250">
        <f>SUMPRODUCT(('T22'!$A$2:$A$97=$A159)*(T22Emp=AI$1),'T22'!$E$2:$AZ$97)</f>
        <v>0</v>
      </c>
      <c r="AJ159" s="250">
        <f>SUMPRODUCT(('T22'!$A$2:$A$97=$A159)*(T22Emp=AJ$1),'T22'!$E$2:$AZ$97)</f>
        <v>0</v>
      </c>
      <c r="AK159" s="250">
        <f>SUMPRODUCT(('T22'!$A$2:$A$97=$A159)*(T22Emp=AK$1),'T22'!$E$2:$AZ$97)</f>
        <v>0</v>
      </c>
      <c r="AL159" s="250">
        <f>SUMPRODUCT(('T22'!$A$2:$A$97=$A159)*(T22Emp=AL$1),'T22'!$E$2:$AZ$97)</f>
        <v>0</v>
      </c>
      <c r="AM159" s="250">
        <f>SUMPRODUCT(('T22'!$A$2:$A$97=$A159)*(T22Emp=AM$1),'T22'!$E$2:$AZ$97)</f>
        <v>0</v>
      </c>
      <c r="AN159" s="250">
        <f>SUMPRODUCT(('T22'!$A$2:$A$97=$A159)*(T22Emp=AN$1),'T22'!$E$2:$AZ$97)</f>
        <v>0</v>
      </c>
      <c r="AO159" s="250">
        <f>SUMPRODUCT(('T22'!$A$2:$A$97=$A159)*(T22Emp=AO$1),'T22'!$E$2:$AZ$97)</f>
        <v>0</v>
      </c>
      <c r="AP159" s="250">
        <f>SUMPRODUCT(('T22'!$A$2:$A$97=$A159)*(T22Emp=AP$1),'T22'!$E$2:$AZ$97)</f>
        <v>0</v>
      </c>
      <c r="AQ159" s="250">
        <f>SUMPRODUCT(('T22'!$A$2:$A$97=$A159)*(T22Emp=AQ$1),'T22'!$E$2:$AZ$97)</f>
        <v>0</v>
      </c>
      <c r="AR159" s="496">
        <f>SUMPRODUCT(('T22'!$A$2:$A$97=$A159)*(T22Emp=AR$1),'T22'!$E$2:$AZ$97)</f>
        <v>0</v>
      </c>
    </row>
    <row r="160" spans="1:44" s="271" customFormat="1" x14ac:dyDescent="0.2">
      <c r="A160" s="247">
        <f t="shared" si="98"/>
        <v>42475</v>
      </c>
      <c r="B160" s="254" t="str">
        <f>Total!$L$1</f>
        <v>RF</v>
      </c>
      <c r="C160" s="249">
        <f>SUMPRODUCT((RF!$A$2:$A$17=$A160)*(RFEmp=C$1)*(RF!$H$21:$AO$21="RF Valet"),RF!$H$2:$AO$17)</f>
        <v>0</v>
      </c>
      <c r="D160" s="250">
        <f>SUMPRODUCT((RF!$A$2:$A$17=$A160)*(RFEmp=D$1)*(RF!$H$21:$AO$21="RF Valet"),RF!$H$2:$AO$17)</f>
        <v>0</v>
      </c>
      <c r="E160" s="250">
        <f>SUMPRODUCT((RF!$A$2:$A$17=$A160)*(RFEmp=E$1)*(RF!$H$21:$AO$21="RF Valet"),RF!$H$2:$AO$17)</f>
        <v>0</v>
      </c>
      <c r="F160" s="250">
        <f>SUMPRODUCT((RF!$A$2:$A$17=$A160)*(RFEmp=F$1)*(RF!$H$21:$AO$21="RF Valet"),RF!$H$2:$AO$17)</f>
        <v>0</v>
      </c>
      <c r="G160" s="250">
        <f>SUMPRODUCT((RF!$A$2:$A$17=$A160)*(RFEmp=G$1)*(RF!$H$21:$AO$21="RF Valet"),RF!$H$2:$AO$17)</f>
        <v>0</v>
      </c>
      <c r="H160" s="250">
        <f>SUMPRODUCT((RF!$A$2:$A$17=$A160)*(RFEmp=H$1)*(RF!$H$21:$AO$21="RF Valet"),RF!$H$2:$AO$17)</f>
        <v>0</v>
      </c>
      <c r="I160" s="250">
        <f>SUMPRODUCT((RF!$A$2:$A$17=$A160)*(RFEmp=I$1)*(RF!$H$21:$AO$21="RF Valet"),RF!$H$2:$AO$17)</f>
        <v>0</v>
      </c>
      <c r="J160" s="250">
        <f>SUMPRODUCT((RF!$A$2:$A$17=$A160)*(RFEmp=J$1)*(RF!$H$21:$AO$21="RF Valet"),RF!$H$2:$AO$17)</f>
        <v>0</v>
      </c>
      <c r="K160" s="250">
        <f>SUMPRODUCT((RF!$A$2:$A$17=$A160)*(RFEmp=K$1)*(RF!$H$21:$AO$21="RF Valet"),RF!$H$2:$AO$17)</f>
        <v>0</v>
      </c>
      <c r="L160" s="250">
        <f>SUMPRODUCT((RF!$A$2:$A$17=$A160)*(RFEmp=L$1)*(RF!$H$21:$AO$21="RF Valet"),RF!$H$2:$AO$17)</f>
        <v>0</v>
      </c>
      <c r="M160" s="250">
        <f>SUMPRODUCT((RF!$A$2:$A$17=$A160)*(RFEmp=M$1)*(RF!$H$21:$AO$21="RF Valet"),RF!$H$2:$AO$17)</f>
        <v>0</v>
      </c>
      <c r="N160" s="250">
        <f>SUMPRODUCT((RF!$A$2:$A$17=$A160)*(RFEmp=N$1)*(RF!$H$21:$AO$21="RF Valet"),RF!$H$2:$AO$17)</f>
        <v>0</v>
      </c>
      <c r="O160" s="250">
        <f>SUMPRODUCT((RF!$A$2:$A$17=$A160)*(RFEmp=O$1)*(RF!$H$21:$AO$21="RF Valet"),RF!$H$2:$AO$17)</f>
        <v>0</v>
      </c>
      <c r="P160" s="250">
        <f>SUMPRODUCT((RF!$A$2:$A$17=$A160)*(RFEmp=P$1)*(RF!$H$21:$AO$21="RF Valet"),RF!$H$2:$AO$17)</f>
        <v>0</v>
      </c>
      <c r="Q160" s="250">
        <f>SUMPRODUCT((RF!$A$2:$A$17=$A160)*(RFEmp=Q$1)*(RF!$H$21:$AO$21="RF Valet"),RF!$H$2:$AO$17)</f>
        <v>0</v>
      </c>
      <c r="R160" s="250">
        <f>SUMPRODUCT((RF!$A$2:$A$17=$A160)*(RFEmp=R$1)*(RF!$H$21:$AO$21="RF Valet"),RF!$H$2:$AO$17)</f>
        <v>0</v>
      </c>
      <c r="S160" s="250">
        <f>SUMPRODUCT((RF!$A$2:$A$17=$A160)*(RFEmp=S$1)*(RF!$H$21:$AO$21="RF Valet"),RF!$H$2:$AO$17)</f>
        <v>0</v>
      </c>
      <c r="T160" s="250">
        <f>SUMPRODUCT((RF!$A$2:$A$17=$A160)*(RFEmp=T$1)*(RF!$H$21:$AO$21="RF Valet"),RF!$H$2:$AO$17)</f>
        <v>0</v>
      </c>
      <c r="U160" s="250">
        <f>SUMPRODUCT((RF!$A$2:$A$17=$A160)*(RFEmp=U$1)*(RF!$H$21:$AO$21="RF Valet"),RF!$H$2:$AO$17)</f>
        <v>0</v>
      </c>
      <c r="V160" s="250">
        <f>SUMPRODUCT((RF!$A$2:$A$17=$A160)*(RFEmp=V$1)*(RF!$H$21:$AO$21="RF Valet"),RF!$H$2:$AO$17)</f>
        <v>0</v>
      </c>
      <c r="W160" s="250">
        <f>SUMPRODUCT((RF!$A$2:$A$17=$A160)*(RFEmp=W$1)*(RF!$H$21:$AO$21="RF Valet"),RF!$H$2:$AO$17)</f>
        <v>0</v>
      </c>
      <c r="X160" s="250">
        <f>SUMPRODUCT((RF!$A$2:$A$17=$A160)*(RFEmp=X$1)*(RF!$H$21:$AO$21="RF Valet"),RF!$H$2:$AO$17)</f>
        <v>0</v>
      </c>
      <c r="Y160" s="250">
        <f>SUMPRODUCT((RF!$A$2:$A$17=$A160)*(RFEmp=Y$1)*(RF!$H$21:$AO$21="RF Valet"),RF!$H$2:$AO$17)</f>
        <v>0</v>
      </c>
      <c r="Z160" s="250">
        <f>SUMPRODUCT((RF!$A$2:$A$17=$A160)*(RFEmp=Z$1)*(RF!$H$21:$AO$21="RF Valet"),RF!$H$2:$AO$17)</f>
        <v>0</v>
      </c>
      <c r="AA160" s="250">
        <f>SUMPRODUCT((RF!$A$2:$A$17=$A160)*(RFEmp=AA$1)*(RF!$H$21:$AO$21="RF Valet"),RF!$H$2:$AO$17)</f>
        <v>0</v>
      </c>
      <c r="AB160" s="250">
        <f>SUMPRODUCT((RF!$A$2:$A$17=$A160)*(RFEmp=AB$1)*(RF!$H$21:$AO$21="RF Valet"),RF!$H$2:$AO$17)</f>
        <v>0</v>
      </c>
      <c r="AC160" s="250">
        <f>SUMPRODUCT((RF!$A$2:$A$17=$A160)*(RFEmp=AC$1)*(RF!$H$21:$AO$21="RF Valet"),RF!$H$2:$AO$17)</f>
        <v>0</v>
      </c>
      <c r="AD160" s="250">
        <f>SUMPRODUCT((RF!$A$2:$A$17=$A160)*(RFEmp=AD$1)*(RF!$H$21:$AO$21="RF Valet"),RF!$H$2:$AO$17)</f>
        <v>0</v>
      </c>
      <c r="AE160" s="250">
        <f>SUMPRODUCT((RF!$A$2:$A$17=$A160)*(RFEmp=AE$1)*(RF!$H$21:$AO$21="RF Valet"),RF!$H$2:$AO$17)</f>
        <v>0</v>
      </c>
      <c r="AF160" s="250">
        <f>SUMPRODUCT((RF!$A$2:$A$17=$A160)*(RFEmp=AF$1)*(RF!$H$21:$AO$21="RF Valet"),RF!$H$2:$AO$17)</f>
        <v>0</v>
      </c>
      <c r="AG160" s="250">
        <f>SUMPRODUCT((RF!$A$2:$A$17=$A160)*(RFEmp=AG$1)*(RF!$H$21:$AO$21="RF Valet"),RF!$H$2:$AO$17)</f>
        <v>0</v>
      </c>
      <c r="AH160" s="250">
        <f>SUMPRODUCT((RF!$A$2:$A$17=$A160)*(RFEmp=AH$1)*(RF!$H$21:$AO$21="RF Valet"),RF!$H$2:$AO$17)</f>
        <v>0</v>
      </c>
      <c r="AI160" s="250">
        <f>SUMPRODUCT((RF!$A$2:$A$17=$A160)*(RFEmp=AI$1)*(RF!$H$21:$AO$21="RF Valet"),RF!$H$2:$AO$17)</f>
        <v>0</v>
      </c>
      <c r="AJ160" s="250">
        <f>SUMPRODUCT((RF!$A$2:$A$17=$A160)*(RFEmp=AJ$1)*(RF!$H$21:$AO$21="RF Valet"),RF!$H$2:$AO$17)</f>
        <v>0</v>
      </c>
      <c r="AK160" s="250">
        <f>SUMPRODUCT((RF!$A$2:$A$17=$A160)*(RFEmp=AK$1)*(RF!$H$21:$AO$21="RF Valet"),RF!$H$2:$AO$17)</f>
        <v>0</v>
      </c>
      <c r="AL160" s="250">
        <f>SUMPRODUCT((RF!$A$2:$A$17=$A160)*(RFEmp=AL$1)*(RF!$H$21:$AO$21="RF Valet"),RF!$H$2:$AO$17)</f>
        <v>0</v>
      </c>
      <c r="AM160" s="250">
        <f>SUMPRODUCT((RF!$A$2:$A$17=$A160)*(RFEmp=AM$1)*(RF!$H$21:$AO$21="RF Valet"),RF!$H$2:$AO$17)</f>
        <v>0</v>
      </c>
      <c r="AN160" s="250">
        <f>SUMPRODUCT((RF!$A$2:$A$17=$A160)*(RFEmp=AN$1)*(RF!$H$21:$AO$21="RF Valet"),RF!$H$2:$AO$17)</f>
        <v>0</v>
      </c>
      <c r="AO160" s="250">
        <f>SUMPRODUCT((RF!$A$2:$A$17=$A160)*(RFEmp=AO$1)*(RF!$H$21:$AO$21="RF Valet"),RF!$H$2:$AO$17)</f>
        <v>0</v>
      </c>
      <c r="AP160" s="250">
        <f>SUMPRODUCT((RF!$A$2:$A$17=$A160)*(RFEmp=AP$1)*(RF!$H$21:$AO$21="RF Valet"),RF!$H$2:$AO$17)</f>
        <v>0</v>
      </c>
      <c r="AQ160" s="250">
        <f>SUMPRODUCT((RF!$A$2:$A$17=$A160)*(RFEmp=AQ$1)*(RF!$H$21:$AO$21="RF Valet"),RF!$H$2:$AO$17)</f>
        <v>0</v>
      </c>
      <c r="AR160" s="496">
        <f>SUMPRODUCT((RF!$A$2:$A$17=$A160)*(RFEmp=AR$1)*(RF!$H$21:$AO$21="RF Valet"),RF!$H$2:$AO$17)</f>
        <v>0</v>
      </c>
    </row>
    <row r="161" spans="1:44" s="271" customFormat="1" x14ac:dyDescent="0.2">
      <c r="A161" s="247">
        <f>A160</f>
        <v>42475</v>
      </c>
      <c r="B161" s="255" t="s">
        <v>74</v>
      </c>
      <c r="C161" s="249">
        <f>SUMPRODUCT((TM!$A$2:$A$17=$A161)*(TMEmp=C$1),TM!$D$2:$AK$17)</f>
        <v>0</v>
      </c>
      <c r="D161" s="250">
        <f>SUMPRODUCT((TM!$A$2:$A$17=$A161)*(TMEmp=D$1),TM!$D$2:$AK$17)</f>
        <v>0</v>
      </c>
      <c r="E161" s="250">
        <f>SUMPRODUCT((TM!$A$2:$A$17=$A161)*(TMEmp=E$1),TM!$D$2:$AK$17)</f>
        <v>0</v>
      </c>
      <c r="F161" s="250">
        <f>SUMPRODUCT((TM!$A$2:$A$17=$A161)*(TMEmp=F$1),TM!$D$2:$AK$17)</f>
        <v>0</v>
      </c>
      <c r="G161" s="250">
        <f>SUMPRODUCT((TM!$A$2:$A$17=$A161)*(TMEmp=G$1),TM!$D$2:$AK$17)</f>
        <v>0</v>
      </c>
      <c r="H161" s="250">
        <f>SUMPRODUCT((TM!$A$2:$A$17=$A161)*(TMEmp=H$1),TM!$D$2:$AK$17)</f>
        <v>0</v>
      </c>
      <c r="I161" s="250">
        <f>SUMPRODUCT((TM!$A$2:$A$17=$A161)*(TMEmp=I$1),TM!$D$2:$AK$17)</f>
        <v>0</v>
      </c>
      <c r="J161" s="250">
        <f>SUMPRODUCT((TM!$A$2:$A$17=$A161)*(TMEmp=J$1),TM!$D$2:$AK$17)</f>
        <v>0</v>
      </c>
      <c r="K161" s="250">
        <f>SUMPRODUCT((TM!$A$2:$A$17=$A161)*(TMEmp=K$1),TM!$D$2:$AK$17)</f>
        <v>0</v>
      </c>
      <c r="L161" s="250">
        <f>SUMPRODUCT((TM!$A$2:$A$17=$A161)*(TMEmp=L$1),TM!$D$2:$AK$17)</f>
        <v>0</v>
      </c>
      <c r="M161" s="250">
        <f>SUMPRODUCT((TM!$A$2:$A$17=$A161)*(TMEmp=M$1),TM!$D$2:$AK$17)</f>
        <v>0</v>
      </c>
      <c r="N161" s="250">
        <f>SUMPRODUCT((TM!$A$2:$A$17=$A161)*(TMEmp=N$1),TM!$D$2:$AK$17)</f>
        <v>0</v>
      </c>
      <c r="O161" s="250">
        <f>SUMPRODUCT((TM!$A$2:$A$17=$A161)*(TMEmp=O$1),TM!$D$2:$AK$17)</f>
        <v>0</v>
      </c>
      <c r="P161" s="250">
        <f>SUMPRODUCT((TM!$A$2:$A$17=$A161)*(TMEmp=P$1),TM!$D$2:$AK$17)</f>
        <v>0</v>
      </c>
      <c r="Q161" s="250">
        <f>SUMPRODUCT((TM!$A$2:$A$17=$A161)*(TMEmp=Q$1),TM!$D$2:$AK$17)</f>
        <v>0</v>
      </c>
      <c r="R161" s="250">
        <f>SUMPRODUCT((TM!$A$2:$A$17=$A161)*(TMEmp=R$1),TM!$D$2:$AK$17)</f>
        <v>0</v>
      </c>
      <c r="S161" s="250">
        <f>SUMPRODUCT((TM!$A$2:$A$17=$A161)*(TMEmp=S$1),TM!$D$2:$AK$17)</f>
        <v>0</v>
      </c>
      <c r="T161" s="250">
        <f>SUMPRODUCT((TM!$A$2:$A$17=$A161)*(TMEmp=T$1),TM!$D$2:$AK$17)</f>
        <v>0</v>
      </c>
      <c r="U161" s="250">
        <f>SUMPRODUCT((TM!$A$2:$A$17=$A161)*(TMEmp=U$1),TM!$D$2:$AK$17)</f>
        <v>0</v>
      </c>
      <c r="V161" s="250">
        <f>SUMPRODUCT((TM!$A$2:$A$17=$A161)*(TMEmp=V$1),TM!$D$2:$AK$17)</f>
        <v>0</v>
      </c>
      <c r="W161" s="250">
        <f>SUMPRODUCT((TM!$A$2:$A$17=$A161)*(TMEmp=W$1),TM!$D$2:$AK$17)</f>
        <v>0</v>
      </c>
      <c r="X161" s="250">
        <f>SUMPRODUCT((TM!$A$2:$A$17=$A161)*(TMEmp=X$1),TM!$D$2:$AK$17)</f>
        <v>0</v>
      </c>
      <c r="Y161" s="250">
        <f>SUMPRODUCT((TM!$A$2:$A$17=$A161)*(TMEmp=Y$1),TM!$D$2:$AK$17)</f>
        <v>0</v>
      </c>
      <c r="Z161" s="250">
        <f>SUMPRODUCT((TM!$A$2:$A$17=$A161)*(TMEmp=Z$1),TM!$D$2:$AK$17)</f>
        <v>0</v>
      </c>
      <c r="AA161" s="250">
        <f>SUMPRODUCT((TM!$A$2:$A$17=$A161)*(TMEmp=AA$1),TM!$D$2:$AK$17)</f>
        <v>0</v>
      </c>
      <c r="AB161" s="250">
        <f>SUMPRODUCT((TM!$A$2:$A$17=$A161)*(TMEmp=AB$1),TM!$D$2:$AK$17)</f>
        <v>0</v>
      </c>
      <c r="AC161" s="250">
        <f>SUMPRODUCT((TM!$A$2:$A$17=$A161)*(TMEmp=AC$1),TM!$D$2:$AK$17)</f>
        <v>0</v>
      </c>
      <c r="AD161" s="250">
        <f>SUMPRODUCT((TM!$A$2:$A$17=$A161)*(TMEmp=AD$1),TM!$D$2:$AK$17)</f>
        <v>0</v>
      </c>
      <c r="AE161" s="250">
        <f>SUMPRODUCT((TM!$A$2:$A$17=$A161)*(TMEmp=AE$1),TM!$D$2:$AK$17)</f>
        <v>0</v>
      </c>
      <c r="AF161" s="250">
        <f>SUMPRODUCT((TM!$A$2:$A$17=$A161)*(TMEmp=AF$1),TM!$D$2:$AK$17)</f>
        <v>0</v>
      </c>
      <c r="AG161" s="250">
        <f>SUMPRODUCT((TM!$A$2:$A$17=$A161)*(TMEmp=AG$1),TM!$D$2:$AK$17)</f>
        <v>0</v>
      </c>
      <c r="AH161" s="250">
        <f>SUMPRODUCT((TM!$A$2:$A$17=$A161)*(TMEmp=AH$1),TM!$D$2:$AK$17)</f>
        <v>0</v>
      </c>
      <c r="AI161" s="250">
        <f>SUMPRODUCT((TM!$A$2:$A$17=$A161)*(TMEmp=AI$1),TM!$D$2:$AK$17)</f>
        <v>0</v>
      </c>
      <c r="AJ161" s="250">
        <f>SUMPRODUCT((TM!$A$2:$A$17=$A161)*(TMEmp=AJ$1),TM!$D$2:$AK$17)</f>
        <v>0</v>
      </c>
      <c r="AK161" s="250">
        <f>SUMPRODUCT((TM!$A$2:$A$17=$A161)*(TMEmp=AK$1),TM!$D$2:$AK$17)</f>
        <v>0</v>
      </c>
      <c r="AL161" s="250">
        <f>SUMPRODUCT((TM!$A$2:$A$17=$A161)*(TMEmp=AL$1),TM!$D$2:$AK$17)</f>
        <v>0</v>
      </c>
      <c r="AM161" s="250">
        <f>SUMPRODUCT((TM!$A$2:$A$17=$A161)*(TMEmp=AM$1),TM!$D$2:$AK$17)</f>
        <v>0</v>
      </c>
      <c r="AN161" s="250">
        <f>SUMPRODUCT((TM!$A$2:$A$17=$A161)*(TMEmp=AN$1),TM!$D$2:$AK$17)</f>
        <v>0</v>
      </c>
      <c r="AO161" s="250">
        <f>SUMPRODUCT((TM!$A$2:$A$17=$A161)*(TMEmp=AO$1),TM!$D$2:$AK$17)</f>
        <v>0</v>
      </c>
      <c r="AP161" s="250">
        <f>SUMPRODUCT((TM!$A$2:$A$17=$A161)*(TMEmp=AP$1),TM!$D$2:$AK$17)</f>
        <v>0</v>
      </c>
      <c r="AQ161" s="250">
        <f>SUMPRODUCT((TM!$A$2:$A$17=$A161)*(TMEmp=AQ$1),TM!$D$2:$AK$17)</f>
        <v>0</v>
      </c>
      <c r="AR161" s="496">
        <f>SUMPRODUCT((TM!$A$2:$A$17=$A161)*(TMEmp=AR$1),TM!$D$2:$AK$17)</f>
        <v>0</v>
      </c>
    </row>
    <row r="162" spans="1:44" s="271" customFormat="1" x14ac:dyDescent="0.2">
      <c r="A162" s="256">
        <f t="shared" si="98"/>
        <v>42475</v>
      </c>
      <c r="B162" s="257" t="s">
        <v>72</v>
      </c>
      <c r="C162" s="258">
        <f>SUMPRODUCT((PC!$A$2:$A$80=$A162)*(PCEmp=C$1),PC!$D$2:$BD$80)</f>
        <v>0</v>
      </c>
      <c r="D162" s="259">
        <f>SUMPRODUCT((PC!$A$2:$A$80=$A162)*(PCEmp=D$1),PC!$D$2:$BD$80)</f>
        <v>0</v>
      </c>
      <c r="E162" s="259">
        <f>SUMPRODUCT((PC!$A$2:$A$80=$A162)*(PCEmp=E$1),PC!$D$2:$BD$80)</f>
        <v>0</v>
      </c>
      <c r="F162" s="259">
        <f>SUMPRODUCT((PC!$A$2:$A$80=$A162)*(PCEmp=F$1),PC!$D$2:$BD$80)</f>
        <v>0</v>
      </c>
      <c r="G162" s="259">
        <f>SUMPRODUCT((PC!$A$2:$A$80=$A162)*(PCEmp=G$1),PC!$D$2:$BD$80)</f>
        <v>0</v>
      </c>
      <c r="H162" s="259">
        <f>SUMPRODUCT((PC!$A$2:$A$80=$A162)*(PCEmp=H$1),PC!$D$2:$BD$80)</f>
        <v>0</v>
      </c>
      <c r="I162" s="259">
        <f>SUMPRODUCT((PC!$A$2:$A$80=$A162)*(PCEmp=I$1),PC!$D$2:$BD$80)</f>
        <v>0</v>
      </c>
      <c r="J162" s="259">
        <f>SUMPRODUCT((PC!$A$2:$A$80=$A162)*(PCEmp=J$1),PC!$D$2:$BD$80)</f>
        <v>0</v>
      </c>
      <c r="K162" s="259">
        <f>SUMPRODUCT((PC!$A$2:$A$80=$A162)*(PCEmp=K$1),PC!$D$2:$BD$80)</f>
        <v>0</v>
      </c>
      <c r="L162" s="259">
        <f>SUMPRODUCT((PC!$A$2:$A$80=$A162)*(PCEmp=L$1),PC!$D$2:$BD$80)</f>
        <v>0</v>
      </c>
      <c r="M162" s="259">
        <f>SUMPRODUCT((PC!$A$2:$A$80=$A162)*(PCEmp=M$1),PC!$D$2:$BD$80)</f>
        <v>0</v>
      </c>
      <c r="N162" s="259">
        <f>SUMPRODUCT((PC!$A$2:$A$80=$A162)*(PCEmp=N$1),PC!$D$2:$BD$80)</f>
        <v>0</v>
      </c>
      <c r="O162" s="259">
        <f>SUMPRODUCT((PC!$A$2:$A$80=$A162)*(PCEmp=O$1),PC!$D$2:$BD$80)</f>
        <v>0</v>
      </c>
      <c r="P162" s="259">
        <f>SUMPRODUCT((PC!$A$2:$A$80=$A162)*(PCEmp=P$1),PC!$D$2:$BD$80)</f>
        <v>0</v>
      </c>
      <c r="Q162" s="259">
        <f>SUMPRODUCT((PC!$A$2:$A$80=$A162)*(PCEmp=Q$1),PC!$D$2:$BD$80)</f>
        <v>0</v>
      </c>
      <c r="R162" s="259">
        <f>SUMPRODUCT((PC!$A$2:$A$80=$A162)*(PCEmp=R$1),PC!$D$2:$BD$80)</f>
        <v>0</v>
      </c>
      <c r="S162" s="259">
        <f>SUMPRODUCT((PC!$A$2:$A$80=$A162)*(PCEmp=S$1),PC!$D$2:$BD$80)</f>
        <v>0</v>
      </c>
      <c r="T162" s="259">
        <f>SUMPRODUCT((PC!$A$2:$A$80=$A162)*(PCEmp=T$1),PC!$D$2:$BD$80)</f>
        <v>0</v>
      </c>
      <c r="U162" s="259">
        <f>SUMPRODUCT((PC!$A$2:$A$80=$A162)*(PCEmp=U$1),PC!$D$2:$BD$80)</f>
        <v>0</v>
      </c>
      <c r="V162" s="259">
        <f>SUMPRODUCT((PC!$A$2:$A$80=$A162)*(PCEmp=V$1),PC!$D$2:$BD$80)</f>
        <v>0</v>
      </c>
      <c r="W162" s="259">
        <f>SUMPRODUCT((PC!$A$2:$A$80=$A162)*(PCEmp=W$1),PC!$D$2:$BD$80)</f>
        <v>0</v>
      </c>
      <c r="X162" s="259">
        <f>SUMPRODUCT((PC!$A$2:$A$80=$A162)*(PCEmp=X$1),PC!$D$2:$BD$80)</f>
        <v>0</v>
      </c>
      <c r="Y162" s="259">
        <f>SUMPRODUCT((PC!$A$2:$A$80=$A162)*(PCEmp=Y$1),PC!$D$2:$BD$80)</f>
        <v>0</v>
      </c>
      <c r="Z162" s="259">
        <f>SUMPRODUCT((PC!$A$2:$A$80=$A162)*(PCEmp=Z$1),PC!$D$2:$BD$80)</f>
        <v>0</v>
      </c>
      <c r="AA162" s="259">
        <f>SUMPRODUCT((PC!$A$2:$A$80=$A162)*(PCEmp=AA$1),PC!$D$2:$BD$80)</f>
        <v>0</v>
      </c>
      <c r="AB162" s="259">
        <f>SUMPRODUCT((PC!$A$2:$A$80=$A162)*(PCEmp=AB$1),PC!$D$2:$BD$80)</f>
        <v>0</v>
      </c>
      <c r="AC162" s="259">
        <f>SUMPRODUCT((PC!$A$2:$A$80=$A162)*(PCEmp=AC$1),PC!$D$2:$BD$80)</f>
        <v>0</v>
      </c>
      <c r="AD162" s="259">
        <f>SUMPRODUCT((PC!$A$2:$A$80=$A162)*(PCEmp=AD$1),PC!$D$2:$BD$80)</f>
        <v>0</v>
      </c>
      <c r="AE162" s="259">
        <f>SUMPRODUCT((PC!$A$2:$A$80=$A162)*(PCEmp=AE$1),PC!$D$2:$BD$80)</f>
        <v>0</v>
      </c>
      <c r="AF162" s="259">
        <f>SUMPRODUCT((PC!$A$2:$A$80=$A162)*(PCEmp=AF$1),PC!$D$2:$BD$80)</f>
        <v>0</v>
      </c>
      <c r="AG162" s="259">
        <f>SUMPRODUCT((PC!$A$2:$A$80=$A162)*(PCEmp=AG$1),PC!$D$2:$BD$80)</f>
        <v>0</v>
      </c>
      <c r="AH162" s="259">
        <f>SUMPRODUCT((PC!$A$2:$A$80=$A162)*(PCEmp=AH$1),PC!$D$2:$BD$80)</f>
        <v>0</v>
      </c>
      <c r="AI162" s="259">
        <f>SUMPRODUCT((PC!$A$2:$A$80=$A162)*(PCEmp=AI$1),PC!$D$2:$BD$80)</f>
        <v>0</v>
      </c>
      <c r="AJ162" s="259">
        <f>SUMPRODUCT((PC!$A$2:$A$80=$A162)*(PCEmp=AJ$1),PC!$D$2:$BD$80)</f>
        <v>0</v>
      </c>
      <c r="AK162" s="259">
        <f>SUMPRODUCT((PC!$A$2:$A$80=$A162)*(PCEmp=AK$1),PC!$D$2:$BD$80)</f>
        <v>0</v>
      </c>
      <c r="AL162" s="259">
        <f>SUMPRODUCT((PC!$A$2:$A$80=$A162)*(PCEmp=AL$1),PC!$D$2:$BD$80)</f>
        <v>0</v>
      </c>
      <c r="AM162" s="259">
        <f>SUMPRODUCT((PC!$A$2:$A$80=$A162)*(PCEmp=AM$1),PC!$D$2:$BD$80)</f>
        <v>0</v>
      </c>
      <c r="AN162" s="259">
        <f>SUMPRODUCT((PC!$A$2:$A$80=$A162)*(PCEmp=AN$1),PC!$D$2:$BD$80)</f>
        <v>0</v>
      </c>
      <c r="AO162" s="259">
        <f>SUMPRODUCT((PC!$A$2:$A$80=$A162)*(PCEmp=AO$1),PC!$D$2:$BD$80)</f>
        <v>0</v>
      </c>
      <c r="AP162" s="259">
        <f>SUMPRODUCT((PC!$A$2:$A$80=$A162)*(PCEmp=AP$1),PC!$D$2:$BD$80)</f>
        <v>0</v>
      </c>
      <c r="AQ162" s="259">
        <f>SUMPRODUCT((PC!$A$2:$A$80=$A162)*(PCEmp=AQ$1),PC!$D$2:$BD$80)</f>
        <v>0</v>
      </c>
      <c r="AR162" s="497">
        <f>SUMPRODUCT((PC!$A$2:$A$80=$A162)*(PCEmp=AR$1),PC!$D$2:$BD$80)</f>
        <v>0</v>
      </c>
    </row>
    <row r="163" spans="1:44" s="271" customFormat="1" x14ac:dyDescent="0.2">
      <c r="A163" s="247">
        <f t="shared" si="98"/>
        <v>42475</v>
      </c>
      <c r="B163" s="254" t="s">
        <v>85</v>
      </c>
      <c r="C163" s="249">
        <f>SUMPRODUCT((RF!$A$2:$A$17=$A163)*(RFEmp=C$1)*(RF!$H$21:$AO$21="RF Lead"),RF!$H$2:$AO$17)</f>
        <v>0</v>
      </c>
      <c r="D163" s="250">
        <f>SUMPRODUCT((RF!$A$2:$A$17=$A163)*(RFEmp=D$1)*(RF!$H$21:$AO$21="RF Lead"),RF!$H$2:$AO$17)</f>
        <v>0</v>
      </c>
      <c r="E163" s="250">
        <f>SUMPRODUCT((RF!$A$2:$A$17=$A163)*(RFEmp=E$1)*(RF!$H$21:$AO$21="RF Lead"),RF!$H$2:$AO$17)</f>
        <v>0</v>
      </c>
      <c r="F163" s="250">
        <f>SUMPRODUCT((RF!$A$2:$A$17=$A163)*(RFEmp=F$1)*(RF!$H$21:$AO$21="RF Lead"),RF!$H$2:$AO$17)</f>
        <v>0</v>
      </c>
      <c r="G163" s="250">
        <f>SUMPRODUCT((RF!$A$2:$A$17=$A163)*(RFEmp=G$1)*(RF!$H$21:$AO$21="RF Lead"),RF!$H$2:$AO$17)</f>
        <v>0</v>
      </c>
      <c r="H163" s="250">
        <f>SUMPRODUCT((RF!$A$2:$A$17=$A163)*(RFEmp=H$1)*(RF!$H$21:$AO$21="RF Lead"),RF!$H$2:$AO$17)</f>
        <v>0</v>
      </c>
      <c r="I163" s="250">
        <f>SUMPRODUCT((RF!$A$2:$A$17=$A163)*(RFEmp=I$1)*(RF!$H$21:$AO$21="RF Lead"),RF!$H$2:$AO$17)</f>
        <v>0</v>
      </c>
      <c r="J163" s="250">
        <f>SUMPRODUCT((RF!$A$2:$A$17=$A163)*(RFEmp=J$1)*(RF!$H$21:$AO$21="RF Lead"),RF!$H$2:$AO$17)</f>
        <v>0</v>
      </c>
      <c r="K163" s="250">
        <f>SUMPRODUCT((RF!$A$2:$A$17=$A163)*(RFEmp=K$1)*(RF!$H$21:$AO$21="RF Lead"),RF!$H$2:$AO$17)</f>
        <v>0</v>
      </c>
      <c r="L163" s="250">
        <f>SUMPRODUCT((RF!$A$2:$A$17=$A163)*(RFEmp=L$1)*(RF!$H$21:$AO$21="RF Lead"),RF!$H$2:$AO$17)</f>
        <v>0</v>
      </c>
      <c r="M163" s="250">
        <f>SUMPRODUCT((RF!$A$2:$A$17=$A163)*(RFEmp=M$1)*(RF!$H$21:$AO$21="RF Lead"),RF!$H$2:$AO$17)</f>
        <v>0</v>
      </c>
      <c r="N163" s="250">
        <f>SUMPRODUCT((RF!$A$2:$A$17=$A163)*(RFEmp=N$1)*(RF!$H$21:$AO$21="RF Lead"),RF!$H$2:$AO$17)</f>
        <v>0</v>
      </c>
      <c r="O163" s="250">
        <f>SUMPRODUCT((RF!$A$2:$A$17=$A163)*(RFEmp=O$1)*(RF!$H$21:$AO$21="RF Lead"),RF!$H$2:$AO$17)</f>
        <v>0</v>
      </c>
      <c r="P163" s="250">
        <f>SUMPRODUCT((RF!$A$2:$A$17=$A163)*(RFEmp=P$1)*(RF!$H$21:$AO$21="RF Lead"),RF!$H$2:$AO$17)</f>
        <v>0</v>
      </c>
      <c r="Q163" s="250">
        <f>SUMPRODUCT((RF!$A$2:$A$17=$A163)*(RFEmp=Q$1)*(RF!$H$21:$AO$21="RF Lead"),RF!$H$2:$AO$17)</f>
        <v>0</v>
      </c>
      <c r="R163" s="250">
        <f>SUMPRODUCT((RF!$A$2:$A$17=$A163)*(RFEmp=R$1)*(RF!$H$21:$AO$21="RF Lead"),RF!$H$2:$AO$17)</f>
        <v>0</v>
      </c>
      <c r="S163" s="250">
        <f>SUMPRODUCT((RF!$A$2:$A$17=$A163)*(RFEmp=S$1)*(RF!$H$21:$AO$21="RF Lead"),RF!$H$2:$AO$17)</f>
        <v>0</v>
      </c>
      <c r="T163" s="250">
        <f>SUMPRODUCT((RF!$A$2:$A$17=$A163)*(RFEmp=T$1)*(RF!$H$21:$AO$21="RF Lead"),RF!$H$2:$AO$17)</f>
        <v>0</v>
      </c>
      <c r="U163" s="250">
        <f>SUMPRODUCT((RF!$A$2:$A$17=$A163)*(RFEmp=U$1)*(RF!$H$21:$AO$21="RF Lead"),RF!$H$2:$AO$17)</f>
        <v>0</v>
      </c>
      <c r="V163" s="250">
        <f>SUMPRODUCT((RF!$A$2:$A$17=$A163)*(RFEmp=V$1)*(RF!$H$21:$AO$21="RF Lead"),RF!$H$2:$AO$17)</f>
        <v>0</v>
      </c>
      <c r="W163" s="250">
        <f>SUMPRODUCT((RF!$A$2:$A$17=$A163)*(RFEmp=W$1)*(RF!$H$21:$AO$21="RF Lead"),RF!$H$2:$AO$17)</f>
        <v>0</v>
      </c>
      <c r="X163" s="250">
        <f>SUMPRODUCT((RF!$A$2:$A$17=$A163)*(RFEmp=X$1)*(RF!$H$21:$AO$21="RF Lead"),RF!$H$2:$AO$17)</f>
        <v>0</v>
      </c>
      <c r="Y163" s="250">
        <f>SUMPRODUCT((RF!$A$2:$A$17=$A163)*(RFEmp=Y$1)*(RF!$H$21:$AO$21="RF Lead"),RF!$H$2:$AO$17)</f>
        <v>0</v>
      </c>
      <c r="Z163" s="250">
        <f>SUMPRODUCT((RF!$A$2:$A$17=$A163)*(RFEmp=Z$1)*(RF!$H$21:$AO$21="RF Lead"),RF!$H$2:$AO$17)</f>
        <v>0</v>
      </c>
      <c r="AA163" s="250">
        <f>SUMPRODUCT((RF!$A$2:$A$17=$A163)*(RFEmp=AA$1)*(RF!$H$21:$AO$21="RF Lead"),RF!$H$2:$AO$17)</f>
        <v>0</v>
      </c>
      <c r="AB163" s="250">
        <f>SUMPRODUCT((RF!$A$2:$A$17=$A163)*(RFEmp=AB$1)*(RF!$H$21:$AO$21="RF Lead"),RF!$H$2:$AO$17)</f>
        <v>0</v>
      </c>
      <c r="AC163" s="250">
        <f>SUMPRODUCT((RF!$A$2:$A$17=$A163)*(RFEmp=AC$1)*(RF!$H$21:$AO$21="RF Lead"),RF!$H$2:$AO$17)</f>
        <v>0</v>
      </c>
      <c r="AD163" s="250">
        <f>SUMPRODUCT((RF!$A$2:$A$17=$A163)*(RFEmp=AD$1)*(RF!$H$21:$AO$21="RF Lead"),RF!$H$2:$AO$17)</f>
        <v>0</v>
      </c>
      <c r="AE163" s="250">
        <f>SUMPRODUCT((RF!$A$2:$A$17=$A163)*(RFEmp=AE$1)*(RF!$H$21:$AO$21="RF Lead"),RF!$H$2:$AO$17)</f>
        <v>0</v>
      </c>
      <c r="AF163" s="250">
        <f>SUMPRODUCT((RF!$A$2:$A$17=$A163)*(RFEmp=AF$1)*(RF!$H$21:$AO$21="RF Lead"),RF!$H$2:$AO$17)</f>
        <v>0</v>
      </c>
      <c r="AG163" s="250">
        <f>SUMPRODUCT((RF!$A$2:$A$17=$A163)*(RFEmp=AG$1)*(RF!$H$21:$AO$21="RF Lead"),RF!$H$2:$AO$17)</f>
        <v>0</v>
      </c>
      <c r="AH163" s="250">
        <f>SUMPRODUCT((RF!$A$2:$A$17=$A163)*(RFEmp=AH$1)*(RF!$H$21:$AO$21="RF Lead"),RF!$H$2:$AO$17)</f>
        <v>0</v>
      </c>
      <c r="AI163" s="250">
        <f>SUMPRODUCT((RF!$A$2:$A$17=$A163)*(RFEmp=AI$1)*(RF!$H$21:$AO$21="RF Lead"),RF!$H$2:$AO$17)</f>
        <v>0</v>
      </c>
      <c r="AJ163" s="250">
        <f>SUMPRODUCT((RF!$A$2:$A$17=$A163)*(RFEmp=AJ$1)*(RF!$H$21:$AO$21="RF Lead"),RF!$H$2:$AO$17)</f>
        <v>0</v>
      </c>
      <c r="AK163" s="250">
        <f>SUMPRODUCT((RF!$A$2:$A$17=$A163)*(RFEmp=AK$1)*(RF!$H$21:$AO$21="RF Lead"),RF!$H$2:$AO$17)</f>
        <v>0</v>
      </c>
      <c r="AL163" s="250">
        <f>SUMPRODUCT((RF!$A$2:$A$17=$A163)*(RFEmp=AL$1)*(RF!$H$21:$AO$21="RF Lead"),RF!$H$2:$AO$17)</f>
        <v>0</v>
      </c>
      <c r="AM163" s="250">
        <f>SUMPRODUCT((RF!$A$2:$A$17=$A163)*(RFEmp=AM$1)*(RF!$H$21:$AO$21="RF Lead"),RF!$H$2:$AO$17)</f>
        <v>0</v>
      </c>
      <c r="AN163" s="250">
        <f>SUMPRODUCT((RF!$A$2:$A$17=$A163)*(RFEmp=AN$1)*(RF!$H$21:$AO$21="RF Lead"),RF!$H$2:$AO$17)</f>
        <v>0</v>
      </c>
      <c r="AO163" s="250">
        <f>SUMPRODUCT((RF!$A$2:$A$17=$A163)*(RFEmp=AO$1)*(RF!$H$21:$AO$21="RF Lead"),RF!$H$2:$AO$17)</f>
        <v>0</v>
      </c>
      <c r="AP163" s="250">
        <f>SUMPRODUCT((RF!$A$2:$A$17=$A163)*(RFEmp=AP$1)*(RF!$H$21:$AO$21="RF Lead"),RF!$H$2:$AO$17)</f>
        <v>0</v>
      </c>
      <c r="AQ163" s="250">
        <f>SUMPRODUCT((RF!$A$2:$A$17=$A163)*(RFEmp=AQ$1)*(RF!$H$21:$AO$21="RF Lead"),RF!$H$2:$AO$17)</f>
        <v>0</v>
      </c>
      <c r="AR163" s="496">
        <f>SUMPRODUCT((RF!$A$2:$A$17=$A163)*(RFEmp=AR$1)*(RF!$H$21:$AO$21="RF Lead"),RF!$H$2:$AO$17)</f>
        <v>0</v>
      </c>
    </row>
    <row r="164" spans="1:44" s="271" customFormat="1" x14ac:dyDescent="0.2">
      <c r="A164" s="260">
        <f t="shared" si="98"/>
        <v>42475</v>
      </c>
      <c r="B164" s="261" t="str">
        <f>Total!$M$1</f>
        <v>SC</v>
      </c>
      <c r="C164" s="249">
        <f>SUMPRODUCT((SC!$A$2:$A$34=$A164)*(SCEmp=C$1),SC!$F$2:$Z$34)</f>
        <v>0</v>
      </c>
      <c r="D164" s="250">
        <f>SUMPRODUCT((SC!$A$2:$A$34=$A164)*(SCEmp=D$1),SC!$F$2:$Z$34)</f>
        <v>0</v>
      </c>
      <c r="E164" s="250">
        <f>SUMPRODUCT((SC!$A$2:$A$34=$A164)*(SCEmp=E$1),SC!$F$2:$Z$34)</f>
        <v>0</v>
      </c>
      <c r="F164" s="250">
        <f>SUMPRODUCT((SC!$A$2:$A$34=$A164)*(SCEmp=F$1),SC!$F$2:$Z$34)</f>
        <v>0</v>
      </c>
      <c r="G164" s="250">
        <f>SUMPRODUCT((SC!$A$2:$A$34=$A164)*(SCEmp=G$1),SC!$F$2:$Z$34)</f>
        <v>0</v>
      </c>
      <c r="H164" s="250">
        <f>SUMPRODUCT((SC!$A$2:$A$34=$A164)*(SCEmp=H$1),SC!$F$2:$Z$34)</f>
        <v>0</v>
      </c>
      <c r="I164" s="250">
        <f>SUMPRODUCT((SC!$A$2:$A$34=$A164)*(SCEmp=I$1),SC!$F$2:$Z$34)</f>
        <v>0</v>
      </c>
      <c r="J164" s="250">
        <f>SUMPRODUCT((SC!$A$2:$A$34=$A164)*(SCEmp=J$1),SC!$F$2:$Z$34)</f>
        <v>0</v>
      </c>
      <c r="K164" s="250">
        <f>SUMPRODUCT((SC!$A$2:$A$34=$A164)*(SCEmp=K$1),SC!$F$2:$Z$34)</f>
        <v>0</v>
      </c>
      <c r="L164" s="250">
        <f>SUMPRODUCT((SC!$A$2:$A$34=$A164)*(SCEmp=L$1),SC!$F$2:$Z$34)</f>
        <v>0</v>
      </c>
      <c r="M164" s="250">
        <f>SUMPRODUCT((SC!$A$2:$A$34=$A164)*(SCEmp=M$1),SC!$F$2:$Z$34)</f>
        <v>0</v>
      </c>
      <c r="N164" s="250">
        <f>SUMPRODUCT((SC!$A$2:$A$34=$A164)*(SCEmp=N$1),SC!$F$2:$Z$34)</f>
        <v>0</v>
      </c>
      <c r="O164" s="250">
        <f>SUMPRODUCT((SC!$A$2:$A$34=$A164)*(SCEmp=O$1),SC!$F$2:$Z$34)</f>
        <v>0</v>
      </c>
      <c r="P164" s="250">
        <f>SUMPRODUCT((SC!$A$2:$A$34=$A164)*(SCEmp=P$1),SC!$F$2:$Z$34)</f>
        <v>0</v>
      </c>
      <c r="Q164" s="250">
        <f>SUMPRODUCT((SC!$A$2:$A$34=$A164)*(SCEmp=Q$1),SC!$F$2:$Z$34)</f>
        <v>0</v>
      </c>
      <c r="R164" s="250">
        <f>SUMPRODUCT((SC!$A$2:$A$34=$A164)*(SCEmp=R$1),SC!$F$2:$Z$34)</f>
        <v>0</v>
      </c>
      <c r="S164" s="250">
        <f>SUMPRODUCT((SC!$A$2:$A$34=$A164)*(SCEmp=S$1),SC!$F$2:$Z$34)</f>
        <v>0</v>
      </c>
      <c r="T164" s="250">
        <f>SUMPRODUCT((SC!$A$2:$A$34=$A164)*(SCEmp=T$1),SC!$F$2:$Z$34)</f>
        <v>0</v>
      </c>
      <c r="U164" s="250">
        <f>SUMPRODUCT((SC!$A$2:$A$34=$A164)*(SCEmp=U$1),SC!$F$2:$Z$34)</f>
        <v>0</v>
      </c>
      <c r="V164" s="250">
        <f>SUMPRODUCT((SC!$A$2:$A$34=$A164)*(SCEmp=V$1),SC!$F$2:$Z$34)</f>
        <v>0</v>
      </c>
      <c r="W164" s="250">
        <f>SUMPRODUCT((SC!$A$2:$A$34=$A164)*(SCEmp=W$1),SC!$F$2:$Z$34)</f>
        <v>0</v>
      </c>
      <c r="X164" s="250">
        <f>SUMPRODUCT((SC!$A$2:$A$34=$A164)*(SCEmp=X$1),SC!$F$2:$Z$34)</f>
        <v>0</v>
      </c>
      <c r="Y164" s="250">
        <f>SUMPRODUCT((SC!$A$2:$A$34=$A164)*(SCEmp=Y$1),SC!$F$2:$Z$34)</f>
        <v>0</v>
      </c>
      <c r="Z164" s="250">
        <f>SUMPRODUCT((SC!$A$2:$A$34=$A164)*(SCEmp=Z$1),SC!$F$2:$Z$34)</f>
        <v>0</v>
      </c>
      <c r="AA164" s="250">
        <f>SUMPRODUCT((SC!$A$2:$A$34=$A164)*(SCEmp=AA$1),SC!$F$2:$Z$34)</f>
        <v>0</v>
      </c>
      <c r="AB164" s="250">
        <f>SUMPRODUCT((SC!$A$2:$A$34=$A164)*(SCEmp=AB$1),SC!$F$2:$Z$34)</f>
        <v>0</v>
      </c>
      <c r="AC164" s="250">
        <f>SUMPRODUCT((SC!$A$2:$A$34=$A164)*(SCEmp=AC$1),SC!$F$2:$Z$34)</f>
        <v>0</v>
      </c>
      <c r="AD164" s="250">
        <f>SUMPRODUCT((SC!$A$2:$A$34=$A164)*(SCEmp=AD$1),SC!$F$2:$Z$34)</f>
        <v>0</v>
      </c>
      <c r="AE164" s="250">
        <f>SUMPRODUCT((SC!$A$2:$A$34=$A164)*(SCEmp=AE$1),SC!$F$2:$Z$34)</f>
        <v>0</v>
      </c>
      <c r="AF164" s="250">
        <f>SUMPRODUCT((SC!$A$2:$A$34=$A164)*(SCEmp=AF$1),SC!$F$2:$Z$34)</f>
        <v>0</v>
      </c>
      <c r="AG164" s="250">
        <f>SUMPRODUCT((SC!$A$2:$A$34=$A164)*(SCEmp=AG$1),SC!$F$2:$Z$34)</f>
        <v>0</v>
      </c>
      <c r="AH164" s="250">
        <f>SUMPRODUCT((SC!$A$2:$A$34=$A164)*(SCEmp=AH$1),SC!$F$2:$Z$34)</f>
        <v>0</v>
      </c>
      <c r="AI164" s="250">
        <f>SUMPRODUCT((SC!$A$2:$A$34=$A164)*(SCEmp=AI$1),SC!$F$2:$Z$34)</f>
        <v>0</v>
      </c>
      <c r="AJ164" s="250">
        <f>SUMPRODUCT((SC!$A$2:$A$34=$A164)*(SCEmp=AJ$1),SC!$F$2:$Z$34)</f>
        <v>0</v>
      </c>
      <c r="AK164" s="250">
        <f>SUMPRODUCT((SC!$A$2:$A$34=$A164)*(SCEmp=AK$1),SC!$F$2:$Z$34)</f>
        <v>0</v>
      </c>
      <c r="AL164" s="250">
        <f>SUMPRODUCT((SC!$A$2:$A$34=$A164)*(SCEmp=AL$1),SC!$F$2:$Z$34)</f>
        <v>0</v>
      </c>
      <c r="AM164" s="250">
        <f>SUMPRODUCT((SC!$A$2:$A$34=$A164)*(SCEmp=AM$1),SC!$F$2:$Z$34)</f>
        <v>0</v>
      </c>
      <c r="AN164" s="250">
        <f>SUMPRODUCT((SC!$A$2:$A$34=$A164)*(SCEmp=AN$1),SC!$F$2:$Z$34)</f>
        <v>0</v>
      </c>
      <c r="AO164" s="250">
        <f>SUMPRODUCT((SC!$A$2:$A$34=$A164)*(SCEmp=AO$1),SC!$F$2:$Z$34)</f>
        <v>0</v>
      </c>
      <c r="AP164" s="250">
        <f>SUMPRODUCT((SC!$A$2:$A$34=$A164)*(SCEmp=AP$1),SC!$F$2:$Z$34)</f>
        <v>0</v>
      </c>
      <c r="AQ164" s="250">
        <f>SUMPRODUCT((SC!$A$2:$A$34=$A164)*(SCEmp=AQ$1),SC!$F$2:$Z$34)</f>
        <v>0</v>
      </c>
      <c r="AR164" s="496">
        <f>SUMPRODUCT((SC!$A$2:$A$34=$A164)*(SCEmp=AR$1),SC!$F$2:$Z$34)</f>
        <v>0</v>
      </c>
    </row>
    <row r="165" spans="1:44" s="271" customFormat="1" x14ac:dyDescent="0.2">
      <c r="A165" s="262">
        <f t="shared" si="98"/>
        <v>42475</v>
      </c>
      <c r="B165" s="263" t="s">
        <v>87</v>
      </c>
      <c r="C165" s="264">
        <f t="shared" ref="C165:AR165" si="99">IF(SUM(C156:C164)&gt;8,SUM(C156:C164)-8,0)+IF(SUM(C156:C164)&gt;12,SUM(C156:C164)-12,0)</f>
        <v>0</v>
      </c>
      <c r="D165" s="265">
        <f t="shared" si="99"/>
        <v>0</v>
      </c>
      <c r="E165" s="265">
        <f t="shared" si="99"/>
        <v>0</v>
      </c>
      <c r="F165" s="265">
        <f t="shared" si="99"/>
        <v>0</v>
      </c>
      <c r="G165" s="265">
        <f t="shared" si="99"/>
        <v>0</v>
      </c>
      <c r="H165" s="265">
        <f t="shared" si="99"/>
        <v>0</v>
      </c>
      <c r="I165" s="265">
        <f t="shared" si="99"/>
        <v>0</v>
      </c>
      <c r="J165" s="265">
        <f t="shared" si="99"/>
        <v>0</v>
      </c>
      <c r="K165" s="265">
        <f t="shared" si="99"/>
        <v>0</v>
      </c>
      <c r="L165" s="265">
        <f t="shared" si="99"/>
        <v>0</v>
      </c>
      <c r="M165" s="265">
        <f t="shared" si="99"/>
        <v>0</v>
      </c>
      <c r="N165" s="265">
        <f t="shared" si="99"/>
        <v>0</v>
      </c>
      <c r="O165" s="265">
        <f t="shared" si="99"/>
        <v>0</v>
      </c>
      <c r="P165" s="265">
        <f t="shared" si="99"/>
        <v>0</v>
      </c>
      <c r="Q165" s="265">
        <f t="shared" si="99"/>
        <v>0</v>
      </c>
      <c r="R165" s="265">
        <f t="shared" si="99"/>
        <v>0</v>
      </c>
      <c r="S165" s="265">
        <f t="shared" si="99"/>
        <v>0</v>
      </c>
      <c r="T165" s="265">
        <f t="shared" si="99"/>
        <v>0</v>
      </c>
      <c r="U165" s="265">
        <f t="shared" si="99"/>
        <v>0</v>
      </c>
      <c r="V165" s="265">
        <f t="shared" si="99"/>
        <v>0</v>
      </c>
      <c r="W165" s="265">
        <f t="shared" si="99"/>
        <v>0</v>
      </c>
      <c r="X165" s="265">
        <f t="shared" si="99"/>
        <v>0</v>
      </c>
      <c r="Y165" s="265">
        <f t="shared" si="99"/>
        <v>0</v>
      </c>
      <c r="Z165" s="265">
        <f t="shared" si="99"/>
        <v>0</v>
      </c>
      <c r="AA165" s="265">
        <f t="shared" si="99"/>
        <v>0</v>
      </c>
      <c r="AB165" s="265">
        <f t="shared" si="99"/>
        <v>0</v>
      </c>
      <c r="AC165" s="265">
        <f t="shared" si="99"/>
        <v>0</v>
      </c>
      <c r="AD165" s="265">
        <f t="shared" si="99"/>
        <v>0</v>
      </c>
      <c r="AE165" s="265">
        <f t="shared" si="99"/>
        <v>0</v>
      </c>
      <c r="AF165" s="265">
        <f t="shared" si="99"/>
        <v>0</v>
      </c>
      <c r="AG165" s="265">
        <f t="shared" si="99"/>
        <v>0</v>
      </c>
      <c r="AH165" s="265">
        <f t="shared" si="99"/>
        <v>0</v>
      </c>
      <c r="AI165" s="265">
        <f t="shared" si="99"/>
        <v>0</v>
      </c>
      <c r="AJ165" s="265">
        <f t="shared" si="99"/>
        <v>0</v>
      </c>
      <c r="AK165" s="265">
        <f t="shared" si="99"/>
        <v>0</v>
      </c>
      <c r="AL165" s="265">
        <f t="shared" si="99"/>
        <v>0</v>
      </c>
      <c r="AM165" s="265">
        <f t="shared" si="99"/>
        <v>0</v>
      </c>
      <c r="AN165" s="265">
        <f t="shared" si="99"/>
        <v>0</v>
      </c>
      <c r="AO165" s="265">
        <f t="shared" ref="AO165:AP165" si="100">IF(SUM(AO156:AO164)&gt;8,SUM(AO156:AO164)-8,0)+IF(SUM(AO156:AO164)&gt;12,SUM(AO156:AO164)-12,0)</f>
        <v>0</v>
      </c>
      <c r="AP165" s="265">
        <f t="shared" si="100"/>
        <v>0</v>
      </c>
      <c r="AQ165" s="265">
        <f t="shared" ref="AQ165" si="101">IF(SUM(AQ156:AQ164)&gt;8,SUM(AQ156:AQ164)-8,0)+IF(SUM(AQ156:AQ164)&gt;12,SUM(AQ156:AQ164)-12,0)</f>
        <v>0</v>
      </c>
      <c r="AR165" s="498">
        <f t="shared" si="99"/>
        <v>0</v>
      </c>
    </row>
    <row r="166" spans="1:44" s="271" customFormat="1" x14ac:dyDescent="0.2">
      <c r="A166" s="266">
        <f t="shared" si="98"/>
        <v>42475</v>
      </c>
      <c r="B166" s="267" t="s">
        <v>86</v>
      </c>
      <c r="C166" s="268">
        <f t="shared" ref="C166:AR166" si="102">IFERROR((C$179*SUM(C156:C161)+C$180*SUM(C162:C164))/SUM(C156:C164)/2,0)*C165</f>
        <v>0</v>
      </c>
      <c r="D166" s="269">
        <f t="shared" si="102"/>
        <v>0</v>
      </c>
      <c r="E166" s="269">
        <f t="shared" si="102"/>
        <v>0</v>
      </c>
      <c r="F166" s="269">
        <f t="shared" si="102"/>
        <v>0</v>
      </c>
      <c r="G166" s="269">
        <f t="shared" si="102"/>
        <v>0</v>
      </c>
      <c r="H166" s="269">
        <f t="shared" si="102"/>
        <v>0</v>
      </c>
      <c r="I166" s="269">
        <f t="shared" si="102"/>
        <v>0</v>
      </c>
      <c r="J166" s="269">
        <f t="shared" si="102"/>
        <v>0</v>
      </c>
      <c r="K166" s="269">
        <f t="shared" si="102"/>
        <v>0</v>
      </c>
      <c r="L166" s="269">
        <f t="shared" si="102"/>
        <v>0</v>
      </c>
      <c r="M166" s="269">
        <f t="shared" si="102"/>
        <v>0</v>
      </c>
      <c r="N166" s="269">
        <f t="shared" si="102"/>
        <v>0</v>
      </c>
      <c r="O166" s="269">
        <f t="shared" si="102"/>
        <v>0</v>
      </c>
      <c r="P166" s="269">
        <f t="shared" si="102"/>
        <v>0</v>
      </c>
      <c r="Q166" s="269">
        <f t="shared" si="102"/>
        <v>0</v>
      </c>
      <c r="R166" s="269">
        <f t="shared" si="102"/>
        <v>0</v>
      </c>
      <c r="S166" s="269">
        <f t="shared" si="102"/>
        <v>0</v>
      </c>
      <c r="T166" s="269">
        <f t="shared" si="102"/>
        <v>0</v>
      </c>
      <c r="U166" s="269">
        <f t="shared" si="102"/>
        <v>0</v>
      </c>
      <c r="V166" s="269">
        <f t="shared" si="102"/>
        <v>0</v>
      </c>
      <c r="W166" s="269">
        <f t="shared" si="102"/>
        <v>0</v>
      </c>
      <c r="X166" s="269">
        <f t="shared" si="102"/>
        <v>0</v>
      </c>
      <c r="Y166" s="269">
        <f t="shared" si="102"/>
        <v>0</v>
      </c>
      <c r="Z166" s="269">
        <f t="shared" si="102"/>
        <v>0</v>
      </c>
      <c r="AA166" s="269">
        <f t="shared" si="102"/>
        <v>0</v>
      </c>
      <c r="AB166" s="269">
        <f t="shared" si="102"/>
        <v>0</v>
      </c>
      <c r="AC166" s="269">
        <f t="shared" si="102"/>
        <v>0</v>
      </c>
      <c r="AD166" s="269">
        <f t="shared" si="102"/>
        <v>0</v>
      </c>
      <c r="AE166" s="269">
        <f t="shared" si="102"/>
        <v>0</v>
      </c>
      <c r="AF166" s="269">
        <f t="shared" si="102"/>
        <v>0</v>
      </c>
      <c r="AG166" s="269">
        <f t="shared" si="102"/>
        <v>0</v>
      </c>
      <c r="AH166" s="269">
        <f t="shared" si="102"/>
        <v>0</v>
      </c>
      <c r="AI166" s="269">
        <f t="shared" si="102"/>
        <v>0</v>
      </c>
      <c r="AJ166" s="269">
        <f t="shared" si="102"/>
        <v>0</v>
      </c>
      <c r="AK166" s="269">
        <f t="shared" si="102"/>
        <v>0</v>
      </c>
      <c r="AL166" s="269">
        <f t="shared" si="102"/>
        <v>0</v>
      </c>
      <c r="AM166" s="269">
        <f t="shared" si="102"/>
        <v>0</v>
      </c>
      <c r="AN166" s="269">
        <f t="shared" si="102"/>
        <v>0</v>
      </c>
      <c r="AO166" s="269">
        <f t="shared" ref="AO166:AP166" si="103">IFERROR((AO$179*SUM(AO156:AO161)+AO$180*SUM(AO162:AO164))/SUM(AO156:AO164)/2,0)*AO165</f>
        <v>0</v>
      </c>
      <c r="AP166" s="269">
        <f t="shared" si="103"/>
        <v>0</v>
      </c>
      <c r="AQ166" s="269">
        <f t="shared" ref="AQ166" si="104">IFERROR((AQ$179*SUM(AQ156:AQ161)+AQ$180*SUM(AQ162:AQ164))/SUM(AQ156:AQ164)/2,0)*AQ165</f>
        <v>0</v>
      </c>
      <c r="AR166" s="499">
        <f t="shared" si="102"/>
        <v>0</v>
      </c>
    </row>
    <row r="167" spans="1:44" s="271" customFormat="1" x14ac:dyDescent="0.2">
      <c r="A167" s="247">
        <f>A156+1</f>
        <v>42476</v>
      </c>
      <c r="B167" s="248" t="s">
        <v>77</v>
      </c>
      <c r="C167" s="249">
        <f>SUMPRODUCT((Driver!$A$2:$A$17=$A167)*(DriverEmp=C$1),Driver!$C$2:$V$17)</f>
        <v>0</v>
      </c>
      <c r="D167" s="250">
        <f>SUMPRODUCT((Driver!$A$2:$A$17=$A167)*(DriverEmp=D$1),Driver!$C$2:$V$17)</f>
        <v>0</v>
      </c>
      <c r="E167" s="250">
        <f>SUMPRODUCT((Driver!$A$2:$A$17=$A167)*(DriverEmp=E$1),Driver!$C$2:$V$17)</f>
        <v>0</v>
      </c>
      <c r="F167" s="250">
        <f>SUMPRODUCT((Driver!$A$2:$A$17=$A167)*(DriverEmp=F$1),Driver!$C$2:$V$17)</f>
        <v>0</v>
      </c>
      <c r="G167" s="250">
        <f>SUMPRODUCT((Driver!$A$2:$A$17=$A167)*(DriverEmp=G$1),Driver!$C$2:$V$17)</f>
        <v>0</v>
      </c>
      <c r="H167" s="250">
        <f>SUMPRODUCT((Driver!$A$2:$A$17=$A167)*(DriverEmp=H$1),Driver!$C$2:$V$17)</f>
        <v>0</v>
      </c>
      <c r="I167" s="250">
        <f>SUMPRODUCT((Driver!$A$2:$A$17=$A167)*(DriverEmp=I$1),Driver!$C$2:$V$17)</f>
        <v>0</v>
      </c>
      <c r="J167" s="250">
        <f>SUMPRODUCT((Driver!$A$2:$A$17=$A167)*(DriverEmp=J$1),Driver!$C$2:$V$17)</f>
        <v>0</v>
      </c>
      <c r="K167" s="250">
        <f>SUMPRODUCT((Driver!$A$2:$A$17=$A167)*(DriverEmp=K$1),Driver!$C$2:$V$17)</f>
        <v>0</v>
      </c>
      <c r="L167" s="250">
        <f>SUMPRODUCT((Driver!$A$2:$A$17=$A167)*(DriverEmp=L$1),Driver!$C$2:$V$17)</f>
        <v>0</v>
      </c>
      <c r="M167" s="250">
        <f>SUMPRODUCT((Driver!$A$2:$A$17=$A167)*(DriverEmp=M$1),Driver!$C$2:$V$17)</f>
        <v>0</v>
      </c>
      <c r="N167" s="250">
        <f>SUMPRODUCT((Driver!$A$2:$A$17=$A167)*(DriverEmp=N$1),Driver!$C$2:$V$17)</f>
        <v>0</v>
      </c>
      <c r="O167" s="250">
        <f>SUMPRODUCT((Driver!$A$2:$A$17=$A167)*(DriverEmp=O$1),Driver!$C$2:$V$17)</f>
        <v>0</v>
      </c>
      <c r="P167" s="250">
        <f>SUMPRODUCT((Driver!$A$2:$A$17=$A167)*(DriverEmp=P$1),Driver!$C$2:$V$17)</f>
        <v>0</v>
      </c>
      <c r="Q167" s="250">
        <f>SUMPRODUCT((Driver!$A$2:$A$17=$A167)*(DriverEmp=Q$1),Driver!$C$2:$V$17)</f>
        <v>0</v>
      </c>
      <c r="R167" s="250">
        <f>SUMPRODUCT((Driver!$A$2:$A$17=$A167)*(DriverEmp=R$1),Driver!$C$2:$V$17)</f>
        <v>0</v>
      </c>
      <c r="S167" s="250">
        <f>SUMPRODUCT((Driver!$A$2:$A$17=$A167)*(DriverEmp=S$1),Driver!$C$2:$V$17)</f>
        <v>0</v>
      </c>
      <c r="T167" s="250">
        <f>SUMPRODUCT((Driver!$A$2:$A$17=$A167)*(DriverEmp=T$1),Driver!$C$2:$V$17)</f>
        <v>0</v>
      </c>
      <c r="U167" s="250">
        <f>SUMPRODUCT((Driver!$A$2:$A$17=$A167)*(DriverEmp=U$1),Driver!$C$2:$V$17)</f>
        <v>0</v>
      </c>
      <c r="V167" s="250">
        <f>SUMPRODUCT((Driver!$A$2:$A$17=$A167)*(DriverEmp=V$1),Driver!$C$2:$V$17)</f>
        <v>0</v>
      </c>
      <c r="W167" s="250">
        <f>SUMPRODUCT((Driver!$A$2:$A$17=$A167)*(DriverEmp=W$1),Driver!$C$2:$V$17)</f>
        <v>0</v>
      </c>
      <c r="X167" s="250">
        <f>SUMPRODUCT((Driver!$A$2:$A$17=$A167)*(DriverEmp=X$1),Driver!$C$2:$V$17)</f>
        <v>0</v>
      </c>
      <c r="Y167" s="250">
        <f>SUMPRODUCT((Driver!$A$2:$A$17=$A167)*(DriverEmp=Y$1),Driver!$C$2:$V$17)</f>
        <v>0</v>
      </c>
      <c r="Z167" s="250">
        <f>SUMPRODUCT((Driver!$A$2:$A$17=$A167)*(DriverEmp=Z$1),Driver!$C$2:$V$17)</f>
        <v>0</v>
      </c>
      <c r="AA167" s="250">
        <f>SUMPRODUCT((Driver!$A$2:$A$17=$A167)*(DriverEmp=AA$1),Driver!$C$2:$V$17)</f>
        <v>0</v>
      </c>
      <c r="AB167" s="250">
        <f>SUMPRODUCT((Driver!$A$2:$A$17=$A167)*(DriverEmp=AB$1),Driver!$C$2:$V$17)</f>
        <v>0</v>
      </c>
      <c r="AC167" s="250">
        <f>SUMPRODUCT((Driver!$A$2:$A$17=$A167)*(DriverEmp=AC$1),Driver!$C$2:$V$17)</f>
        <v>0</v>
      </c>
      <c r="AD167" s="250">
        <f>SUMPRODUCT((Driver!$A$2:$A$17=$A167)*(DriverEmp=AD$1),Driver!$C$2:$V$17)</f>
        <v>0</v>
      </c>
      <c r="AE167" s="250">
        <f>SUMPRODUCT((Driver!$A$2:$A$17=$A167)*(DriverEmp=AE$1),Driver!$C$2:$V$17)</f>
        <v>0</v>
      </c>
      <c r="AF167" s="250">
        <f>SUMPRODUCT((Driver!$A$2:$A$17=$A167)*(DriverEmp=AF$1),Driver!$C$2:$V$17)</f>
        <v>0</v>
      </c>
      <c r="AG167" s="250">
        <f>SUMPRODUCT((Driver!$A$2:$A$17=$A167)*(DriverEmp=AG$1),Driver!$C$2:$V$17)</f>
        <v>0</v>
      </c>
      <c r="AH167" s="250">
        <f>SUMPRODUCT((Driver!$A$2:$A$17=$A167)*(DriverEmp=AH$1),Driver!$C$2:$V$17)</f>
        <v>0</v>
      </c>
      <c r="AI167" s="250">
        <f>SUMPRODUCT((Driver!$A$2:$A$17=$A167)*(DriverEmp=AI$1),Driver!$C$2:$V$17)</f>
        <v>0</v>
      </c>
      <c r="AJ167" s="250">
        <f>SUMPRODUCT((Driver!$A$2:$A$17=$A167)*(DriverEmp=AJ$1),Driver!$C$2:$V$17)</f>
        <v>0</v>
      </c>
      <c r="AK167" s="250">
        <f>SUMPRODUCT((Driver!$A$2:$A$17=$A167)*(DriverEmp=AK$1),Driver!$C$2:$V$17)</f>
        <v>0</v>
      </c>
      <c r="AL167" s="250">
        <f>SUMPRODUCT((Driver!$A$2:$A$17=$A167)*(DriverEmp=AL$1),Driver!$C$2:$V$17)</f>
        <v>0</v>
      </c>
      <c r="AM167" s="250">
        <f>SUMPRODUCT((Driver!$A$2:$A$17=$A167)*(DriverEmp=AM$1),Driver!$C$2:$V$17)</f>
        <v>0</v>
      </c>
      <c r="AN167" s="250">
        <f>SUMPRODUCT((Driver!$A$2:$A$17=$A167)*(DriverEmp=AN$1),Driver!$C$2:$V$17)</f>
        <v>0</v>
      </c>
      <c r="AO167" s="250">
        <f>SUMPRODUCT((Driver!$A$2:$A$17=$A167)*(DriverEmp=AO$1),Driver!$C$2:$V$17)</f>
        <v>0</v>
      </c>
      <c r="AP167" s="250">
        <f>SUMPRODUCT((Driver!$A$2:$A$17=$A167)*(DriverEmp=AP$1),Driver!$C$2:$V$17)</f>
        <v>0</v>
      </c>
      <c r="AQ167" s="250">
        <f>SUMPRODUCT((Driver!$A$2:$A$17=$A167)*(DriverEmp=AQ$1),Driver!$C$2:$V$17)</f>
        <v>0</v>
      </c>
      <c r="AR167" s="496">
        <f>SUMPRODUCT((Driver!$A$2:$A$17=$A167)*(DriverEmp=AR$1),Driver!$C$2:$V$17)</f>
        <v>0</v>
      </c>
    </row>
    <row r="168" spans="1:44" s="271" customFormat="1" x14ac:dyDescent="0.2">
      <c r="A168" s="247">
        <f t="shared" ref="A168:A177" si="105">A167</f>
        <v>42476</v>
      </c>
      <c r="B168" s="251" t="str">
        <f>Total!$H$1</f>
        <v>PP</v>
      </c>
      <c r="C168" s="249">
        <f>SUMPRODUCT((PP!$A$2:$A$80=$A168)*(PPEmp=C$1),PP!$D$2:$BD$80)</f>
        <v>0</v>
      </c>
      <c r="D168" s="250">
        <f>SUMPRODUCT((PP!$A$2:$A$80=$A168)*(PPEmp=D$1),PP!$D$2:$BD$80)</f>
        <v>0</v>
      </c>
      <c r="E168" s="250">
        <f>SUMPRODUCT((PP!$A$2:$A$80=$A168)*(PPEmp=E$1),PP!$D$2:$BD$80)</f>
        <v>0</v>
      </c>
      <c r="F168" s="250">
        <f>SUMPRODUCT((PP!$A$2:$A$80=$A168)*(PPEmp=F$1),PP!$D$2:$BD$80)</f>
        <v>0</v>
      </c>
      <c r="G168" s="250">
        <f>SUMPRODUCT((PP!$A$2:$A$80=$A168)*(PPEmp=G$1),PP!$D$2:$BD$80)</f>
        <v>0</v>
      </c>
      <c r="H168" s="250">
        <f>SUMPRODUCT((PP!$A$2:$A$80=$A168)*(PPEmp=H$1),PP!$D$2:$BD$80)</f>
        <v>0</v>
      </c>
      <c r="I168" s="250">
        <f>SUMPRODUCT((PP!$A$2:$A$80=$A168)*(PPEmp=I$1),PP!$D$2:$BD$80)</f>
        <v>0</v>
      </c>
      <c r="J168" s="250">
        <f>SUMPRODUCT((PP!$A$2:$A$80=$A168)*(PPEmp=J$1),PP!$D$2:$BD$80)</f>
        <v>0</v>
      </c>
      <c r="K168" s="250">
        <f>SUMPRODUCT((PP!$A$2:$A$80=$A168)*(PPEmp=K$1),PP!$D$2:$BD$80)</f>
        <v>0</v>
      </c>
      <c r="L168" s="250">
        <f>SUMPRODUCT((PP!$A$2:$A$80=$A168)*(PPEmp=L$1),PP!$D$2:$BD$80)</f>
        <v>0</v>
      </c>
      <c r="M168" s="250">
        <f>SUMPRODUCT((PP!$A$2:$A$80=$A168)*(PPEmp=M$1),PP!$D$2:$BD$80)</f>
        <v>0</v>
      </c>
      <c r="N168" s="250">
        <f>SUMPRODUCT((PP!$A$2:$A$80=$A168)*(PPEmp=N$1),PP!$D$2:$BD$80)</f>
        <v>0</v>
      </c>
      <c r="O168" s="250">
        <f>SUMPRODUCT((PP!$A$2:$A$80=$A168)*(PPEmp=O$1),PP!$D$2:$BD$80)</f>
        <v>0</v>
      </c>
      <c r="P168" s="250">
        <f>SUMPRODUCT((PP!$A$2:$A$80=$A168)*(PPEmp=P$1),PP!$D$2:$BD$80)</f>
        <v>0</v>
      </c>
      <c r="Q168" s="250">
        <f>SUMPRODUCT((PP!$A$2:$A$80=$A168)*(PPEmp=Q$1),PP!$D$2:$BD$80)</f>
        <v>0</v>
      </c>
      <c r="R168" s="250">
        <f>SUMPRODUCT((PP!$A$2:$A$80=$A168)*(PPEmp=R$1),PP!$D$2:$BD$80)</f>
        <v>0</v>
      </c>
      <c r="S168" s="250">
        <f>SUMPRODUCT((PP!$A$2:$A$80=$A168)*(PPEmp=S$1),PP!$D$2:$BD$80)</f>
        <v>0</v>
      </c>
      <c r="T168" s="250">
        <f>SUMPRODUCT((PP!$A$2:$A$80=$A168)*(PPEmp=T$1),PP!$D$2:$BD$80)</f>
        <v>0</v>
      </c>
      <c r="U168" s="250">
        <f>SUMPRODUCT((PP!$A$2:$A$80=$A168)*(PPEmp=U$1),PP!$D$2:$BD$80)</f>
        <v>0</v>
      </c>
      <c r="V168" s="250">
        <f>SUMPRODUCT((PP!$A$2:$A$80=$A168)*(PPEmp=V$1),PP!$D$2:$BD$80)</f>
        <v>0</v>
      </c>
      <c r="W168" s="250">
        <f>SUMPRODUCT((PP!$A$2:$A$80=$A168)*(PPEmp=W$1),PP!$D$2:$BD$80)</f>
        <v>0</v>
      </c>
      <c r="X168" s="250">
        <f>SUMPRODUCT((PP!$A$2:$A$80=$A168)*(PPEmp=X$1),PP!$D$2:$BD$80)</f>
        <v>0</v>
      </c>
      <c r="Y168" s="250">
        <f>SUMPRODUCT((PP!$A$2:$A$80=$A168)*(PPEmp=Y$1),PP!$D$2:$BD$80)</f>
        <v>0</v>
      </c>
      <c r="Z168" s="250">
        <f>SUMPRODUCT((PP!$A$2:$A$80=$A168)*(PPEmp=Z$1),PP!$D$2:$BD$80)</f>
        <v>0</v>
      </c>
      <c r="AA168" s="250">
        <f>SUMPRODUCT((PP!$A$2:$A$80=$A168)*(PPEmp=AA$1),PP!$D$2:$BD$80)</f>
        <v>0</v>
      </c>
      <c r="AB168" s="250">
        <f>SUMPRODUCT((PP!$A$2:$A$80=$A168)*(PPEmp=AB$1),PP!$D$2:$BD$80)</f>
        <v>0</v>
      </c>
      <c r="AC168" s="250">
        <f>SUMPRODUCT((PP!$A$2:$A$80=$A168)*(PPEmp=AC$1),PP!$D$2:$BD$80)</f>
        <v>0</v>
      </c>
      <c r="AD168" s="250">
        <f>SUMPRODUCT((PP!$A$2:$A$80=$A168)*(PPEmp=AD$1),PP!$D$2:$BD$80)</f>
        <v>0</v>
      </c>
      <c r="AE168" s="250">
        <f>SUMPRODUCT((PP!$A$2:$A$80=$A168)*(PPEmp=AE$1),PP!$D$2:$BD$80)</f>
        <v>0</v>
      </c>
      <c r="AF168" s="250">
        <f>SUMPRODUCT((PP!$A$2:$A$80=$A168)*(PPEmp=AF$1),PP!$D$2:$BD$80)</f>
        <v>0</v>
      </c>
      <c r="AG168" s="250">
        <f>SUMPRODUCT((PP!$A$2:$A$80=$A168)*(PPEmp=AG$1),PP!$D$2:$BD$80)</f>
        <v>0</v>
      </c>
      <c r="AH168" s="250">
        <f>SUMPRODUCT((PP!$A$2:$A$80=$A168)*(PPEmp=AH$1),PP!$D$2:$BD$80)</f>
        <v>0</v>
      </c>
      <c r="AI168" s="250">
        <f>SUMPRODUCT((PP!$A$2:$A$80=$A168)*(PPEmp=AI$1),PP!$D$2:$BD$80)</f>
        <v>0</v>
      </c>
      <c r="AJ168" s="250">
        <f>SUMPRODUCT((PP!$A$2:$A$80=$A168)*(PPEmp=AJ$1),PP!$D$2:$BD$80)</f>
        <v>0</v>
      </c>
      <c r="AK168" s="250">
        <f>SUMPRODUCT((PP!$A$2:$A$80=$A168)*(PPEmp=AK$1),PP!$D$2:$BD$80)</f>
        <v>0</v>
      </c>
      <c r="AL168" s="250">
        <f>SUMPRODUCT((PP!$A$2:$A$80=$A168)*(PPEmp=AL$1),PP!$D$2:$BD$80)</f>
        <v>0</v>
      </c>
      <c r="AM168" s="250">
        <f>SUMPRODUCT((PP!$A$2:$A$80=$A168)*(PPEmp=AM$1),PP!$D$2:$BD$80)</f>
        <v>0</v>
      </c>
      <c r="AN168" s="250">
        <f>SUMPRODUCT((PP!$A$2:$A$80=$A168)*(PPEmp=AN$1),PP!$D$2:$BD$80)</f>
        <v>0</v>
      </c>
      <c r="AO168" s="250">
        <f>SUMPRODUCT((PP!$A$2:$A$80=$A168)*(PPEmp=AO$1),PP!$D$2:$BD$80)</f>
        <v>0</v>
      </c>
      <c r="AP168" s="250">
        <f>SUMPRODUCT((PP!$A$2:$A$80=$A168)*(PPEmp=AP$1),PP!$D$2:$BD$80)</f>
        <v>0</v>
      </c>
      <c r="AQ168" s="250">
        <f>SUMPRODUCT((PP!$A$2:$A$80=$A168)*(PPEmp=AQ$1),PP!$D$2:$BD$80)</f>
        <v>0</v>
      </c>
      <c r="AR168" s="496">
        <f>SUMPRODUCT((PP!$A$2:$A$80=$A168)*(PPEmp=AR$1),PP!$D$2:$BD$80)</f>
        <v>0</v>
      </c>
    </row>
    <row r="169" spans="1:44" s="271" customFormat="1" x14ac:dyDescent="0.2">
      <c r="A169" s="247">
        <f t="shared" si="105"/>
        <v>42476</v>
      </c>
      <c r="B169" s="252" t="str">
        <f>Total!$J$1</f>
        <v>FH</v>
      </c>
      <c r="C169" s="249">
        <f>SUMPRODUCT((FH!$A$2:$A$97=$A169)*(FHEmp=C$1),FH!$E$2:$AZ$97)</f>
        <v>0</v>
      </c>
      <c r="D169" s="250">
        <f>SUMPRODUCT((FH!$A$2:$A$97=$A169)*(FHEmp=D$1),FH!$E$2:$AZ$97)</f>
        <v>0</v>
      </c>
      <c r="E169" s="250">
        <f>SUMPRODUCT((FH!$A$2:$A$97=$A169)*(FHEmp=E$1),FH!$E$2:$AZ$97)</f>
        <v>0</v>
      </c>
      <c r="F169" s="250">
        <f>SUMPRODUCT((FH!$A$2:$A$97=$A169)*(FHEmp=F$1),FH!$E$2:$AZ$97)</f>
        <v>0</v>
      </c>
      <c r="G169" s="250">
        <f>SUMPRODUCT((FH!$A$2:$A$97=$A169)*(FHEmp=G$1),FH!$E$2:$AZ$97)</f>
        <v>0</v>
      </c>
      <c r="H169" s="250">
        <f>SUMPRODUCT((FH!$A$2:$A$97=$A169)*(FHEmp=H$1),FH!$E$2:$AZ$97)</f>
        <v>0</v>
      </c>
      <c r="I169" s="250">
        <f>SUMPRODUCT((FH!$A$2:$A$97=$A169)*(FHEmp=I$1),FH!$E$2:$AZ$97)</f>
        <v>0</v>
      </c>
      <c r="J169" s="250">
        <f>SUMPRODUCT((FH!$A$2:$A$97=$A169)*(FHEmp=J$1),FH!$E$2:$AZ$97)</f>
        <v>0</v>
      </c>
      <c r="K169" s="250">
        <f>SUMPRODUCT((FH!$A$2:$A$97=$A169)*(FHEmp=K$1),FH!$E$2:$AZ$97)</f>
        <v>0</v>
      </c>
      <c r="L169" s="250">
        <f>SUMPRODUCT((FH!$A$2:$A$97=$A169)*(FHEmp=L$1),FH!$E$2:$AZ$97)</f>
        <v>0</v>
      </c>
      <c r="M169" s="250">
        <f>SUMPRODUCT((FH!$A$2:$A$97=$A169)*(FHEmp=M$1),FH!$E$2:$AZ$97)</f>
        <v>0</v>
      </c>
      <c r="N169" s="250">
        <f>SUMPRODUCT((FH!$A$2:$A$97=$A169)*(FHEmp=N$1),FH!$E$2:$AZ$97)</f>
        <v>0</v>
      </c>
      <c r="O169" s="250">
        <f>SUMPRODUCT((FH!$A$2:$A$97=$A169)*(FHEmp=O$1),FH!$E$2:$AZ$97)</f>
        <v>0</v>
      </c>
      <c r="P169" s="250">
        <f>SUMPRODUCT((FH!$A$2:$A$97=$A169)*(FHEmp=P$1),FH!$E$2:$AZ$97)</f>
        <v>0</v>
      </c>
      <c r="Q169" s="250">
        <f>SUMPRODUCT((FH!$A$2:$A$97=$A169)*(FHEmp=Q$1),FH!$E$2:$AZ$97)</f>
        <v>0</v>
      </c>
      <c r="R169" s="250">
        <f>SUMPRODUCT((FH!$A$2:$A$97=$A169)*(FHEmp=R$1),FH!$E$2:$AZ$97)</f>
        <v>0</v>
      </c>
      <c r="S169" s="250">
        <f>SUMPRODUCT((FH!$A$2:$A$97=$A169)*(FHEmp=S$1),FH!$E$2:$AZ$97)</f>
        <v>0</v>
      </c>
      <c r="T169" s="250">
        <f>SUMPRODUCT((FH!$A$2:$A$97=$A169)*(FHEmp=T$1),FH!$E$2:$AZ$97)</f>
        <v>0</v>
      </c>
      <c r="U169" s="250">
        <f>SUMPRODUCT((FH!$A$2:$A$97=$A169)*(FHEmp=U$1),FH!$E$2:$AZ$97)</f>
        <v>0</v>
      </c>
      <c r="V169" s="250">
        <f>SUMPRODUCT((FH!$A$2:$A$97=$A169)*(FHEmp=V$1),FH!$E$2:$AZ$97)</f>
        <v>0</v>
      </c>
      <c r="W169" s="250">
        <f>SUMPRODUCT((FH!$A$2:$A$97=$A169)*(FHEmp=W$1),FH!$E$2:$AZ$97)</f>
        <v>0</v>
      </c>
      <c r="X169" s="250">
        <f>SUMPRODUCT((FH!$A$2:$A$97=$A169)*(FHEmp=X$1),FH!$E$2:$AZ$97)</f>
        <v>0</v>
      </c>
      <c r="Y169" s="250">
        <f>SUMPRODUCT((FH!$A$2:$A$97=$A169)*(FHEmp=Y$1),FH!$E$2:$AZ$97)</f>
        <v>0</v>
      </c>
      <c r="Z169" s="250">
        <f>SUMPRODUCT((FH!$A$2:$A$97=$A169)*(FHEmp=Z$1),FH!$E$2:$AZ$97)</f>
        <v>0</v>
      </c>
      <c r="AA169" s="250">
        <f>SUMPRODUCT((FH!$A$2:$A$97=$A169)*(FHEmp=AA$1),FH!$E$2:$AZ$97)</f>
        <v>0</v>
      </c>
      <c r="AB169" s="250">
        <f>SUMPRODUCT((FH!$A$2:$A$97=$A169)*(FHEmp=AB$1),FH!$E$2:$AZ$97)</f>
        <v>0</v>
      </c>
      <c r="AC169" s="250">
        <f>SUMPRODUCT((FH!$A$2:$A$97=$A169)*(FHEmp=AC$1),FH!$E$2:$AZ$97)</f>
        <v>0</v>
      </c>
      <c r="AD169" s="250">
        <f>SUMPRODUCT((FH!$A$2:$A$97=$A169)*(FHEmp=AD$1),FH!$E$2:$AZ$97)</f>
        <v>0</v>
      </c>
      <c r="AE169" s="250">
        <f>SUMPRODUCT((FH!$A$2:$A$97=$A169)*(FHEmp=AE$1),FH!$E$2:$AZ$97)</f>
        <v>0</v>
      </c>
      <c r="AF169" s="250">
        <f>SUMPRODUCT((FH!$A$2:$A$97=$A169)*(FHEmp=AF$1),FH!$E$2:$AZ$97)</f>
        <v>0</v>
      </c>
      <c r="AG169" s="250">
        <f>SUMPRODUCT((FH!$A$2:$A$97=$A169)*(FHEmp=AG$1),FH!$E$2:$AZ$97)</f>
        <v>0</v>
      </c>
      <c r="AH169" s="250">
        <f>SUMPRODUCT((FH!$A$2:$A$97=$A169)*(FHEmp=AH$1),FH!$E$2:$AZ$97)</f>
        <v>0</v>
      </c>
      <c r="AI169" s="250">
        <f>SUMPRODUCT((FH!$A$2:$A$97=$A169)*(FHEmp=AI$1),FH!$E$2:$AZ$97)</f>
        <v>0</v>
      </c>
      <c r="AJ169" s="250">
        <f>SUMPRODUCT((FH!$A$2:$A$97=$A169)*(FHEmp=AJ$1),FH!$E$2:$AZ$97)</f>
        <v>0</v>
      </c>
      <c r="AK169" s="250">
        <f>SUMPRODUCT((FH!$A$2:$A$97=$A169)*(FHEmp=AK$1),FH!$E$2:$AZ$97)</f>
        <v>0</v>
      </c>
      <c r="AL169" s="250">
        <f>SUMPRODUCT((FH!$A$2:$A$97=$A169)*(FHEmp=AL$1),FH!$E$2:$AZ$97)</f>
        <v>0</v>
      </c>
      <c r="AM169" s="250">
        <f>SUMPRODUCT((FH!$A$2:$A$97=$A169)*(FHEmp=AM$1),FH!$E$2:$AZ$97)</f>
        <v>0</v>
      </c>
      <c r="AN169" s="250">
        <f>SUMPRODUCT((FH!$A$2:$A$97=$A169)*(FHEmp=AN$1),FH!$E$2:$AZ$97)</f>
        <v>0</v>
      </c>
      <c r="AO169" s="250">
        <f>SUMPRODUCT((FH!$A$2:$A$97=$A169)*(FHEmp=AO$1),FH!$E$2:$AZ$97)</f>
        <v>0</v>
      </c>
      <c r="AP169" s="250">
        <f>SUMPRODUCT((FH!$A$2:$A$97=$A169)*(FHEmp=AP$1),FH!$E$2:$AZ$97)</f>
        <v>0</v>
      </c>
      <c r="AQ169" s="250">
        <f>SUMPRODUCT((FH!$A$2:$A$97=$A169)*(FHEmp=AQ$1),FH!$E$2:$AZ$97)</f>
        <v>0</v>
      </c>
      <c r="AR169" s="496">
        <f>SUMPRODUCT((FH!$A$2:$A$97=$A169)*(FHEmp=AR$1),FH!$E$2:$AZ$97)</f>
        <v>0</v>
      </c>
    </row>
    <row r="170" spans="1:44" s="271" customFormat="1" x14ac:dyDescent="0.2">
      <c r="A170" s="247">
        <f t="shared" si="105"/>
        <v>42476</v>
      </c>
      <c r="B170" s="253" t="str">
        <f>Total!$K$1</f>
        <v>T22</v>
      </c>
      <c r="C170" s="249">
        <f>SUMPRODUCT(('T22'!$A$2:$A$97=$A170)*(T22Emp=C$1),'T22'!$E$2:$AZ$97)</f>
        <v>0</v>
      </c>
      <c r="D170" s="250">
        <f>SUMPRODUCT(('T22'!$A$2:$A$97=$A170)*(T22Emp=D$1),'T22'!$E$2:$AZ$97)</f>
        <v>0</v>
      </c>
      <c r="E170" s="250">
        <f>SUMPRODUCT(('T22'!$A$2:$A$97=$A170)*(T22Emp=E$1),'T22'!$E$2:$AZ$97)</f>
        <v>0</v>
      </c>
      <c r="F170" s="250">
        <f>SUMPRODUCT(('T22'!$A$2:$A$97=$A170)*(T22Emp=F$1),'T22'!$E$2:$AZ$97)</f>
        <v>0</v>
      </c>
      <c r="G170" s="250">
        <f>SUMPRODUCT(('T22'!$A$2:$A$97=$A170)*(T22Emp=G$1),'T22'!$E$2:$AZ$97)</f>
        <v>0</v>
      </c>
      <c r="H170" s="250">
        <f>SUMPRODUCT(('T22'!$A$2:$A$97=$A170)*(T22Emp=H$1),'T22'!$E$2:$AZ$97)</f>
        <v>0</v>
      </c>
      <c r="I170" s="250">
        <f>SUMPRODUCT(('T22'!$A$2:$A$97=$A170)*(T22Emp=I$1),'T22'!$E$2:$AZ$97)</f>
        <v>0</v>
      </c>
      <c r="J170" s="250">
        <f>SUMPRODUCT(('T22'!$A$2:$A$97=$A170)*(T22Emp=J$1),'T22'!$E$2:$AZ$97)</f>
        <v>0</v>
      </c>
      <c r="K170" s="250">
        <f>SUMPRODUCT(('T22'!$A$2:$A$97=$A170)*(T22Emp=K$1),'T22'!$E$2:$AZ$97)</f>
        <v>0</v>
      </c>
      <c r="L170" s="250">
        <f>SUMPRODUCT(('T22'!$A$2:$A$97=$A170)*(T22Emp=L$1),'T22'!$E$2:$AZ$97)</f>
        <v>0</v>
      </c>
      <c r="M170" s="250">
        <f>SUMPRODUCT(('T22'!$A$2:$A$97=$A170)*(T22Emp=M$1),'T22'!$E$2:$AZ$97)</f>
        <v>0</v>
      </c>
      <c r="N170" s="250">
        <f>SUMPRODUCT(('T22'!$A$2:$A$97=$A170)*(T22Emp=N$1),'T22'!$E$2:$AZ$97)</f>
        <v>0</v>
      </c>
      <c r="O170" s="250">
        <f>SUMPRODUCT(('T22'!$A$2:$A$97=$A170)*(T22Emp=O$1),'T22'!$E$2:$AZ$97)</f>
        <v>0</v>
      </c>
      <c r="P170" s="250">
        <f>SUMPRODUCT(('T22'!$A$2:$A$97=$A170)*(T22Emp=P$1),'T22'!$E$2:$AZ$97)</f>
        <v>0</v>
      </c>
      <c r="Q170" s="250">
        <f>SUMPRODUCT(('T22'!$A$2:$A$97=$A170)*(T22Emp=Q$1),'T22'!$E$2:$AZ$97)</f>
        <v>0</v>
      </c>
      <c r="R170" s="250">
        <f>SUMPRODUCT(('T22'!$A$2:$A$97=$A170)*(T22Emp=R$1),'T22'!$E$2:$AZ$97)</f>
        <v>0</v>
      </c>
      <c r="S170" s="250">
        <f>SUMPRODUCT(('T22'!$A$2:$A$97=$A170)*(T22Emp=S$1),'T22'!$E$2:$AZ$97)</f>
        <v>0</v>
      </c>
      <c r="T170" s="250">
        <f>SUMPRODUCT(('T22'!$A$2:$A$97=$A170)*(T22Emp=T$1),'T22'!$E$2:$AZ$97)</f>
        <v>0</v>
      </c>
      <c r="U170" s="250">
        <f>SUMPRODUCT(('T22'!$A$2:$A$97=$A170)*(T22Emp=U$1),'T22'!$E$2:$AZ$97)</f>
        <v>0</v>
      </c>
      <c r="V170" s="250">
        <f>SUMPRODUCT(('T22'!$A$2:$A$97=$A170)*(T22Emp=V$1),'T22'!$E$2:$AZ$97)</f>
        <v>0</v>
      </c>
      <c r="W170" s="250">
        <f>SUMPRODUCT(('T22'!$A$2:$A$97=$A170)*(T22Emp=W$1),'T22'!$E$2:$AZ$97)</f>
        <v>0</v>
      </c>
      <c r="X170" s="250">
        <f>SUMPRODUCT(('T22'!$A$2:$A$97=$A170)*(T22Emp=X$1),'T22'!$E$2:$AZ$97)</f>
        <v>0</v>
      </c>
      <c r="Y170" s="250">
        <f>SUMPRODUCT(('T22'!$A$2:$A$97=$A170)*(T22Emp=Y$1),'T22'!$E$2:$AZ$97)</f>
        <v>0</v>
      </c>
      <c r="Z170" s="250">
        <f>SUMPRODUCT(('T22'!$A$2:$A$97=$A170)*(T22Emp=Z$1),'T22'!$E$2:$AZ$97)</f>
        <v>0</v>
      </c>
      <c r="AA170" s="250">
        <f>SUMPRODUCT(('T22'!$A$2:$A$97=$A170)*(T22Emp=AA$1),'T22'!$E$2:$AZ$97)</f>
        <v>0</v>
      </c>
      <c r="AB170" s="250">
        <f>SUMPRODUCT(('T22'!$A$2:$A$97=$A170)*(T22Emp=AB$1),'T22'!$E$2:$AZ$97)</f>
        <v>0</v>
      </c>
      <c r="AC170" s="250">
        <f>SUMPRODUCT(('T22'!$A$2:$A$97=$A170)*(T22Emp=AC$1),'T22'!$E$2:$AZ$97)</f>
        <v>0</v>
      </c>
      <c r="AD170" s="250">
        <f>SUMPRODUCT(('T22'!$A$2:$A$97=$A170)*(T22Emp=AD$1),'T22'!$E$2:$AZ$97)</f>
        <v>0</v>
      </c>
      <c r="AE170" s="250">
        <f>SUMPRODUCT(('T22'!$A$2:$A$97=$A170)*(T22Emp=AE$1),'T22'!$E$2:$AZ$97)</f>
        <v>0</v>
      </c>
      <c r="AF170" s="250">
        <f>SUMPRODUCT(('T22'!$A$2:$A$97=$A170)*(T22Emp=AF$1),'T22'!$E$2:$AZ$97)</f>
        <v>0</v>
      </c>
      <c r="AG170" s="250">
        <f>SUMPRODUCT(('T22'!$A$2:$A$97=$A170)*(T22Emp=AG$1),'T22'!$E$2:$AZ$97)</f>
        <v>0</v>
      </c>
      <c r="AH170" s="250">
        <f>SUMPRODUCT(('T22'!$A$2:$A$97=$A170)*(T22Emp=AH$1),'T22'!$E$2:$AZ$97)</f>
        <v>0</v>
      </c>
      <c r="AI170" s="250">
        <f>SUMPRODUCT(('T22'!$A$2:$A$97=$A170)*(T22Emp=AI$1),'T22'!$E$2:$AZ$97)</f>
        <v>0</v>
      </c>
      <c r="AJ170" s="250">
        <f>SUMPRODUCT(('T22'!$A$2:$A$97=$A170)*(T22Emp=AJ$1),'T22'!$E$2:$AZ$97)</f>
        <v>0</v>
      </c>
      <c r="AK170" s="250">
        <f>SUMPRODUCT(('T22'!$A$2:$A$97=$A170)*(T22Emp=AK$1),'T22'!$E$2:$AZ$97)</f>
        <v>0</v>
      </c>
      <c r="AL170" s="250">
        <f>SUMPRODUCT(('T22'!$A$2:$A$97=$A170)*(T22Emp=AL$1),'T22'!$E$2:$AZ$97)</f>
        <v>0</v>
      </c>
      <c r="AM170" s="250">
        <f>SUMPRODUCT(('T22'!$A$2:$A$97=$A170)*(T22Emp=AM$1),'T22'!$E$2:$AZ$97)</f>
        <v>0</v>
      </c>
      <c r="AN170" s="250">
        <f>SUMPRODUCT(('T22'!$A$2:$A$97=$A170)*(T22Emp=AN$1),'T22'!$E$2:$AZ$97)</f>
        <v>0</v>
      </c>
      <c r="AO170" s="250">
        <f>SUMPRODUCT(('T22'!$A$2:$A$97=$A170)*(T22Emp=AO$1),'T22'!$E$2:$AZ$97)</f>
        <v>0</v>
      </c>
      <c r="AP170" s="250">
        <f>SUMPRODUCT(('T22'!$A$2:$A$97=$A170)*(T22Emp=AP$1),'T22'!$E$2:$AZ$97)</f>
        <v>0</v>
      </c>
      <c r="AQ170" s="250">
        <f>SUMPRODUCT(('T22'!$A$2:$A$97=$A170)*(T22Emp=AQ$1),'T22'!$E$2:$AZ$97)</f>
        <v>0</v>
      </c>
      <c r="AR170" s="496">
        <f>SUMPRODUCT(('T22'!$A$2:$A$97=$A170)*(T22Emp=AR$1),'T22'!$E$2:$AZ$97)</f>
        <v>0</v>
      </c>
    </row>
    <row r="171" spans="1:44" s="271" customFormat="1" x14ac:dyDescent="0.2">
      <c r="A171" s="247">
        <f t="shared" si="105"/>
        <v>42476</v>
      </c>
      <c r="B171" s="254" t="str">
        <f>Total!$L$1</f>
        <v>RF</v>
      </c>
      <c r="C171" s="249">
        <f>SUMPRODUCT((RF!$A$2:$A$17=$A171)*(RFEmp=C$1)*(RF!$H$21:$AO$21="RF Valet"),RF!$H$2:$AO$17)</f>
        <v>0</v>
      </c>
      <c r="D171" s="250">
        <f>SUMPRODUCT((RF!$A$2:$A$17=$A171)*(RFEmp=D$1)*(RF!$H$21:$AO$21="RF Valet"),RF!$H$2:$AO$17)</f>
        <v>0</v>
      </c>
      <c r="E171" s="250">
        <f>SUMPRODUCT((RF!$A$2:$A$17=$A171)*(RFEmp=E$1)*(RF!$H$21:$AO$21="RF Valet"),RF!$H$2:$AO$17)</f>
        <v>0</v>
      </c>
      <c r="F171" s="250">
        <f>SUMPRODUCT((RF!$A$2:$A$17=$A171)*(RFEmp=F$1)*(RF!$H$21:$AO$21="RF Valet"),RF!$H$2:$AO$17)</f>
        <v>0</v>
      </c>
      <c r="G171" s="250">
        <f>SUMPRODUCT((RF!$A$2:$A$17=$A171)*(RFEmp=G$1)*(RF!$H$21:$AO$21="RF Valet"),RF!$H$2:$AO$17)</f>
        <v>0</v>
      </c>
      <c r="H171" s="250">
        <f>SUMPRODUCT((RF!$A$2:$A$17=$A171)*(RFEmp=H$1)*(RF!$H$21:$AO$21="RF Valet"),RF!$H$2:$AO$17)</f>
        <v>0</v>
      </c>
      <c r="I171" s="250">
        <f>SUMPRODUCT((RF!$A$2:$A$17=$A171)*(RFEmp=I$1)*(RF!$H$21:$AO$21="RF Valet"),RF!$H$2:$AO$17)</f>
        <v>0</v>
      </c>
      <c r="J171" s="250">
        <f>SUMPRODUCT((RF!$A$2:$A$17=$A171)*(RFEmp=J$1)*(RF!$H$21:$AO$21="RF Valet"),RF!$H$2:$AO$17)</f>
        <v>0</v>
      </c>
      <c r="K171" s="250">
        <f>SUMPRODUCT((RF!$A$2:$A$17=$A171)*(RFEmp=K$1)*(RF!$H$21:$AO$21="RF Valet"),RF!$H$2:$AO$17)</f>
        <v>0</v>
      </c>
      <c r="L171" s="250">
        <f>SUMPRODUCT((RF!$A$2:$A$17=$A171)*(RFEmp=L$1)*(RF!$H$21:$AO$21="RF Valet"),RF!$H$2:$AO$17)</f>
        <v>0</v>
      </c>
      <c r="M171" s="250">
        <f>SUMPRODUCT((RF!$A$2:$A$17=$A171)*(RFEmp=M$1)*(RF!$H$21:$AO$21="RF Valet"),RF!$H$2:$AO$17)</f>
        <v>0</v>
      </c>
      <c r="N171" s="250">
        <f>SUMPRODUCT((RF!$A$2:$A$17=$A171)*(RFEmp=N$1)*(RF!$H$21:$AO$21="RF Valet"),RF!$H$2:$AO$17)</f>
        <v>0</v>
      </c>
      <c r="O171" s="250">
        <f>SUMPRODUCT((RF!$A$2:$A$17=$A171)*(RFEmp=O$1)*(RF!$H$21:$AO$21="RF Valet"),RF!$H$2:$AO$17)</f>
        <v>0</v>
      </c>
      <c r="P171" s="250">
        <f>SUMPRODUCT((RF!$A$2:$A$17=$A171)*(RFEmp=P$1)*(RF!$H$21:$AO$21="RF Valet"),RF!$H$2:$AO$17)</f>
        <v>0</v>
      </c>
      <c r="Q171" s="250">
        <f>SUMPRODUCT((RF!$A$2:$A$17=$A171)*(RFEmp=Q$1)*(RF!$H$21:$AO$21="RF Valet"),RF!$H$2:$AO$17)</f>
        <v>0</v>
      </c>
      <c r="R171" s="250">
        <f>SUMPRODUCT((RF!$A$2:$A$17=$A171)*(RFEmp=R$1)*(RF!$H$21:$AO$21="RF Valet"),RF!$H$2:$AO$17)</f>
        <v>0</v>
      </c>
      <c r="S171" s="250">
        <f>SUMPRODUCT((RF!$A$2:$A$17=$A171)*(RFEmp=S$1)*(RF!$H$21:$AO$21="RF Valet"),RF!$H$2:$AO$17)</f>
        <v>0</v>
      </c>
      <c r="T171" s="250">
        <f>SUMPRODUCT((RF!$A$2:$A$17=$A171)*(RFEmp=T$1)*(RF!$H$21:$AO$21="RF Valet"),RF!$H$2:$AO$17)</f>
        <v>0</v>
      </c>
      <c r="U171" s="250">
        <f>SUMPRODUCT((RF!$A$2:$A$17=$A171)*(RFEmp=U$1)*(RF!$H$21:$AO$21="RF Valet"),RF!$H$2:$AO$17)</f>
        <v>0</v>
      </c>
      <c r="V171" s="250">
        <f>SUMPRODUCT((RF!$A$2:$A$17=$A171)*(RFEmp=V$1)*(RF!$H$21:$AO$21="RF Valet"),RF!$H$2:$AO$17)</f>
        <v>0</v>
      </c>
      <c r="W171" s="250">
        <f>SUMPRODUCT((RF!$A$2:$A$17=$A171)*(RFEmp=W$1)*(RF!$H$21:$AO$21="RF Valet"),RF!$H$2:$AO$17)</f>
        <v>0</v>
      </c>
      <c r="X171" s="250">
        <f>SUMPRODUCT((RF!$A$2:$A$17=$A171)*(RFEmp=X$1)*(RF!$H$21:$AO$21="RF Valet"),RF!$H$2:$AO$17)</f>
        <v>0</v>
      </c>
      <c r="Y171" s="250">
        <f>SUMPRODUCT((RF!$A$2:$A$17=$A171)*(RFEmp=Y$1)*(RF!$H$21:$AO$21="RF Valet"),RF!$H$2:$AO$17)</f>
        <v>0</v>
      </c>
      <c r="Z171" s="250">
        <f>SUMPRODUCT((RF!$A$2:$A$17=$A171)*(RFEmp=Z$1)*(RF!$H$21:$AO$21="RF Valet"),RF!$H$2:$AO$17)</f>
        <v>0</v>
      </c>
      <c r="AA171" s="250">
        <f>SUMPRODUCT((RF!$A$2:$A$17=$A171)*(RFEmp=AA$1)*(RF!$H$21:$AO$21="RF Valet"),RF!$H$2:$AO$17)</f>
        <v>0</v>
      </c>
      <c r="AB171" s="250">
        <f>SUMPRODUCT((RF!$A$2:$A$17=$A171)*(RFEmp=AB$1)*(RF!$H$21:$AO$21="RF Valet"),RF!$H$2:$AO$17)</f>
        <v>0</v>
      </c>
      <c r="AC171" s="250">
        <f>SUMPRODUCT((RF!$A$2:$A$17=$A171)*(RFEmp=AC$1)*(RF!$H$21:$AO$21="RF Valet"),RF!$H$2:$AO$17)</f>
        <v>0</v>
      </c>
      <c r="AD171" s="250">
        <f>SUMPRODUCT((RF!$A$2:$A$17=$A171)*(RFEmp=AD$1)*(RF!$H$21:$AO$21="RF Valet"),RF!$H$2:$AO$17)</f>
        <v>0</v>
      </c>
      <c r="AE171" s="250">
        <f>SUMPRODUCT((RF!$A$2:$A$17=$A171)*(RFEmp=AE$1)*(RF!$H$21:$AO$21="RF Valet"),RF!$H$2:$AO$17)</f>
        <v>0</v>
      </c>
      <c r="AF171" s="250">
        <f>SUMPRODUCT((RF!$A$2:$A$17=$A171)*(RFEmp=AF$1)*(RF!$H$21:$AO$21="RF Valet"),RF!$H$2:$AO$17)</f>
        <v>0</v>
      </c>
      <c r="AG171" s="250">
        <f>SUMPRODUCT((RF!$A$2:$A$17=$A171)*(RFEmp=AG$1)*(RF!$H$21:$AO$21="RF Valet"),RF!$H$2:$AO$17)</f>
        <v>0</v>
      </c>
      <c r="AH171" s="250">
        <f>SUMPRODUCT((RF!$A$2:$A$17=$A171)*(RFEmp=AH$1)*(RF!$H$21:$AO$21="RF Valet"),RF!$H$2:$AO$17)</f>
        <v>0</v>
      </c>
      <c r="AI171" s="250">
        <f>SUMPRODUCT((RF!$A$2:$A$17=$A171)*(RFEmp=AI$1)*(RF!$H$21:$AO$21="RF Valet"),RF!$H$2:$AO$17)</f>
        <v>0</v>
      </c>
      <c r="AJ171" s="250">
        <f>SUMPRODUCT((RF!$A$2:$A$17=$A171)*(RFEmp=AJ$1)*(RF!$H$21:$AO$21="RF Valet"),RF!$H$2:$AO$17)</f>
        <v>0</v>
      </c>
      <c r="AK171" s="250">
        <f>SUMPRODUCT((RF!$A$2:$A$17=$A171)*(RFEmp=AK$1)*(RF!$H$21:$AO$21="RF Valet"),RF!$H$2:$AO$17)</f>
        <v>0</v>
      </c>
      <c r="AL171" s="250">
        <f>SUMPRODUCT((RF!$A$2:$A$17=$A171)*(RFEmp=AL$1)*(RF!$H$21:$AO$21="RF Valet"),RF!$H$2:$AO$17)</f>
        <v>0</v>
      </c>
      <c r="AM171" s="250">
        <f>SUMPRODUCT((RF!$A$2:$A$17=$A171)*(RFEmp=AM$1)*(RF!$H$21:$AO$21="RF Valet"),RF!$H$2:$AO$17)</f>
        <v>0</v>
      </c>
      <c r="AN171" s="250">
        <f>SUMPRODUCT((RF!$A$2:$A$17=$A171)*(RFEmp=AN$1)*(RF!$H$21:$AO$21="RF Valet"),RF!$H$2:$AO$17)</f>
        <v>0</v>
      </c>
      <c r="AO171" s="250">
        <f>SUMPRODUCT((RF!$A$2:$A$17=$A171)*(RFEmp=AO$1)*(RF!$H$21:$AO$21="RF Valet"),RF!$H$2:$AO$17)</f>
        <v>0</v>
      </c>
      <c r="AP171" s="250">
        <f>SUMPRODUCT((RF!$A$2:$A$17=$A171)*(RFEmp=AP$1)*(RF!$H$21:$AO$21="RF Valet"),RF!$H$2:$AO$17)</f>
        <v>0</v>
      </c>
      <c r="AQ171" s="250">
        <f>SUMPRODUCT((RF!$A$2:$A$17=$A171)*(RFEmp=AQ$1)*(RF!$H$21:$AO$21="RF Valet"),RF!$H$2:$AO$17)</f>
        <v>0</v>
      </c>
      <c r="AR171" s="496">
        <f>SUMPRODUCT((RF!$A$2:$A$17=$A171)*(RFEmp=AR$1)*(RF!$H$21:$AO$21="RF Valet"),RF!$H$2:$AO$17)</f>
        <v>0</v>
      </c>
    </row>
    <row r="172" spans="1:44" s="271" customFormat="1" x14ac:dyDescent="0.2">
      <c r="A172" s="247">
        <f>A171</f>
        <v>42476</v>
      </c>
      <c r="B172" s="255" t="s">
        <v>74</v>
      </c>
      <c r="C172" s="249">
        <f>SUMPRODUCT((TM!$A$2:$A$17=$A172)*(TMEmp=C$1),TM!$D$2:$AK$17)</f>
        <v>0</v>
      </c>
      <c r="D172" s="250">
        <f>SUMPRODUCT((TM!$A$2:$A$17=$A172)*(TMEmp=D$1),TM!$D$2:$AK$17)</f>
        <v>0</v>
      </c>
      <c r="E172" s="250">
        <f>SUMPRODUCT((TM!$A$2:$A$17=$A172)*(TMEmp=E$1),TM!$D$2:$AK$17)</f>
        <v>0</v>
      </c>
      <c r="F172" s="250">
        <f>SUMPRODUCT((TM!$A$2:$A$17=$A172)*(TMEmp=F$1),TM!$D$2:$AK$17)</f>
        <v>0</v>
      </c>
      <c r="G172" s="250">
        <f>SUMPRODUCT((TM!$A$2:$A$17=$A172)*(TMEmp=G$1),TM!$D$2:$AK$17)</f>
        <v>0</v>
      </c>
      <c r="H172" s="250">
        <f>SUMPRODUCT((TM!$A$2:$A$17=$A172)*(TMEmp=H$1),TM!$D$2:$AK$17)</f>
        <v>0</v>
      </c>
      <c r="I172" s="250">
        <f>SUMPRODUCT((TM!$A$2:$A$17=$A172)*(TMEmp=I$1),TM!$D$2:$AK$17)</f>
        <v>0</v>
      </c>
      <c r="J172" s="250">
        <f>SUMPRODUCT((TM!$A$2:$A$17=$A172)*(TMEmp=J$1),TM!$D$2:$AK$17)</f>
        <v>0</v>
      </c>
      <c r="K172" s="250">
        <f>SUMPRODUCT((TM!$A$2:$A$17=$A172)*(TMEmp=K$1),TM!$D$2:$AK$17)</f>
        <v>0</v>
      </c>
      <c r="L172" s="250">
        <f>SUMPRODUCT((TM!$A$2:$A$17=$A172)*(TMEmp=L$1),TM!$D$2:$AK$17)</f>
        <v>0</v>
      </c>
      <c r="M172" s="250">
        <f>SUMPRODUCT((TM!$A$2:$A$17=$A172)*(TMEmp=M$1),TM!$D$2:$AK$17)</f>
        <v>0</v>
      </c>
      <c r="N172" s="250">
        <f>SUMPRODUCT((TM!$A$2:$A$17=$A172)*(TMEmp=N$1),TM!$D$2:$AK$17)</f>
        <v>0</v>
      </c>
      <c r="O172" s="250">
        <f>SUMPRODUCT((TM!$A$2:$A$17=$A172)*(TMEmp=O$1),TM!$D$2:$AK$17)</f>
        <v>0</v>
      </c>
      <c r="P172" s="250">
        <f>SUMPRODUCT((TM!$A$2:$A$17=$A172)*(TMEmp=P$1),TM!$D$2:$AK$17)</f>
        <v>0</v>
      </c>
      <c r="Q172" s="250">
        <f>SUMPRODUCT((TM!$A$2:$A$17=$A172)*(TMEmp=Q$1),TM!$D$2:$AK$17)</f>
        <v>0</v>
      </c>
      <c r="R172" s="250">
        <f>SUMPRODUCT((TM!$A$2:$A$17=$A172)*(TMEmp=R$1),TM!$D$2:$AK$17)</f>
        <v>0</v>
      </c>
      <c r="S172" s="250">
        <f>SUMPRODUCT((TM!$A$2:$A$17=$A172)*(TMEmp=S$1),TM!$D$2:$AK$17)</f>
        <v>0</v>
      </c>
      <c r="T172" s="250">
        <f>SUMPRODUCT((TM!$A$2:$A$17=$A172)*(TMEmp=T$1),TM!$D$2:$AK$17)</f>
        <v>0</v>
      </c>
      <c r="U172" s="250">
        <f>SUMPRODUCT((TM!$A$2:$A$17=$A172)*(TMEmp=U$1),TM!$D$2:$AK$17)</f>
        <v>0</v>
      </c>
      <c r="V172" s="250">
        <f>SUMPRODUCT((TM!$A$2:$A$17=$A172)*(TMEmp=V$1),TM!$D$2:$AK$17)</f>
        <v>0</v>
      </c>
      <c r="W172" s="250">
        <f>SUMPRODUCT((TM!$A$2:$A$17=$A172)*(TMEmp=W$1),TM!$D$2:$AK$17)</f>
        <v>0</v>
      </c>
      <c r="X172" s="250">
        <f>SUMPRODUCT((TM!$A$2:$A$17=$A172)*(TMEmp=X$1),TM!$D$2:$AK$17)</f>
        <v>0</v>
      </c>
      <c r="Y172" s="250">
        <f>SUMPRODUCT((TM!$A$2:$A$17=$A172)*(TMEmp=Y$1),TM!$D$2:$AK$17)</f>
        <v>0</v>
      </c>
      <c r="Z172" s="250">
        <f>SUMPRODUCT((TM!$A$2:$A$17=$A172)*(TMEmp=Z$1),TM!$D$2:$AK$17)</f>
        <v>0</v>
      </c>
      <c r="AA172" s="250">
        <f>SUMPRODUCT((TM!$A$2:$A$17=$A172)*(TMEmp=AA$1),TM!$D$2:$AK$17)</f>
        <v>0</v>
      </c>
      <c r="AB172" s="250">
        <f>SUMPRODUCT((TM!$A$2:$A$17=$A172)*(TMEmp=AB$1),TM!$D$2:$AK$17)</f>
        <v>0</v>
      </c>
      <c r="AC172" s="250">
        <f>SUMPRODUCT((TM!$A$2:$A$17=$A172)*(TMEmp=AC$1),TM!$D$2:$AK$17)</f>
        <v>0</v>
      </c>
      <c r="AD172" s="250">
        <f>SUMPRODUCT((TM!$A$2:$A$17=$A172)*(TMEmp=AD$1),TM!$D$2:$AK$17)</f>
        <v>0</v>
      </c>
      <c r="AE172" s="250">
        <f>SUMPRODUCT((TM!$A$2:$A$17=$A172)*(TMEmp=AE$1),TM!$D$2:$AK$17)</f>
        <v>0</v>
      </c>
      <c r="AF172" s="250">
        <f>SUMPRODUCT((TM!$A$2:$A$17=$A172)*(TMEmp=AF$1),TM!$D$2:$AK$17)</f>
        <v>0</v>
      </c>
      <c r="AG172" s="250">
        <f>SUMPRODUCT((TM!$A$2:$A$17=$A172)*(TMEmp=AG$1),TM!$D$2:$AK$17)</f>
        <v>0</v>
      </c>
      <c r="AH172" s="250">
        <f>SUMPRODUCT((TM!$A$2:$A$17=$A172)*(TMEmp=AH$1),TM!$D$2:$AK$17)</f>
        <v>0</v>
      </c>
      <c r="AI172" s="250">
        <f>SUMPRODUCT((TM!$A$2:$A$17=$A172)*(TMEmp=AI$1),TM!$D$2:$AK$17)</f>
        <v>0</v>
      </c>
      <c r="AJ172" s="250">
        <f>SUMPRODUCT((TM!$A$2:$A$17=$A172)*(TMEmp=AJ$1),TM!$D$2:$AK$17)</f>
        <v>0</v>
      </c>
      <c r="AK172" s="250">
        <f>SUMPRODUCT((TM!$A$2:$A$17=$A172)*(TMEmp=AK$1),TM!$D$2:$AK$17)</f>
        <v>0</v>
      </c>
      <c r="AL172" s="250">
        <f>SUMPRODUCT((TM!$A$2:$A$17=$A172)*(TMEmp=AL$1),TM!$D$2:$AK$17)</f>
        <v>0</v>
      </c>
      <c r="AM172" s="250">
        <f>SUMPRODUCT((TM!$A$2:$A$17=$A172)*(TMEmp=AM$1),TM!$D$2:$AK$17)</f>
        <v>0</v>
      </c>
      <c r="AN172" s="250">
        <f>SUMPRODUCT((TM!$A$2:$A$17=$A172)*(TMEmp=AN$1),TM!$D$2:$AK$17)</f>
        <v>0</v>
      </c>
      <c r="AO172" s="250">
        <f>SUMPRODUCT((TM!$A$2:$A$17=$A172)*(TMEmp=AO$1),TM!$D$2:$AK$17)</f>
        <v>0</v>
      </c>
      <c r="AP172" s="250">
        <f>SUMPRODUCT((TM!$A$2:$A$17=$A172)*(TMEmp=AP$1),TM!$D$2:$AK$17)</f>
        <v>0</v>
      </c>
      <c r="AQ172" s="250">
        <f>SUMPRODUCT((TM!$A$2:$A$17=$A172)*(TMEmp=AQ$1),TM!$D$2:$AK$17)</f>
        <v>0</v>
      </c>
      <c r="AR172" s="496">
        <f>SUMPRODUCT((TM!$A$2:$A$17=$A172)*(TMEmp=AR$1),TM!$D$2:$AK$17)</f>
        <v>0</v>
      </c>
    </row>
    <row r="173" spans="1:44" s="271" customFormat="1" x14ac:dyDescent="0.2">
      <c r="A173" s="256">
        <f t="shared" si="105"/>
        <v>42476</v>
      </c>
      <c r="B173" s="257" t="s">
        <v>72</v>
      </c>
      <c r="C173" s="258">
        <f>SUMPRODUCT((PC!$A$2:$A$80=$A173)*(PCEmp=C$1),PC!$D$2:$BD$80)</f>
        <v>0</v>
      </c>
      <c r="D173" s="259">
        <f>SUMPRODUCT((PC!$A$2:$A$80=$A173)*(PCEmp=D$1),PC!$D$2:$BD$80)</f>
        <v>0</v>
      </c>
      <c r="E173" s="259">
        <f>SUMPRODUCT((PC!$A$2:$A$80=$A173)*(PCEmp=E$1),PC!$D$2:$BD$80)</f>
        <v>0</v>
      </c>
      <c r="F173" s="259">
        <f>SUMPRODUCT((PC!$A$2:$A$80=$A173)*(PCEmp=F$1),PC!$D$2:$BD$80)</f>
        <v>0</v>
      </c>
      <c r="G173" s="259">
        <f>SUMPRODUCT((PC!$A$2:$A$80=$A173)*(PCEmp=G$1),PC!$D$2:$BD$80)</f>
        <v>0</v>
      </c>
      <c r="H173" s="259">
        <f>SUMPRODUCT((PC!$A$2:$A$80=$A173)*(PCEmp=H$1),PC!$D$2:$BD$80)</f>
        <v>0</v>
      </c>
      <c r="I173" s="259">
        <f>SUMPRODUCT((PC!$A$2:$A$80=$A173)*(PCEmp=I$1),PC!$D$2:$BD$80)</f>
        <v>0</v>
      </c>
      <c r="J173" s="259">
        <f>SUMPRODUCT((PC!$A$2:$A$80=$A173)*(PCEmp=J$1),PC!$D$2:$BD$80)</f>
        <v>0</v>
      </c>
      <c r="K173" s="259">
        <f>SUMPRODUCT((PC!$A$2:$A$80=$A173)*(PCEmp=K$1),PC!$D$2:$BD$80)</f>
        <v>0</v>
      </c>
      <c r="L173" s="259">
        <f>SUMPRODUCT((PC!$A$2:$A$80=$A173)*(PCEmp=L$1),PC!$D$2:$BD$80)</f>
        <v>0</v>
      </c>
      <c r="M173" s="259">
        <f>SUMPRODUCT((PC!$A$2:$A$80=$A173)*(PCEmp=M$1),PC!$D$2:$BD$80)</f>
        <v>0</v>
      </c>
      <c r="N173" s="259">
        <f>SUMPRODUCT((PC!$A$2:$A$80=$A173)*(PCEmp=N$1),PC!$D$2:$BD$80)</f>
        <v>0</v>
      </c>
      <c r="O173" s="259">
        <f>SUMPRODUCT((PC!$A$2:$A$80=$A173)*(PCEmp=O$1),PC!$D$2:$BD$80)</f>
        <v>0</v>
      </c>
      <c r="P173" s="259">
        <f>SUMPRODUCT((PC!$A$2:$A$80=$A173)*(PCEmp=P$1),PC!$D$2:$BD$80)</f>
        <v>0</v>
      </c>
      <c r="Q173" s="259">
        <f>SUMPRODUCT((PC!$A$2:$A$80=$A173)*(PCEmp=Q$1),PC!$D$2:$BD$80)</f>
        <v>0</v>
      </c>
      <c r="R173" s="259">
        <f>SUMPRODUCT((PC!$A$2:$A$80=$A173)*(PCEmp=R$1),PC!$D$2:$BD$80)</f>
        <v>0</v>
      </c>
      <c r="S173" s="259">
        <f>SUMPRODUCT((PC!$A$2:$A$80=$A173)*(PCEmp=S$1),PC!$D$2:$BD$80)</f>
        <v>0</v>
      </c>
      <c r="T173" s="259">
        <f>SUMPRODUCT((PC!$A$2:$A$80=$A173)*(PCEmp=T$1),PC!$D$2:$BD$80)</f>
        <v>0</v>
      </c>
      <c r="U173" s="259">
        <f>SUMPRODUCT((PC!$A$2:$A$80=$A173)*(PCEmp=U$1),PC!$D$2:$BD$80)</f>
        <v>0</v>
      </c>
      <c r="V173" s="259">
        <f>SUMPRODUCT((PC!$A$2:$A$80=$A173)*(PCEmp=V$1),PC!$D$2:$BD$80)</f>
        <v>0</v>
      </c>
      <c r="W173" s="259">
        <f>SUMPRODUCT((PC!$A$2:$A$80=$A173)*(PCEmp=W$1),PC!$D$2:$BD$80)</f>
        <v>0</v>
      </c>
      <c r="X173" s="259">
        <f>SUMPRODUCT((PC!$A$2:$A$80=$A173)*(PCEmp=X$1),PC!$D$2:$BD$80)</f>
        <v>0</v>
      </c>
      <c r="Y173" s="259">
        <f>SUMPRODUCT((PC!$A$2:$A$80=$A173)*(PCEmp=Y$1),PC!$D$2:$BD$80)</f>
        <v>0</v>
      </c>
      <c r="Z173" s="259">
        <f>SUMPRODUCT((PC!$A$2:$A$80=$A173)*(PCEmp=Z$1),PC!$D$2:$BD$80)</f>
        <v>0</v>
      </c>
      <c r="AA173" s="259">
        <f>SUMPRODUCT((PC!$A$2:$A$80=$A173)*(PCEmp=AA$1),PC!$D$2:$BD$80)</f>
        <v>0</v>
      </c>
      <c r="AB173" s="259">
        <f>SUMPRODUCT((PC!$A$2:$A$80=$A173)*(PCEmp=AB$1),PC!$D$2:$BD$80)</f>
        <v>0</v>
      </c>
      <c r="AC173" s="259">
        <f>SUMPRODUCT((PC!$A$2:$A$80=$A173)*(PCEmp=AC$1),PC!$D$2:$BD$80)</f>
        <v>0</v>
      </c>
      <c r="AD173" s="259">
        <f>SUMPRODUCT((PC!$A$2:$A$80=$A173)*(PCEmp=AD$1),PC!$D$2:$BD$80)</f>
        <v>0</v>
      </c>
      <c r="AE173" s="259">
        <f>SUMPRODUCT((PC!$A$2:$A$80=$A173)*(PCEmp=AE$1),PC!$D$2:$BD$80)</f>
        <v>0</v>
      </c>
      <c r="AF173" s="259">
        <f>SUMPRODUCT((PC!$A$2:$A$80=$A173)*(PCEmp=AF$1),PC!$D$2:$BD$80)</f>
        <v>0</v>
      </c>
      <c r="AG173" s="259">
        <f>SUMPRODUCT((PC!$A$2:$A$80=$A173)*(PCEmp=AG$1),PC!$D$2:$BD$80)</f>
        <v>0</v>
      </c>
      <c r="AH173" s="259">
        <f>SUMPRODUCT((PC!$A$2:$A$80=$A173)*(PCEmp=AH$1),PC!$D$2:$BD$80)</f>
        <v>0</v>
      </c>
      <c r="AI173" s="259">
        <f>SUMPRODUCT((PC!$A$2:$A$80=$A173)*(PCEmp=AI$1),PC!$D$2:$BD$80)</f>
        <v>0</v>
      </c>
      <c r="AJ173" s="259">
        <f>SUMPRODUCT((PC!$A$2:$A$80=$A173)*(PCEmp=AJ$1),PC!$D$2:$BD$80)</f>
        <v>0</v>
      </c>
      <c r="AK173" s="259">
        <f>SUMPRODUCT((PC!$A$2:$A$80=$A173)*(PCEmp=AK$1),PC!$D$2:$BD$80)</f>
        <v>0</v>
      </c>
      <c r="AL173" s="259">
        <f>SUMPRODUCT((PC!$A$2:$A$80=$A173)*(PCEmp=AL$1),PC!$D$2:$BD$80)</f>
        <v>0</v>
      </c>
      <c r="AM173" s="259">
        <f>SUMPRODUCT((PC!$A$2:$A$80=$A173)*(PCEmp=AM$1),PC!$D$2:$BD$80)</f>
        <v>0</v>
      </c>
      <c r="AN173" s="259">
        <f>SUMPRODUCT((PC!$A$2:$A$80=$A173)*(PCEmp=AN$1),PC!$D$2:$BD$80)</f>
        <v>0</v>
      </c>
      <c r="AO173" s="259">
        <f>SUMPRODUCT((PC!$A$2:$A$80=$A173)*(PCEmp=AO$1),PC!$D$2:$BD$80)</f>
        <v>0</v>
      </c>
      <c r="AP173" s="259">
        <f>SUMPRODUCT((PC!$A$2:$A$80=$A173)*(PCEmp=AP$1),PC!$D$2:$BD$80)</f>
        <v>0</v>
      </c>
      <c r="AQ173" s="259">
        <f>SUMPRODUCT((PC!$A$2:$A$80=$A173)*(PCEmp=AQ$1),PC!$D$2:$BD$80)</f>
        <v>0</v>
      </c>
      <c r="AR173" s="497">
        <f>SUMPRODUCT((PC!$A$2:$A$80=$A173)*(PCEmp=AR$1),PC!$D$2:$BD$80)</f>
        <v>0</v>
      </c>
    </row>
    <row r="174" spans="1:44" s="271" customFormat="1" x14ac:dyDescent="0.2">
      <c r="A174" s="247">
        <f t="shared" si="105"/>
        <v>42476</v>
      </c>
      <c r="B174" s="254" t="s">
        <v>85</v>
      </c>
      <c r="C174" s="249">
        <f>SUMPRODUCT((RF!$A$2:$A$17=$A174)*(RFEmp=C$1)*(RF!$H$21:$AO$21="RF Lead"),RF!$H$2:$AO$17)</f>
        <v>0</v>
      </c>
      <c r="D174" s="250">
        <f>SUMPRODUCT((RF!$A$2:$A$17=$A174)*(RFEmp=D$1)*(RF!$H$21:$AO$21="RF Lead"),RF!$H$2:$AO$17)</f>
        <v>0</v>
      </c>
      <c r="E174" s="250">
        <f>SUMPRODUCT((RF!$A$2:$A$17=$A174)*(RFEmp=E$1)*(RF!$H$21:$AO$21="RF Lead"),RF!$H$2:$AO$17)</f>
        <v>0</v>
      </c>
      <c r="F174" s="250">
        <f>SUMPRODUCT((RF!$A$2:$A$17=$A174)*(RFEmp=F$1)*(RF!$H$21:$AO$21="RF Lead"),RF!$H$2:$AO$17)</f>
        <v>0</v>
      </c>
      <c r="G174" s="250">
        <f>SUMPRODUCT((RF!$A$2:$A$17=$A174)*(RFEmp=G$1)*(RF!$H$21:$AO$21="RF Lead"),RF!$H$2:$AO$17)</f>
        <v>0</v>
      </c>
      <c r="H174" s="250">
        <f>SUMPRODUCT((RF!$A$2:$A$17=$A174)*(RFEmp=H$1)*(RF!$H$21:$AO$21="RF Lead"),RF!$H$2:$AO$17)</f>
        <v>0</v>
      </c>
      <c r="I174" s="250">
        <f>SUMPRODUCT((RF!$A$2:$A$17=$A174)*(RFEmp=I$1)*(RF!$H$21:$AO$21="RF Lead"),RF!$H$2:$AO$17)</f>
        <v>0</v>
      </c>
      <c r="J174" s="250">
        <f>SUMPRODUCT((RF!$A$2:$A$17=$A174)*(RFEmp=J$1)*(RF!$H$21:$AO$21="RF Lead"),RF!$H$2:$AO$17)</f>
        <v>0</v>
      </c>
      <c r="K174" s="250">
        <f>SUMPRODUCT((RF!$A$2:$A$17=$A174)*(RFEmp=K$1)*(RF!$H$21:$AO$21="RF Lead"),RF!$H$2:$AO$17)</f>
        <v>0</v>
      </c>
      <c r="L174" s="250">
        <f>SUMPRODUCT((RF!$A$2:$A$17=$A174)*(RFEmp=L$1)*(RF!$H$21:$AO$21="RF Lead"),RF!$H$2:$AO$17)</f>
        <v>0</v>
      </c>
      <c r="M174" s="250">
        <f>SUMPRODUCT((RF!$A$2:$A$17=$A174)*(RFEmp=M$1)*(RF!$H$21:$AO$21="RF Lead"),RF!$H$2:$AO$17)</f>
        <v>0</v>
      </c>
      <c r="N174" s="250">
        <f>SUMPRODUCT((RF!$A$2:$A$17=$A174)*(RFEmp=N$1)*(RF!$H$21:$AO$21="RF Lead"),RF!$H$2:$AO$17)</f>
        <v>0</v>
      </c>
      <c r="O174" s="250">
        <f>SUMPRODUCT((RF!$A$2:$A$17=$A174)*(RFEmp=O$1)*(RF!$H$21:$AO$21="RF Lead"),RF!$H$2:$AO$17)</f>
        <v>0</v>
      </c>
      <c r="P174" s="250">
        <f>SUMPRODUCT((RF!$A$2:$A$17=$A174)*(RFEmp=P$1)*(RF!$H$21:$AO$21="RF Lead"),RF!$H$2:$AO$17)</f>
        <v>0</v>
      </c>
      <c r="Q174" s="250">
        <f>SUMPRODUCT((RF!$A$2:$A$17=$A174)*(RFEmp=Q$1)*(RF!$H$21:$AO$21="RF Lead"),RF!$H$2:$AO$17)</f>
        <v>0</v>
      </c>
      <c r="R174" s="250">
        <f>SUMPRODUCT((RF!$A$2:$A$17=$A174)*(RFEmp=R$1)*(RF!$H$21:$AO$21="RF Lead"),RF!$H$2:$AO$17)</f>
        <v>0</v>
      </c>
      <c r="S174" s="250">
        <f>SUMPRODUCT((RF!$A$2:$A$17=$A174)*(RFEmp=S$1)*(RF!$H$21:$AO$21="RF Lead"),RF!$H$2:$AO$17)</f>
        <v>0</v>
      </c>
      <c r="T174" s="250">
        <f>SUMPRODUCT((RF!$A$2:$A$17=$A174)*(RFEmp=T$1)*(RF!$H$21:$AO$21="RF Lead"),RF!$H$2:$AO$17)</f>
        <v>0</v>
      </c>
      <c r="U174" s="250">
        <f>SUMPRODUCT((RF!$A$2:$A$17=$A174)*(RFEmp=U$1)*(RF!$H$21:$AO$21="RF Lead"),RF!$H$2:$AO$17)</f>
        <v>0</v>
      </c>
      <c r="V174" s="250">
        <f>SUMPRODUCT((RF!$A$2:$A$17=$A174)*(RFEmp=V$1)*(RF!$H$21:$AO$21="RF Lead"),RF!$H$2:$AO$17)</f>
        <v>0</v>
      </c>
      <c r="W174" s="250">
        <f>SUMPRODUCT((RF!$A$2:$A$17=$A174)*(RFEmp=W$1)*(RF!$H$21:$AO$21="RF Lead"),RF!$H$2:$AO$17)</f>
        <v>0</v>
      </c>
      <c r="X174" s="250">
        <f>SUMPRODUCT((RF!$A$2:$A$17=$A174)*(RFEmp=X$1)*(RF!$H$21:$AO$21="RF Lead"),RF!$H$2:$AO$17)</f>
        <v>0</v>
      </c>
      <c r="Y174" s="250">
        <f>SUMPRODUCT((RF!$A$2:$A$17=$A174)*(RFEmp=Y$1)*(RF!$H$21:$AO$21="RF Lead"),RF!$H$2:$AO$17)</f>
        <v>0</v>
      </c>
      <c r="Z174" s="250">
        <f>SUMPRODUCT((RF!$A$2:$A$17=$A174)*(RFEmp=Z$1)*(RF!$H$21:$AO$21="RF Lead"),RF!$H$2:$AO$17)</f>
        <v>0</v>
      </c>
      <c r="AA174" s="250">
        <f>SUMPRODUCT((RF!$A$2:$A$17=$A174)*(RFEmp=AA$1)*(RF!$H$21:$AO$21="RF Lead"),RF!$H$2:$AO$17)</f>
        <v>0</v>
      </c>
      <c r="AB174" s="250">
        <f>SUMPRODUCT((RF!$A$2:$A$17=$A174)*(RFEmp=AB$1)*(RF!$H$21:$AO$21="RF Lead"),RF!$H$2:$AO$17)</f>
        <v>0</v>
      </c>
      <c r="AC174" s="250">
        <f>SUMPRODUCT((RF!$A$2:$A$17=$A174)*(RFEmp=AC$1)*(RF!$H$21:$AO$21="RF Lead"),RF!$H$2:$AO$17)</f>
        <v>0</v>
      </c>
      <c r="AD174" s="250">
        <f>SUMPRODUCT((RF!$A$2:$A$17=$A174)*(RFEmp=AD$1)*(RF!$H$21:$AO$21="RF Lead"),RF!$H$2:$AO$17)</f>
        <v>0</v>
      </c>
      <c r="AE174" s="250">
        <f>SUMPRODUCT((RF!$A$2:$A$17=$A174)*(RFEmp=AE$1)*(RF!$H$21:$AO$21="RF Lead"),RF!$H$2:$AO$17)</f>
        <v>0</v>
      </c>
      <c r="AF174" s="250">
        <f>SUMPRODUCT((RF!$A$2:$A$17=$A174)*(RFEmp=AF$1)*(RF!$H$21:$AO$21="RF Lead"),RF!$H$2:$AO$17)</f>
        <v>0</v>
      </c>
      <c r="AG174" s="250">
        <f>SUMPRODUCT((RF!$A$2:$A$17=$A174)*(RFEmp=AG$1)*(RF!$H$21:$AO$21="RF Lead"),RF!$H$2:$AO$17)</f>
        <v>0</v>
      </c>
      <c r="AH174" s="250">
        <f>SUMPRODUCT((RF!$A$2:$A$17=$A174)*(RFEmp=AH$1)*(RF!$H$21:$AO$21="RF Lead"),RF!$H$2:$AO$17)</f>
        <v>0</v>
      </c>
      <c r="AI174" s="250">
        <f>SUMPRODUCT((RF!$A$2:$A$17=$A174)*(RFEmp=AI$1)*(RF!$H$21:$AO$21="RF Lead"),RF!$H$2:$AO$17)</f>
        <v>0</v>
      </c>
      <c r="AJ174" s="250">
        <f>SUMPRODUCT((RF!$A$2:$A$17=$A174)*(RFEmp=AJ$1)*(RF!$H$21:$AO$21="RF Lead"),RF!$H$2:$AO$17)</f>
        <v>0</v>
      </c>
      <c r="AK174" s="250">
        <f>SUMPRODUCT((RF!$A$2:$A$17=$A174)*(RFEmp=AK$1)*(RF!$H$21:$AO$21="RF Lead"),RF!$H$2:$AO$17)</f>
        <v>0</v>
      </c>
      <c r="AL174" s="250">
        <f>SUMPRODUCT((RF!$A$2:$A$17=$A174)*(RFEmp=AL$1)*(RF!$H$21:$AO$21="RF Lead"),RF!$H$2:$AO$17)</f>
        <v>0</v>
      </c>
      <c r="AM174" s="250">
        <f>SUMPRODUCT((RF!$A$2:$A$17=$A174)*(RFEmp=AM$1)*(RF!$H$21:$AO$21="RF Lead"),RF!$H$2:$AO$17)</f>
        <v>0</v>
      </c>
      <c r="AN174" s="250">
        <f>SUMPRODUCT((RF!$A$2:$A$17=$A174)*(RFEmp=AN$1)*(RF!$H$21:$AO$21="RF Lead"),RF!$H$2:$AO$17)</f>
        <v>0</v>
      </c>
      <c r="AO174" s="250">
        <f>SUMPRODUCT((RF!$A$2:$A$17=$A174)*(RFEmp=AO$1)*(RF!$H$21:$AO$21="RF Lead"),RF!$H$2:$AO$17)</f>
        <v>0</v>
      </c>
      <c r="AP174" s="250">
        <f>SUMPRODUCT((RF!$A$2:$A$17=$A174)*(RFEmp=AP$1)*(RF!$H$21:$AO$21="RF Lead"),RF!$H$2:$AO$17)</f>
        <v>0</v>
      </c>
      <c r="AQ174" s="250">
        <f>SUMPRODUCT((RF!$A$2:$A$17=$A174)*(RFEmp=AQ$1)*(RF!$H$21:$AO$21="RF Lead"),RF!$H$2:$AO$17)</f>
        <v>0</v>
      </c>
      <c r="AR174" s="496">
        <f>SUMPRODUCT((RF!$A$2:$A$17=$A174)*(RFEmp=AR$1)*(RF!$H$21:$AO$21="RF Lead"),RF!$H$2:$AO$17)</f>
        <v>0</v>
      </c>
    </row>
    <row r="175" spans="1:44" s="271" customFormat="1" x14ac:dyDescent="0.2">
      <c r="A175" s="260">
        <f t="shared" si="105"/>
        <v>42476</v>
      </c>
      <c r="B175" s="261" t="str">
        <f>Total!$M$1</f>
        <v>SC</v>
      </c>
      <c r="C175" s="249">
        <f>SUMPRODUCT((SC!$A$2:$A$34=$A175)*(SCEmp=C$1),SC!$F$2:$Z$34)</f>
        <v>0</v>
      </c>
      <c r="D175" s="250">
        <f>SUMPRODUCT((SC!$A$2:$A$34=$A175)*(SCEmp=D$1),SC!$F$2:$Z$34)</f>
        <v>0</v>
      </c>
      <c r="E175" s="250">
        <f>SUMPRODUCT((SC!$A$2:$A$34=$A175)*(SCEmp=E$1),SC!$F$2:$Z$34)</f>
        <v>0</v>
      </c>
      <c r="F175" s="250">
        <f>SUMPRODUCT((SC!$A$2:$A$34=$A175)*(SCEmp=F$1),SC!$F$2:$Z$34)</f>
        <v>0</v>
      </c>
      <c r="G175" s="250">
        <f>SUMPRODUCT((SC!$A$2:$A$34=$A175)*(SCEmp=G$1),SC!$F$2:$Z$34)</f>
        <v>0</v>
      </c>
      <c r="H175" s="250">
        <f>SUMPRODUCT((SC!$A$2:$A$34=$A175)*(SCEmp=H$1),SC!$F$2:$Z$34)</f>
        <v>0</v>
      </c>
      <c r="I175" s="250">
        <f>SUMPRODUCT((SC!$A$2:$A$34=$A175)*(SCEmp=I$1),SC!$F$2:$Z$34)</f>
        <v>0</v>
      </c>
      <c r="J175" s="250">
        <f>SUMPRODUCT((SC!$A$2:$A$34=$A175)*(SCEmp=J$1),SC!$F$2:$Z$34)</f>
        <v>0</v>
      </c>
      <c r="K175" s="250">
        <f>SUMPRODUCT((SC!$A$2:$A$34=$A175)*(SCEmp=K$1),SC!$F$2:$Z$34)</f>
        <v>0</v>
      </c>
      <c r="L175" s="250">
        <f>SUMPRODUCT((SC!$A$2:$A$34=$A175)*(SCEmp=L$1),SC!$F$2:$Z$34)</f>
        <v>0</v>
      </c>
      <c r="M175" s="250">
        <f>SUMPRODUCT((SC!$A$2:$A$34=$A175)*(SCEmp=M$1),SC!$F$2:$Z$34)</f>
        <v>0</v>
      </c>
      <c r="N175" s="250">
        <f>SUMPRODUCT((SC!$A$2:$A$34=$A175)*(SCEmp=N$1),SC!$F$2:$Z$34)</f>
        <v>0</v>
      </c>
      <c r="O175" s="250">
        <f>SUMPRODUCT((SC!$A$2:$A$34=$A175)*(SCEmp=O$1),SC!$F$2:$Z$34)</f>
        <v>0</v>
      </c>
      <c r="P175" s="250">
        <f>SUMPRODUCT((SC!$A$2:$A$34=$A175)*(SCEmp=P$1),SC!$F$2:$Z$34)</f>
        <v>0</v>
      </c>
      <c r="Q175" s="250">
        <f>SUMPRODUCT((SC!$A$2:$A$34=$A175)*(SCEmp=Q$1),SC!$F$2:$Z$34)</f>
        <v>0</v>
      </c>
      <c r="R175" s="250">
        <f>SUMPRODUCT((SC!$A$2:$A$34=$A175)*(SCEmp=R$1),SC!$F$2:$Z$34)</f>
        <v>0</v>
      </c>
      <c r="S175" s="250">
        <f>SUMPRODUCT((SC!$A$2:$A$34=$A175)*(SCEmp=S$1),SC!$F$2:$Z$34)</f>
        <v>0</v>
      </c>
      <c r="T175" s="250">
        <f>SUMPRODUCT((SC!$A$2:$A$34=$A175)*(SCEmp=T$1),SC!$F$2:$Z$34)</f>
        <v>0</v>
      </c>
      <c r="U175" s="250">
        <f>SUMPRODUCT((SC!$A$2:$A$34=$A175)*(SCEmp=U$1),SC!$F$2:$Z$34)</f>
        <v>0</v>
      </c>
      <c r="V175" s="250">
        <f>SUMPRODUCT((SC!$A$2:$A$34=$A175)*(SCEmp=V$1),SC!$F$2:$Z$34)</f>
        <v>0</v>
      </c>
      <c r="W175" s="250">
        <f>SUMPRODUCT((SC!$A$2:$A$34=$A175)*(SCEmp=W$1),SC!$F$2:$Z$34)</f>
        <v>0</v>
      </c>
      <c r="X175" s="250">
        <f>SUMPRODUCT((SC!$A$2:$A$34=$A175)*(SCEmp=X$1),SC!$F$2:$Z$34)</f>
        <v>0</v>
      </c>
      <c r="Y175" s="250">
        <f>SUMPRODUCT((SC!$A$2:$A$34=$A175)*(SCEmp=Y$1),SC!$F$2:$Z$34)</f>
        <v>0</v>
      </c>
      <c r="Z175" s="250">
        <f>SUMPRODUCT((SC!$A$2:$A$34=$A175)*(SCEmp=Z$1),SC!$F$2:$Z$34)</f>
        <v>0</v>
      </c>
      <c r="AA175" s="250">
        <f>SUMPRODUCT((SC!$A$2:$A$34=$A175)*(SCEmp=AA$1),SC!$F$2:$Z$34)</f>
        <v>0</v>
      </c>
      <c r="AB175" s="250">
        <f>SUMPRODUCT((SC!$A$2:$A$34=$A175)*(SCEmp=AB$1),SC!$F$2:$Z$34)</f>
        <v>0</v>
      </c>
      <c r="AC175" s="250">
        <f>SUMPRODUCT((SC!$A$2:$A$34=$A175)*(SCEmp=AC$1),SC!$F$2:$Z$34)</f>
        <v>0</v>
      </c>
      <c r="AD175" s="250">
        <f>SUMPRODUCT((SC!$A$2:$A$34=$A175)*(SCEmp=AD$1),SC!$F$2:$Z$34)</f>
        <v>0</v>
      </c>
      <c r="AE175" s="250">
        <f>SUMPRODUCT((SC!$A$2:$A$34=$A175)*(SCEmp=AE$1),SC!$F$2:$Z$34)</f>
        <v>0</v>
      </c>
      <c r="AF175" s="250">
        <f>SUMPRODUCT((SC!$A$2:$A$34=$A175)*(SCEmp=AF$1),SC!$F$2:$Z$34)</f>
        <v>0</v>
      </c>
      <c r="AG175" s="250">
        <f>SUMPRODUCT((SC!$A$2:$A$34=$A175)*(SCEmp=AG$1),SC!$F$2:$Z$34)</f>
        <v>0</v>
      </c>
      <c r="AH175" s="250">
        <f>SUMPRODUCT((SC!$A$2:$A$34=$A175)*(SCEmp=AH$1),SC!$F$2:$Z$34)</f>
        <v>0</v>
      </c>
      <c r="AI175" s="250">
        <f>SUMPRODUCT((SC!$A$2:$A$34=$A175)*(SCEmp=AI$1),SC!$F$2:$Z$34)</f>
        <v>0</v>
      </c>
      <c r="AJ175" s="250">
        <f>SUMPRODUCT((SC!$A$2:$A$34=$A175)*(SCEmp=AJ$1),SC!$F$2:$Z$34)</f>
        <v>0</v>
      </c>
      <c r="AK175" s="250">
        <f>SUMPRODUCT((SC!$A$2:$A$34=$A175)*(SCEmp=AK$1),SC!$F$2:$Z$34)</f>
        <v>0</v>
      </c>
      <c r="AL175" s="250">
        <f>SUMPRODUCT((SC!$A$2:$A$34=$A175)*(SCEmp=AL$1),SC!$F$2:$Z$34)</f>
        <v>0</v>
      </c>
      <c r="AM175" s="250">
        <f>SUMPRODUCT((SC!$A$2:$A$34=$A175)*(SCEmp=AM$1),SC!$F$2:$Z$34)</f>
        <v>0</v>
      </c>
      <c r="AN175" s="250">
        <f>SUMPRODUCT((SC!$A$2:$A$34=$A175)*(SCEmp=AN$1),SC!$F$2:$Z$34)</f>
        <v>0</v>
      </c>
      <c r="AO175" s="250">
        <f>SUMPRODUCT((SC!$A$2:$A$34=$A175)*(SCEmp=AO$1),SC!$F$2:$Z$34)</f>
        <v>0</v>
      </c>
      <c r="AP175" s="250">
        <f>SUMPRODUCT((SC!$A$2:$A$34=$A175)*(SCEmp=AP$1),SC!$F$2:$Z$34)</f>
        <v>0</v>
      </c>
      <c r="AQ175" s="250">
        <f>SUMPRODUCT((SC!$A$2:$A$34=$A175)*(SCEmp=AQ$1),SC!$F$2:$Z$34)</f>
        <v>0</v>
      </c>
      <c r="AR175" s="496">
        <f>SUMPRODUCT((SC!$A$2:$A$34=$A175)*(SCEmp=AR$1),SC!$F$2:$Z$34)</f>
        <v>0</v>
      </c>
    </row>
    <row r="176" spans="1:44" s="271" customFormat="1" x14ac:dyDescent="0.2">
      <c r="A176" s="262">
        <f t="shared" si="105"/>
        <v>42476</v>
      </c>
      <c r="B176" s="263" t="s">
        <v>87</v>
      </c>
      <c r="C176" s="264">
        <f t="shared" ref="C176:AR176" si="106">IF(SUM(C167:C175)&gt;8,SUM(C167:C175)-8,0)+IF(SUM(C167:C175)&gt;12,SUM(C167:C175)-12,0)</f>
        <v>0</v>
      </c>
      <c r="D176" s="265">
        <f t="shared" si="106"/>
        <v>0</v>
      </c>
      <c r="E176" s="265">
        <f t="shared" si="106"/>
        <v>0</v>
      </c>
      <c r="F176" s="265">
        <f t="shared" si="106"/>
        <v>0</v>
      </c>
      <c r="G176" s="265">
        <f t="shared" si="106"/>
        <v>0</v>
      </c>
      <c r="H176" s="265">
        <f t="shared" si="106"/>
        <v>0</v>
      </c>
      <c r="I176" s="265">
        <f t="shared" si="106"/>
        <v>0</v>
      </c>
      <c r="J176" s="265">
        <f t="shared" si="106"/>
        <v>0</v>
      </c>
      <c r="K176" s="265">
        <f t="shared" si="106"/>
        <v>0</v>
      </c>
      <c r="L176" s="265">
        <f t="shared" si="106"/>
        <v>0</v>
      </c>
      <c r="M176" s="265">
        <f t="shared" si="106"/>
        <v>0</v>
      </c>
      <c r="N176" s="265">
        <f t="shared" si="106"/>
        <v>0</v>
      </c>
      <c r="O176" s="265">
        <f t="shared" si="106"/>
        <v>0</v>
      </c>
      <c r="P176" s="265">
        <f t="shared" si="106"/>
        <v>0</v>
      </c>
      <c r="Q176" s="265">
        <f t="shared" si="106"/>
        <v>0</v>
      </c>
      <c r="R176" s="265">
        <f t="shared" si="106"/>
        <v>0</v>
      </c>
      <c r="S176" s="265">
        <f t="shared" si="106"/>
        <v>0</v>
      </c>
      <c r="T176" s="265">
        <f t="shared" si="106"/>
        <v>0</v>
      </c>
      <c r="U176" s="265">
        <f t="shared" si="106"/>
        <v>0</v>
      </c>
      <c r="V176" s="265">
        <f t="shared" si="106"/>
        <v>0</v>
      </c>
      <c r="W176" s="265">
        <f t="shared" si="106"/>
        <v>0</v>
      </c>
      <c r="X176" s="265">
        <f t="shared" si="106"/>
        <v>0</v>
      </c>
      <c r="Y176" s="265">
        <f t="shared" si="106"/>
        <v>0</v>
      </c>
      <c r="Z176" s="265">
        <f t="shared" si="106"/>
        <v>0</v>
      </c>
      <c r="AA176" s="265">
        <f t="shared" si="106"/>
        <v>0</v>
      </c>
      <c r="AB176" s="265">
        <f t="shared" si="106"/>
        <v>0</v>
      </c>
      <c r="AC176" s="265">
        <f t="shared" si="106"/>
        <v>0</v>
      </c>
      <c r="AD176" s="265">
        <f t="shared" si="106"/>
        <v>0</v>
      </c>
      <c r="AE176" s="265">
        <f t="shared" si="106"/>
        <v>0</v>
      </c>
      <c r="AF176" s="265">
        <f t="shared" si="106"/>
        <v>0</v>
      </c>
      <c r="AG176" s="265">
        <f t="shared" si="106"/>
        <v>0</v>
      </c>
      <c r="AH176" s="265">
        <f t="shared" si="106"/>
        <v>0</v>
      </c>
      <c r="AI176" s="265">
        <f t="shared" si="106"/>
        <v>0</v>
      </c>
      <c r="AJ176" s="265">
        <f t="shared" si="106"/>
        <v>0</v>
      </c>
      <c r="AK176" s="265">
        <f t="shared" si="106"/>
        <v>0</v>
      </c>
      <c r="AL176" s="265">
        <f t="shared" si="106"/>
        <v>0</v>
      </c>
      <c r="AM176" s="265">
        <f t="shared" si="106"/>
        <v>0</v>
      </c>
      <c r="AN176" s="265">
        <f t="shared" si="106"/>
        <v>0</v>
      </c>
      <c r="AO176" s="265">
        <f t="shared" ref="AO176:AP176" si="107">IF(SUM(AO167:AO175)&gt;8,SUM(AO167:AO175)-8,0)+IF(SUM(AO167:AO175)&gt;12,SUM(AO167:AO175)-12,0)</f>
        <v>0</v>
      </c>
      <c r="AP176" s="265">
        <f t="shared" si="107"/>
        <v>0</v>
      </c>
      <c r="AQ176" s="265">
        <f t="shared" ref="AQ176" si="108">IF(SUM(AQ167:AQ175)&gt;8,SUM(AQ167:AQ175)-8,0)+IF(SUM(AQ167:AQ175)&gt;12,SUM(AQ167:AQ175)-12,0)</f>
        <v>0</v>
      </c>
      <c r="AR176" s="498">
        <f t="shared" si="106"/>
        <v>0</v>
      </c>
    </row>
    <row r="177" spans="1:44" s="271" customFormat="1" x14ac:dyDescent="0.2">
      <c r="A177" s="266">
        <f t="shared" si="105"/>
        <v>42476</v>
      </c>
      <c r="B177" s="267" t="s">
        <v>86</v>
      </c>
      <c r="C177" s="268">
        <f t="shared" ref="C177:AR177" si="109">IFERROR((C$179*SUM(C167:C172)+C$180*SUM(C173:C175))/SUM(C167:C175)/2,0)*C176</f>
        <v>0</v>
      </c>
      <c r="D177" s="269">
        <f t="shared" si="109"/>
        <v>0</v>
      </c>
      <c r="E177" s="269">
        <f t="shared" si="109"/>
        <v>0</v>
      </c>
      <c r="F177" s="269">
        <f t="shared" si="109"/>
        <v>0</v>
      </c>
      <c r="G177" s="269">
        <f t="shared" si="109"/>
        <v>0</v>
      </c>
      <c r="H177" s="269">
        <f t="shared" si="109"/>
        <v>0</v>
      </c>
      <c r="I177" s="269">
        <f t="shared" si="109"/>
        <v>0</v>
      </c>
      <c r="J177" s="269">
        <f t="shared" si="109"/>
        <v>0</v>
      </c>
      <c r="K177" s="269">
        <f t="shared" si="109"/>
        <v>0</v>
      </c>
      <c r="L177" s="269">
        <f t="shared" si="109"/>
        <v>0</v>
      </c>
      <c r="M177" s="269">
        <f t="shared" si="109"/>
        <v>0</v>
      </c>
      <c r="N177" s="269">
        <f t="shared" si="109"/>
        <v>0</v>
      </c>
      <c r="O177" s="269">
        <f t="shared" si="109"/>
        <v>0</v>
      </c>
      <c r="P177" s="269">
        <f t="shared" si="109"/>
        <v>0</v>
      </c>
      <c r="Q177" s="269">
        <f t="shared" si="109"/>
        <v>0</v>
      </c>
      <c r="R177" s="269">
        <f t="shared" si="109"/>
        <v>0</v>
      </c>
      <c r="S177" s="269">
        <f t="shared" si="109"/>
        <v>0</v>
      </c>
      <c r="T177" s="269">
        <f t="shared" si="109"/>
        <v>0</v>
      </c>
      <c r="U177" s="269">
        <f t="shared" si="109"/>
        <v>0</v>
      </c>
      <c r="V177" s="269">
        <f t="shared" si="109"/>
        <v>0</v>
      </c>
      <c r="W177" s="269">
        <f t="shared" si="109"/>
        <v>0</v>
      </c>
      <c r="X177" s="269">
        <f t="shared" si="109"/>
        <v>0</v>
      </c>
      <c r="Y177" s="269">
        <f t="shared" si="109"/>
        <v>0</v>
      </c>
      <c r="Z177" s="269">
        <f t="shared" si="109"/>
        <v>0</v>
      </c>
      <c r="AA177" s="269">
        <f t="shared" si="109"/>
        <v>0</v>
      </c>
      <c r="AB177" s="269">
        <f t="shared" si="109"/>
        <v>0</v>
      </c>
      <c r="AC177" s="269">
        <f t="shared" si="109"/>
        <v>0</v>
      </c>
      <c r="AD177" s="269">
        <f t="shared" si="109"/>
        <v>0</v>
      </c>
      <c r="AE177" s="269">
        <f t="shared" si="109"/>
        <v>0</v>
      </c>
      <c r="AF177" s="269">
        <f t="shared" si="109"/>
        <v>0</v>
      </c>
      <c r="AG177" s="269">
        <f t="shared" si="109"/>
        <v>0</v>
      </c>
      <c r="AH177" s="269">
        <f t="shared" si="109"/>
        <v>0</v>
      </c>
      <c r="AI177" s="269">
        <f t="shared" si="109"/>
        <v>0</v>
      </c>
      <c r="AJ177" s="269">
        <f t="shared" si="109"/>
        <v>0</v>
      </c>
      <c r="AK177" s="269">
        <f t="shared" si="109"/>
        <v>0</v>
      </c>
      <c r="AL177" s="269">
        <f t="shared" si="109"/>
        <v>0</v>
      </c>
      <c r="AM177" s="269">
        <f t="shared" si="109"/>
        <v>0</v>
      </c>
      <c r="AN177" s="269">
        <f t="shared" si="109"/>
        <v>0</v>
      </c>
      <c r="AO177" s="269">
        <f t="shared" ref="AO177:AP177" si="110">IFERROR((AO$179*SUM(AO167:AO172)+AO$180*SUM(AO173:AO175))/SUM(AO167:AO175)/2,0)*AO176</f>
        <v>0</v>
      </c>
      <c r="AP177" s="269">
        <f t="shared" si="110"/>
        <v>0</v>
      </c>
      <c r="AQ177" s="269">
        <f t="shared" ref="AQ177" si="111">IFERROR((AQ$179*SUM(AQ167:AQ172)+AQ$180*SUM(AQ173:AQ175))/SUM(AQ167:AQ175)/2,0)*AQ176</f>
        <v>0</v>
      </c>
      <c r="AR177" s="499">
        <f t="shared" si="109"/>
        <v>0</v>
      </c>
    </row>
    <row r="178" spans="1:44" s="271" customFormat="1" ht="12" thickBot="1" x14ac:dyDescent="0.25">
      <c r="A178" s="272"/>
      <c r="B178" s="273"/>
      <c r="C178" s="274"/>
      <c r="D178" s="270"/>
      <c r="E178" s="270"/>
      <c r="F178" s="270"/>
      <c r="G178" s="270"/>
      <c r="H178" s="270"/>
      <c r="I178" s="270"/>
      <c r="J178" s="270"/>
      <c r="K178" s="270"/>
      <c r="L178" s="270"/>
      <c r="M178" s="270"/>
      <c r="N178" s="270"/>
      <c r="O178" s="270"/>
      <c r="P178" s="270"/>
      <c r="Q178" s="270"/>
      <c r="R178" s="270"/>
      <c r="S178" s="270"/>
      <c r="T178" s="270"/>
      <c r="U178" s="270"/>
      <c r="V178" s="270"/>
      <c r="W178" s="270"/>
      <c r="X178" s="270"/>
      <c r="Y178" s="270"/>
      <c r="Z178" s="270"/>
      <c r="AA178" s="270"/>
      <c r="AB178" s="270"/>
      <c r="AC178" s="270"/>
      <c r="AD178" s="270"/>
      <c r="AE178" s="270"/>
      <c r="AF178" s="270"/>
      <c r="AG178" s="270"/>
      <c r="AH178" s="270"/>
      <c r="AI178" s="270"/>
      <c r="AJ178" s="270"/>
      <c r="AK178" s="270"/>
      <c r="AL178" s="270"/>
      <c r="AM178" s="270"/>
      <c r="AN178" s="270"/>
      <c r="AO178" s="270"/>
      <c r="AP178" s="270"/>
      <c r="AQ178" s="270"/>
      <c r="AR178" s="500"/>
    </row>
    <row r="179" spans="1:44" s="271" customFormat="1" x14ac:dyDescent="0.2">
      <c r="A179" s="275" t="s">
        <v>82</v>
      </c>
      <c r="B179" s="276" t="s">
        <v>83</v>
      </c>
      <c r="C179" s="277">
        <f>SUMIF(Total!$X:$X,C$1,Total!$B:$B)</f>
        <v>10</v>
      </c>
      <c r="D179" s="278">
        <f>SUMIF(Total!$X:$X,D$1,Total!$B:$B)</f>
        <v>10</v>
      </c>
      <c r="E179" s="278">
        <f>SUMIF(Total!$X:$X,E$1,Total!$B:$B)</f>
        <v>10</v>
      </c>
      <c r="F179" s="278">
        <f>SUMIF(Total!$X:$X,F$1,Total!$B:$B)</f>
        <v>10</v>
      </c>
      <c r="G179" s="278">
        <f>SUMIF(Total!$X:$X,G$1,Total!$B:$B)</f>
        <v>10</v>
      </c>
      <c r="H179" s="278">
        <f>SUMIF(Total!$X:$X,H$1,Total!$B:$B)</f>
        <v>10</v>
      </c>
      <c r="I179" s="278">
        <f>SUMIF(Total!$X:$X,I$1,Total!$B:$B)</f>
        <v>10</v>
      </c>
      <c r="J179" s="278">
        <f>SUMIF(Total!$X:$X,J$1,Total!$B:$B)</f>
        <v>10</v>
      </c>
      <c r="K179" s="278">
        <f>SUMIF(Total!$X:$X,K$1,Total!$B:$B)</f>
        <v>10</v>
      </c>
      <c r="L179" s="278">
        <f>SUMIF(Total!$X:$X,L$1,Total!$B:$B)</f>
        <v>10</v>
      </c>
      <c r="M179" s="278">
        <f>SUMIF(Total!$X:$X,M$1,Total!$B:$B)</f>
        <v>10</v>
      </c>
      <c r="N179" s="278">
        <f>SUMIF(Total!$X:$X,N$1,Total!$B:$B)</f>
        <v>10</v>
      </c>
      <c r="O179" s="278">
        <f>SUMIF(Total!$X:$X,O$1,Total!$B:$B)</f>
        <v>10</v>
      </c>
      <c r="P179" s="278">
        <f>SUMIF(Total!$X:$X,P$1,Total!$B:$B)</f>
        <v>10</v>
      </c>
      <c r="Q179" s="278">
        <f>SUMIF(Total!$X:$X,Q$1,Total!$B:$B)</f>
        <v>10</v>
      </c>
      <c r="R179" s="278">
        <f>SUMIF(Total!$X:$X,R$1,Total!$B:$B)</f>
        <v>10</v>
      </c>
      <c r="S179" s="278">
        <f>SUMIF(Total!$X:$X,S$1,Total!$B:$B)</f>
        <v>10</v>
      </c>
      <c r="T179" s="278">
        <f>SUMIF(Total!$X:$X,T$1,Total!$B:$B)</f>
        <v>10</v>
      </c>
      <c r="U179" s="278">
        <f>SUMIF(Total!$X:$X,U$1,Total!$B:$B)</f>
        <v>10</v>
      </c>
      <c r="V179" s="278">
        <f>SUMIF(Total!$X:$X,V$1,Total!$B:$B)</f>
        <v>10</v>
      </c>
      <c r="W179" s="278">
        <f>SUMIF(Total!$X:$X,W$1,Total!$B:$B)</f>
        <v>10</v>
      </c>
      <c r="X179" s="278">
        <f>SUMIF(Total!$X:$X,X$1,Total!$B:$B)</f>
        <v>10</v>
      </c>
      <c r="Y179" s="278">
        <f>SUMIF(Total!$X:$X,Y$1,Total!$B:$B)</f>
        <v>10</v>
      </c>
      <c r="Z179" s="278">
        <f>SUMIF(Total!$X:$X,Z$1,Total!$B:$B)</f>
        <v>10</v>
      </c>
      <c r="AA179" s="278">
        <f>SUMIF(Total!$X:$X,AA$1,Total!$B:$B)</f>
        <v>10.5</v>
      </c>
      <c r="AB179" s="278">
        <f>SUMIF(Total!$X:$X,AB$1,Total!$B:$B)</f>
        <v>10</v>
      </c>
      <c r="AC179" s="278">
        <f>SUMIF(Total!$X:$X,AC$1,Total!$B:$B)</f>
        <v>10</v>
      </c>
      <c r="AD179" s="278">
        <f>SUMIF(Total!$X:$X,AD$1,Total!$B:$B)</f>
        <v>10</v>
      </c>
      <c r="AE179" s="278">
        <f>SUMIF(Total!$X:$X,AE$1,Total!$B:$B)</f>
        <v>10</v>
      </c>
      <c r="AF179" s="278">
        <f>SUMIF(Total!$X:$X,AF$1,Total!$B:$B)</f>
        <v>10</v>
      </c>
      <c r="AG179" s="278">
        <f>SUMIF(Total!$X:$X,AG$1,Total!$B:$B)</f>
        <v>10</v>
      </c>
      <c r="AH179" s="278">
        <f>SUMIF(Total!$X:$X,AH$1,Total!$B:$B)</f>
        <v>10</v>
      </c>
      <c r="AI179" s="278">
        <f>SUMIF(Total!$X:$X,AI$1,Total!$B:$B)</f>
        <v>0</v>
      </c>
      <c r="AJ179" s="278">
        <f>SUMIF(Total!$X:$X,AJ$1,Total!$B:$B)</f>
        <v>0</v>
      </c>
      <c r="AK179" s="278">
        <f>SUMIF(Total!$X:$X,AK$1,Total!$B:$B)</f>
        <v>0</v>
      </c>
      <c r="AL179" s="278">
        <f>SUMIF(Total!$X:$X,AL$1,Total!$B:$B)</f>
        <v>0</v>
      </c>
      <c r="AM179" s="278">
        <f>SUMIF(Total!$X:$X,AM$1,Total!$B:$B)</f>
        <v>0</v>
      </c>
      <c r="AN179" s="278">
        <f>SUMIF(Total!$X:$X,AN$1,Total!$B:$B)</f>
        <v>0</v>
      </c>
      <c r="AO179" s="278">
        <f>SUMIF(Total!$X:$X,AO$1,Total!$B:$B)</f>
        <v>0</v>
      </c>
      <c r="AP179" s="278">
        <f>SUMIF(Total!$X:$X,AP$1,Total!$B:$B)</f>
        <v>0</v>
      </c>
      <c r="AQ179" s="278">
        <f>SUMIF(Total!$X:$X,AQ$1,Total!$B:$B)</f>
        <v>0</v>
      </c>
      <c r="AR179" s="501">
        <f>SUMIF(Total!$X:$X,AR$1,Total!$B:$B)</f>
        <v>0</v>
      </c>
    </row>
    <row r="180" spans="1:44" s="271" customFormat="1" ht="12" thickBot="1" x14ac:dyDescent="0.25">
      <c r="A180" s="279" t="s">
        <v>79</v>
      </c>
      <c r="B180" s="280" t="s">
        <v>84</v>
      </c>
      <c r="C180" s="281">
        <f>SUMIF(Total!$X:$X,C$1,Total!$C:$C)</f>
        <v>13.5</v>
      </c>
      <c r="D180" s="282">
        <f>SUMIF(Total!$X:$X,D$1,Total!$C:$C)</f>
        <v>13.5</v>
      </c>
      <c r="E180" s="282">
        <f>SUMIF(Total!$X:$X,E$1,Total!$C:$C)</f>
        <v>13.5</v>
      </c>
      <c r="F180" s="282">
        <f>SUMIF(Total!$X:$X,F$1,Total!$C:$C)</f>
        <v>13.5</v>
      </c>
      <c r="G180" s="282">
        <f>SUMIF(Total!$X:$X,G$1,Total!$C:$C)</f>
        <v>13.5</v>
      </c>
      <c r="H180" s="282">
        <f>SUMIF(Total!$X:$X,H$1,Total!$C:$C)</f>
        <v>13.5</v>
      </c>
      <c r="I180" s="282">
        <f>SUMIF(Total!$X:$X,I$1,Total!$C:$C)</f>
        <v>13.5</v>
      </c>
      <c r="J180" s="282">
        <f>SUMIF(Total!$X:$X,J$1,Total!$C:$C)</f>
        <v>13.5</v>
      </c>
      <c r="K180" s="282">
        <f>SUMIF(Total!$X:$X,K$1,Total!$C:$C)</f>
        <v>13.5</v>
      </c>
      <c r="L180" s="282">
        <f>SUMIF(Total!$X:$X,L$1,Total!$C:$C)</f>
        <v>13.5</v>
      </c>
      <c r="M180" s="282">
        <f>SUMIF(Total!$X:$X,M$1,Total!$C:$C)</f>
        <v>13.5</v>
      </c>
      <c r="N180" s="282">
        <f>SUMIF(Total!$X:$X,N$1,Total!$C:$C)</f>
        <v>13.5</v>
      </c>
      <c r="O180" s="282">
        <f>SUMIF(Total!$X:$X,O$1,Total!$C:$C)</f>
        <v>13.5</v>
      </c>
      <c r="P180" s="282">
        <f>SUMIF(Total!$X:$X,P$1,Total!$C:$C)</f>
        <v>13.5</v>
      </c>
      <c r="Q180" s="282">
        <f>SUMIF(Total!$X:$X,Q$1,Total!$C:$C)</f>
        <v>13.5</v>
      </c>
      <c r="R180" s="282">
        <f>SUMIF(Total!$X:$X,R$1,Total!$C:$C)</f>
        <v>13.5</v>
      </c>
      <c r="S180" s="282">
        <f>SUMIF(Total!$X:$X,S$1,Total!$C:$C)</f>
        <v>13.5</v>
      </c>
      <c r="T180" s="282">
        <f>SUMIF(Total!$X:$X,T$1,Total!$C:$C)</f>
        <v>13.5</v>
      </c>
      <c r="U180" s="282">
        <f>SUMIF(Total!$X:$X,U$1,Total!$C:$C)</f>
        <v>13.5</v>
      </c>
      <c r="V180" s="282">
        <f>SUMIF(Total!$X:$X,V$1,Total!$C:$C)</f>
        <v>13.5</v>
      </c>
      <c r="W180" s="282">
        <f>SUMIF(Total!$X:$X,W$1,Total!$C:$C)</f>
        <v>13.5</v>
      </c>
      <c r="X180" s="282">
        <f>SUMIF(Total!$X:$X,X$1,Total!$C:$C)</f>
        <v>13.5</v>
      </c>
      <c r="Y180" s="282">
        <f>SUMIF(Total!$X:$X,Y$1,Total!$C:$C)</f>
        <v>13.5</v>
      </c>
      <c r="Z180" s="282">
        <f>SUMIF(Total!$X:$X,Z$1,Total!$C:$C)</f>
        <v>13.5</v>
      </c>
      <c r="AA180" s="282">
        <f>SUMIF(Total!$X:$X,AA$1,Total!$C:$C)</f>
        <v>15</v>
      </c>
      <c r="AB180" s="282">
        <f>SUMIF(Total!$X:$X,AB$1,Total!$C:$C)</f>
        <v>15</v>
      </c>
      <c r="AC180" s="282">
        <f>SUMIF(Total!$X:$X,AC$1,Total!$C:$C)</f>
        <v>13.5</v>
      </c>
      <c r="AD180" s="282">
        <f>SUMIF(Total!$X:$X,AD$1,Total!$C:$C)</f>
        <v>13.5</v>
      </c>
      <c r="AE180" s="282">
        <f>SUMIF(Total!$X:$X,AE$1,Total!$C:$C)</f>
        <v>13.5</v>
      </c>
      <c r="AF180" s="282">
        <f>SUMIF(Total!$X:$X,AF$1,Total!$C:$C)</f>
        <v>13.5</v>
      </c>
      <c r="AG180" s="282">
        <f>SUMIF(Total!$X:$X,AG$1,Total!$C:$C)</f>
        <v>13.5</v>
      </c>
      <c r="AH180" s="282">
        <f>SUMIF(Total!$X:$X,AH$1,Total!$C:$C)</f>
        <v>13.5</v>
      </c>
      <c r="AI180" s="282">
        <f>SUMIF(Total!$X:$X,AI$1,Total!$C:$C)</f>
        <v>0</v>
      </c>
      <c r="AJ180" s="282">
        <f>SUMIF(Total!$X:$X,AJ$1,Total!$C:$C)</f>
        <v>0</v>
      </c>
      <c r="AK180" s="282">
        <f>SUMIF(Total!$X:$X,AK$1,Total!$C:$C)</f>
        <v>0</v>
      </c>
      <c r="AL180" s="282">
        <f>SUMIF(Total!$X:$X,AL$1,Total!$C:$C)</f>
        <v>0</v>
      </c>
      <c r="AM180" s="282">
        <f>SUMIF(Total!$X:$X,AM$1,Total!$C:$C)</f>
        <v>0</v>
      </c>
      <c r="AN180" s="282">
        <f>SUMIF(Total!$X:$X,AN$1,Total!$C:$C)</f>
        <v>0</v>
      </c>
      <c r="AO180" s="282">
        <f>SUMIF(Total!$X:$X,AO$1,Total!$C:$C)</f>
        <v>0</v>
      </c>
      <c r="AP180" s="282">
        <f>SUMIF(Total!$X:$X,AP$1,Total!$C:$C)</f>
        <v>0</v>
      </c>
      <c r="AQ180" s="282">
        <f>SUMIF(Total!$X:$X,AQ$1,Total!$C:$C)</f>
        <v>0</v>
      </c>
      <c r="AR180" s="502">
        <f>SUMIF(Total!$X:$X,AR$1,Total!$C:$C)</f>
        <v>0</v>
      </c>
    </row>
    <row r="181" spans="1:44" s="271" customFormat="1" ht="12" thickBot="1" x14ac:dyDescent="0.25">
      <c r="A181" s="272"/>
      <c r="B181" s="273"/>
      <c r="C181" s="274"/>
      <c r="D181" s="270"/>
      <c r="E181" s="270"/>
      <c r="F181" s="270"/>
      <c r="G181" s="270"/>
      <c r="H181" s="270"/>
      <c r="I181" s="270"/>
      <c r="J181" s="270"/>
      <c r="K181" s="270"/>
      <c r="L181" s="270"/>
      <c r="M181" s="270"/>
      <c r="N181" s="270"/>
      <c r="O181" s="270"/>
      <c r="P181" s="270"/>
      <c r="Q181" s="270"/>
      <c r="R181" s="270"/>
      <c r="S181" s="270"/>
      <c r="T181" s="270"/>
      <c r="U181" s="270"/>
      <c r="V181" s="270"/>
      <c r="W181" s="270"/>
      <c r="X181" s="270"/>
      <c r="Y181" s="270"/>
      <c r="Z181" s="270"/>
      <c r="AA181" s="270"/>
      <c r="AB181" s="270"/>
      <c r="AC181" s="270"/>
      <c r="AD181" s="270"/>
      <c r="AE181" s="270"/>
      <c r="AF181" s="270"/>
      <c r="AG181" s="270"/>
      <c r="AH181" s="270"/>
      <c r="AI181" s="270"/>
      <c r="AJ181" s="500"/>
    </row>
    <row r="182" spans="1:44" s="271" customFormat="1" ht="12" thickBot="1" x14ac:dyDescent="0.25">
      <c r="A182" s="283" t="s">
        <v>4</v>
      </c>
      <c r="B182" s="284">
        <f>SUM(C182:AJ182)</f>
        <v>0</v>
      </c>
      <c r="C182" s="285">
        <f t="shared" ref="C182:AI182" si="112">SUM(C12,C23,C34,C45,C56,C67,C78,C89,C100,C111,C122,C133,C144,C155,C166,C177)</f>
        <v>0</v>
      </c>
      <c r="D182" s="284">
        <f t="shared" si="112"/>
        <v>0</v>
      </c>
      <c r="E182" s="284">
        <f t="shared" si="112"/>
        <v>0</v>
      </c>
      <c r="F182" s="284">
        <f t="shared" si="112"/>
        <v>0</v>
      </c>
      <c r="G182" s="284">
        <f t="shared" si="112"/>
        <v>0</v>
      </c>
      <c r="H182" s="284">
        <f t="shared" si="112"/>
        <v>0</v>
      </c>
      <c r="I182" s="284">
        <f t="shared" si="112"/>
        <v>0</v>
      </c>
      <c r="J182" s="284">
        <f t="shared" si="112"/>
        <v>0</v>
      </c>
      <c r="K182" s="284">
        <f t="shared" si="112"/>
        <v>0</v>
      </c>
      <c r="L182" s="284">
        <f t="shared" si="112"/>
        <v>0</v>
      </c>
      <c r="M182" s="284">
        <f t="shared" si="112"/>
        <v>0</v>
      </c>
      <c r="N182" s="284">
        <f t="shared" si="112"/>
        <v>0</v>
      </c>
      <c r="O182" s="284">
        <f t="shared" si="112"/>
        <v>0</v>
      </c>
      <c r="P182" s="284">
        <f t="shared" si="112"/>
        <v>0</v>
      </c>
      <c r="Q182" s="284">
        <f t="shared" si="112"/>
        <v>0</v>
      </c>
      <c r="R182" s="284">
        <f t="shared" si="112"/>
        <v>0</v>
      </c>
      <c r="S182" s="284">
        <f t="shared" si="112"/>
        <v>0</v>
      </c>
      <c r="T182" s="284">
        <f t="shared" si="112"/>
        <v>0</v>
      </c>
      <c r="U182" s="284">
        <f t="shared" si="112"/>
        <v>0</v>
      </c>
      <c r="V182" s="284">
        <f t="shared" si="112"/>
        <v>0</v>
      </c>
      <c r="W182" s="284">
        <f t="shared" si="112"/>
        <v>0</v>
      </c>
      <c r="X182" s="284">
        <f t="shared" si="112"/>
        <v>0</v>
      </c>
      <c r="Y182" s="284">
        <f t="shared" si="112"/>
        <v>0</v>
      </c>
      <c r="Z182" s="284">
        <f t="shared" si="112"/>
        <v>0</v>
      </c>
      <c r="AA182" s="284">
        <f t="shared" si="112"/>
        <v>0</v>
      </c>
      <c r="AB182" s="284">
        <f t="shared" si="112"/>
        <v>0</v>
      </c>
      <c r="AC182" s="284">
        <f t="shared" si="112"/>
        <v>0</v>
      </c>
      <c r="AD182" s="284">
        <f t="shared" si="112"/>
        <v>0</v>
      </c>
      <c r="AE182" s="284">
        <f t="shared" si="112"/>
        <v>0</v>
      </c>
      <c r="AF182" s="284">
        <f t="shared" si="112"/>
        <v>0</v>
      </c>
      <c r="AG182" s="284">
        <f t="shared" si="112"/>
        <v>0</v>
      </c>
      <c r="AH182" s="284">
        <f t="shared" si="112"/>
        <v>0</v>
      </c>
      <c r="AI182" s="284">
        <f t="shared" si="112"/>
        <v>0</v>
      </c>
      <c r="AJ182" s="503">
        <f>SUM(AR12,AR23,AR34,AR45,AR56,AR67,AR78,AR89,AR100,AR111,AR122,AR133,AR144,AR155,AR166,AR177)</f>
        <v>0</v>
      </c>
    </row>
    <row r="183" spans="1:44" s="271" customFormat="1" x14ac:dyDescent="0.2">
      <c r="A183" s="286"/>
      <c r="B183" s="246"/>
      <c r="C183" s="287"/>
      <c r="D183" s="287"/>
      <c r="E183" s="287"/>
      <c r="F183" s="287"/>
      <c r="G183" s="287"/>
      <c r="H183" s="287"/>
      <c r="I183" s="287"/>
      <c r="J183" s="287"/>
      <c r="K183" s="287"/>
      <c r="L183" s="287"/>
      <c r="M183" s="287"/>
      <c r="N183" s="287"/>
      <c r="O183" s="287"/>
      <c r="P183" s="287"/>
      <c r="Q183" s="287"/>
      <c r="R183" s="287"/>
      <c r="S183" s="287"/>
      <c r="T183" s="287"/>
      <c r="U183" s="287"/>
      <c r="V183" s="287"/>
      <c r="W183" s="287"/>
      <c r="X183" s="287"/>
      <c r="Y183" s="287"/>
      <c r="Z183" s="287"/>
      <c r="AA183" s="287"/>
      <c r="AB183" s="287"/>
      <c r="AC183" s="287"/>
      <c r="AD183" s="287"/>
      <c r="AE183" s="287"/>
      <c r="AF183" s="287"/>
      <c r="AG183" s="287"/>
      <c r="AH183" s="287"/>
      <c r="AI183" s="287"/>
      <c r="AJ183" s="287"/>
    </row>
    <row r="184" spans="1:44" s="271" customFormat="1" x14ac:dyDescent="0.2">
      <c r="A184" s="286"/>
      <c r="B184" s="246"/>
      <c r="C184" s="246"/>
      <c r="D184" s="246"/>
      <c r="E184" s="246"/>
      <c r="F184" s="246"/>
      <c r="G184" s="246"/>
      <c r="H184" s="246"/>
      <c r="I184" s="246"/>
      <c r="J184" s="246"/>
      <c r="K184" s="246"/>
      <c r="L184" s="246"/>
      <c r="M184" s="246"/>
      <c r="N184" s="246"/>
      <c r="O184" s="246"/>
      <c r="P184" s="246"/>
      <c r="Q184" s="246"/>
      <c r="R184" s="246"/>
      <c r="S184" s="246"/>
      <c r="T184" s="246"/>
      <c r="U184" s="246"/>
      <c r="V184" s="246"/>
      <c r="W184" s="246"/>
      <c r="X184" s="246"/>
      <c r="Y184" s="246"/>
      <c r="Z184" s="246"/>
      <c r="AA184" s="246"/>
      <c r="AB184" s="246"/>
      <c r="AC184" s="246"/>
      <c r="AD184" s="246"/>
      <c r="AE184" s="246"/>
      <c r="AF184" s="246"/>
      <c r="AG184" s="246"/>
      <c r="AH184" s="246"/>
      <c r="AI184" s="246"/>
      <c r="AJ184" s="246"/>
    </row>
    <row r="185" spans="1:44" s="271" customFormat="1" x14ac:dyDescent="0.2">
      <c r="A185" s="286"/>
      <c r="B185" s="246"/>
      <c r="C185" s="246"/>
      <c r="D185" s="246"/>
      <c r="E185" s="246"/>
      <c r="F185" s="246"/>
      <c r="G185" s="246"/>
      <c r="H185" s="246"/>
      <c r="I185" s="246"/>
      <c r="J185" s="246"/>
      <c r="K185" s="246"/>
      <c r="L185" s="246"/>
      <c r="M185" s="246"/>
      <c r="N185" s="246"/>
      <c r="O185" s="246"/>
      <c r="P185" s="246"/>
      <c r="Q185" s="246"/>
      <c r="R185" s="246"/>
      <c r="S185" s="246"/>
      <c r="T185" s="246"/>
      <c r="U185" s="246"/>
      <c r="V185" s="246"/>
      <c r="W185" s="246"/>
      <c r="X185" s="246"/>
      <c r="Y185" s="246"/>
      <c r="Z185" s="246"/>
      <c r="AA185" s="246"/>
      <c r="AB185" s="246"/>
      <c r="AC185" s="246"/>
      <c r="AD185" s="246"/>
      <c r="AE185" s="246"/>
      <c r="AF185" s="246"/>
      <c r="AG185" s="246"/>
      <c r="AH185" s="246"/>
      <c r="AI185" s="246"/>
      <c r="AJ185" s="246"/>
    </row>
    <row r="186" spans="1:44" s="271" customFormat="1" x14ac:dyDescent="0.2">
      <c r="A186" s="286"/>
      <c r="B186" s="246"/>
      <c r="C186" s="246"/>
      <c r="D186" s="246"/>
      <c r="E186" s="246"/>
      <c r="F186" s="246"/>
      <c r="G186" s="246"/>
      <c r="H186" s="246"/>
      <c r="I186" s="246"/>
      <c r="J186" s="246"/>
      <c r="K186" s="246"/>
      <c r="L186" s="246"/>
      <c r="M186" s="246"/>
      <c r="N186" s="246"/>
      <c r="O186" s="246"/>
      <c r="P186" s="246"/>
      <c r="Q186" s="246"/>
      <c r="R186" s="246"/>
      <c r="S186" s="246"/>
      <c r="T186" s="246"/>
      <c r="U186" s="246"/>
      <c r="V186" s="246"/>
      <c r="W186" s="246"/>
      <c r="X186" s="246"/>
      <c r="Y186" s="246"/>
      <c r="Z186" s="246"/>
      <c r="AA186" s="246"/>
      <c r="AB186" s="246"/>
      <c r="AC186" s="246"/>
      <c r="AD186" s="246"/>
      <c r="AE186" s="246"/>
      <c r="AF186" s="246"/>
      <c r="AG186" s="246"/>
      <c r="AH186" s="246"/>
      <c r="AI186" s="246"/>
      <c r="AJ186" s="246"/>
    </row>
    <row r="187" spans="1:44" s="271" customFormat="1" x14ac:dyDescent="0.2">
      <c r="A187" s="286"/>
      <c r="B187" s="246"/>
      <c r="C187" s="246"/>
      <c r="D187" s="246"/>
      <c r="E187" s="246"/>
      <c r="F187" s="246"/>
      <c r="G187" s="246"/>
      <c r="H187" s="246"/>
      <c r="I187" s="246"/>
      <c r="J187" s="246"/>
      <c r="K187" s="246"/>
      <c r="L187" s="246"/>
      <c r="M187" s="246"/>
      <c r="N187" s="246"/>
      <c r="O187" s="246"/>
      <c r="P187" s="246"/>
      <c r="Q187" s="246"/>
      <c r="R187" s="246"/>
      <c r="S187" s="246"/>
      <c r="T187" s="246"/>
      <c r="U187" s="246"/>
      <c r="V187" s="246"/>
      <c r="W187" s="246"/>
      <c r="X187" s="246"/>
      <c r="Y187" s="246"/>
      <c r="Z187" s="246"/>
      <c r="AA187" s="246"/>
      <c r="AB187" s="246"/>
      <c r="AC187" s="246"/>
      <c r="AD187" s="246"/>
      <c r="AE187" s="246"/>
      <c r="AF187" s="246"/>
      <c r="AG187" s="246"/>
      <c r="AH187" s="246"/>
      <c r="AI187" s="246"/>
      <c r="AJ187" s="246"/>
    </row>
    <row r="188" spans="1:44" s="271" customFormat="1" x14ac:dyDescent="0.2">
      <c r="A188" s="286"/>
      <c r="B188" s="246"/>
      <c r="C188" s="246"/>
      <c r="D188" s="246"/>
      <c r="E188" s="246"/>
      <c r="F188" s="246"/>
      <c r="G188" s="246"/>
      <c r="H188" s="246"/>
      <c r="I188" s="246"/>
      <c r="J188" s="246"/>
      <c r="K188" s="246"/>
      <c r="L188" s="246"/>
      <c r="M188" s="246"/>
      <c r="N188" s="246"/>
      <c r="O188" s="246"/>
      <c r="P188" s="246"/>
      <c r="Q188" s="246"/>
      <c r="R188" s="246"/>
      <c r="S188" s="246"/>
      <c r="T188" s="246"/>
      <c r="U188" s="246"/>
      <c r="V188" s="246"/>
      <c r="W188" s="246"/>
      <c r="X188" s="246"/>
      <c r="Y188" s="246"/>
      <c r="Z188" s="246"/>
      <c r="AA188" s="246"/>
      <c r="AB188" s="246"/>
      <c r="AC188" s="246"/>
      <c r="AD188" s="246"/>
      <c r="AE188" s="246"/>
      <c r="AF188" s="246"/>
      <c r="AG188" s="246"/>
      <c r="AH188" s="246"/>
      <c r="AI188" s="246"/>
      <c r="AJ188" s="246"/>
    </row>
    <row r="189" spans="1:44" s="271" customFormat="1" x14ac:dyDescent="0.2">
      <c r="A189" s="286"/>
      <c r="B189" s="246"/>
      <c r="C189" s="246"/>
      <c r="D189" s="246"/>
      <c r="E189" s="246"/>
      <c r="F189" s="246"/>
      <c r="G189" s="246"/>
      <c r="H189" s="246"/>
      <c r="I189" s="246"/>
      <c r="J189" s="246"/>
      <c r="K189" s="246"/>
      <c r="L189" s="246"/>
      <c r="M189" s="246"/>
      <c r="N189" s="246"/>
      <c r="O189" s="246"/>
      <c r="P189" s="246"/>
      <c r="Q189" s="246"/>
      <c r="R189" s="246"/>
      <c r="S189" s="246"/>
      <c r="T189" s="246"/>
      <c r="U189" s="246"/>
      <c r="V189" s="246"/>
      <c r="W189" s="246"/>
      <c r="X189" s="246"/>
      <c r="Y189" s="246"/>
      <c r="Z189" s="246"/>
      <c r="AA189" s="246"/>
      <c r="AB189" s="246"/>
      <c r="AC189" s="246"/>
      <c r="AD189" s="246"/>
      <c r="AE189" s="246"/>
      <c r="AF189" s="246"/>
      <c r="AG189" s="246"/>
      <c r="AH189" s="246"/>
      <c r="AI189" s="246"/>
      <c r="AJ189" s="246"/>
    </row>
    <row r="190" spans="1:44" s="271" customFormat="1" x14ac:dyDescent="0.2">
      <c r="A190" s="286"/>
      <c r="B190" s="246"/>
      <c r="C190" s="246"/>
      <c r="D190" s="246"/>
      <c r="E190" s="246"/>
      <c r="F190" s="246"/>
      <c r="G190" s="246"/>
      <c r="H190" s="246"/>
      <c r="I190" s="246"/>
      <c r="J190" s="246"/>
      <c r="K190" s="246"/>
      <c r="L190" s="246"/>
      <c r="M190" s="246"/>
      <c r="N190" s="246"/>
      <c r="O190" s="246"/>
      <c r="P190" s="246"/>
      <c r="Q190" s="246"/>
      <c r="R190" s="246"/>
      <c r="S190" s="246"/>
      <c r="T190" s="246"/>
      <c r="U190" s="246"/>
      <c r="V190" s="246"/>
      <c r="W190" s="246"/>
      <c r="X190" s="246"/>
      <c r="Y190" s="246"/>
      <c r="Z190" s="246"/>
      <c r="AA190" s="246"/>
      <c r="AB190" s="246"/>
      <c r="AC190" s="246"/>
      <c r="AD190" s="246"/>
      <c r="AE190" s="246"/>
      <c r="AF190" s="246"/>
      <c r="AG190" s="246"/>
      <c r="AH190" s="246"/>
      <c r="AI190" s="246"/>
      <c r="AJ190" s="246"/>
    </row>
    <row r="191" spans="1:44" s="271" customFormat="1" x14ac:dyDescent="0.2">
      <c r="A191" s="286"/>
      <c r="B191" s="246"/>
      <c r="C191" s="246"/>
      <c r="D191" s="246"/>
      <c r="E191" s="246"/>
      <c r="F191" s="246"/>
      <c r="G191" s="246"/>
      <c r="H191" s="246"/>
      <c r="I191" s="246"/>
      <c r="J191" s="246"/>
      <c r="K191" s="246"/>
      <c r="L191" s="246"/>
      <c r="M191" s="246"/>
      <c r="N191" s="246"/>
      <c r="O191" s="246"/>
      <c r="P191" s="246"/>
      <c r="Q191" s="246"/>
      <c r="R191" s="246"/>
      <c r="S191" s="246"/>
      <c r="T191" s="246"/>
      <c r="U191" s="246"/>
      <c r="V191" s="246"/>
      <c r="W191" s="246"/>
      <c r="X191" s="246"/>
      <c r="Y191" s="246"/>
      <c r="Z191" s="246"/>
      <c r="AA191" s="246"/>
      <c r="AB191" s="246"/>
      <c r="AC191" s="246"/>
      <c r="AD191" s="246"/>
      <c r="AE191" s="246"/>
      <c r="AF191" s="246"/>
      <c r="AG191" s="246"/>
      <c r="AH191" s="246"/>
      <c r="AI191" s="246"/>
      <c r="AJ191" s="246"/>
    </row>
    <row r="192" spans="1:44" s="271" customFormat="1" x14ac:dyDescent="0.2">
      <c r="A192" s="286"/>
      <c r="B192" s="246"/>
      <c r="C192" s="246"/>
      <c r="D192" s="246"/>
      <c r="E192" s="246"/>
      <c r="F192" s="246"/>
      <c r="G192" s="246"/>
      <c r="H192" s="246"/>
      <c r="I192" s="246"/>
      <c r="J192" s="246"/>
      <c r="K192" s="246"/>
      <c r="L192" s="246"/>
      <c r="M192" s="246"/>
      <c r="N192" s="246"/>
      <c r="O192" s="246"/>
      <c r="P192" s="246"/>
      <c r="Q192" s="246"/>
      <c r="R192" s="246"/>
      <c r="S192" s="246"/>
      <c r="T192" s="246"/>
      <c r="U192" s="246"/>
      <c r="V192" s="246"/>
      <c r="W192" s="246"/>
      <c r="X192" s="246"/>
      <c r="Y192" s="246"/>
      <c r="Z192" s="246"/>
      <c r="AA192" s="246"/>
      <c r="AB192" s="246"/>
      <c r="AC192" s="246"/>
      <c r="AD192" s="246"/>
      <c r="AE192" s="246"/>
      <c r="AF192" s="246"/>
      <c r="AG192" s="246"/>
      <c r="AH192" s="246"/>
      <c r="AI192" s="246"/>
      <c r="AJ192" s="246"/>
    </row>
    <row r="193" spans="1:36" s="271" customFormat="1" x14ac:dyDescent="0.2">
      <c r="A193" s="286"/>
      <c r="B193" s="246"/>
      <c r="C193" s="246"/>
      <c r="D193" s="246"/>
      <c r="E193" s="246"/>
      <c r="F193" s="246"/>
      <c r="G193" s="246"/>
      <c r="H193" s="246"/>
      <c r="I193" s="246"/>
      <c r="J193" s="246"/>
      <c r="K193" s="246"/>
      <c r="L193" s="246"/>
      <c r="M193" s="246"/>
      <c r="N193" s="246"/>
      <c r="O193" s="246"/>
      <c r="P193" s="246"/>
      <c r="Q193" s="246"/>
      <c r="R193" s="246"/>
      <c r="S193" s="246"/>
      <c r="T193" s="246"/>
      <c r="U193" s="246"/>
      <c r="V193" s="246"/>
      <c r="W193" s="246"/>
      <c r="X193" s="246"/>
      <c r="Y193" s="246"/>
      <c r="Z193" s="246"/>
      <c r="AA193" s="246"/>
      <c r="AB193" s="246"/>
      <c r="AC193" s="246"/>
      <c r="AD193" s="246"/>
      <c r="AE193" s="246"/>
      <c r="AF193" s="246"/>
      <c r="AG193" s="246"/>
      <c r="AH193" s="246"/>
      <c r="AI193" s="246"/>
      <c r="AJ193" s="246"/>
    </row>
    <row r="194" spans="1:36" s="271" customFormat="1" x14ac:dyDescent="0.2">
      <c r="A194" s="286"/>
      <c r="B194" s="246"/>
      <c r="C194" s="246"/>
      <c r="D194" s="246"/>
      <c r="E194" s="246"/>
      <c r="F194" s="246"/>
      <c r="G194" s="246"/>
      <c r="H194" s="246"/>
      <c r="I194" s="246"/>
      <c r="J194" s="246"/>
      <c r="K194" s="246"/>
      <c r="L194" s="246"/>
      <c r="M194" s="246"/>
      <c r="N194" s="246"/>
      <c r="O194" s="246"/>
      <c r="P194" s="246"/>
      <c r="Q194" s="246"/>
      <c r="R194" s="246"/>
      <c r="S194" s="246"/>
      <c r="T194" s="246"/>
      <c r="U194" s="246"/>
      <c r="V194" s="246"/>
      <c r="W194" s="246"/>
      <c r="X194" s="246"/>
      <c r="Y194" s="246"/>
      <c r="Z194" s="246"/>
      <c r="AA194" s="246"/>
      <c r="AB194" s="246"/>
      <c r="AC194" s="246"/>
      <c r="AD194" s="246"/>
      <c r="AE194" s="246"/>
      <c r="AF194" s="246"/>
      <c r="AG194" s="246"/>
      <c r="AH194" s="246"/>
      <c r="AI194" s="246"/>
      <c r="AJ194" s="246"/>
    </row>
    <row r="195" spans="1:36" s="271" customFormat="1" x14ac:dyDescent="0.2">
      <c r="A195" s="286"/>
      <c r="B195" s="246"/>
      <c r="C195" s="246"/>
      <c r="D195" s="246"/>
      <c r="E195" s="246"/>
      <c r="F195" s="246"/>
      <c r="G195" s="246"/>
      <c r="H195" s="246"/>
      <c r="I195" s="246"/>
      <c r="J195" s="246"/>
      <c r="K195" s="246"/>
      <c r="L195" s="246"/>
      <c r="M195" s="246"/>
      <c r="N195" s="246"/>
      <c r="O195" s="246"/>
      <c r="P195" s="246"/>
      <c r="Q195" s="246"/>
      <c r="R195" s="246"/>
      <c r="S195" s="246"/>
      <c r="T195" s="246"/>
      <c r="U195" s="246"/>
      <c r="V195" s="246"/>
      <c r="W195" s="246"/>
      <c r="X195" s="246"/>
      <c r="Y195" s="246"/>
      <c r="Z195" s="246"/>
      <c r="AA195" s="246"/>
      <c r="AB195" s="246"/>
      <c r="AC195" s="246"/>
      <c r="AD195" s="246"/>
      <c r="AE195" s="246"/>
      <c r="AF195" s="246"/>
      <c r="AG195" s="246"/>
      <c r="AH195" s="246"/>
      <c r="AI195" s="246"/>
      <c r="AJ195" s="246"/>
    </row>
    <row r="196" spans="1:36" s="271" customFormat="1" x14ac:dyDescent="0.2">
      <c r="A196" s="286"/>
      <c r="B196" s="246"/>
      <c r="C196" s="246"/>
      <c r="D196" s="246"/>
      <c r="E196" s="246"/>
      <c r="F196" s="246"/>
      <c r="G196" s="246"/>
      <c r="H196" s="246"/>
      <c r="I196" s="246"/>
      <c r="J196" s="246"/>
      <c r="K196" s="246"/>
      <c r="L196" s="246"/>
      <c r="M196" s="246"/>
      <c r="N196" s="246"/>
      <c r="O196" s="246"/>
      <c r="P196" s="246"/>
      <c r="Q196" s="246"/>
      <c r="R196" s="246"/>
      <c r="S196" s="246"/>
      <c r="T196" s="246"/>
      <c r="U196" s="246"/>
      <c r="V196" s="246"/>
      <c r="W196" s="246"/>
      <c r="X196" s="246"/>
      <c r="Y196" s="246"/>
      <c r="Z196" s="246"/>
      <c r="AA196" s="246"/>
      <c r="AB196" s="246"/>
      <c r="AC196" s="246"/>
      <c r="AD196" s="246"/>
      <c r="AE196" s="246"/>
      <c r="AF196" s="246"/>
      <c r="AG196" s="246"/>
      <c r="AH196" s="246"/>
      <c r="AI196" s="246"/>
      <c r="AJ196" s="246"/>
    </row>
    <row r="197" spans="1:36" s="271" customFormat="1" x14ac:dyDescent="0.2">
      <c r="A197" s="286"/>
      <c r="B197" s="246"/>
      <c r="C197" s="246"/>
      <c r="D197" s="246"/>
      <c r="E197" s="246"/>
      <c r="F197" s="246"/>
      <c r="G197" s="246"/>
      <c r="H197" s="246"/>
      <c r="I197" s="246"/>
      <c r="J197" s="246"/>
      <c r="K197" s="246"/>
      <c r="L197" s="246"/>
      <c r="M197" s="246"/>
      <c r="N197" s="246"/>
      <c r="O197" s="246"/>
      <c r="P197" s="246"/>
      <c r="Q197" s="246"/>
      <c r="R197" s="246"/>
      <c r="S197" s="246"/>
      <c r="T197" s="246"/>
      <c r="U197" s="246"/>
      <c r="V197" s="246"/>
      <c r="W197" s="246"/>
      <c r="X197" s="246"/>
      <c r="Y197" s="246"/>
      <c r="Z197" s="246"/>
      <c r="AA197" s="246"/>
      <c r="AB197" s="246"/>
      <c r="AC197" s="246"/>
      <c r="AD197" s="246"/>
      <c r="AE197" s="246"/>
      <c r="AF197" s="246"/>
      <c r="AG197" s="246"/>
      <c r="AH197" s="246"/>
      <c r="AI197" s="246"/>
      <c r="AJ197" s="246"/>
    </row>
    <row r="198" spans="1:36" s="271" customFormat="1" x14ac:dyDescent="0.2">
      <c r="A198" s="286"/>
      <c r="B198" s="246"/>
      <c r="C198" s="246"/>
      <c r="D198" s="246"/>
      <c r="E198" s="246"/>
      <c r="F198" s="246"/>
      <c r="G198" s="246"/>
      <c r="H198" s="246"/>
      <c r="I198" s="246"/>
      <c r="J198" s="246"/>
      <c r="K198" s="246"/>
      <c r="L198" s="246"/>
      <c r="M198" s="246"/>
      <c r="N198" s="246"/>
      <c r="O198" s="246"/>
      <c r="P198" s="246"/>
      <c r="Q198" s="246"/>
      <c r="R198" s="246"/>
      <c r="S198" s="246"/>
      <c r="T198" s="246"/>
      <c r="U198" s="246"/>
      <c r="V198" s="246"/>
      <c r="W198" s="246"/>
      <c r="X198" s="246"/>
      <c r="Y198" s="246"/>
      <c r="Z198" s="246"/>
      <c r="AA198" s="246"/>
      <c r="AB198" s="246"/>
      <c r="AC198" s="246"/>
      <c r="AD198" s="246"/>
      <c r="AE198" s="246"/>
      <c r="AF198" s="246"/>
      <c r="AG198" s="246"/>
      <c r="AH198" s="246"/>
      <c r="AI198" s="246"/>
      <c r="AJ198" s="246"/>
    </row>
    <row r="199" spans="1:36" s="271" customFormat="1" x14ac:dyDescent="0.2">
      <c r="A199" s="286"/>
      <c r="B199" s="246"/>
      <c r="C199" s="246"/>
      <c r="D199" s="246"/>
      <c r="E199" s="246"/>
      <c r="F199" s="246"/>
      <c r="G199" s="246"/>
      <c r="H199" s="246"/>
      <c r="I199" s="246"/>
      <c r="J199" s="246"/>
      <c r="K199" s="246"/>
      <c r="L199" s="246"/>
      <c r="M199" s="246"/>
      <c r="N199" s="246"/>
      <c r="O199" s="246"/>
      <c r="P199" s="246"/>
      <c r="Q199" s="246"/>
      <c r="R199" s="246"/>
      <c r="S199" s="246"/>
      <c r="T199" s="246"/>
      <c r="U199" s="246"/>
      <c r="V199" s="246"/>
      <c r="W199" s="246"/>
      <c r="X199" s="246"/>
      <c r="Y199" s="246"/>
      <c r="Z199" s="246"/>
      <c r="AA199" s="246"/>
      <c r="AB199" s="246"/>
      <c r="AC199" s="246"/>
      <c r="AD199" s="246"/>
      <c r="AE199" s="246"/>
      <c r="AF199" s="246"/>
      <c r="AG199" s="246"/>
      <c r="AH199" s="246"/>
      <c r="AI199" s="246"/>
      <c r="AJ199" s="246"/>
    </row>
    <row r="200" spans="1:36" s="271" customFormat="1" x14ac:dyDescent="0.2">
      <c r="A200" s="286"/>
      <c r="B200" s="246"/>
      <c r="C200" s="246"/>
      <c r="D200" s="246"/>
      <c r="E200" s="246"/>
      <c r="F200" s="246"/>
      <c r="G200" s="246"/>
      <c r="H200" s="246"/>
      <c r="I200" s="246"/>
      <c r="J200" s="246"/>
      <c r="K200" s="246"/>
      <c r="L200" s="246"/>
      <c r="M200" s="246"/>
      <c r="N200" s="246"/>
      <c r="O200" s="246"/>
      <c r="P200" s="246"/>
      <c r="Q200" s="246"/>
      <c r="R200" s="246"/>
      <c r="S200" s="246"/>
      <c r="T200" s="246"/>
      <c r="U200" s="246"/>
      <c r="V200" s="246"/>
      <c r="W200" s="246"/>
      <c r="X200" s="246"/>
      <c r="Y200" s="246"/>
      <c r="Z200" s="246"/>
      <c r="AA200" s="246"/>
      <c r="AB200" s="246"/>
      <c r="AC200" s="246"/>
      <c r="AD200" s="246"/>
      <c r="AE200" s="246"/>
      <c r="AF200" s="246"/>
      <c r="AG200" s="246"/>
      <c r="AH200" s="246"/>
      <c r="AI200" s="246"/>
      <c r="AJ200" s="246"/>
    </row>
    <row r="201" spans="1:36" s="271" customFormat="1" x14ac:dyDescent="0.2">
      <c r="A201" s="286"/>
      <c r="B201" s="246"/>
      <c r="C201" s="246"/>
      <c r="D201" s="246"/>
      <c r="E201" s="246"/>
      <c r="F201" s="246"/>
      <c r="G201" s="246"/>
      <c r="H201" s="246"/>
      <c r="I201" s="246"/>
      <c r="J201" s="246"/>
      <c r="K201" s="246"/>
      <c r="L201" s="246"/>
      <c r="M201" s="246"/>
      <c r="N201" s="246"/>
      <c r="O201" s="246"/>
      <c r="P201" s="246"/>
      <c r="Q201" s="246"/>
      <c r="R201" s="246"/>
      <c r="S201" s="246"/>
      <c r="T201" s="246"/>
      <c r="U201" s="246"/>
      <c r="V201" s="246"/>
      <c r="W201" s="246"/>
      <c r="X201" s="246"/>
      <c r="Y201" s="246"/>
      <c r="Z201" s="246"/>
      <c r="AA201" s="246"/>
      <c r="AB201" s="246"/>
      <c r="AC201" s="246"/>
      <c r="AD201" s="246"/>
      <c r="AE201" s="246"/>
      <c r="AF201" s="246"/>
      <c r="AG201" s="246"/>
      <c r="AH201" s="246"/>
      <c r="AI201" s="246"/>
      <c r="AJ201" s="246"/>
    </row>
    <row r="202" spans="1:36" s="271" customFormat="1" x14ac:dyDescent="0.2">
      <c r="A202" s="286"/>
      <c r="B202" s="246"/>
      <c r="C202" s="246"/>
      <c r="D202" s="246"/>
      <c r="E202" s="246"/>
      <c r="F202" s="246"/>
      <c r="G202" s="246"/>
      <c r="H202" s="246"/>
      <c r="I202" s="246"/>
      <c r="J202" s="246"/>
      <c r="K202" s="246"/>
      <c r="L202" s="246"/>
      <c r="M202" s="246"/>
      <c r="N202" s="246"/>
      <c r="O202" s="246"/>
      <c r="P202" s="246"/>
      <c r="Q202" s="246"/>
      <c r="R202" s="246"/>
      <c r="S202" s="246"/>
      <c r="T202" s="246"/>
      <c r="U202" s="246"/>
      <c r="V202" s="246"/>
      <c r="W202" s="246"/>
      <c r="X202" s="246"/>
      <c r="Y202" s="246"/>
      <c r="Z202" s="246"/>
      <c r="AA202" s="246"/>
      <c r="AB202" s="246"/>
      <c r="AC202" s="246"/>
      <c r="AD202" s="246"/>
      <c r="AE202" s="246"/>
      <c r="AF202" s="246"/>
      <c r="AG202" s="246"/>
      <c r="AH202" s="246"/>
      <c r="AI202" s="246"/>
      <c r="AJ202" s="246"/>
    </row>
    <row r="203" spans="1:36" s="271" customFormat="1" x14ac:dyDescent="0.2">
      <c r="A203" s="286"/>
      <c r="B203" s="246"/>
      <c r="C203" s="246"/>
      <c r="D203" s="246"/>
      <c r="E203" s="246"/>
      <c r="F203" s="246"/>
      <c r="G203" s="246"/>
      <c r="H203" s="246"/>
      <c r="I203" s="246"/>
      <c r="J203" s="246"/>
      <c r="K203" s="246"/>
      <c r="L203" s="246"/>
      <c r="M203" s="246"/>
      <c r="N203" s="246"/>
      <c r="O203" s="246"/>
      <c r="P203" s="246"/>
      <c r="Q203" s="246"/>
      <c r="R203" s="246"/>
      <c r="S203" s="246"/>
      <c r="T203" s="246"/>
      <c r="U203" s="246"/>
      <c r="V203" s="246"/>
      <c r="W203" s="246"/>
      <c r="X203" s="246"/>
      <c r="Y203" s="246"/>
      <c r="Z203" s="246"/>
      <c r="AA203" s="246"/>
      <c r="AB203" s="246"/>
      <c r="AC203" s="246"/>
      <c r="AD203" s="246"/>
      <c r="AE203" s="246"/>
      <c r="AF203" s="246"/>
      <c r="AG203" s="246"/>
      <c r="AH203" s="246"/>
      <c r="AI203" s="246"/>
      <c r="AJ203" s="246"/>
    </row>
    <row r="204" spans="1:36" s="271" customFormat="1" x14ac:dyDescent="0.2">
      <c r="A204" s="286"/>
      <c r="B204" s="246"/>
      <c r="C204" s="246"/>
      <c r="D204" s="246"/>
      <c r="E204" s="246"/>
      <c r="F204" s="246"/>
      <c r="G204" s="246"/>
      <c r="H204" s="246"/>
      <c r="I204" s="246"/>
      <c r="J204" s="246"/>
      <c r="K204" s="246"/>
      <c r="L204" s="246"/>
      <c r="M204" s="246"/>
      <c r="N204" s="246"/>
      <c r="O204" s="246"/>
      <c r="P204" s="246"/>
      <c r="Q204" s="246"/>
      <c r="R204" s="246"/>
      <c r="S204" s="246"/>
      <c r="T204" s="246"/>
      <c r="U204" s="246"/>
      <c r="V204" s="246"/>
      <c r="W204" s="246"/>
      <c r="X204" s="246"/>
      <c r="Y204" s="246"/>
      <c r="Z204" s="246"/>
      <c r="AA204" s="246"/>
      <c r="AB204" s="246"/>
      <c r="AC204" s="246"/>
      <c r="AD204" s="246"/>
      <c r="AE204" s="246"/>
      <c r="AF204" s="246"/>
      <c r="AG204" s="246"/>
      <c r="AH204" s="246"/>
      <c r="AI204" s="246"/>
      <c r="AJ204" s="246"/>
    </row>
    <row r="205" spans="1:36" s="271" customFormat="1" x14ac:dyDescent="0.2">
      <c r="A205" s="286"/>
      <c r="B205" s="246"/>
      <c r="C205" s="246"/>
      <c r="D205" s="246"/>
      <c r="E205" s="246"/>
      <c r="F205" s="246"/>
      <c r="G205" s="246"/>
      <c r="H205" s="246"/>
      <c r="I205" s="246"/>
      <c r="J205" s="246"/>
      <c r="K205" s="246"/>
      <c r="L205" s="246"/>
      <c r="M205" s="246"/>
      <c r="N205" s="246"/>
      <c r="O205" s="246"/>
      <c r="P205" s="246"/>
      <c r="Q205" s="246"/>
      <c r="R205" s="246"/>
      <c r="S205" s="246"/>
      <c r="T205" s="246"/>
      <c r="U205" s="246"/>
      <c r="V205" s="246"/>
      <c r="W205" s="246"/>
      <c r="X205" s="246"/>
      <c r="Y205" s="246"/>
      <c r="Z205" s="246"/>
      <c r="AA205" s="246"/>
      <c r="AB205" s="246"/>
      <c r="AC205" s="246"/>
      <c r="AD205" s="246"/>
      <c r="AE205" s="246"/>
      <c r="AF205" s="246"/>
      <c r="AG205" s="246"/>
      <c r="AH205" s="246"/>
      <c r="AI205" s="246"/>
      <c r="AJ205" s="246"/>
    </row>
    <row r="206" spans="1:36" s="271" customFormat="1" x14ac:dyDescent="0.2">
      <c r="A206" s="286"/>
      <c r="B206" s="246"/>
      <c r="C206" s="246"/>
      <c r="D206" s="246"/>
      <c r="E206" s="246"/>
      <c r="F206" s="246"/>
      <c r="G206" s="246"/>
      <c r="H206" s="246"/>
      <c r="I206" s="246"/>
      <c r="J206" s="246"/>
      <c r="K206" s="246"/>
      <c r="L206" s="246"/>
      <c r="M206" s="246"/>
      <c r="N206" s="246"/>
      <c r="O206" s="246"/>
      <c r="P206" s="246"/>
      <c r="Q206" s="246"/>
      <c r="R206" s="246"/>
      <c r="S206" s="246"/>
      <c r="T206" s="246"/>
      <c r="U206" s="246"/>
      <c r="V206" s="246"/>
      <c r="W206" s="246"/>
      <c r="X206" s="246"/>
      <c r="Y206" s="246"/>
      <c r="Z206" s="246"/>
      <c r="AA206" s="246"/>
      <c r="AB206" s="246"/>
      <c r="AC206" s="246"/>
      <c r="AD206" s="246"/>
      <c r="AE206" s="246"/>
      <c r="AF206" s="246"/>
      <c r="AG206" s="246"/>
      <c r="AH206" s="246"/>
      <c r="AI206" s="246"/>
      <c r="AJ206" s="246"/>
    </row>
    <row r="207" spans="1:36" s="271" customFormat="1" x14ac:dyDescent="0.2">
      <c r="A207" s="286"/>
      <c r="B207" s="246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  <c r="AA207" s="246"/>
      <c r="AB207" s="246"/>
      <c r="AC207" s="246"/>
      <c r="AD207" s="246"/>
      <c r="AE207" s="246"/>
      <c r="AF207" s="246"/>
      <c r="AG207" s="246"/>
      <c r="AH207" s="246"/>
      <c r="AI207" s="246"/>
      <c r="AJ207" s="246"/>
    </row>
    <row r="208" spans="1:36" s="271" customFormat="1" x14ac:dyDescent="0.2">
      <c r="A208" s="286"/>
      <c r="B208" s="246"/>
      <c r="C208" s="246"/>
      <c r="D208" s="246"/>
      <c r="E208" s="246"/>
      <c r="F208" s="246"/>
      <c r="G208" s="246"/>
      <c r="H208" s="246"/>
      <c r="I208" s="246"/>
      <c r="J208" s="246"/>
      <c r="K208" s="246"/>
      <c r="L208" s="246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/>
      <c r="W208" s="246"/>
      <c r="X208" s="246"/>
      <c r="Y208" s="246"/>
      <c r="Z208" s="246"/>
      <c r="AA208" s="246"/>
      <c r="AB208" s="246"/>
      <c r="AC208" s="246"/>
      <c r="AD208" s="246"/>
      <c r="AE208" s="246"/>
      <c r="AF208" s="246"/>
      <c r="AG208" s="246"/>
      <c r="AH208" s="246"/>
      <c r="AI208" s="246"/>
      <c r="AJ208" s="246"/>
    </row>
    <row r="209" spans="1:36" s="271" customFormat="1" x14ac:dyDescent="0.2">
      <c r="A209" s="286"/>
      <c r="B209" s="246"/>
      <c r="C209" s="246"/>
      <c r="D209" s="246"/>
      <c r="E209" s="246"/>
      <c r="F209" s="246"/>
      <c r="G209" s="246"/>
      <c r="H209" s="246"/>
      <c r="I209" s="246"/>
      <c r="J209" s="246"/>
      <c r="K209" s="246"/>
      <c r="L209" s="246"/>
      <c r="M209" s="246"/>
      <c r="N209" s="246"/>
      <c r="O209" s="246"/>
      <c r="P209" s="246"/>
      <c r="Q209" s="246"/>
      <c r="R209" s="246"/>
      <c r="S209" s="246"/>
      <c r="T209" s="246"/>
      <c r="U209" s="246"/>
      <c r="V209" s="246"/>
      <c r="W209" s="246"/>
      <c r="X209" s="246"/>
      <c r="Y209" s="246"/>
      <c r="Z209" s="246"/>
      <c r="AA209" s="246"/>
      <c r="AB209" s="246"/>
      <c r="AC209" s="246"/>
      <c r="AD209" s="246"/>
      <c r="AE209" s="246"/>
      <c r="AF209" s="246"/>
      <c r="AG209" s="246"/>
      <c r="AH209" s="246"/>
      <c r="AI209" s="246"/>
      <c r="AJ209" s="246"/>
    </row>
    <row r="210" spans="1:36" s="271" customFormat="1" x14ac:dyDescent="0.2">
      <c r="A210" s="286"/>
      <c r="B210" s="246"/>
      <c r="C210" s="246"/>
      <c r="D210" s="246"/>
      <c r="E210" s="246"/>
      <c r="F210" s="246"/>
      <c r="G210" s="246"/>
      <c r="H210" s="246"/>
      <c r="I210" s="246"/>
      <c r="J210" s="246"/>
      <c r="K210" s="246"/>
      <c r="L210" s="246"/>
      <c r="M210" s="246"/>
      <c r="N210" s="246"/>
      <c r="O210" s="246"/>
      <c r="P210" s="246"/>
      <c r="Q210" s="246"/>
      <c r="R210" s="246"/>
      <c r="S210" s="246"/>
      <c r="T210" s="246"/>
      <c r="U210" s="246"/>
      <c r="V210" s="246"/>
      <c r="W210" s="246"/>
      <c r="X210" s="246"/>
      <c r="Y210" s="246"/>
      <c r="Z210" s="246"/>
      <c r="AA210" s="246"/>
      <c r="AB210" s="246"/>
      <c r="AC210" s="246"/>
      <c r="AD210" s="246"/>
      <c r="AE210" s="246"/>
      <c r="AF210" s="246"/>
      <c r="AG210" s="246"/>
      <c r="AH210" s="246"/>
      <c r="AI210" s="246"/>
      <c r="AJ210" s="246"/>
    </row>
    <row r="211" spans="1:36" s="271" customFormat="1" x14ac:dyDescent="0.2">
      <c r="A211" s="286"/>
      <c r="B211" s="246"/>
      <c r="C211" s="246"/>
      <c r="D211" s="246"/>
      <c r="E211" s="246"/>
      <c r="F211" s="246"/>
      <c r="G211" s="246"/>
      <c r="H211" s="246"/>
      <c r="I211" s="246"/>
      <c r="J211" s="246"/>
      <c r="K211" s="246"/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/>
      <c r="W211" s="246"/>
      <c r="X211" s="246"/>
      <c r="Y211" s="246"/>
      <c r="Z211" s="246"/>
      <c r="AA211" s="246"/>
      <c r="AB211" s="246"/>
      <c r="AC211" s="246"/>
      <c r="AD211" s="246"/>
      <c r="AE211" s="246"/>
      <c r="AF211" s="246"/>
      <c r="AG211" s="246"/>
      <c r="AH211" s="246"/>
      <c r="AI211" s="246"/>
      <c r="AJ211" s="246"/>
    </row>
    <row r="212" spans="1:36" s="271" customFormat="1" x14ac:dyDescent="0.2">
      <c r="A212" s="286"/>
      <c r="B212" s="246"/>
      <c r="C212" s="246"/>
      <c r="D212" s="246"/>
      <c r="E212" s="246"/>
      <c r="F212" s="246"/>
      <c r="G212" s="246"/>
      <c r="H212" s="246"/>
      <c r="I212" s="246"/>
      <c r="J212" s="246"/>
      <c r="K212" s="246"/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/>
      <c r="W212" s="246"/>
      <c r="X212" s="246"/>
      <c r="Y212" s="246"/>
      <c r="Z212" s="246"/>
      <c r="AA212" s="246"/>
      <c r="AB212" s="246"/>
      <c r="AC212" s="246"/>
      <c r="AD212" s="246"/>
      <c r="AE212" s="246"/>
      <c r="AF212" s="246"/>
      <c r="AG212" s="246"/>
      <c r="AH212" s="246"/>
      <c r="AI212" s="246"/>
      <c r="AJ212" s="246"/>
    </row>
    <row r="213" spans="1:36" s="288" customFormat="1" x14ac:dyDescent="0.2">
      <c r="A213" s="286"/>
      <c r="B213" s="246"/>
      <c r="C213" s="246"/>
      <c r="D213" s="246"/>
      <c r="E213" s="246"/>
      <c r="F213" s="246"/>
      <c r="G213" s="246"/>
      <c r="H213" s="246"/>
      <c r="I213" s="246"/>
      <c r="J213" s="246"/>
      <c r="K213" s="246"/>
      <c r="L213" s="246"/>
      <c r="M213" s="246"/>
      <c r="N213" s="246"/>
      <c r="O213" s="246"/>
      <c r="P213" s="246"/>
      <c r="Q213" s="246"/>
      <c r="R213" s="246"/>
      <c r="S213" s="246"/>
      <c r="T213" s="246"/>
      <c r="U213" s="246"/>
      <c r="V213" s="246"/>
      <c r="W213" s="246"/>
      <c r="X213" s="246"/>
      <c r="Y213" s="246"/>
      <c r="Z213" s="246"/>
      <c r="AA213" s="246"/>
      <c r="AB213" s="246"/>
      <c r="AC213" s="246"/>
      <c r="AD213" s="246"/>
      <c r="AE213" s="246"/>
      <c r="AF213" s="246"/>
      <c r="AG213" s="246"/>
      <c r="AH213" s="246"/>
      <c r="AI213" s="246"/>
      <c r="AJ213" s="246"/>
    </row>
    <row r="214" spans="1:36" s="271" customFormat="1" x14ac:dyDescent="0.2">
      <c r="A214" s="286"/>
      <c r="B214" s="246"/>
      <c r="C214" s="246"/>
      <c r="D214" s="246"/>
      <c r="E214" s="246"/>
      <c r="F214" s="246"/>
      <c r="G214" s="246"/>
      <c r="H214" s="246"/>
      <c r="I214" s="246"/>
      <c r="J214" s="246"/>
      <c r="K214" s="246"/>
      <c r="L214" s="246"/>
      <c r="M214" s="246"/>
      <c r="N214" s="246"/>
      <c r="O214" s="246"/>
      <c r="P214" s="246"/>
      <c r="Q214" s="246"/>
      <c r="R214" s="246"/>
      <c r="S214" s="246"/>
      <c r="T214" s="246"/>
      <c r="U214" s="246"/>
      <c r="V214" s="246"/>
      <c r="W214" s="246"/>
      <c r="X214" s="246"/>
      <c r="Y214" s="246"/>
      <c r="Z214" s="246"/>
      <c r="AA214" s="246"/>
      <c r="AB214" s="246"/>
      <c r="AC214" s="246"/>
      <c r="AD214" s="246"/>
      <c r="AE214" s="246"/>
      <c r="AF214" s="246"/>
      <c r="AG214" s="246"/>
      <c r="AH214" s="246"/>
      <c r="AI214" s="246"/>
      <c r="AJ214" s="246"/>
    </row>
    <row r="215" spans="1:36" s="273" customFormat="1" x14ac:dyDescent="0.2">
      <c r="A215" s="286"/>
      <c r="B215" s="246"/>
      <c r="C215" s="246"/>
      <c r="D215" s="246"/>
      <c r="E215" s="246"/>
      <c r="F215" s="246"/>
      <c r="G215" s="246"/>
      <c r="H215" s="246"/>
      <c r="I215" s="246"/>
      <c r="J215" s="246"/>
      <c r="K215" s="246"/>
      <c r="L215" s="246"/>
      <c r="M215" s="246"/>
      <c r="N215" s="246"/>
      <c r="O215" s="246"/>
      <c r="P215" s="246"/>
      <c r="Q215" s="246"/>
      <c r="R215" s="246"/>
      <c r="S215" s="246"/>
      <c r="T215" s="246"/>
      <c r="U215" s="246"/>
      <c r="V215" s="246"/>
      <c r="W215" s="246"/>
      <c r="X215" s="246"/>
      <c r="Y215" s="246"/>
      <c r="Z215" s="246"/>
      <c r="AA215" s="246"/>
      <c r="AB215" s="246"/>
      <c r="AC215" s="246"/>
      <c r="AD215" s="246"/>
      <c r="AE215" s="246"/>
      <c r="AF215" s="246"/>
      <c r="AG215" s="246"/>
      <c r="AH215" s="246"/>
      <c r="AI215" s="246"/>
      <c r="AJ215" s="246"/>
    </row>
  </sheetData>
  <sheetProtection algorithmName="SHA-512" hashValue="53SujnxYqIUzZxHObcILstUnIjM0syfkLZPRWFRkIHBbCWRamYVcSJem9j2WaVVGPsE0HiAk1bomF3tXsSkcMQ==" saltValue="QSJb2tql1doVi1twHkVChQ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Y247"/>
  <sheetViews>
    <sheetView workbookViewId="0">
      <selection activeCell="F7" sqref="F7"/>
    </sheetView>
  </sheetViews>
  <sheetFormatPr defaultColWidth="9.140625" defaultRowHeight="11.25" x14ac:dyDescent="0.2"/>
  <cols>
    <col min="1" max="1" width="7.5703125" style="467" bestFit="1" customWidth="1"/>
    <col min="2" max="2" width="4.28515625" style="467" bestFit="1" customWidth="1"/>
    <col min="3" max="3" width="6.85546875" style="467" bestFit="1" customWidth="1"/>
    <col min="4" max="4" width="6.5703125" style="467" bestFit="1" customWidth="1"/>
    <col min="5" max="5" width="7.85546875" style="467" bestFit="1" customWidth="1"/>
    <col min="6" max="6" width="7" style="467" bestFit="1" customWidth="1"/>
    <col min="7" max="7" width="7.7109375" style="467" bestFit="1" customWidth="1"/>
    <col min="8" max="8" width="5.140625" style="470" bestFit="1" customWidth="1"/>
    <col min="9" max="9" width="3.5703125" style="241" bestFit="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4" style="435" bestFit="1" customWidth="1"/>
    <col min="14" max="15" width="4" style="433" bestFit="1" customWidth="1"/>
    <col min="16" max="16" width="4.28515625" style="434" bestFit="1" customWidth="1"/>
    <col min="17" max="19" width="4" style="241" bestFit="1" customWidth="1"/>
    <col min="20" max="20" width="10.5703125" style="241" bestFit="1" customWidth="1"/>
    <col min="21" max="21" width="9.140625" style="241"/>
    <col min="22" max="22" width="9.42578125" style="433" bestFit="1" customWidth="1"/>
    <col min="23" max="23" width="8.42578125" style="433" bestFit="1" customWidth="1"/>
    <col min="24" max="24" width="7.7109375" style="434" bestFit="1" customWidth="1"/>
    <col min="25" max="25" width="16.7109375" style="438" bestFit="1" customWidth="1"/>
    <col min="26" max="16384" width="9.140625" style="241"/>
  </cols>
  <sheetData>
    <row r="1" spans="1:25" ht="12" thickBot="1" x14ac:dyDescent="0.25">
      <c r="A1" s="471" t="s">
        <v>69</v>
      </c>
      <c r="B1" s="458" t="s">
        <v>65</v>
      </c>
      <c r="C1" s="458" t="s">
        <v>127</v>
      </c>
      <c r="D1" s="458" t="s">
        <v>128</v>
      </c>
      <c r="E1" s="458" t="s">
        <v>129</v>
      </c>
      <c r="F1" s="458" t="s">
        <v>130</v>
      </c>
      <c r="G1" s="458" t="s">
        <v>131</v>
      </c>
      <c r="H1" s="469" t="s">
        <v>123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320" t="s">
        <v>74</v>
      </c>
      <c r="T1" s="302" t="s">
        <v>115</v>
      </c>
      <c r="V1" s="439" t="s">
        <v>117</v>
      </c>
      <c r="W1" s="439" t="s">
        <v>120</v>
      </c>
      <c r="X1" s="441" t="s">
        <v>118</v>
      </c>
      <c r="Y1" s="436" t="s">
        <v>65</v>
      </c>
    </row>
    <row r="2" spans="1:25" x14ac:dyDescent="0.2">
      <c r="A2" s="465"/>
      <c r="B2" s="466"/>
      <c r="E2" s="468"/>
      <c r="F2" s="468"/>
      <c r="J2" s="303" t="s">
        <v>113</v>
      </c>
      <c r="K2" s="423">
        <f>SUM(G:G)</f>
        <v>0</v>
      </c>
      <c r="L2" s="424">
        <f>SUMIF($C:$C,"Driver",$G:$G)</f>
        <v>0</v>
      </c>
      <c r="M2" s="424">
        <f>SUMIF($C:$C,"Private Party",$G:$G)</f>
        <v>0</v>
      </c>
      <c r="N2" s="424">
        <f>SUMIF($C:$C,"Parking Control",$G:$G)</f>
        <v>0</v>
      </c>
      <c r="O2" s="424">
        <f>SUMIF($C:$C,"The Firehouse",$G:$G)</f>
        <v>0</v>
      </c>
      <c r="P2" s="424">
        <f>SUMIF($C:$C,"Ten22",$G:$G)</f>
        <v>0</v>
      </c>
      <c r="Q2" s="424">
        <f>SUMIF($C:$C,"Raley Field",$G:$G)</f>
        <v>0</v>
      </c>
      <c r="R2" s="424">
        <f>SUMIF($C:$C,"Sutter Club",$G:$G)</f>
        <v>0</v>
      </c>
      <c r="S2" s="424">
        <f>SUMIF($C:$C,"Meeting",$G:$G)+SUMIF($C:$C,"Training",$G:$G)</f>
        <v>0</v>
      </c>
      <c r="T2" s="425">
        <f>SUM(L2:N2,Q2:S2)</f>
        <v>0</v>
      </c>
      <c r="V2" s="433">
        <v>0.50101851851851853</v>
      </c>
      <c r="Y2" s="437">
        <v>42479</v>
      </c>
    </row>
    <row r="3" spans="1:25" x14ac:dyDescent="0.2">
      <c r="A3" s="465"/>
      <c r="B3" s="466"/>
      <c r="E3" s="468"/>
      <c r="F3" s="468"/>
      <c r="G3" s="472"/>
      <c r="J3" s="303" t="s">
        <v>114</v>
      </c>
      <c r="K3" s="304">
        <f>Total!D46</f>
        <v>0</v>
      </c>
      <c r="L3" s="305">
        <f>Total!G46</f>
        <v>0</v>
      </c>
      <c r="M3" s="305">
        <f>Total!H46</f>
        <v>0</v>
      </c>
      <c r="N3" s="305">
        <f>Total!I46</f>
        <v>0</v>
      </c>
      <c r="O3" s="305">
        <f>Total!J46</f>
        <v>0</v>
      </c>
      <c r="P3" s="305">
        <f>Total!K46</f>
        <v>0</v>
      </c>
      <c r="Q3" s="305">
        <f>Total!L46</f>
        <v>0</v>
      </c>
      <c r="R3" s="305">
        <f>Total!M46</f>
        <v>0</v>
      </c>
      <c r="S3" s="305">
        <f>Total!N46</f>
        <v>0</v>
      </c>
      <c r="T3" s="306">
        <f>SUM(L3:N3,Q3:S3)</f>
        <v>0</v>
      </c>
      <c r="Y3" s="437"/>
    </row>
    <row r="4" spans="1:25" ht="12" thickBot="1" x14ac:dyDescent="0.25">
      <c r="A4" s="465"/>
      <c r="B4" s="466"/>
      <c r="E4" s="468"/>
      <c r="F4" s="468"/>
      <c r="J4" s="307" t="s">
        <v>60</v>
      </c>
      <c r="K4" s="308">
        <f>K2-K3</f>
        <v>0</v>
      </c>
      <c r="L4" s="309">
        <f t="shared" ref="L4:S4" si="0">L2-L3</f>
        <v>0</v>
      </c>
      <c r="M4" s="309">
        <f t="shared" si="0"/>
        <v>0</v>
      </c>
      <c r="N4" s="309">
        <f t="shared" si="0"/>
        <v>0</v>
      </c>
      <c r="O4" s="309">
        <f t="shared" si="0"/>
        <v>0</v>
      </c>
      <c r="P4" s="309">
        <f t="shared" si="0"/>
        <v>0</v>
      </c>
      <c r="Q4" s="309">
        <f t="shared" si="0"/>
        <v>0</v>
      </c>
      <c r="R4" s="309">
        <f t="shared" si="0"/>
        <v>0</v>
      </c>
      <c r="S4" s="309">
        <f t="shared" si="0"/>
        <v>0</v>
      </c>
      <c r="T4" s="310">
        <f>T2-T3</f>
        <v>0</v>
      </c>
      <c r="Y4" s="437"/>
    </row>
    <row r="5" spans="1:25" ht="12" thickBot="1" x14ac:dyDescent="0.25">
      <c r="A5" s="465"/>
      <c r="B5" s="466"/>
      <c r="E5" s="468"/>
      <c r="F5" s="468"/>
      <c r="M5" s="241"/>
      <c r="N5" s="241"/>
      <c r="O5" s="241"/>
      <c r="P5" s="241"/>
      <c r="Y5" s="437"/>
    </row>
    <row r="6" spans="1:25" ht="12" thickBot="1" x14ac:dyDescent="0.25">
      <c r="B6" s="466"/>
      <c r="E6" s="468"/>
      <c r="F6" s="468"/>
      <c r="J6" s="311" t="s">
        <v>116</v>
      </c>
      <c r="K6" s="312">
        <f>T4</f>
        <v>0</v>
      </c>
      <c r="M6" s="437"/>
      <c r="N6" s="440"/>
      <c r="O6" s="440"/>
      <c r="P6" s="442"/>
      <c r="Q6" s="299"/>
      <c r="R6" s="299"/>
      <c r="T6" s="451" t="s">
        <v>121</v>
      </c>
      <c r="V6" s="440"/>
    </row>
    <row r="7" spans="1:25" ht="12" thickBot="1" x14ac:dyDescent="0.25">
      <c r="B7" s="466"/>
      <c r="E7" s="468"/>
      <c r="F7" s="468"/>
      <c r="M7" s="443"/>
      <c r="N7" s="440"/>
      <c r="O7" s="440"/>
      <c r="P7" s="444"/>
      <c r="Q7" s="299"/>
      <c r="R7" s="444"/>
      <c r="T7" s="452">
        <v>42461</v>
      </c>
      <c r="V7" s="440"/>
    </row>
    <row r="8" spans="1:25" ht="12" thickBot="1" x14ac:dyDescent="0.25">
      <c r="A8" s="465"/>
      <c r="B8" s="466"/>
      <c r="E8" s="468"/>
      <c r="F8" s="468"/>
      <c r="J8" s="311" t="s">
        <v>119</v>
      </c>
      <c r="K8" s="312">
        <f>SUM(X:X)</f>
        <v>0</v>
      </c>
      <c r="T8" s="452">
        <v>42462</v>
      </c>
      <c r="V8" s="440"/>
    </row>
    <row r="9" spans="1:25" x14ac:dyDescent="0.2">
      <c r="A9" s="465"/>
      <c r="B9" s="466"/>
      <c r="E9" s="468"/>
      <c r="F9" s="468"/>
      <c r="T9" s="452">
        <v>42463</v>
      </c>
      <c r="V9" s="440"/>
    </row>
    <row r="10" spans="1:25" x14ac:dyDescent="0.2">
      <c r="A10" s="465"/>
      <c r="B10" s="466"/>
      <c r="E10" s="468"/>
      <c r="F10" s="468"/>
      <c r="T10" s="452">
        <v>42464</v>
      </c>
      <c r="V10" s="440"/>
    </row>
    <row r="11" spans="1:25" x14ac:dyDescent="0.2">
      <c r="A11" s="465"/>
      <c r="B11" s="466"/>
      <c r="E11" s="468"/>
      <c r="F11" s="468"/>
      <c r="T11" s="452">
        <v>42465</v>
      </c>
      <c r="V11" s="440"/>
    </row>
    <row r="12" spans="1:25" x14ac:dyDescent="0.2">
      <c r="B12" s="466"/>
      <c r="E12" s="468"/>
      <c r="F12" s="468"/>
      <c r="T12" s="452">
        <v>42466</v>
      </c>
      <c r="V12" s="440"/>
    </row>
    <row r="13" spans="1:25" x14ac:dyDescent="0.2">
      <c r="A13" s="465"/>
      <c r="B13" s="466"/>
      <c r="E13" s="468"/>
      <c r="F13" s="468"/>
      <c r="T13" s="452">
        <v>42467</v>
      </c>
      <c r="Y13" s="437"/>
    </row>
    <row r="14" spans="1:25" x14ac:dyDescent="0.2">
      <c r="A14" s="465"/>
      <c r="B14" s="466"/>
      <c r="E14" s="468"/>
      <c r="F14" s="468"/>
      <c r="T14" s="452">
        <v>42468</v>
      </c>
      <c r="Y14" s="437"/>
    </row>
    <row r="15" spans="1:25" x14ac:dyDescent="0.2">
      <c r="A15" s="465"/>
      <c r="B15" s="466"/>
      <c r="E15" s="468"/>
      <c r="F15" s="468"/>
      <c r="T15" s="452">
        <v>42469</v>
      </c>
      <c r="Y15" s="437"/>
    </row>
    <row r="16" spans="1:25" x14ac:dyDescent="0.2">
      <c r="A16" s="465"/>
      <c r="B16" s="466"/>
      <c r="E16" s="468"/>
      <c r="F16" s="468"/>
      <c r="T16" s="452">
        <v>42470</v>
      </c>
      <c r="Y16" s="437"/>
    </row>
    <row r="17" spans="1:25" x14ac:dyDescent="0.2">
      <c r="B17" s="466"/>
      <c r="E17" s="468"/>
      <c r="F17" s="468"/>
      <c r="T17" s="452">
        <v>42471</v>
      </c>
      <c r="Y17" s="437"/>
    </row>
    <row r="18" spans="1:25" x14ac:dyDescent="0.2">
      <c r="A18" s="465"/>
      <c r="B18" s="466"/>
      <c r="E18" s="468"/>
      <c r="F18" s="468"/>
      <c r="T18" s="452">
        <v>42472</v>
      </c>
      <c r="Y18" s="437"/>
    </row>
    <row r="19" spans="1:25" x14ac:dyDescent="0.2">
      <c r="A19" s="465"/>
      <c r="B19" s="466"/>
      <c r="E19" s="468"/>
      <c r="F19" s="468"/>
      <c r="T19" s="452">
        <v>42473</v>
      </c>
      <c r="Y19" s="437"/>
    </row>
    <row r="20" spans="1:25" x14ac:dyDescent="0.2">
      <c r="B20" s="466"/>
      <c r="E20" s="468"/>
      <c r="F20" s="468"/>
      <c r="T20" s="452">
        <v>42474</v>
      </c>
      <c r="Y20" s="437"/>
    </row>
    <row r="21" spans="1:25" x14ac:dyDescent="0.2">
      <c r="B21" s="466"/>
      <c r="E21" s="468"/>
      <c r="F21" s="468"/>
      <c r="T21" s="452">
        <v>42475</v>
      </c>
      <c r="Y21" s="437"/>
    </row>
    <row r="22" spans="1:25" ht="12" thickBot="1" x14ac:dyDescent="0.25">
      <c r="B22" s="466"/>
      <c r="E22" s="468"/>
      <c r="F22" s="468"/>
      <c r="T22" s="453"/>
      <c r="Y22" s="437"/>
    </row>
    <row r="23" spans="1:25" ht="12.75" x14ac:dyDescent="0.2">
      <c r="A23" s="465"/>
      <c r="B23" s="466"/>
      <c r="E23" s="468"/>
      <c r="F23" s="468"/>
      <c r="T23" s="485" t="s">
        <v>126</v>
      </c>
      <c r="Y23" s="437"/>
    </row>
    <row r="24" spans="1:25" x14ac:dyDescent="0.2">
      <c r="B24" s="466"/>
      <c r="E24" s="468"/>
      <c r="F24" s="468"/>
      <c r="Y24" s="437"/>
    </row>
    <row r="25" spans="1:25" x14ac:dyDescent="0.2">
      <c r="B25" s="466"/>
      <c r="E25" s="468"/>
      <c r="F25" s="468"/>
      <c r="K25" s="467"/>
      <c r="T25" s="457"/>
      <c r="Y25" s="437"/>
    </row>
    <row r="26" spans="1:25" x14ac:dyDescent="0.2">
      <c r="A26" s="465"/>
      <c r="B26" s="466"/>
      <c r="E26" s="468"/>
      <c r="F26" s="468"/>
      <c r="T26" s="457"/>
      <c r="Y26" s="437"/>
    </row>
    <row r="27" spans="1:25" x14ac:dyDescent="0.2">
      <c r="A27" s="465"/>
      <c r="B27" s="466"/>
      <c r="E27" s="468"/>
      <c r="F27" s="468"/>
      <c r="T27" s="457"/>
      <c r="Y27" s="437"/>
    </row>
    <row r="28" spans="1:25" x14ac:dyDescent="0.2">
      <c r="A28" s="465"/>
      <c r="B28" s="466"/>
      <c r="E28" s="468"/>
      <c r="F28" s="468"/>
      <c r="T28" s="457"/>
      <c r="Y28" s="437"/>
    </row>
    <row r="29" spans="1:25" x14ac:dyDescent="0.2">
      <c r="A29" s="465"/>
      <c r="B29" s="466"/>
      <c r="E29" s="468"/>
      <c r="F29" s="468"/>
      <c r="T29" s="457"/>
      <c r="Y29" s="437"/>
    </row>
    <row r="30" spans="1:25" x14ac:dyDescent="0.2">
      <c r="A30" s="465"/>
      <c r="B30" s="466"/>
      <c r="E30" s="468"/>
      <c r="F30" s="468"/>
      <c r="T30" s="457"/>
      <c r="Y30" s="437"/>
    </row>
    <row r="31" spans="1:25" x14ac:dyDescent="0.2">
      <c r="B31" s="466"/>
      <c r="E31" s="468"/>
      <c r="F31" s="468"/>
      <c r="T31" s="457"/>
      <c r="Y31" s="437"/>
    </row>
    <row r="32" spans="1:25" x14ac:dyDescent="0.2">
      <c r="B32" s="466"/>
      <c r="E32" s="468"/>
      <c r="F32" s="468"/>
      <c r="T32" s="457"/>
      <c r="Y32" s="437"/>
    </row>
    <row r="33" spans="1:25" x14ac:dyDescent="0.2">
      <c r="A33" s="465"/>
      <c r="B33" s="466"/>
      <c r="E33" s="468"/>
      <c r="F33" s="468"/>
      <c r="T33" s="457"/>
      <c r="Y33" s="437"/>
    </row>
    <row r="34" spans="1:25" x14ac:dyDescent="0.2">
      <c r="A34" s="465"/>
      <c r="B34" s="466"/>
      <c r="E34" s="468"/>
      <c r="F34" s="468"/>
      <c r="T34" s="457"/>
      <c r="Y34" s="437"/>
    </row>
    <row r="35" spans="1:25" x14ac:dyDescent="0.2">
      <c r="A35" s="465"/>
      <c r="B35" s="466"/>
      <c r="E35" s="468"/>
      <c r="F35" s="468"/>
      <c r="T35" s="457"/>
      <c r="Y35" s="437"/>
    </row>
    <row r="36" spans="1:25" x14ac:dyDescent="0.2">
      <c r="A36" s="465"/>
      <c r="B36" s="466"/>
      <c r="E36" s="468"/>
      <c r="F36" s="468"/>
      <c r="T36" s="457"/>
      <c r="Y36" s="437"/>
    </row>
    <row r="37" spans="1:25" x14ac:dyDescent="0.2">
      <c r="B37" s="466"/>
      <c r="E37" s="468"/>
      <c r="F37" s="468"/>
      <c r="T37" s="457"/>
      <c r="Y37" s="437"/>
    </row>
    <row r="38" spans="1:25" x14ac:dyDescent="0.2">
      <c r="A38" s="465"/>
      <c r="B38" s="466"/>
      <c r="E38" s="468"/>
      <c r="F38" s="468"/>
      <c r="T38" s="457"/>
      <c r="Y38" s="437"/>
    </row>
    <row r="39" spans="1:25" x14ac:dyDescent="0.2">
      <c r="A39" s="465"/>
      <c r="B39" s="466"/>
      <c r="E39" s="468"/>
      <c r="F39" s="468"/>
      <c r="T39" s="457"/>
      <c r="Y39" s="437"/>
    </row>
    <row r="40" spans="1:25" x14ac:dyDescent="0.2">
      <c r="A40" s="465"/>
      <c r="B40" s="466"/>
      <c r="E40" s="468"/>
      <c r="F40" s="468"/>
      <c r="T40" s="457"/>
      <c r="Y40" s="437"/>
    </row>
    <row r="41" spans="1:25" x14ac:dyDescent="0.2">
      <c r="A41" s="465"/>
      <c r="B41" s="466"/>
      <c r="E41" s="468"/>
      <c r="F41" s="468"/>
      <c r="T41" s="457"/>
      <c r="Y41" s="437"/>
    </row>
    <row r="42" spans="1:25" x14ac:dyDescent="0.2">
      <c r="A42" s="465"/>
      <c r="B42" s="466"/>
      <c r="E42" s="468"/>
      <c r="F42" s="468"/>
      <c r="Y42" s="437"/>
    </row>
    <row r="43" spans="1:25" x14ac:dyDescent="0.2">
      <c r="A43" s="465"/>
      <c r="B43" s="466"/>
      <c r="E43" s="468"/>
      <c r="F43" s="468"/>
      <c r="Y43" s="437"/>
    </row>
    <row r="44" spans="1:25" x14ac:dyDescent="0.2">
      <c r="A44" s="465"/>
      <c r="B44" s="466"/>
      <c r="E44" s="468"/>
      <c r="F44" s="468"/>
      <c r="Y44" s="437"/>
    </row>
    <row r="45" spans="1:25" x14ac:dyDescent="0.2">
      <c r="B45" s="466"/>
      <c r="E45" s="468"/>
      <c r="F45" s="468"/>
      <c r="Y45" s="437"/>
    </row>
    <row r="46" spans="1:25" x14ac:dyDescent="0.2">
      <c r="A46" s="465"/>
      <c r="B46" s="466"/>
      <c r="E46" s="468"/>
      <c r="F46" s="468"/>
      <c r="Y46" s="437"/>
    </row>
    <row r="47" spans="1:25" x14ac:dyDescent="0.2">
      <c r="B47" s="466"/>
      <c r="E47" s="468"/>
      <c r="F47" s="468"/>
      <c r="Y47" s="437"/>
    </row>
    <row r="48" spans="1:25" x14ac:dyDescent="0.2">
      <c r="A48" s="465"/>
      <c r="B48" s="466"/>
      <c r="E48" s="468"/>
      <c r="F48" s="468"/>
      <c r="Y48" s="437"/>
    </row>
    <row r="49" spans="1:25" x14ac:dyDescent="0.2">
      <c r="B49" s="466"/>
      <c r="E49" s="468"/>
      <c r="F49" s="468"/>
      <c r="Y49" s="437"/>
    </row>
    <row r="50" spans="1:25" x14ac:dyDescent="0.2">
      <c r="A50" s="465"/>
      <c r="B50" s="466"/>
      <c r="E50" s="468"/>
      <c r="F50" s="468"/>
      <c r="Y50" s="437"/>
    </row>
    <row r="51" spans="1:25" x14ac:dyDescent="0.2">
      <c r="A51" s="465"/>
      <c r="B51" s="466"/>
      <c r="E51" s="468"/>
      <c r="F51" s="468"/>
      <c r="Y51" s="437"/>
    </row>
    <row r="52" spans="1:25" x14ac:dyDescent="0.2">
      <c r="A52" s="465"/>
      <c r="B52" s="466"/>
      <c r="E52" s="468"/>
      <c r="F52" s="468"/>
      <c r="Y52" s="437"/>
    </row>
    <row r="53" spans="1:25" x14ac:dyDescent="0.2">
      <c r="A53" s="465"/>
      <c r="B53" s="466"/>
      <c r="E53" s="468"/>
      <c r="F53" s="468"/>
      <c r="Y53" s="437"/>
    </row>
    <row r="54" spans="1:25" x14ac:dyDescent="0.2">
      <c r="A54" s="465"/>
      <c r="B54" s="466"/>
      <c r="E54" s="468"/>
      <c r="F54" s="468"/>
      <c r="Y54" s="437"/>
    </row>
    <row r="55" spans="1:25" x14ac:dyDescent="0.2">
      <c r="A55" s="465"/>
      <c r="B55" s="466"/>
      <c r="E55" s="468"/>
      <c r="F55" s="468"/>
      <c r="Y55" s="437"/>
    </row>
    <row r="56" spans="1:25" x14ac:dyDescent="0.2">
      <c r="A56" s="465"/>
      <c r="B56" s="466"/>
      <c r="E56" s="468"/>
      <c r="F56" s="468"/>
      <c r="Y56" s="437"/>
    </row>
    <row r="57" spans="1:25" x14ac:dyDescent="0.2">
      <c r="A57" s="465"/>
      <c r="B57" s="466"/>
      <c r="E57" s="468"/>
      <c r="F57" s="468"/>
      <c r="Y57" s="437"/>
    </row>
    <row r="58" spans="1:25" x14ac:dyDescent="0.2">
      <c r="A58" s="465"/>
      <c r="B58" s="466"/>
      <c r="E58" s="468"/>
      <c r="F58" s="468"/>
      <c r="Y58" s="437"/>
    </row>
    <row r="59" spans="1:25" x14ac:dyDescent="0.2">
      <c r="A59" s="465"/>
      <c r="B59" s="466"/>
      <c r="E59" s="468"/>
      <c r="F59" s="468"/>
      <c r="Y59" s="437"/>
    </row>
    <row r="60" spans="1:25" x14ac:dyDescent="0.2">
      <c r="B60" s="466"/>
      <c r="E60" s="468"/>
      <c r="F60" s="468"/>
      <c r="Y60" s="437"/>
    </row>
    <row r="61" spans="1:25" x14ac:dyDescent="0.2">
      <c r="A61" s="465"/>
      <c r="B61" s="466"/>
      <c r="E61" s="468"/>
      <c r="F61" s="468"/>
      <c r="Y61" s="437"/>
    </row>
    <row r="62" spans="1:25" x14ac:dyDescent="0.2">
      <c r="A62" s="465"/>
      <c r="B62" s="466"/>
      <c r="E62" s="468"/>
      <c r="F62" s="468"/>
      <c r="Y62" s="437"/>
    </row>
    <row r="63" spans="1:25" x14ac:dyDescent="0.2">
      <c r="A63" s="465"/>
      <c r="B63" s="466"/>
      <c r="E63" s="468"/>
      <c r="F63" s="468"/>
      <c r="Y63" s="437"/>
    </row>
    <row r="64" spans="1:25" x14ac:dyDescent="0.2">
      <c r="A64" s="465"/>
      <c r="B64" s="466"/>
      <c r="E64" s="468"/>
      <c r="F64" s="468"/>
      <c r="Y64" s="437"/>
    </row>
    <row r="65" spans="1:25" x14ac:dyDescent="0.2">
      <c r="A65" s="465"/>
      <c r="B65" s="466"/>
      <c r="E65" s="468"/>
      <c r="F65" s="468"/>
      <c r="Y65" s="437"/>
    </row>
    <row r="66" spans="1:25" x14ac:dyDescent="0.2">
      <c r="A66" s="465"/>
      <c r="B66" s="466"/>
      <c r="E66" s="468"/>
      <c r="F66" s="468"/>
      <c r="Y66" s="437"/>
    </row>
    <row r="67" spans="1:25" x14ac:dyDescent="0.2">
      <c r="A67" s="465"/>
      <c r="B67" s="466"/>
      <c r="E67" s="468"/>
      <c r="F67" s="468"/>
      <c r="Y67" s="437"/>
    </row>
    <row r="68" spans="1:25" x14ac:dyDescent="0.2">
      <c r="A68" s="465"/>
      <c r="B68" s="466"/>
      <c r="E68" s="468"/>
      <c r="F68" s="468"/>
      <c r="Y68" s="437"/>
    </row>
    <row r="69" spans="1:25" x14ac:dyDescent="0.2">
      <c r="A69" s="465"/>
      <c r="B69" s="466"/>
      <c r="E69" s="468"/>
      <c r="F69" s="468"/>
      <c r="Y69" s="437"/>
    </row>
    <row r="70" spans="1:25" x14ac:dyDescent="0.2">
      <c r="B70" s="466"/>
      <c r="E70" s="468"/>
      <c r="F70" s="468"/>
      <c r="Y70" s="437"/>
    </row>
    <row r="71" spans="1:25" x14ac:dyDescent="0.2">
      <c r="A71" s="465"/>
      <c r="B71" s="466"/>
      <c r="E71" s="468"/>
      <c r="F71" s="468"/>
      <c r="Y71" s="437"/>
    </row>
    <row r="72" spans="1:25" x14ac:dyDescent="0.2">
      <c r="B72" s="466"/>
      <c r="E72" s="468"/>
      <c r="F72" s="468"/>
      <c r="Y72" s="437"/>
    </row>
    <row r="73" spans="1:25" x14ac:dyDescent="0.2">
      <c r="A73" s="465"/>
      <c r="B73" s="466"/>
      <c r="E73" s="468"/>
      <c r="F73" s="468"/>
      <c r="Y73" s="437"/>
    </row>
    <row r="74" spans="1:25" x14ac:dyDescent="0.2">
      <c r="A74" s="465"/>
      <c r="B74" s="466"/>
      <c r="E74" s="468"/>
      <c r="F74" s="468"/>
      <c r="Y74" s="437"/>
    </row>
    <row r="75" spans="1:25" x14ac:dyDescent="0.2">
      <c r="B75" s="466"/>
      <c r="E75" s="468"/>
      <c r="F75" s="468"/>
      <c r="Y75" s="437"/>
    </row>
    <row r="76" spans="1:25" x14ac:dyDescent="0.2">
      <c r="A76" s="465"/>
      <c r="B76" s="466"/>
      <c r="E76" s="468"/>
      <c r="F76" s="468"/>
      <c r="Y76" s="437"/>
    </row>
    <row r="77" spans="1:25" x14ac:dyDescent="0.2">
      <c r="A77" s="465"/>
      <c r="B77" s="466"/>
      <c r="E77" s="468"/>
      <c r="F77" s="468"/>
      <c r="Y77" s="437"/>
    </row>
    <row r="78" spans="1:25" x14ac:dyDescent="0.2">
      <c r="A78" s="465"/>
      <c r="B78" s="466"/>
      <c r="E78" s="468"/>
      <c r="F78" s="468"/>
      <c r="Y78" s="437"/>
    </row>
    <row r="79" spans="1:25" x14ac:dyDescent="0.2">
      <c r="A79" s="465"/>
      <c r="B79" s="466"/>
      <c r="E79" s="468"/>
      <c r="F79" s="468"/>
      <c r="Y79" s="437"/>
    </row>
    <row r="80" spans="1:25" x14ac:dyDescent="0.2">
      <c r="A80" s="465"/>
      <c r="B80" s="466"/>
      <c r="E80" s="468"/>
      <c r="F80" s="468"/>
      <c r="Y80" s="437"/>
    </row>
    <row r="81" spans="1:25" x14ac:dyDescent="0.2">
      <c r="A81" s="465"/>
      <c r="B81" s="466"/>
      <c r="E81" s="468"/>
      <c r="F81" s="468"/>
      <c r="Y81" s="437"/>
    </row>
    <row r="82" spans="1:25" x14ac:dyDescent="0.2">
      <c r="A82" s="465"/>
      <c r="B82" s="466"/>
      <c r="E82" s="468"/>
      <c r="F82" s="468"/>
      <c r="Y82" s="437"/>
    </row>
    <row r="83" spans="1:25" x14ac:dyDescent="0.2">
      <c r="B83" s="466"/>
      <c r="E83" s="468"/>
      <c r="F83" s="468"/>
      <c r="Y83" s="437"/>
    </row>
    <row r="84" spans="1:25" x14ac:dyDescent="0.2">
      <c r="A84" s="465"/>
      <c r="B84" s="466"/>
      <c r="E84" s="468"/>
      <c r="F84" s="468"/>
      <c r="Y84" s="437"/>
    </row>
    <row r="85" spans="1:25" x14ac:dyDescent="0.2">
      <c r="A85" s="465"/>
      <c r="B85" s="466"/>
      <c r="E85" s="468"/>
      <c r="F85" s="468"/>
      <c r="Y85" s="437"/>
    </row>
    <row r="86" spans="1:25" x14ac:dyDescent="0.2">
      <c r="B86" s="466"/>
      <c r="E86" s="468"/>
      <c r="F86" s="468"/>
      <c r="Y86" s="437"/>
    </row>
    <row r="87" spans="1:25" x14ac:dyDescent="0.2">
      <c r="A87" s="465"/>
      <c r="B87" s="466"/>
      <c r="E87" s="468"/>
      <c r="F87" s="468"/>
      <c r="Y87" s="437"/>
    </row>
    <row r="88" spans="1:25" x14ac:dyDescent="0.2">
      <c r="A88" s="465"/>
      <c r="B88" s="466"/>
      <c r="E88" s="468"/>
      <c r="F88" s="468"/>
      <c r="Y88" s="437"/>
    </row>
    <row r="89" spans="1:25" x14ac:dyDescent="0.2">
      <c r="B89" s="466"/>
      <c r="E89" s="468"/>
      <c r="F89" s="468"/>
      <c r="Y89" s="437"/>
    </row>
    <row r="90" spans="1:25" x14ac:dyDescent="0.2">
      <c r="A90" s="465"/>
      <c r="B90" s="466"/>
      <c r="E90" s="468"/>
      <c r="F90" s="468"/>
      <c r="Y90" s="437"/>
    </row>
    <row r="91" spans="1:25" x14ac:dyDescent="0.2">
      <c r="B91" s="466"/>
      <c r="E91" s="468"/>
      <c r="F91" s="468"/>
      <c r="Y91" s="437"/>
    </row>
    <row r="92" spans="1:25" x14ac:dyDescent="0.2">
      <c r="A92" s="465"/>
      <c r="B92" s="466"/>
      <c r="E92" s="468"/>
      <c r="F92" s="468"/>
      <c r="Y92" s="437"/>
    </row>
    <row r="93" spans="1:25" x14ac:dyDescent="0.2">
      <c r="A93" s="465"/>
      <c r="B93" s="466"/>
      <c r="E93" s="468"/>
      <c r="F93" s="468"/>
      <c r="Y93" s="437"/>
    </row>
    <row r="94" spans="1:25" x14ac:dyDescent="0.2">
      <c r="A94" s="465"/>
      <c r="B94" s="466"/>
      <c r="E94" s="468"/>
      <c r="F94" s="468"/>
      <c r="Y94" s="437"/>
    </row>
    <row r="95" spans="1:25" x14ac:dyDescent="0.2">
      <c r="A95" s="465"/>
      <c r="B95" s="466"/>
      <c r="E95" s="468"/>
      <c r="F95" s="468"/>
      <c r="Y95" s="437"/>
    </row>
    <row r="96" spans="1:25" x14ac:dyDescent="0.2">
      <c r="A96" s="465"/>
      <c r="B96" s="466"/>
      <c r="E96" s="468"/>
      <c r="F96" s="468"/>
      <c r="Y96" s="437"/>
    </row>
    <row r="97" spans="1:25" x14ac:dyDescent="0.2">
      <c r="B97" s="466"/>
      <c r="E97" s="468"/>
      <c r="F97" s="468"/>
      <c r="Y97" s="437"/>
    </row>
    <row r="98" spans="1:25" x14ac:dyDescent="0.2">
      <c r="A98" s="465"/>
      <c r="B98" s="466"/>
      <c r="E98" s="468"/>
      <c r="F98" s="468"/>
      <c r="Y98" s="437"/>
    </row>
    <row r="99" spans="1:25" x14ac:dyDescent="0.2">
      <c r="A99" s="465"/>
      <c r="B99" s="466"/>
      <c r="E99" s="468"/>
      <c r="F99" s="468"/>
    </row>
    <row r="100" spans="1:25" x14ac:dyDescent="0.2">
      <c r="A100" s="465"/>
      <c r="B100" s="466"/>
      <c r="E100" s="468"/>
      <c r="F100" s="468"/>
    </row>
    <row r="101" spans="1:25" x14ac:dyDescent="0.2">
      <c r="B101" s="466"/>
      <c r="E101" s="468"/>
      <c r="F101" s="468"/>
    </row>
    <row r="102" spans="1:25" x14ac:dyDescent="0.2">
      <c r="A102" s="465"/>
      <c r="B102" s="466"/>
      <c r="E102" s="468"/>
      <c r="F102" s="468"/>
    </row>
    <row r="103" spans="1:25" x14ac:dyDescent="0.2">
      <c r="B103" s="466"/>
      <c r="E103" s="468"/>
      <c r="F103" s="468"/>
    </row>
    <row r="104" spans="1:25" x14ac:dyDescent="0.2">
      <c r="A104" s="465"/>
      <c r="B104" s="466"/>
      <c r="E104" s="468"/>
      <c r="F104" s="468"/>
    </row>
    <row r="105" spans="1:25" x14ac:dyDescent="0.2">
      <c r="A105" s="465"/>
      <c r="B105" s="466"/>
      <c r="E105" s="468"/>
      <c r="F105" s="468"/>
    </row>
    <row r="106" spans="1:25" x14ac:dyDescent="0.2">
      <c r="A106" s="465"/>
      <c r="B106" s="466"/>
      <c r="E106" s="468"/>
      <c r="F106" s="468"/>
    </row>
    <row r="107" spans="1:25" x14ac:dyDescent="0.2">
      <c r="B107" s="466"/>
      <c r="E107" s="468"/>
      <c r="F107" s="468"/>
    </row>
    <row r="108" spans="1:25" x14ac:dyDescent="0.2">
      <c r="B108" s="466"/>
      <c r="E108" s="468"/>
      <c r="F108" s="468"/>
    </row>
    <row r="109" spans="1:25" x14ac:dyDescent="0.2">
      <c r="A109" s="465"/>
      <c r="B109" s="466"/>
      <c r="E109" s="468"/>
      <c r="F109" s="468"/>
    </row>
    <row r="110" spans="1:25" x14ac:dyDescent="0.2">
      <c r="A110" s="465"/>
      <c r="B110" s="466"/>
      <c r="E110" s="468"/>
      <c r="F110" s="468"/>
    </row>
    <row r="111" spans="1:25" x14ac:dyDescent="0.2">
      <c r="A111" s="465"/>
      <c r="B111" s="466"/>
      <c r="E111" s="468"/>
      <c r="F111" s="468"/>
    </row>
    <row r="112" spans="1:25" x14ac:dyDescent="0.2">
      <c r="A112" s="465"/>
      <c r="B112" s="466"/>
      <c r="E112" s="468"/>
      <c r="F112" s="468"/>
    </row>
    <row r="113" spans="1:6" x14ac:dyDescent="0.2">
      <c r="A113" s="465"/>
      <c r="B113" s="466"/>
      <c r="E113" s="468"/>
      <c r="F113" s="468"/>
    </row>
    <row r="114" spans="1:6" x14ac:dyDescent="0.2">
      <c r="B114" s="466"/>
      <c r="E114" s="468"/>
      <c r="F114" s="468"/>
    </row>
    <row r="115" spans="1:6" x14ac:dyDescent="0.2">
      <c r="A115" s="465"/>
      <c r="B115" s="466"/>
      <c r="E115" s="468"/>
      <c r="F115" s="468"/>
    </row>
    <row r="116" spans="1:6" x14ac:dyDescent="0.2">
      <c r="A116" s="465"/>
      <c r="B116" s="466"/>
      <c r="E116" s="468"/>
      <c r="F116" s="468"/>
    </row>
    <row r="117" spans="1:6" x14ac:dyDescent="0.2">
      <c r="A117" s="465"/>
      <c r="B117" s="466"/>
      <c r="E117" s="468"/>
      <c r="F117" s="468"/>
    </row>
    <row r="118" spans="1:6" x14ac:dyDescent="0.2">
      <c r="A118" s="465"/>
      <c r="B118" s="466"/>
      <c r="E118" s="468"/>
      <c r="F118" s="468"/>
    </row>
    <row r="119" spans="1:6" x14ac:dyDescent="0.2">
      <c r="A119" s="465"/>
      <c r="B119" s="466"/>
      <c r="E119" s="468"/>
      <c r="F119" s="468"/>
    </row>
    <row r="120" spans="1:6" x14ac:dyDescent="0.2">
      <c r="A120" s="465"/>
      <c r="B120" s="466"/>
      <c r="E120" s="468"/>
      <c r="F120" s="468"/>
    </row>
    <row r="121" spans="1:6" x14ac:dyDescent="0.2">
      <c r="A121" s="465"/>
      <c r="B121" s="466"/>
      <c r="E121" s="468"/>
      <c r="F121" s="468"/>
    </row>
    <row r="122" spans="1:6" x14ac:dyDescent="0.2">
      <c r="A122" s="465"/>
      <c r="B122" s="466"/>
      <c r="E122" s="468"/>
      <c r="F122" s="468"/>
    </row>
    <row r="123" spans="1:6" x14ac:dyDescent="0.2">
      <c r="A123" s="465"/>
      <c r="B123" s="466"/>
      <c r="E123" s="468"/>
      <c r="F123" s="468"/>
    </row>
    <row r="124" spans="1:6" x14ac:dyDescent="0.2">
      <c r="A124" s="465"/>
      <c r="B124" s="466"/>
      <c r="E124" s="468"/>
      <c r="F124" s="468"/>
    </row>
    <row r="125" spans="1:6" x14ac:dyDescent="0.2">
      <c r="B125" s="466"/>
      <c r="E125" s="468"/>
      <c r="F125" s="468"/>
    </row>
    <row r="126" spans="1:6" x14ac:dyDescent="0.2">
      <c r="A126" s="465"/>
      <c r="B126" s="466"/>
      <c r="E126" s="468"/>
      <c r="F126" s="468"/>
    </row>
    <row r="127" spans="1:6" x14ac:dyDescent="0.2">
      <c r="A127" s="465"/>
      <c r="B127" s="466"/>
      <c r="E127" s="468"/>
      <c r="F127" s="468"/>
    </row>
    <row r="128" spans="1:6" x14ac:dyDescent="0.2">
      <c r="B128" s="466"/>
      <c r="E128" s="468"/>
      <c r="F128" s="468"/>
    </row>
    <row r="129" spans="1:6" x14ac:dyDescent="0.2">
      <c r="A129" s="465"/>
      <c r="B129" s="466"/>
      <c r="E129" s="468"/>
      <c r="F129" s="468"/>
    </row>
    <row r="130" spans="1:6" x14ac:dyDescent="0.2">
      <c r="A130" s="465"/>
      <c r="B130" s="466"/>
      <c r="E130" s="468"/>
      <c r="F130" s="468"/>
    </row>
    <row r="131" spans="1:6" x14ac:dyDescent="0.2">
      <c r="A131" s="465"/>
      <c r="B131" s="466"/>
      <c r="E131" s="468"/>
      <c r="F131" s="468"/>
    </row>
    <row r="132" spans="1:6" x14ac:dyDescent="0.2">
      <c r="A132" s="465"/>
      <c r="B132" s="466"/>
      <c r="E132" s="468"/>
      <c r="F132" s="468"/>
    </row>
    <row r="133" spans="1:6" x14ac:dyDescent="0.2">
      <c r="A133" s="465"/>
      <c r="B133" s="466"/>
      <c r="E133" s="468"/>
      <c r="F133" s="468"/>
    </row>
    <row r="134" spans="1:6" x14ac:dyDescent="0.2">
      <c r="A134" s="465"/>
      <c r="B134" s="466"/>
      <c r="E134" s="468"/>
      <c r="F134" s="468"/>
    </row>
    <row r="135" spans="1:6" x14ac:dyDescent="0.2">
      <c r="A135" s="465"/>
      <c r="B135" s="466"/>
      <c r="E135" s="468"/>
      <c r="F135" s="468"/>
    </row>
    <row r="136" spans="1:6" x14ac:dyDescent="0.2">
      <c r="B136" s="466"/>
      <c r="E136" s="468"/>
      <c r="F136" s="468"/>
    </row>
    <row r="137" spans="1:6" x14ac:dyDescent="0.2">
      <c r="A137" s="465"/>
      <c r="B137" s="466"/>
      <c r="E137" s="468"/>
      <c r="F137" s="468"/>
    </row>
    <row r="138" spans="1:6" x14ac:dyDescent="0.2">
      <c r="A138" s="465"/>
      <c r="B138" s="466"/>
      <c r="E138" s="468"/>
      <c r="F138" s="468"/>
    </row>
    <row r="139" spans="1:6" x14ac:dyDescent="0.2">
      <c r="B139" s="466"/>
      <c r="E139" s="468"/>
      <c r="F139" s="468"/>
    </row>
    <row r="140" spans="1:6" x14ac:dyDescent="0.2">
      <c r="B140" s="466"/>
      <c r="E140" s="468"/>
      <c r="F140" s="468"/>
    </row>
    <row r="141" spans="1:6" x14ac:dyDescent="0.2">
      <c r="B141" s="466"/>
      <c r="E141" s="468"/>
      <c r="F141" s="468"/>
    </row>
    <row r="142" spans="1:6" x14ac:dyDescent="0.2">
      <c r="B142" s="466"/>
      <c r="E142" s="468"/>
      <c r="F142" s="468"/>
    </row>
    <row r="143" spans="1:6" x14ac:dyDescent="0.2">
      <c r="B143" s="466"/>
      <c r="E143" s="468"/>
      <c r="F143" s="468"/>
    </row>
    <row r="144" spans="1:6" x14ac:dyDescent="0.2">
      <c r="A144" s="465"/>
      <c r="B144" s="466"/>
      <c r="E144" s="468"/>
      <c r="F144" s="468"/>
    </row>
    <row r="145" spans="1:6" x14ac:dyDescent="0.2">
      <c r="A145" s="465"/>
      <c r="B145" s="466"/>
      <c r="E145" s="468"/>
      <c r="F145" s="468"/>
    </row>
    <row r="146" spans="1:6" x14ac:dyDescent="0.2">
      <c r="A146" s="465"/>
      <c r="B146" s="466"/>
      <c r="E146" s="468"/>
      <c r="F146" s="468"/>
    </row>
    <row r="147" spans="1:6" x14ac:dyDescent="0.2">
      <c r="A147" s="465"/>
      <c r="B147" s="466"/>
      <c r="E147" s="468"/>
      <c r="F147" s="468"/>
    </row>
    <row r="148" spans="1:6" x14ac:dyDescent="0.2">
      <c r="A148" s="465"/>
      <c r="B148" s="466"/>
      <c r="E148" s="468"/>
      <c r="F148" s="468"/>
    </row>
    <row r="149" spans="1:6" x14ac:dyDescent="0.2">
      <c r="B149" s="466"/>
      <c r="E149" s="468"/>
      <c r="F149" s="468"/>
    </row>
    <row r="150" spans="1:6" x14ac:dyDescent="0.2">
      <c r="B150" s="466"/>
      <c r="E150" s="468"/>
      <c r="F150" s="468"/>
    </row>
    <row r="151" spans="1:6" x14ac:dyDescent="0.2">
      <c r="A151" s="465"/>
      <c r="B151" s="466"/>
      <c r="E151" s="468"/>
      <c r="F151" s="468"/>
    </row>
    <row r="152" spans="1:6" x14ac:dyDescent="0.2">
      <c r="A152" s="465"/>
      <c r="B152" s="466"/>
      <c r="E152" s="468"/>
      <c r="F152" s="468"/>
    </row>
    <row r="153" spans="1:6" x14ac:dyDescent="0.2">
      <c r="A153" s="465"/>
      <c r="B153" s="466"/>
      <c r="E153" s="468"/>
      <c r="F153" s="468"/>
    </row>
    <row r="154" spans="1:6" x14ac:dyDescent="0.2">
      <c r="A154" s="465"/>
      <c r="B154" s="466"/>
      <c r="E154" s="468"/>
      <c r="F154" s="468"/>
    </row>
    <row r="155" spans="1:6" x14ac:dyDescent="0.2">
      <c r="A155" s="465"/>
      <c r="B155" s="466"/>
      <c r="E155" s="468"/>
      <c r="F155" s="468"/>
    </row>
    <row r="156" spans="1:6" x14ac:dyDescent="0.2">
      <c r="A156" s="465"/>
      <c r="B156" s="466"/>
      <c r="E156" s="468"/>
      <c r="F156" s="468"/>
    </row>
    <row r="157" spans="1:6" x14ac:dyDescent="0.2">
      <c r="A157" s="465"/>
      <c r="B157" s="466"/>
      <c r="E157" s="468"/>
      <c r="F157" s="468"/>
    </row>
    <row r="158" spans="1:6" x14ac:dyDescent="0.2">
      <c r="B158" s="466"/>
      <c r="E158" s="468"/>
      <c r="F158" s="468"/>
    </row>
    <row r="159" spans="1:6" x14ac:dyDescent="0.2">
      <c r="A159" s="465"/>
      <c r="B159" s="466"/>
      <c r="E159" s="468"/>
      <c r="F159" s="468"/>
    </row>
    <row r="160" spans="1:6" x14ac:dyDescent="0.2">
      <c r="B160" s="466"/>
      <c r="E160" s="468"/>
      <c r="F160" s="468"/>
    </row>
    <row r="161" spans="1:6" x14ac:dyDescent="0.2">
      <c r="A161" s="465"/>
      <c r="B161" s="466"/>
      <c r="E161" s="468"/>
      <c r="F161" s="468"/>
    </row>
    <row r="162" spans="1:6" x14ac:dyDescent="0.2">
      <c r="B162" s="466"/>
      <c r="E162" s="468"/>
      <c r="F162" s="468"/>
    </row>
    <row r="163" spans="1:6" x14ac:dyDescent="0.2">
      <c r="A163" s="465"/>
      <c r="B163" s="466"/>
      <c r="E163" s="468"/>
      <c r="F163" s="468"/>
    </row>
    <row r="164" spans="1:6" x14ac:dyDescent="0.2">
      <c r="B164" s="466"/>
      <c r="E164" s="468"/>
      <c r="F164" s="468"/>
    </row>
    <row r="165" spans="1:6" x14ac:dyDescent="0.2">
      <c r="B165" s="466"/>
      <c r="E165" s="468"/>
      <c r="F165" s="468"/>
    </row>
    <row r="166" spans="1:6" x14ac:dyDescent="0.2">
      <c r="B166" s="466"/>
      <c r="E166" s="468"/>
      <c r="F166" s="468"/>
    </row>
    <row r="167" spans="1:6" x14ac:dyDescent="0.2">
      <c r="A167" s="465"/>
      <c r="B167" s="466"/>
      <c r="E167" s="468"/>
      <c r="F167" s="468"/>
    </row>
    <row r="168" spans="1:6" x14ac:dyDescent="0.2">
      <c r="A168" s="465"/>
      <c r="B168" s="466"/>
      <c r="E168" s="468"/>
      <c r="F168" s="468"/>
    </row>
    <row r="169" spans="1:6" x14ac:dyDescent="0.2">
      <c r="A169" s="465"/>
      <c r="B169" s="466"/>
      <c r="E169" s="468"/>
      <c r="F169" s="468"/>
    </row>
    <row r="170" spans="1:6" x14ac:dyDescent="0.2">
      <c r="A170" s="465"/>
      <c r="B170" s="466"/>
      <c r="E170" s="468"/>
      <c r="F170" s="468"/>
    </row>
    <row r="171" spans="1:6" x14ac:dyDescent="0.2">
      <c r="A171" s="465"/>
      <c r="B171" s="466"/>
      <c r="E171" s="468"/>
      <c r="F171" s="468"/>
    </row>
    <row r="172" spans="1:6" x14ac:dyDescent="0.2">
      <c r="A172" s="465"/>
      <c r="B172" s="466"/>
      <c r="E172" s="468"/>
      <c r="F172" s="468"/>
    </row>
    <row r="173" spans="1:6" x14ac:dyDescent="0.2">
      <c r="A173" s="465"/>
      <c r="B173" s="466"/>
      <c r="E173" s="468"/>
      <c r="F173" s="468"/>
    </row>
    <row r="174" spans="1:6" x14ac:dyDescent="0.2">
      <c r="A174" s="465"/>
      <c r="B174" s="466"/>
      <c r="E174" s="468"/>
      <c r="F174" s="468"/>
    </row>
    <row r="175" spans="1:6" x14ac:dyDescent="0.2">
      <c r="A175" s="465"/>
      <c r="B175" s="466"/>
      <c r="E175" s="468"/>
      <c r="F175" s="468"/>
    </row>
    <row r="176" spans="1:6" x14ac:dyDescent="0.2">
      <c r="A176" s="465"/>
      <c r="B176" s="466"/>
      <c r="E176" s="468"/>
      <c r="F176" s="468"/>
    </row>
    <row r="177" spans="1:6" x14ac:dyDescent="0.2">
      <c r="A177" s="465"/>
      <c r="B177" s="466"/>
      <c r="E177" s="468"/>
      <c r="F177" s="468"/>
    </row>
    <row r="178" spans="1:6" x14ac:dyDescent="0.2">
      <c r="A178" s="465"/>
      <c r="B178" s="466"/>
      <c r="E178" s="468"/>
      <c r="F178" s="468"/>
    </row>
    <row r="179" spans="1:6" x14ac:dyDescent="0.2">
      <c r="A179" s="465"/>
      <c r="B179" s="466"/>
      <c r="E179" s="468"/>
      <c r="F179" s="468"/>
    </row>
    <row r="180" spans="1:6" x14ac:dyDescent="0.2">
      <c r="A180" s="465"/>
      <c r="B180" s="466"/>
      <c r="E180" s="468"/>
      <c r="F180" s="468"/>
    </row>
    <row r="181" spans="1:6" x14ac:dyDescent="0.2">
      <c r="A181" s="465"/>
      <c r="B181" s="466"/>
      <c r="E181" s="468"/>
      <c r="F181" s="468"/>
    </row>
    <row r="182" spans="1:6" x14ac:dyDescent="0.2">
      <c r="A182" s="465"/>
      <c r="B182" s="466"/>
      <c r="E182" s="468"/>
      <c r="F182" s="468"/>
    </row>
    <row r="183" spans="1:6" x14ac:dyDescent="0.2">
      <c r="A183" s="465"/>
      <c r="B183" s="466"/>
      <c r="E183" s="468"/>
      <c r="F183" s="468"/>
    </row>
    <row r="184" spans="1:6" x14ac:dyDescent="0.2">
      <c r="A184" s="465"/>
      <c r="B184" s="466"/>
      <c r="E184" s="468"/>
      <c r="F184" s="468"/>
    </row>
    <row r="185" spans="1:6" x14ac:dyDescent="0.2">
      <c r="A185" s="465"/>
      <c r="B185" s="466"/>
      <c r="E185" s="468"/>
      <c r="F185" s="468"/>
    </row>
    <row r="186" spans="1:6" x14ac:dyDescent="0.2">
      <c r="B186" s="466"/>
      <c r="E186" s="468"/>
      <c r="F186" s="468"/>
    </row>
    <row r="187" spans="1:6" x14ac:dyDescent="0.2">
      <c r="A187" s="465"/>
      <c r="B187" s="466"/>
      <c r="E187" s="468"/>
      <c r="F187" s="468"/>
    </row>
    <row r="188" spans="1:6" x14ac:dyDescent="0.2">
      <c r="B188" s="466"/>
      <c r="E188" s="468"/>
      <c r="F188" s="468"/>
    </row>
    <row r="189" spans="1:6" x14ac:dyDescent="0.2">
      <c r="A189" s="465"/>
      <c r="B189" s="466"/>
      <c r="E189" s="468"/>
      <c r="F189" s="468"/>
    </row>
    <row r="190" spans="1:6" x14ac:dyDescent="0.2">
      <c r="A190" s="465"/>
      <c r="B190" s="466"/>
      <c r="E190" s="468"/>
      <c r="F190" s="468"/>
    </row>
    <row r="191" spans="1:6" x14ac:dyDescent="0.2">
      <c r="B191" s="466"/>
      <c r="E191" s="468"/>
      <c r="F191" s="468"/>
    </row>
    <row r="192" spans="1:6" x14ac:dyDescent="0.2">
      <c r="A192" s="465"/>
      <c r="B192" s="466"/>
      <c r="E192" s="468"/>
      <c r="F192" s="468"/>
    </row>
    <row r="193" spans="1:6" x14ac:dyDescent="0.2">
      <c r="B193" s="466"/>
      <c r="E193" s="468"/>
      <c r="F193" s="468"/>
    </row>
    <row r="194" spans="1:6" x14ac:dyDescent="0.2">
      <c r="A194" s="465"/>
      <c r="B194" s="466"/>
      <c r="E194" s="468"/>
      <c r="F194" s="468"/>
    </row>
    <row r="195" spans="1:6" x14ac:dyDescent="0.2">
      <c r="A195" s="465"/>
      <c r="B195" s="466"/>
      <c r="E195" s="468"/>
      <c r="F195" s="468"/>
    </row>
    <row r="196" spans="1:6" x14ac:dyDescent="0.2">
      <c r="A196" s="465"/>
      <c r="B196" s="466"/>
      <c r="E196" s="468"/>
      <c r="F196" s="468"/>
    </row>
    <row r="197" spans="1:6" x14ac:dyDescent="0.2">
      <c r="A197" s="465"/>
      <c r="B197" s="466"/>
      <c r="E197" s="468"/>
      <c r="F197" s="468"/>
    </row>
    <row r="198" spans="1:6" x14ac:dyDescent="0.2">
      <c r="B198" s="466"/>
      <c r="E198" s="468"/>
      <c r="F198" s="468"/>
    </row>
    <row r="199" spans="1:6" x14ac:dyDescent="0.2">
      <c r="A199" s="465"/>
      <c r="B199" s="466"/>
      <c r="E199" s="468"/>
      <c r="F199" s="468"/>
    </row>
    <row r="200" spans="1:6" x14ac:dyDescent="0.2">
      <c r="A200" s="465"/>
      <c r="B200" s="466"/>
      <c r="E200" s="468"/>
      <c r="F200" s="468"/>
    </row>
    <row r="201" spans="1:6" x14ac:dyDescent="0.2">
      <c r="A201" s="465"/>
      <c r="B201" s="466"/>
      <c r="E201" s="468"/>
      <c r="F201" s="468"/>
    </row>
    <row r="202" spans="1:6" x14ac:dyDescent="0.2">
      <c r="A202" s="465"/>
      <c r="B202" s="466"/>
      <c r="E202" s="468"/>
      <c r="F202" s="468"/>
    </row>
    <row r="203" spans="1:6" x14ac:dyDescent="0.2">
      <c r="A203" s="465"/>
      <c r="B203" s="466"/>
      <c r="E203" s="468"/>
      <c r="F203" s="468"/>
    </row>
    <row r="204" spans="1:6" x14ac:dyDescent="0.2">
      <c r="A204" s="465"/>
      <c r="B204" s="466"/>
      <c r="E204" s="468"/>
      <c r="F204" s="468"/>
    </row>
    <row r="205" spans="1:6" x14ac:dyDescent="0.2">
      <c r="A205" s="465"/>
      <c r="B205" s="466"/>
      <c r="E205" s="468"/>
      <c r="F205" s="468"/>
    </row>
    <row r="206" spans="1:6" x14ac:dyDescent="0.2">
      <c r="A206" s="465"/>
      <c r="B206" s="466"/>
      <c r="E206" s="468"/>
      <c r="F206" s="468"/>
    </row>
    <row r="207" spans="1:6" x14ac:dyDescent="0.2">
      <c r="A207" s="465"/>
      <c r="B207" s="466"/>
      <c r="E207" s="468"/>
      <c r="F207" s="468"/>
    </row>
    <row r="208" spans="1:6" x14ac:dyDescent="0.2">
      <c r="A208" s="465"/>
      <c r="B208" s="466"/>
      <c r="E208" s="468"/>
      <c r="F208" s="468"/>
    </row>
    <row r="209" spans="1:6" x14ac:dyDescent="0.2">
      <c r="A209" s="465"/>
      <c r="B209" s="466"/>
      <c r="E209" s="468"/>
      <c r="F209" s="468"/>
    </row>
    <row r="210" spans="1:6" x14ac:dyDescent="0.2">
      <c r="A210" s="465"/>
      <c r="B210" s="466"/>
      <c r="E210" s="468"/>
      <c r="F210" s="468"/>
    </row>
    <row r="211" spans="1:6" x14ac:dyDescent="0.2">
      <c r="A211" s="465"/>
      <c r="B211" s="466"/>
      <c r="E211" s="468"/>
      <c r="F211" s="468"/>
    </row>
    <row r="212" spans="1:6" x14ac:dyDescent="0.2">
      <c r="A212" s="465"/>
      <c r="B212" s="466"/>
      <c r="E212" s="468"/>
      <c r="F212" s="468"/>
    </row>
    <row r="213" spans="1:6" x14ac:dyDescent="0.2">
      <c r="A213" s="465"/>
      <c r="B213" s="466"/>
      <c r="E213" s="468"/>
      <c r="F213" s="468"/>
    </row>
    <row r="214" spans="1:6" x14ac:dyDescent="0.2">
      <c r="A214" s="465"/>
      <c r="B214" s="466"/>
      <c r="E214" s="468"/>
      <c r="F214" s="468"/>
    </row>
    <row r="215" spans="1:6" x14ac:dyDescent="0.2">
      <c r="A215" s="465"/>
      <c r="B215" s="466"/>
      <c r="E215" s="468"/>
      <c r="F215" s="468"/>
    </row>
    <row r="216" spans="1:6" x14ac:dyDescent="0.2">
      <c r="A216" s="465"/>
      <c r="B216" s="466"/>
      <c r="E216" s="468"/>
      <c r="F216" s="468"/>
    </row>
    <row r="217" spans="1:6" x14ac:dyDescent="0.2">
      <c r="A217" s="465"/>
      <c r="B217" s="466"/>
      <c r="E217" s="468"/>
      <c r="F217" s="468"/>
    </row>
    <row r="218" spans="1:6" x14ac:dyDescent="0.2">
      <c r="A218" s="465"/>
      <c r="B218" s="466"/>
      <c r="E218" s="468"/>
      <c r="F218" s="468"/>
    </row>
    <row r="219" spans="1:6" x14ac:dyDescent="0.2">
      <c r="A219" s="465"/>
      <c r="B219" s="466"/>
      <c r="E219" s="468"/>
      <c r="F219" s="468"/>
    </row>
    <row r="220" spans="1:6" x14ac:dyDescent="0.2">
      <c r="A220" s="465"/>
      <c r="B220" s="466"/>
      <c r="E220" s="468"/>
      <c r="F220" s="468"/>
    </row>
    <row r="221" spans="1:6" x14ac:dyDescent="0.2">
      <c r="A221" s="465"/>
      <c r="B221" s="466"/>
      <c r="E221" s="468"/>
      <c r="F221" s="468"/>
    </row>
    <row r="222" spans="1:6" x14ac:dyDescent="0.2">
      <c r="A222" s="465"/>
      <c r="B222" s="466"/>
      <c r="E222" s="468"/>
      <c r="F222" s="468"/>
    </row>
    <row r="223" spans="1:6" x14ac:dyDescent="0.2">
      <c r="A223" s="465"/>
      <c r="B223" s="466"/>
      <c r="E223" s="468"/>
      <c r="F223" s="468"/>
    </row>
    <row r="224" spans="1:6" x14ac:dyDescent="0.2">
      <c r="B224" s="466"/>
      <c r="E224" s="468"/>
      <c r="F224" s="468"/>
    </row>
    <row r="225" spans="1:6" x14ac:dyDescent="0.2">
      <c r="A225" s="465"/>
      <c r="B225" s="466"/>
      <c r="E225" s="468"/>
      <c r="F225" s="468"/>
    </row>
    <row r="226" spans="1:6" x14ac:dyDescent="0.2">
      <c r="A226" s="465"/>
      <c r="B226" s="466"/>
      <c r="E226" s="468"/>
      <c r="F226" s="468"/>
    </row>
    <row r="227" spans="1:6" x14ac:dyDescent="0.2">
      <c r="A227" s="465"/>
      <c r="B227" s="466"/>
      <c r="E227" s="468"/>
      <c r="F227" s="468"/>
    </row>
    <row r="228" spans="1:6" x14ac:dyDescent="0.2">
      <c r="A228" s="465"/>
      <c r="B228" s="466"/>
      <c r="E228" s="468"/>
      <c r="F228" s="468"/>
    </row>
    <row r="229" spans="1:6" x14ac:dyDescent="0.2">
      <c r="A229" s="465"/>
      <c r="B229" s="466"/>
      <c r="E229" s="468"/>
      <c r="F229" s="468"/>
    </row>
    <row r="230" spans="1:6" x14ac:dyDescent="0.2">
      <c r="B230" s="466"/>
      <c r="E230" s="468"/>
      <c r="F230" s="468"/>
    </row>
    <row r="231" spans="1:6" x14ac:dyDescent="0.2">
      <c r="B231" s="466"/>
      <c r="E231" s="468"/>
      <c r="F231" s="468"/>
    </row>
    <row r="232" spans="1:6" x14ac:dyDescent="0.2">
      <c r="A232" s="465"/>
      <c r="B232" s="466"/>
      <c r="E232" s="468"/>
      <c r="F232" s="468"/>
    </row>
    <row r="233" spans="1:6" x14ac:dyDescent="0.2">
      <c r="A233" s="465"/>
      <c r="B233" s="466"/>
      <c r="E233" s="468"/>
      <c r="F233" s="468"/>
    </row>
    <row r="234" spans="1:6" x14ac:dyDescent="0.2">
      <c r="B234" s="466"/>
      <c r="E234" s="468"/>
      <c r="F234" s="468"/>
    </row>
    <row r="235" spans="1:6" x14ac:dyDescent="0.2">
      <c r="A235" s="465"/>
      <c r="B235" s="466"/>
      <c r="E235" s="468"/>
      <c r="F235" s="468"/>
    </row>
    <row r="236" spans="1:6" x14ac:dyDescent="0.2">
      <c r="A236" s="465"/>
      <c r="B236" s="466"/>
      <c r="E236" s="468"/>
      <c r="F236" s="468"/>
    </row>
    <row r="237" spans="1:6" x14ac:dyDescent="0.2">
      <c r="B237" s="466"/>
      <c r="E237" s="468"/>
      <c r="F237" s="468"/>
    </row>
    <row r="238" spans="1:6" x14ac:dyDescent="0.2">
      <c r="A238" s="465"/>
      <c r="B238" s="466"/>
      <c r="E238" s="468"/>
      <c r="F238" s="468"/>
    </row>
    <row r="239" spans="1:6" x14ac:dyDescent="0.2">
      <c r="B239" s="466"/>
      <c r="E239" s="468"/>
      <c r="F239" s="468"/>
    </row>
    <row r="240" spans="1:6" x14ac:dyDescent="0.2">
      <c r="A240" s="465"/>
      <c r="B240" s="466"/>
      <c r="E240" s="468"/>
      <c r="F240" s="468"/>
    </row>
    <row r="241" spans="1:6" x14ac:dyDescent="0.2">
      <c r="B241" s="466"/>
      <c r="E241" s="468"/>
      <c r="F241" s="468"/>
    </row>
    <row r="242" spans="1:6" x14ac:dyDescent="0.2">
      <c r="A242" s="465"/>
      <c r="B242" s="466"/>
      <c r="E242" s="468"/>
      <c r="F242" s="468"/>
    </row>
    <row r="243" spans="1:6" x14ac:dyDescent="0.2">
      <c r="A243" s="465"/>
      <c r="B243" s="466"/>
      <c r="E243" s="468"/>
      <c r="F243" s="468"/>
    </row>
    <row r="244" spans="1:6" x14ac:dyDescent="0.2">
      <c r="A244" s="465"/>
      <c r="B244" s="466"/>
      <c r="E244" s="468"/>
      <c r="F244" s="468"/>
    </row>
    <row r="245" spans="1:6" x14ac:dyDescent="0.2">
      <c r="A245" s="465"/>
      <c r="B245" s="466"/>
      <c r="E245" s="468"/>
      <c r="F245" s="468"/>
    </row>
    <row r="246" spans="1:6" x14ac:dyDescent="0.2">
      <c r="A246" s="465"/>
      <c r="B246" s="466"/>
      <c r="E246" s="468"/>
      <c r="F246" s="468"/>
    </row>
    <row r="247" spans="1:6" x14ac:dyDescent="0.2">
      <c r="A247" s="465"/>
      <c r="B247" s="466"/>
      <c r="E247" s="468"/>
      <c r="F247" s="468"/>
    </row>
  </sheetData>
  <sheetProtection algorithmName="SHA-512" hashValue="S4t3Y41qYjHPJV5E38Xg/4qL2RAZ8Xzy42BmgO4s1bXTYdfJbdVBK2lVOBloRmmo/rUERiXM2wXU2HFhkRO86g==" saltValue="A5CR+eXvDxVNeQ8C5i2jFg==" spinCount="100000" sheet="1" objects="1" scenarios="1"/>
  <sortState ref="A2:H116">
    <sortCondition ref="C2:C116"/>
    <sortCondition ref="A2:A11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verticalDpi="0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71</vt:i4>
      </vt:variant>
    </vt:vector>
  </HeadingPairs>
  <TitlesOfParts>
    <vt:vector size="83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TM</vt:lpstr>
      <vt:lpstr>OT</vt:lpstr>
      <vt:lpstr>Import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2016-04-20T01:13:24Z</dcterms:modified>
  <cp:version>5.2.1</cp:version>
</cp:coreProperties>
</file>